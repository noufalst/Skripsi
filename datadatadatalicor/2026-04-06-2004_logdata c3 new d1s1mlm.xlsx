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Pengukuran 2025\Data LiCOR\Penelitian GreenRoof (soil) 2026\"/>
    </mc:Choice>
  </mc:AlternateContent>
  <xr:revisionPtr revIDLastSave="0" documentId="13_ncr:1_{4A7DA6B8-C144-46D4-85F1-F3930F113FC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58" i="1" l="1"/>
  <c r="AM255" i="1"/>
  <c r="S255" i="1" s="1"/>
  <c r="AL255" i="1"/>
  <c r="AJ255" i="1"/>
  <c r="AK255" i="1" s="1"/>
  <c r="AI255" i="1"/>
  <c r="AG255" i="1" s="1"/>
  <c r="Y255" i="1"/>
  <c r="W255" i="1" s="1"/>
  <c r="X255" i="1"/>
  <c r="P255" i="1"/>
  <c r="AM254" i="1"/>
  <c r="S254" i="1" s="1"/>
  <c r="AL254" i="1"/>
  <c r="AK254" i="1" s="1"/>
  <c r="AJ254" i="1"/>
  <c r="AI254" i="1"/>
  <c r="AG254" i="1"/>
  <c r="Y254" i="1"/>
  <c r="X254" i="1"/>
  <c r="W254" i="1"/>
  <c r="P254" i="1"/>
  <c r="AM253" i="1"/>
  <c r="AL253" i="1"/>
  <c r="AJ253" i="1"/>
  <c r="AK253" i="1" s="1"/>
  <c r="AI253" i="1"/>
  <c r="AG253" i="1" s="1"/>
  <c r="Y253" i="1"/>
  <c r="W253" i="1" s="1"/>
  <c r="X253" i="1"/>
  <c r="P253" i="1"/>
  <c r="N253" i="1"/>
  <c r="AM252" i="1"/>
  <c r="AL252" i="1"/>
  <c r="AJ252" i="1"/>
  <c r="S252" i="1" s="1"/>
  <c r="AI252" i="1"/>
  <c r="AG252" i="1"/>
  <c r="AH252" i="1" s="1"/>
  <c r="Y252" i="1"/>
  <c r="W252" i="1" s="1"/>
  <c r="X252" i="1"/>
  <c r="P252" i="1"/>
  <c r="N252" i="1"/>
  <c r="J252" i="1"/>
  <c r="I252" i="1"/>
  <c r="H252" i="1"/>
  <c r="AA252" i="1" s="1"/>
  <c r="AM251" i="1"/>
  <c r="AL251" i="1"/>
  <c r="AJ251" i="1"/>
  <c r="AI251" i="1"/>
  <c r="AG251" i="1" s="1"/>
  <c r="Y251" i="1"/>
  <c r="X251" i="1"/>
  <c r="W251" i="1" s="1"/>
  <c r="P251" i="1"/>
  <c r="I251" i="1"/>
  <c r="H251" i="1"/>
  <c r="AA251" i="1" s="1"/>
  <c r="AM250" i="1"/>
  <c r="AL250" i="1"/>
  <c r="AJ250" i="1"/>
  <c r="AK250" i="1" s="1"/>
  <c r="AI250" i="1"/>
  <c r="AG250" i="1"/>
  <c r="Y250" i="1"/>
  <c r="X250" i="1"/>
  <c r="W250" i="1"/>
  <c r="P250" i="1"/>
  <c r="N250" i="1"/>
  <c r="AM249" i="1"/>
  <c r="AL249" i="1"/>
  <c r="AK249" i="1"/>
  <c r="AJ249" i="1"/>
  <c r="S249" i="1" s="1"/>
  <c r="AI249" i="1"/>
  <c r="AG249" i="1" s="1"/>
  <c r="Y249" i="1"/>
  <c r="X249" i="1"/>
  <c r="W249" i="1" s="1"/>
  <c r="P249" i="1"/>
  <c r="N249" i="1"/>
  <c r="AM248" i="1"/>
  <c r="AL248" i="1"/>
  <c r="AK248" i="1" s="1"/>
  <c r="AJ248" i="1"/>
  <c r="AI248" i="1"/>
  <c r="AG248" i="1" s="1"/>
  <c r="AA248" i="1"/>
  <c r="Y248" i="1"/>
  <c r="X248" i="1"/>
  <c r="W248" i="1"/>
  <c r="S248" i="1"/>
  <c r="T248" i="1" s="1"/>
  <c r="U248" i="1" s="1"/>
  <c r="P248" i="1"/>
  <c r="K248" i="1"/>
  <c r="J248" i="1"/>
  <c r="I248" i="1"/>
  <c r="H248" i="1" s="1"/>
  <c r="AM247" i="1"/>
  <c r="AL247" i="1"/>
  <c r="AJ247" i="1"/>
  <c r="AI247" i="1"/>
  <c r="AG247" i="1"/>
  <c r="Y247" i="1"/>
  <c r="X247" i="1"/>
  <c r="W247" i="1"/>
  <c r="P247" i="1"/>
  <c r="AM246" i="1"/>
  <c r="AL246" i="1"/>
  <c r="AJ246" i="1"/>
  <c r="AK246" i="1" s="1"/>
  <c r="AI246" i="1"/>
  <c r="AG246" i="1"/>
  <c r="I246" i="1" s="1"/>
  <c r="AA246" i="1"/>
  <c r="Y246" i="1"/>
  <c r="X246" i="1"/>
  <c r="W246" i="1"/>
  <c r="S246" i="1"/>
  <c r="P246" i="1"/>
  <c r="N246" i="1"/>
  <c r="J246" i="1"/>
  <c r="H246" i="1"/>
  <c r="AM245" i="1"/>
  <c r="AL245" i="1"/>
  <c r="AK245" i="1"/>
  <c r="AJ245" i="1"/>
  <c r="AI245" i="1"/>
  <c r="AG245" i="1" s="1"/>
  <c r="I245" i="1" s="1"/>
  <c r="H245" i="1" s="1"/>
  <c r="Y245" i="1"/>
  <c r="X245" i="1"/>
  <c r="W245" i="1" s="1"/>
  <c r="S245" i="1"/>
  <c r="P245" i="1"/>
  <c r="N245" i="1"/>
  <c r="K245" i="1"/>
  <c r="J245" i="1"/>
  <c r="AM244" i="1"/>
  <c r="AL244" i="1"/>
  <c r="AJ244" i="1"/>
  <c r="AI244" i="1"/>
  <c r="AG244" i="1" s="1"/>
  <c r="Y244" i="1"/>
  <c r="X244" i="1"/>
  <c r="W244" i="1"/>
  <c r="P244" i="1"/>
  <c r="N244" i="1"/>
  <c r="AM243" i="1"/>
  <c r="AL243" i="1"/>
  <c r="AJ243" i="1"/>
  <c r="AI243" i="1"/>
  <c r="AG243" i="1"/>
  <c r="K243" i="1" s="1"/>
  <c r="Y243" i="1"/>
  <c r="W243" i="1" s="1"/>
  <c r="X243" i="1"/>
  <c r="P243" i="1"/>
  <c r="I243" i="1"/>
  <c r="H243" i="1"/>
  <c r="AM242" i="1"/>
  <c r="AL242" i="1"/>
  <c r="AJ242" i="1"/>
  <c r="AK242" i="1" s="1"/>
  <c r="AI242" i="1"/>
  <c r="AG242" i="1"/>
  <c r="Y242" i="1"/>
  <c r="X242" i="1"/>
  <c r="W242" i="1"/>
  <c r="P242" i="1"/>
  <c r="N242" i="1"/>
  <c r="AM241" i="1"/>
  <c r="AL241" i="1"/>
  <c r="AK241" i="1"/>
  <c r="AJ241" i="1"/>
  <c r="S241" i="1" s="1"/>
  <c r="AI241" i="1"/>
  <c r="AG241" i="1" s="1"/>
  <c r="Y241" i="1"/>
  <c r="X241" i="1"/>
  <c r="W241" i="1" s="1"/>
  <c r="P241" i="1"/>
  <c r="N241" i="1"/>
  <c r="AM240" i="1"/>
  <c r="AL240" i="1"/>
  <c r="AJ240" i="1"/>
  <c r="AI240" i="1"/>
  <c r="AG240" i="1" s="1"/>
  <c r="Y240" i="1"/>
  <c r="X240" i="1"/>
  <c r="W240" i="1"/>
  <c r="S240" i="1"/>
  <c r="P240" i="1"/>
  <c r="K240" i="1"/>
  <c r="AM239" i="1"/>
  <c r="AL239" i="1"/>
  <c r="AJ239" i="1"/>
  <c r="AI239" i="1"/>
  <c r="AH239" i="1"/>
  <c r="AG239" i="1"/>
  <c r="Y239" i="1"/>
  <c r="X239" i="1"/>
  <c r="W239" i="1"/>
  <c r="P239" i="1"/>
  <c r="N239" i="1"/>
  <c r="AM238" i="1"/>
  <c r="AL238" i="1"/>
  <c r="AK238" i="1"/>
  <c r="AJ238" i="1"/>
  <c r="AI238" i="1"/>
  <c r="AG238" i="1"/>
  <c r="I238" i="1" s="1"/>
  <c r="AA238" i="1"/>
  <c r="Y238" i="1"/>
  <c r="X238" i="1"/>
  <c r="W238" i="1"/>
  <c r="S238" i="1"/>
  <c r="P238" i="1"/>
  <c r="N238" i="1"/>
  <c r="J238" i="1"/>
  <c r="H238" i="1"/>
  <c r="AM237" i="1"/>
  <c r="AL237" i="1"/>
  <c r="AK237" i="1"/>
  <c r="AJ237" i="1"/>
  <c r="AI237" i="1"/>
  <c r="AG237" i="1" s="1"/>
  <c r="I237" i="1" s="1"/>
  <c r="H237" i="1" s="1"/>
  <c r="Y237" i="1"/>
  <c r="X237" i="1"/>
  <c r="W237" i="1" s="1"/>
  <c r="T237" i="1"/>
  <c r="U237" i="1" s="1"/>
  <c r="S237" i="1"/>
  <c r="P237" i="1"/>
  <c r="N237" i="1"/>
  <c r="K237" i="1"/>
  <c r="J237" i="1"/>
  <c r="AM236" i="1"/>
  <c r="AL236" i="1"/>
  <c r="AJ236" i="1"/>
  <c r="AI236" i="1"/>
  <c r="AG236" i="1" s="1"/>
  <c r="AH236" i="1" s="1"/>
  <c r="Y236" i="1"/>
  <c r="X236" i="1"/>
  <c r="W236" i="1"/>
  <c r="P236" i="1"/>
  <c r="N236" i="1"/>
  <c r="AM235" i="1"/>
  <c r="AL235" i="1"/>
  <c r="AJ235" i="1"/>
  <c r="AI235" i="1"/>
  <c r="AG235" i="1"/>
  <c r="K235" i="1" s="1"/>
  <c r="Y235" i="1"/>
  <c r="W235" i="1" s="1"/>
  <c r="X235" i="1"/>
  <c r="P235" i="1"/>
  <c r="I235" i="1"/>
  <c r="H235" i="1" s="1"/>
  <c r="AM234" i="1"/>
  <c r="AL234" i="1"/>
  <c r="AJ234" i="1"/>
  <c r="AK234" i="1" s="1"/>
  <c r="AI234" i="1"/>
  <c r="AG234" i="1"/>
  <c r="Y234" i="1"/>
  <c r="X234" i="1"/>
  <c r="W234" i="1"/>
  <c r="P234" i="1"/>
  <c r="N234" i="1"/>
  <c r="AM233" i="1"/>
  <c r="AL233" i="1"/>
  <c r="AK233" i="1"/>
  <c r="AJ233" i="1"/>
  <c r="AI233" i="1"/>
  <c r="AG233" i="1" s="1"/>
  <c r="Y233" i="1"/>
  <c r="X233" i="1"/>
  <c r="W233" i="1" s="1"/>
  <c r="S233" i="1"/>
  <c r="P233" i="1"/>
  <c r="N233" i="1"/>
  <c r="J233" i="1"/>
  <c r="AM232" i="1"/>
  <c r="AL232" i="1"/>
  <c r="AJ232" i="1"/>
  <c r="AK232" i="1" s="1"/>
  <c r="AI232" i="1"/>
  <c r="AG232" i="1" s="1"/>
  <c r="AH232" i="1"/>
  <c r="AA232" i="1"/>
  <c r="Y232" i="1"/>
  <c r="X232" i="1"/>
  <c r="W232" i="1"/>
  <c r="S232" i="1"/>
  <c r="P232" i="1"/>
  <c r="N232" i="1"/>
  <c r="K232" i="1"/>
  <c r="J232" i="1"/>
  <c r="I232" i="1"/>
  <c r="H232" i="1" s="1"/>
  <c r="AM231" i="1"/>
  <c r="AL231" i="1"/>
  <c r="AJ231" i="1"/>
  <c r="AI231" i="1"/>
  <c r="AH231" i="1"/>
  <c r="AG231" i="1"/>
  <c r="Y231" i="1"/>
  <c r="W231" i="1" s="1"/>
  <c r="X231" i="1"/>
  <c r="P231" i="1"/>
  <c r="N231" i="1"/>
  <c r="AM230" i="1"/>
  <c r="AL230" i="1"/>
  <c r="AJ230" i="1"/>
  <c r="AK230" i="1" s="1"/>
  <c r="AI230" i="1"/>
  <c r="AG230" i="1"/>
  <c r="I230" i="1" s="1"/>
  <c r="AA230" i="1"/>
  <c r="Y230" i="1"/>
  <c r="X230" i="1"/>
  <c r="W230" i="1"/>
  <c r="S230" i="1"/>
  <c r="P230" i="1"/>
  <c r="N230" i="1"/>
  <c r="J230" i="1"/>
  <c r="H230" i="1"/>
  <c r="AM229" i="1"/>
  <c r="S229" i="1" s="1"/>
  <c r="AL229" i="1"/>
  <c r="AK229" i="1"/>
  <c r="AJ229" i="1"/>
  <c r="AI229" i="1"/>
  <c r="AG229" i="1" s="1"/>
  <c r="Y229" i="1"/>
  <c r="X229" i="1"/>
  <c r="W229" i="1" s="1"/>
  <c r="P229" i="1"/>
  <c r="N229" i="1"/>
  <c r="K229" i="1"/>
  <c r="J229" i="1"/>
  <c r="AM228" i="1"/>
  <c r="AL228" i="1"/>
  <c r="AJ228" i="1"/>
  <c r="AK228" i="1" s="1"/>
  <c r="AI228" i="1"/>
  <c r="AG228" i="1" s="1"/>
  <c r="Y228" i="1"/>
  <c r="X228" i="1"/>
  <c r="W228" i="1"/>
  <c r="P228" i="1"/>
  <c r="AM227" i="1"/>
  <c r="AL227" i="1"/>
  <c r="AJ227" i="1"/>
  <c r="AK227" i="1" s="1"/>
  <c r="AI227" i="1"/>
  <c r="AH227" i="1"/>
  <c r="AG227" i="1"/>
  <c r="I227" i="1" s="1"/>
  <c r="Y227" i="1"/>
  <c r="X227" i="1"/>
  <c r="W227" i="1"/>
  <c r="T227" i="1"/>
  <c r="U227" i="1" s="1"/>
  <c r="S227" i="1"/>
  <c r="P227" i="1"/>
  <c r="N227" i="1"/>
  <c r="K227" i="1"/>
  <c r="J227" i="1"/>
  <c r="H227" i="1"/>
  <c r="AM226" i="1"/>
  <c r="AL226" i="1"/>
  <c r="AJ226" i="1"/>
  <c r="AI226" i="1"/>
  <c r="AG226" i="1" s="1"/>
  <c r="K226" i="1" s="1"/>
  <c r="Y226" i="1"/>
  <c r="X226" i="1"/>
  <c r="P226" i="1"/>
  <c r="N226" i="1"/>
  <c r="AM225" i="1"/>
  <c r="AL225" i="1"/>
  <c r="AK225" i="1"/>
  <c r="AJ225" i="1"/>
  <c r="S225" i="1" s="1"/>
  <c r="AI225" i="1"/>
  <c r="AH225" i="1"/>
  <c r="AG225" i="1"/>
  <c r="I225" i="1" s="1"/>
  <c r="Y225" i="1"/>
  <c r="X225" i="1"/>
  <c r="W225" i="1" s="1"/>
  <c r="P225" i="1"/>
  <c r="N225" i="1"/>
  <c r="K225" i="1"/>
  <c r="J225" i="1"/>
  <c r="H225" i="1"/>
  <c r="AM224" i="1"/>
  <c r="AL224" i="1"/>
  <c r="AJ224" i="1"/>
  <c r="AI224" i="1"/>
  <c r="AG224" i="1" s="1"/>
  <c r="K224" i="1" s="1"/>
  <c r="Y224" i="1"/>
  <c r="X224" i="1"/>
  <c r="W224" i="1" s="1"/>
  <c r="P224" i="1"/>
  <c r="N224" i="1"/>
  <c r="AM223" i="1"/>
  <c r="AL223" i="1"/>
  <c r="AK223" i="1"/>
  <c r="AJ223" i="1"/>
  <c r="AI223" i="1"/>
  <c r="AG223" i="1"/>
  <c r="AH223" i="1" s="1"/>
  <c r="Y223" i="1"/>
  <c r="X223" i="1"/>
  <c r="W223" i="1" s="1"/>
  <c r="S223" i="1"/>
  <c r="P223" i="1"/>
  <c r="N223" i="1"/>
  <c r="K223" i="1"/>
  <c r="J223" i="1"/>
  <c r="I223" i="1"/>
  <c r="H223" i="1"/>
  <c r="AA223" i="1" s="1"/>
  <c r="AM222" i="1"/>
  <c r="AL222" i="1"/>
  <c r="AJ222" i="1"/>
  <c r="AI222" i="1"/>
  <c r="AG222" i="1" s="1"/>
  <c r="Y222" i="1"/>
  <c r="X222" i="1"/>
  <c r="W222" i="1"/>
  <c r="P222" i="1"/>
  <c r="I222" i="1"/>
  <c r="H222" i="1" s="1"/>
  <c r="AM221" i="1"/>
  <c r="S221" i="1" s="1"/>
  <c r="AL221" i="1"/>
  <c r="AK221" i="1" s="1"/>
  <c r="AJ221" i="1"/>
  <c r="AI221" i="1"/>
  <c r="AG221" i="1"/>
  <c r="Y221" i="1"/>
  <c r="X221" i="1"/>
  <c r="W221" i="1" s="1"/>
  <c r="P221" i="1"/>
  <c r="AM220" i="1"/>
  <c r="AL220" i="1"/>
  <c r="AJ220" i="1"/>
  <c r="AK220" i="1" s="1"/>
  <c r="AI220" i="1"/>
  <c r="AG220" i="1" s="1"/>
  <c r="Y220" i="1"/>
  <c r="X220" i="1"/>
  <c r="W220" i="1" s="1"/>
  <c r="S220" i="1"/>
  <c r="P220" i="1"/>
  <c r="N220" i="1"/>
  <c r="AM219" i="1"/>
  <c r="AL219" i="1"/>
  <c r="AK219" i="1" s="1"/>
  <c r="AJ219" i="1"/>
  <c r="AI219" i="1"/>
  <c r="AG219" i="1" s="1"/>
  <c r="Y219" i="1"/>
  <c r="X219" i="1"/>
  <c r="W219" i="1" s="1"/>
  <c r="S219" i="1"/>
  <c r="P219" i="1"/>
  <c r="AM218" i="1"/>
  <c r="AL218" i="1"/>
  <c r="AJ218" i="1"/>
  <c r="AI218" i="1"/>
  <c r="AG218" i="1" s="1"/>
  <c r="Y218" i="1"/>
  <c r="W218" i="1" s="1"/>
  <c r="X218" i="1"/>
  <c r="P218" i="1"/>
  <c r="I218" i="1"/>
  <c r="H218" i="1" s="1"/>
  <c r="AM217" i="1"/>
  <c r="S217" i="1" s="1"/>
  <c r="AL217" i="1"/>
  <c r="AK217" i="1" s="1"/>
  <c r="AJ217" i="1"/>
  <c r="AI217" i="1"/>
  <c r="AG217" i="1"/>
  <c r="Y217" i="1"/>
  <c r="X217" i="1"/>
  <c r="W217" i="1" s="1"/>
  <c r="P217" i="1"/>
  <c r="AM216" i="1"/>
  <c r="AL216" i="1"/>
  <c r="AJ216" i="1"/>
  <c r="AK216" i="1" s="1"/>
  <c r="AI216" i="1"/>
  <c r="AG216" i="1" s="1"/>
  <c r="Y216" i="1"/>
  <c r="X216" i="1"/>
  <c r="W216" i="1" s="1"/>
  <c r="S216" i="1"/>
  <c r="P216" i="1"/>
  <c r="K216" i="1"/>
  <c r="J216" i="1"/>
  <c r="AM215" i="1"/>
  <c r="AL215" i="1"/>
  <c r="AK215" i="1"/>
  <c r="AJ215" i="1"/>
  <c r="AI215" i="1"/>
  <c r="AG215" i="1" s="1"/>
  <c r="AH215" i="1"/>
  <c r="Y215" i="1"/>
  <c r="X215" i="1"/>
  <c r="W215" i="1" s="1"/>
  <c r="S215" i="1"/>
  <c r="P215" i="1"/>
  <c r="K215" i="1"/>
  <c r="I215" i="1"/>
  <c r="H215" i="1"/>
  <c r="AA215" i="1" s="1"/>
  <c r="AM214" i="1"/>
  <c r="AL214" i="1"/>
  <c r="AJ214" i="1"/>
  <c r="AI214" i="1"/>
  <c r="AG214" i="1"/>
  <c r="Y214" i="1"/>
  <c r="W214" i="1" s="1"/>
  <c r="X214" i="1"/>
  <c r="P214" i="1"/>
  <c r="N214" i="1"/>
  <c r="I214" i="1"/>
  <c r="H214" i="1" s="1"/>
  <c r="AA214" i="1" s="1"/>
  <c r="AM213" i="1"/>
  <c r="S213" i="1" s="1"/>
  <c r="AL213" i="1"/>
  <c r="AK213" i="1"/>
  <c r="AJ213" i="1"/>
  <c r="AI213" i="1"/>
  <c r="AG213" i="1"/>
  <c r="Y213" i="1"/>
  <c r="X213" i="1"/>
  <c r="W213" i="1"/>
  <c r="P213" i="1"/>
  <c r="K213" i="1"/>
  <c r="AM212" i="1"/>
  <c r="AL212" i="1"/>
  <c r="AK212" i="1"/>
  <c r="AJ212" i="1"/>
  <c r="AI212" i="1"/>
  <c r="AG212" i="1" s="1"/>
  <c r="Y212" i="1"/>
  <c r="X212" i="1"/>
  <c r="W212" i="1" s="1"/>
  <c r="S212" i="1"/>
  <c r="P212" i="1"/>
  <c r="AM211" i="1"/>
  <c r="AL211" i="1"/>
  <c r="AK211" i="1"/>
  <c r="AJ211" i="1"/>
  <c r="AI211" i="1"/>
  <c r="AG211" i="1" s="1"/>
  <c r="Y211" i="1"/>
  <c r="X211" i="1"/>
  <c r="W211" i="1"/>
  <c r="S211" i="1"/>
  <c r="P211" i="1"/>
  <c r="AM210" i="1"/>
  <c r="AL210" i="1"/>
  <c r="AJ210" i="1"/>
  <c r="AI210" i="1"/>
  <c r="AG210" i="1" s="1"/>
  <c r="Y210" i="1"/>
  <c r="X210" i="1"/>
  <c r="W210" i="1"/>
  <c r="P210" i="1"/>
  <c r="N210" i="1"/>
  <c r="AM209" i="1"/>
  <c r="AL209" i="1"/>
  <c r="AK209" i="1" s="1"/>
  <c r="AJ209" i="1"/>
  <c r="AI209" i="1"/>
  <c r="AH209" i="1"/>
  <c r="AG209" i="1"/>
  <c r="Y209" i="1"/>
  <c r="X209" i="1"/>
  <c r="W209" i="1"/>
  <c r="S209" i="1"/>
  <c r="P209" i="1"/>
  <c r="N209" i="1"/>
  <c r="K209" i="1"/>
  <c r="AM208" i="1"/>
  <c r="AL208" i="1"/>
  <c r="AJ208" i="1"/>
  <c r="AI208" i="1"/>
  <c r="AG208" i="1" s="1"/>
  <c r="Y208" i="1"/>
  <c r="X208" i="1"/>
  <c r="P208" i="1"/>
  <c r="I208" i="1"/>
  <c r="H208" i="1" s="1"/>
  <c r="AA208" i="1" s="1"/>
  <c r="AM207" i="1"/>
  <c r="AL207" i="1"/>
  <c r="AJ207" i="1"/>
  <c r="S207" i="1" s="1"/>
  <c r="AI207" i="1"/>
  <c r="AG207" i="1"/>
  <c r="N207" i="1" s="1"/>
  <c r="Y207" i="1"/>
  <c r="X207" i="1"/>
  <c r="P207" i="1"/>
  <c r="I207" i="1"/>
  <c r="H207" i="1"/>
  <c r="AM206" i="1"/>
  <c r="AL206" i="1"/>
  <c r="AJ206" i="1"/>
  <c r="AI206" i="1"/>
  <c r="AG206" i="1" s="1"/>
  <c r="Y206" i="1"/>
  <c r="X206" i="1"/>
  <c r="W206" i="1"/>
  <c r="P206" i="1"/>
  <c r="N206" i="1"/>
  <c r="AM205" i="1"/>
  <c r="S205" i="1" s="1"/>
  <c r="AL205" i="1"/>
  <c r="AK205" i="1"/>
  <c r="AJ205" i="1"/>
  <c r="AI205" i="1"/>
  <c r="AG205" i="1"/>
  <c r="Y205" i="1"/>
  <c r="X205" i="1"/>
  <c r="W205" i="1" s="1"/>
  <c r="P205" i="1"/>
  <c r="N205" i="1"/>
  <c r="K205" i="1"/>
  <c r="AM204" i="1"/>
  <c r="AL204" i="1"/>
  <c r="AJ204" i="1"/>
  <c r="AI204" i="1"/>
  <c r="AG204" i="1" s="1"/>
  <c r="AH204" i="1" s="1"/>
  <c r="Y204" i="1"/>
  <c r="X204" i="1"/>
  <c r="W204" i="1" s="1"/>
  <c r="P204" i="1"/>
  <c r="N204" i="1"/>
  <c r="K204" i="1"/>
  <c r="J204" i="1"/>
  <c r="I204" i="1"/>
  <c r="H204" i="1" s="1"/>
  <c r="AA204" i="1" s="1"/>
  <c r="AM203" i="1"/>
  <c r="AL203" i="1"/>
  <c r="AK203" i="1"/>
  <c r="AJ203" i="1"/>
  <c r="AI203" i="1"/>
  <c r="AG203" i="1"/>
  <c r="K203" i="1" s="1"/>
  <c r="Y203" i="1"/>
  <c r="W203" i="1" s="1"/>
  <c r="X203" i="1"/>
  <c r="S203" i="1"/>
  <c r="P203" i="1"/>
  <c r="I203" i="1"/>
  <c r="H203" i="1"/>
  <c r="AM202" i="1"/>
  <c r="AL202" i="1"/>
  <c r="AJ202" i="1"/>
  <c r="AI202" i="1"/>
  <c r="AG202" i="1" s="1"/>
  <c r="K202" i="1" s="1"/>
  <c r="AH202" i="1"/>
  <c r="Y202" i="1"/>
  <c r="X202" i="1"/>
  <c r="W202" i="1"/>
  <c r="P202" i="1"/>
  <c r="N202" i="1"/>
  <c r="J202" i="1"/>
  <c r="I202" i="1"/>
  <c r="H202" i="1" s="1"/>
  <c r="AM201" i="1"/>
  <c r="AL201" i="1"/>
  <c r="AK201" i="1" s="1"/>
  <c r="AJ201" i="1"/>
  <c r="AI201" i="1"/>
  <c r="AH201" i="1"/>
  <c r="AG201" i="1"/>
  <c r="Y201" i="1"/>
  <c r="X201" i="1"/>
  <c r="W201" i="1"/>
  <c r="S201" i="1"/>
  <c r="P201" i="1"/>
  <c r="K201" i="1"/>
  <c r="AM200" i="1"/>
  <c r="AL200" i="1"/>
  <c r="AK200" i="1"/>
  <c r="AJ200" i="1"/>
  <c r="AI200" i="1"/>
  <c r="AG200" i="1" s="1"/>
  <c r="AH200" i="1"/>
  <c r="Y200" i="1"/>
  <c r="X200" i="1"/>
  <c r="W200" i="1" s="1"/>
  <c r="S200" i="1"/>
  <c r="T200" i="1" s="1"/>
  <c r="U200" i="1" s="1"/>
  <c r="P200" i="1"/>
  <c r="N200" i="1"/>
  <c r="K200" i="1"/>
  <c r="J200" i="1"/>
  <c r="I200" i="1"/>
  <c r="H200" i="1"/>
  <c r="AA200" i="1" s="1"/>
  <c r="AM199" i="1"/>
  <c r="AL199" i="1"/>
  <c r="AK199" i="1"/>
  <c r="AJ199" i="1"/>
  <c r="S199" i="1" s="1"/>
  <c r="AI199" i="1"/>
  <c r="AH199" i="1"/>
  <c r="AG199" i="1"/>
  <c r="Y199" i="1"/>
  <c r="W199" i="1" s="1"/>
  <c r="X199" i="1"/>
  <c r="P199" i="1"/>
  <c r="N199" i="1"/>
  <c r="K199" i="1"/>
  <c r="AM198" i="1"/>
  <c r="AL198" i="1"/>
  <c r="AJ198" i="1"/>
  <c r="AI198" i="1"/>
  <c r="AG198" i="1" s="1"/>
  <c r="K198" i="1" s="1"/>
  <c r="AH198" i="1"/>
  <c r="Y198" i="1"/>
  <c r="X198" i="1"/>
  <c r="W198" i="1"/>
  <c r="P198" i="1"/>
  <c r="N198" i="1"/>
  <c r="J198" i="1"/>
  <c r="AM197" i="1"/>
  <c r="S197" i="1" s="1"/>
  <c r="T197" i="1" s="1"/>
  <c r="U197" i="1" s="1"/>
  <c r="AL197" i="1"/>
  <c r="AK197" i="1"/>
  <c r="AJ197" i="1"/>
  <c r="AI197" i="1"/>
  <c r="AH197" i="1"/>
  <c r="AG197" i="1"/>
  <c r="I197" i="1" s="1"/>
  <c r="H197" i="1" s="1"/>
  <c r="AA197" i="1" s="1"/>
  <c r="Y197" i="1"/>
  <c r="X197" i="1"/>
  <c r="W197" i="1"/>
  <c r="P197" i="1"/>
  <c r="N197" i="1"/>
  <c r="J197" i="1"/>
  <c r="AM196" i="1"/>
  <c r="AL196" i="1"/>
  <c r="AJ196" i="1"/>
  <c r="S196" i="1" s="1"/>
  <c r="AI196" i="1"/>
  <c r="AG196" i="1" s="1"/>
  <c r="J196" i="1" s="1"/>
  <c r="Y196" i="1"/>
  <c r="X196" i="1"/>
  <c r="W196" i="1" s="1"/>
  <c r="P196" i="1"/>
  <c r="I196" i="1"/>
  <c r="H196" i="1" s="1"/>
  <c r="AM195" i="1"/>
  <c r="AL195" i="1"/>
  <c r="AJ195" i="1"/>
  <c r="S195" i="1" s="1"/>
  <c r="AI195" i="1"/>
  <c r="AG195" i="1"/>
  <c r="Y195" i="1"/>
  <c r="X195" i="1"/>
  <c r="W195" i="1"/>
  <c r="P195" i="1"/>
  <c r="N195" i="1"/>
  <c r="K195" i="1"/>
  <c r="AM194" i="1"/>
  <c r="AL194" i="1"/>
  <c r="AJ194" i="1"/>
  <c r="AI194" i="1"/>
  <c r="AG194" i="1"/>
  <c r="N194" i="1" s="1"/>
  <c r="Y194" i="1"/>
  <c r="X194" i="1"/>
  <c r="W194" i="1" s="1"/>
  <c r="P194" i="1"/>
  <c r="AM193" i="1"/>
  <c r="AL193" i="1"/>
  <c r="AJ193" i="1"/>
  <c r="AK193" i="1" s="1"/>
  <c r="AI193" i="1"/>
  <c r="AH193" i="1"/>
  <c r="AG193" i="1"/>
  <c r="N193" i="1" s="1"/>
  <c r="Y193" i="1"/>
  <c r="X193" i="1"/>
  <c r="W193" i="1" s="1"/>
  <c r="S193" i="1"/>
  <c r="P193" i="1"/>
  <c r="AM192" i="1"/>
  <c r="AL192" i="1"/>
  <c r="AK192" i="1"/>
  <c r="AJ192" i="1"/>
  <c r="AI192" i="1"/>
  <c r="AG192" i="1" s="1"/>
  <c r="AH192" i="1" s="1"/>
  <c r="Y192" i="1"/>
  <c r="X192" i="1"/>
  <c r="W192" i="1"/>
  <c r="S192" i="1"/>
  <c r="P192" i="1"/>
  <c r="N192" i="1"/>
  <c r="AM191" i="1"/>
  <c r="AL191" i="1"/>
  <c r="AK191" i="1" s="1"/>
  <c r="AJ191" i="1"/>
  <c r="AI191" i="1"/>
  <c r="AG191" i="1" s="1"/>
  <c r="Y191" i="1"/>
  <c r="W191" i="1" s="1"/>
  <c r="X191" i="1"/>
  <c r="S191" i="1"/>
  <c r="P191" i="1"/>
  <c r="J191" i="1"/>
  <c r="AM190" i="1"/>
  <c r="AL190" i="1"/>
  <c r="AJ190" i="1"/>
  <c r="AI190" i="1"/>
  <c r="AG190" i="1" s="1"/>
  <c r="Y190" i="1"/>
  <c r="X190" i="1"/>
  <c r="W190" i="1"/>
  <c r="P190" i="1"/>
  <c r="AM189" i="1"/>
  <c r="AL189" i="1"/>
  <c r="AK189" i="1"/>
  <c r="AJ189" i="1"/>
  <c r="AI189" i="1"/>
  <c r="AG189" i="1"/>
  <c r="Y189" i="1"/>
  <c r="X189" i="1"/>
  <c r="W189" i="1" s="1"/>
  <c r="S189" i="1"/>
  <c r="P189" i="1"/>
  <c r="AM188" i="1"/>
  <c r="S188" i="1" s="1"/>
  <c r="AL188" i="1"/>
  <c r="AK188" i="1" s="1"/>
  <c r="AJ188" i="1"/>
  <c r="AI188" i="1"/>
  <c r="AG188" i="1" s="1"/>
  <c r="AA188" i="1"/>
  <c r="Y188" i="1"/>
  <c r="W188" i="1" s="1"/>
  <c r="X188" i="1"/>
  <c r="P188" i="1"/>
  <c r="N188" i="1"/>
  <c r="K188" i="1"/>
  <c r="I188" i="1"/>
  <c r="H188" i="1" s="1"/>
  <c r="AM187" i="1"/>
  <c r="AL187" i="1"/>
  <c r="AJ187" i="1"/>
  <c r="AI187" i="1"/>
  <c r="AG187" i="1" s="1"/>
  <c r="Y187" i="1"/>
  <c r="X187" i="1"/>
  <c r="W187" i="1"/>
  <c r="P187" i="1"/>
  <c r="AM186" i="1"/>
  <c r="AL186" i="1"/>
  <c r="AJ186" i="1"/>
  <c r="AI186" i="1"/>
  <c r="AG186" i="1"/>
  <c r="Y186" i="1"/>
  <c r="X186" i="1"/>
  <c r="W186" i="1" s="1"/>
  <c r="P186" i="1"/>
  <c r="AM185" i="1"/>
  <c r="S185" i="1" s="1"/>
  <c r="AL185" i="1"/>
  <c r="AK185" i="1"/>
  <c r="AJ185" i="1"/>
  <c r="AI185" i="1"/>
  <c r="AH185" i="1"/>
  <c r="AG185" i="1"/>
  <c r="Y185" i="1"/>
  <c r="X185" i="1"/>
  <c r="W185" i="1" s="1"/>
  <c r="P185" i="1"/>
  <c r="N185" i="1"/>
  <c r="AM184" i="1"/>
  <c r="S184" i="1" s="1"/>
  <c r="AL184" i="1"/>
  <c r="AK184" i="1"/>
  <c r="AJ184" i="1"/>
  <c r="AI184" i="1"/>
  <c r="AG184" i="1" s="1"/>
  <c r="I184" i="1" s="1"/>
  <c r="H184" i="1" s="1"/>
  <c r="Y184" i="1"/>
  <c r="W184" i="1" s="1"/>
  <c r="X184" i="1"/>
  <c r="P184" i="1"/>
  <c r="N184" i="1"/>
  <c r="K184" i="1"/>
  <c r="AM183" i="1"/>
  <c r="AL183" i="1"/>
  <c r="AJ183" i="1"/>
  <c r="AK183" i="1" s="1"/>
  <c r="AI183" i="1"/>
  <c r="AG183" i="1" s="1"/>
  <c r="Y183" i="1"/>
  <c r="X183" i="1"/>
  <c r="W183" i="1"/>
  <c r="S183" i="1"/>
  <c r="P183" i="1"/>
  <c r="J183" i="1"/>
  <c r="AM182" i="1"/>
  <c r="AL182" i="1"/>
  <c r="AJ182" i="1"/>
  <c r="AI182" i="1"/>
  <c r="AG182" i="1"/>
  <c r="Y182" i="1"/>
  <c r="X182" i="1"/>
  <c r="W182" i="1" s="1"/>
  <c r="P182" i="1"/>
  <c r="AM181" i="1"/>
  <c r="AL181" i="1"/>
  <c r="AK181" i="1"/>
  <c r="AJ181" i="1"/>
  <c r="AI181" i="1"/>
  <c r="AH181" i="1"/>
  <c r="AG181" i="1"/>
  <c r="Y181" i="1"/>
  <c r="X181" i="1"/>
  <c r="W181" i="1" s="1"/>
  <c r="S181" i="1"/>
  <c r="P181" i="1"/>
  <c r="N181" i="1"/>
  <c r="K181" i="1"/>
  <c r="AM180" i="1"/>
  <c r="AL180" i="1"/>
  <c r="AK180" i="1" s="1"/>
  <c r="AJ180" i="1"/>
  <c r="AI180" i="1"/>
  <c r="AG180" i="1" s="1"/>
  <c r="Y180" i="1"/>
  <c r="W180" i="1" s="1"/>
  <c r="X180" i="1"/>
  <c r="S180" i="1"/>
  <c r="P180" i="1"/>
  <c r="K180" i="1"/>
  <c r="I180" i="1"/>
  <c r="H180" i="1" s="1"/>
  <c r="AM179" i="1"/>
  <c r="AL179" i="1"/>
  <c r="AJ179" i="1"/>
  <c r="AK179" i="1" s="1"/>
  <c r="AI179" i="1"/>
  <c r="AG179" i="1"/>
  <c r="AA179" i="1"/>
  <c r="Y179" i="1"/>
  <c r="W179" i="1" s="1"/>
  <c r="X179" i="1"/>
  <c r="S179" i="1"/>
  <c r="P179" i="1"/>
  <c r="I179" i="1"/>
  <c r="H179" i="1" s="1"/>
  <c r="AM178" i="1"/>
  <c r="AL178" i="1"/>
  <c r="AJ178" i="1"/>
  <c r="AI178" i="1"/>
  <c r="AG178" i="1" s="1"/>
  <c r="J178" i="1" s="1"/>
  <c r="Y178" i="1"/>
  <c r="X178" i="1"/>
  <c r="W178" i="1" s="1"/>
  <c r="P178" i="1"/>
  <c r="AM177" i="1"/>
  <c r="AL177" i="1"/>
  <c r="AK177" i="1"/>
  <c r="AJ177" i="1"/>
  <c r="AI177" i="1"/>
  <c r="AH177" i="1"/>
  <c r="AG177" i="1"/>
  <c r="N177" i="1" s="1"/>
  <c r="Y177" i="1"/>
  <c r="X177" i="1"/>
  <c r="W177" i="1"/>
  <c r="S177" i="1"/>
  <c r="P177" i="1"/>
  <c r="K177" i="1"/>
  <c r="AM176" i="1"/>
  <c r="AL176" i="1"/>
  <c r="AK176" i="1" s="1"/>
  <c r="AJ176" i="1"/>
  <c r="AI176" i="1"/>
  <c r="AG176" i="1" s="1"/>
  <c r="Y176" i="1"/>
  <c r="W176" i="1" s="1"/>
  <c r="X176" i="1"/>
  <c r="S176" i="1"/>
  <c r="P176" i="1"/>
  <c r="N176" i="1"/>
  <c r="K176" i="1"/>
  <c r="I176" i="1"/>
  <c r="H176" i="1" s="1"/>
  <c r="AA176" i="1" s="1"/>
  <c r="AM175" i="1"/>
  <c r="AL175" i="1"/>
  <c r="AK175" i="1" s="1"/>
  <c r="AJ175" i="1"/>
  <c r="AI175" i="1"/>
  <c r="AG175" i="1"/>
  <c r="AH175" i="1" s="1"/>
  <c r="Y175" i="1"/>
  <c r="W175" i="1" s="1"/>
  <c r="X175" i="1"/>
  <c r="T175" i="1"/>
  <c r="U175" i="1" s="1"/>
  <c r="S175" i="1"/>
  <c r="P175" i="1"/>
  <c r="K175" i="1"/>
  <c r="J175" i="1"/>
  <c r="I175" i="1"/>
  <c r="H175" i="1" s="1"/>
  <c r="AM174" i="1"/>
  <c r="AL174" i="1"/>
  <c r="AJ174" i="1"/>
  <c r="AI174" i="1"/>
  <c r="AG174" i="1" s="1"/>
  <c r="Y174" i="1"/>
  <c r="X174" i="1"/>
  <c r="P174" i="1"/>
  <c r="I174" i="1"/>
  <c r="H174" i="1" s="1"/>
  <c r="AM173" i="1"/>
  <c r="S173" i="1" s="1"/>
  <c r="AL173" i="1"/>
  <c r="AK173" i="1"/>
  <c r="AJ173" i="1"/>
  <c r="AI173" i="1"/>
  <c r="AH173" i="1"/>
  <c r="AG173" i="1"/>
  <c r="Y173" i="1"/>
  <c r="X173" i="1"/>
  <c r="W173" i="1" s="1"/>
  <c r="P173" i="1"/>
  <c r="AM172" i="1"/>
  <c r="S172" i="1" s="1"/>
  <c r="AL172" i="1"/>
  <c r="AK172" i="1" s="1"/>
  <c r="AJ172" i="1"/>
  <c r="AI172" i="1"/>
  <c r="AG172" i="1"/>
  <c r="K172" i="1" s="1"/>
  <c r="Y172" i="1"/>
  <c r="X172" i="1"/>
  <c r="W172" i="1"/>
  <c r="P172" i="1"/>
  <c r="N172" i="1"/>
  <c r="AM171" i="1"/>
  <c r="AL171" i="1"/>
  <c r="AK171" i="1" s="1"/>
  <c r="AJ171" i="1"/>
  <c r="AI171" i="1"/>
  <c r="AG171" i="1" s="1"/>
  <c r="Y171" i="1"/>
  <c r="W171" i="1" s="1"/>
  <c r="X171" i="1"/>
  <c r="S171" i="1"/>
  <c r="P171" i="1"/>
  <c r="AM170" i="1"/>
  <c r="AL170" i="1"/>
  <c r="AJ170" i="1"/>
  <c r="AI170" i="1"/>
  <c r="AG170" i="1" s="1"/>
  <c r="Y170" i="1"/>
  <c r="X170" i="1"/>
  <c r="P170" i="1"/>
  <c r="I170" i="1"/>
  <c r="H170" i="1" s="1"/>
  <c r="AA170" i="1" s="1"/>
  <c r="AM169" i="1"/>
  <c r="S169" i="1" s="1"/>
  <c r="AL169" i="1"/>
  <c r="AK169" i="1"/>
  <c r="AJ169" i="1"/>
  <c r="AI169" i="1"/>
  <c r="AH169" i="1"/>
  <c r="AG169" i="1"/>
  <c r="Y169" i="1"/>
  <c r="X169" i="1"/>
  <c r="W169" i="1"/>
  <c r="P169" i="1"/>
  <c r="AM168" i="1"/>
  <c r="S168" i="1" s="1"/>
  <c r="AL168" i="1"/>
  <c r="AK168" i="1" s="1"/>
  <c r="AJ168" i="1"/>
  <c r="AI168" i="1"/>
  <c r="AG168" i="1"/>
  <c r="K168" i="1" s="1"/>
  <c r="Y168" i="1"/>
  <c r="X168" i="1"/>
  <c r="W168" i="1"/>
  <c r="P168" i="1"/>
  <c r="N168" i="1"/>
  <c r="AM167" i="1"/>
  <c r="AL167" i="1"/>
  <c r="AK167" i="1" s="1"/>
  <c r="AJ167" i="1"/>
  <c r="AI167" i="1"/>
  <c r="AG167" i="1" s="1"/>
  <c r="Y167" i="1"/>
  <c r="W167" i="1" s="1"/>
  <c r="X167" i="1"/>
  <c r="S167" i="1"/>
  <c r="P167" i="1"/>
  <c r="AM166" i="1"/>
  <c r="AL166" i="1"/>
  <c r="AK166" i="1"/>
  <c r="AJ166" i="1"/>
  <c r="S166" i="1" s="1"/>
  <c r="AI166" i="1"/>
  <c r="AG166" i="1" s="1"/>
  <c r="Y166" i="1"/>
  <c r="X166" i="1"/>
  <c r="W166" i="1" s="1"/>
  <c r="P166" i="1"/>
  <c r="K166" i="1"/>
  <c r="AM165" i="1"/>
  <c r="S165" i="1" s="1"/>
  <c r="AL165" i="1"/>
  <c r="AK165" i="1"/>
  <c r="AJ165" i="1"/>
  <c r="AI165" i="1"/>
  <c r="AG165" i="1" s="1"/>
  <c r="AH165" i="1"/>
  <c r="Y165" i="1"/>
  <c r="X165" i="1"/>
  <c r="W165" i="1" s="1"/>
  <c r="P165" i="1"/>
  <c r="AM164" i="1"/>
  <c r="S164" i="1" s="1"/>
  <c r="AL164" i="1"/>
  <c r="AK164" i="1" s="1"/>
  <c r="AJ164" i="1"/>
  <c r="AI164" i="1"/>
  <c r="AG164" i="1"/>
  <c r="Y164" i="1"/>
  <c r="X164" i="1"/>
  <c r="W164" i="1"/>
  <c r="P164" i="1"/>
  <c r="N164" i="1"/>
  <c r="AM163" i="1"/>
  <c r="AL163" i="1"/>
  <c r="AK163" i="1" s="1"/>
  <c r="AJ163" i="1"/>
  <c r="AI163" i="1"/>
  <c r="AG163" i="1" s="1"/>
  <c r="Y163" i="1"/>
  <c r="W163" i="1" s="1"/>
  <c r="X163" i="1"/>
  <c r="S163" i="1"/>
  <c r="P163" i="1"/>
  <c r="AM162" i="1"/>
  <c r="AL162" i="1"/>
  <c r="AK162" i="1"/>
  <c r="AJ162" i="1"/>
  <c r="S162" i="1" s="1"/>
  <c r="AI162" i="1"/>
  <c r="AG162" i="1" s="1"/>
  <c r="Y162" i="1"/>
  <c r="X162" i="1"/>
  <c r="W162" i="1" s="1"/>
  <c r="P162" i="1"/>
  <c r="AM161" i="1"/>
  <c r="S161" i="1" s="1"/>
  <c r="AL161" i="1"/>
  <c r="AK161" i="1"/>
  <c r="AJ161" i="1"/>
  <c r="AI161" i="1"/>
  <c r="AG161" i="1" s="1"/>
  <c r="Y161" i="1"/>
  <c r="X161" i="1"/>
  <c r="W161" i="1" s="1"/>
  <c r="P161" i="1"/>
  <c r="AM160" i="1"/>
  <c r="S160" i="1" s="1"/>
  <c r="AL160" i="1"/>
  <c r="AK160" i="1" s="1"/>
  <c r="AJ160" i="1"/>
  <c r="AI160" i="1"/>
  <c r="AG160" i="1"/>
  <c r="Y160" i="1"/>
  <c r="X160" i="1"/>
  <c r="W160" i="1"/>
  <c r="P160" i="1"/>
  <c r="AM159" i="1"/>
  <c r="AL159" i="1"/>
  <c r="AJ159" i="1"/>
  <c r="S159" i="1" s="1"/>
  <c r="AI159" i="1"/>
  <c r="AG159" i="1" s="1"/>
  <c r="Y159" i="1"/>
  <c r="W159" i="1" s="1"/>
  <c r="X159" i="1"/>
  <c r="P159" i="1"/>
  <c r="K159" i="1"/>
  <c r="J159" i="1"/>
  <c r="AM158" i="1"/>
  <c r="AL158" i="1"/>
  <c r="AK158" i="1"/>
  <c r="AJ158" i="1"/>
  <c r="AI158" i="1"/>
  <c r="AG158" i="1" s="1"/>
  <c r="N158" i="1" s="1"/>
  <c r="Y158" i="1"/>
  <c r="X158" i="1"/>
  <c r="S158" i="1"/>
  <c r="P158" i="1"/>
  <c r="K158" i="1"/>
  <c r="J158" i="1"/>
  <c r="AM157" i="1"/>
  <c r="S157" i="1" s="1"/>
  <c r="AL157" i="1"/>
  <c r="AK157" i="1"/>
  <c r="AJ157" i="1"/>
  <c r="AI157" i="1"/>
  <c r="AG157" i="1" s="1"/>
  <c r="Y157" i="1"/>
  <c r="X157" i="1"/>
  <c r="W157" i="1"/>
  <c r="P157" i="1"/>
  <c r="AM156" i="1"/>
  <c r="S156" i="1" s="1"/>
  <c r="AL156" i="1"/>
  <c r="AK156" i="1" s="1"/>
  <c r="AJ156" i="1"/>
  <c r="AI156" i="1"/>
  <c r="AG156" i="1"/>
  <c r="Y156" i="1"/>
  <c r="X156" i="1"/>
  <c r="W156" i="1"/>
  <c r="P156" i="1"/>
  <c r="N156" i="1"/>
  <c r="AM155" i="1"/>
  <c r="S155" i="1" s="1"/>
  <c r="AL155" i="1"/>
  <c r="AJ155" i="1"/>
  <c r="AK155" i="1" s="1"/>
  <c r="AI155" i="1"/>
  <c r="AG155" i="1" s="1"/>
  <c r="Y155" i="1"/>
  <c r="W155" i="1" s="1"/>
  <c r="X155" i="1"/>
  <c r="P155" i="1"/>
  <c r="J155" i="1"/>
  <c r="AM154" i="1"/>
  <c r="AL154" i="1"/>
  <c r="AJ154" i="1"/>
  <c r="AI154" i="1"/>
  <c r="AG154" i="1" s="1"/>
  <c r="Y154" i="1"/>
  <c r="X154" i="1"/>
  <c r="W154" i="1" s="1"/>
  <c r="P154" i="1"/>
  <c r="AM153" i="1"/>
  <c r="S153" i="1" s="1"/>
  <c r="AL153" i="1"/>
  <c r="AK153" i="1"/>
  <c r="AJ153" i="1"/>
  <c r="AI153" i="1"/>
  <c r="AH153" i="1"/>
  <c r="AG153" i="1"/>
  <c r="Y153" i="1"/>
  <c r="X153" i="1"/>
  <c r="W153" i="1"/>
  <c r="P153" i="1"/>
  <c r="N153" i="1"/>
  <c r="I153" i="1"/>
  <c r="H153" i="1"/>
  <c r="AM152" i="1"/>
  <c r="S152" i="1" s="1"/>
  <c r="AL152" i="1"/>
  <c r="AK152" i="1" s="1"/>
  <c r="AJ152" i="1"/>
  <c r="AI152" i="1"/>
  <c r="AG152" i="1"/>
  <c r="Y152" i="1"/>
  <c r="X152" i="1"/>
  <c r="W152" i="1"/>
  <c r="P152" i="1"/>
  <c r="N152" i="1"/>
  <c r="AM151" i="1"/>
  <c r="AL151" i="1"/>
  <c r="AK151" i="1"/>
  <c r="AJ151" i="1"/>
  <c r="AI151" i="1"/>
  <c r="AG151" i="1" s="1"/>
  <c r="Y151" i="1"/>
  <c r="W151" i="1" s="1"/>
  <c r="X151" i="1"/>
  <c r="S151" i="1"/>
  <c r="P151" i="1"/>
  <c r="AM150" i="1"/>
  <c r="AL150" i="1"/>
  <c r="AK150" i="1"/>
  <c r="AJ150" i="1"/>
  <c r="AI150" i="1"/>
  <c r="AG150" i="1" s="1"/>
  <c r="N150" i="1" s="1"/>
  <c r="Y150" i="1"/>
  <c r="X150" i="1"/>
  <c r="S150" i="1"/>
  <c r="P150" i="1"/>
  <c r="K150" i="1"/>
  <c r="J150" i="1"/>
  <c r="I150" i="1"/>
  <c r="H150" i="1"/>
  <c r="AM149" i="1"/>
  <c r="S149" i="1" s="1"/>
  <c r="AL149" i="1"/>
  <c r="AK149" i="1"/>
  <c r="AJ149" i="1"/>
  <c r="AI149" i="1"/>
  <c r="AG149" i="1"/>
  <c r="Y149" i="1"/>
  <c r="W149" i="1" s="1"/>
  <c r="X149" i="1"/>
  <c r="P149" i="1"/>
  <c r="AM148" i="1"/>
  <c r="AL148" i="1"/>
  <c r="AK148" i="1"/>
  <c r="AJ148" i="1"/>
  <c r="AI148" i="1"/>
  <c r="AG148" i="1"/>
  <c r="Y148" i="1"/>
  <c r="X148" i="1"/>
  <c r="W148" i="1"/>
  <c r="S148" i="1"/>
  <c r="P148" i="1"/>
  <c r="AM147" i="1"/>
  <c r="AL147" i="1"/>
  <c r="AJ147" i="1"/>
  <c r="AK147" i="1" s="1"/>
  <c r="AI147" i="1"/>
  <c r="AG147" i="1" s="1"/>
  <c r="Y147" i="1"/>
  <c r="W147" i="1" s="1"/>
  <c r="X147" i="1"/>
  <c r="S147" i="1"/>
  <c r="P147" i="1"/>
  <c r="K147" i="1"/>
  <c r="J147" i="1"/>
  <c r="I147" i="1"/>
  <c r="H147" i="1" s="1"/>
  <c r="AM146" i="1"/>
  <c r="AL146" i="1"/>
  <c r="AJ146" i="1"/>
  <c r="AK146" i="1" s="1"/>
  <c r="AI146" i="1"/>
  <c r="AH146" i="1"/>
  <c r="AG146" i="1"/>
  <c r="N146" i="1" s="1"/>
  <c r="Y146" i="1"/>
  <c r="W146" i="1" s="1"/>
  <c r="X146" i="1"/>
  <c r="P146" i="1"/>
  <c r="AM145" i="1"/>
  <c r="S145" i="1" s="1"/>
  <c r="AL145" i="1"/>
  <c r="AJ145" i="1"/>
  <c r="AK145" i="1" s="1"/>
  <c r="AI145" i="1"/>
  <c r="AG145" i="1" s="1"/>
  <c r="Y145" i="1"/>
  <c r="X145" i="1"/>
  <c r="W145" i="1"/>
  <c r="P145" i="1"/>
  <c r="AM144" i="1"/>
  <c r="AL144" i="1"/>
  <c r="AK144" i="1"/>
  <c r="AJ144" i="1"/>
  <c r="AI144" i="1"/>
  <c r="AG144" i="1"/>
  <c r="Y144" i="1"/>
  <c r="X144" i="1"/>
  <c r="W144" i="1"/>
  <c r="S144" i="1"/>
  <c r="P144" i="1"/>
  <c r="K144" i="1"/>
  <c r="AM143" i="1"/>
  <c r="S143" i="1" s="1"/>
  <c r="AL143" i="1"/>
  <c r="AJ143" i="1"/>
  <c r="AK143" i="1" s="1"/>
  <c r="AI143" i="1"/>
  <c r="AG143" i="1" s="1"/>
  <c r="Y143" i="1"/>
  <c r="W143" i="1" s="1"/>
  <c r="X143" i="1"/>
  <c r="P143" i="1"/>
  <c r="K143" i="1"/>
  <c r="J143" i="1"/>
  <c r="I143" i="1"/>
  <c r="H143" i="1" s="1"/>
  <c r="AA143" i="1" s="1"/>
  <c r="AM142" i="1"/>
  <c r="AL142" i="1"/>
  <c r="AK142" i="1"/>
  <c r="AJ142" i="1"/>
  <c r="S142" i="1" s="1"/>
  <c r="AI142" i="1"/>
  <c r="AH142" i="1"/>
  <c r="AG142" i="1"/>
  <c r="N142" i="1" s="1"/>
  <c r="AA142" i="1"/>
  <c r="Y142" i="1"/>
  <c r="X142" i="1"/>
  <c r="P142" i="1"/>
  <c r="K142" i="1"/>
  <c r="J142" i="1"/>
  <c r="I142" i="1"/>
  <c r="H142" i="1" s="1"/>
  <c r="AM141" i="1"/>
  <c r="S141" i="1" s="1"/>
  <c r="AL141" i="1"/>
  <c r="AJ141" i="1"/>
  <c r="AK141" i="1" s="1"/>
  <c r="AI141" i="1"/>
  <c r="AG141" i="1"/>
  <c r="Y141" i="1"/>
  <c r="X141" i="1"/>
  <c r="W141" i="1"/>
  <c r="P141" i="1"/>
  <c r="AM140" i="1"/>
  <c r="S140" i="1" s="1"/>
  <c r="AL140" i="1"/>
  <c r="AK140" i="1" s="1"/>
  <c r="AJ140" i="1"/>
  <c r="AI140" i="1"/>
  <c r="AG140" i="1"/>
  <c r="Y140" i="1"/>
  <c r="X140" i="1"/>
  <c r="W140" i="1"/>
  <c r="P140" i="1"/>
  <c r="K140" i="1"/>
  <c r="AM139" i="1"/>
  <c r="AL139" i="1"/>
  <c r="AK139" i="1" s="1"/>
  <c r="AJ139" i="1"/>
  <c r="S139" i="1" s="1"/>
  <c r="AI139" i="1"/>
  <c r="AG139" i="1" s="1"/>
  <c r="AA139" i="1"/>
  <c r="Y139" i="1"/>
  <c r="W139" i="1" s="1"/>
  <c r="X139" i="1"/>
  <c r="P139" i="1"/>
  <c r="K139" i="1"/>
  <c r="J139" i="1"/>
  <c r="I139" i="1"/>
  <c r="H139" i="1" s="1"/>
  <c r="AM138" i="1"/>
  <c r="AL138" i="1"/>
  <c r="AJ138" i="1"/>
  <c r="AI138" i="1"/>
  <c r="AG138" i="1" s="1"/>
  <c r="Y138" i="1"/>
  <c r="X138" i="1"/>
  <c r="W138" i="1"/>
  <c r="P138" i="1"/>
  <c r="K138" i="1"/>
  <c r="I138" i="1"/>
  <c r="H138" i="1" s="1"/>
  <c r="AM137" i="1"/>
  <c r="S137" i="1" s="1"/>
  <c r="AL137" i="1"/>
  <c r="AJ137" i="1"/>
  <c r="AK137" i="1" s="1"/>
  <c r="AI137" i="1"/>
  <c r="AH137" i="1"/>
  <c r="AG137" i="1"/>
  <c r="Y137" i="1"/>
  <c r="W137" i="1" s="1"/>
  <c r="X137" i="1"/>
  <c r="P137" i="1"/>
  <c r="N137" i="1"/>
  <c r="AM136" i="1"/>
  <c r="S136" i="1" s="1"/>
  <c r="AL136" i="1"/>
  <c r="AK136" i="1"/>
  <c r="AJ136" i="1"/>
  <c r="AI136" i="1"/>
  <c r="AG136" i="1"/>
  <c r="Y136" i="1"/>
  <c r="X136" i="1"/>
  <c r="W136" i="1"/>
  <c r="P136" i="1"/>
  <c r="N136" i="1"/>
  <c r="K136" i="1"/>
  <c r="AM135" i="1"/>
  <c r="AL135" i="1"/>
  <c r="AJ135" i="1"/>
  <c r="AI135" i="1"/>
  <c r="AG135" i="1" s="1"/>
  <c r="Y135" i="1"/>
  <c r="X135" i="1"/>
  <c r="P135" i="1"/>
  <c r="K135" i="1"/>
  <c r="J135" i="1"/>
  <c r="AM134" i="1"/>
  <c r="AL134" i="1"/>
  <c r="AJ134" i="1"/>
  <c r="AI134" i="1"/>
  <c r="AG134" i="1"/>
  <c r="Y134" i="1"/>
  <c r="X134" i="1"/>
  <c r="W134" i="1"/>
  <c r="P134" i="1"/>
  <c r="AM133" i="1"/>
  <c r="S133" i="1" s="1"/>
  <c r="AL133" i="1"/>
  <c r="AJ133" i="1"/>
  <c r="AK133" i="1" s="1"/>
  <c r="AI133" i="1"/>
  <c r="AH133" i="1"/>
  <c r="AG133" i="1"/>
  <c r="Y133" i="1"/>
  <c r="X133" i="1"/>
  <c r="W133" i="1" s="1"/>
  <c r="P133" i="1"/>
  <c r="N133" i="1"/>
  <c r="I133" i="1"/>
  <c r="H133" i="1" s="1"/>
  <c r="AM132" i="1"/>
  <c r="AL132" i="1"/>
  <c r="AK132" i="1"/>
  <c r="AJ132" i="1"/>
  <c r="AI132" i="1"/>
  <c r="AG132" i="1"/>
  <c r="Y132" i="1"/>
  <c r="X132" i="1"/>
  <c r="W132" i="1"/>
  <c r="S132" i="1"/>
  <c r="P132" i="1"/>
  <c r="AM131" i="1"/>
  <c r="AL131" i="1"/>
  <c r="AJ131" i="1"/>
  <c r="AK131" i="1" s="1"/>
  <c r="AI131" i="1"/>
  <c r="AG131" i="1" s="1"/>
  <c r="Y131" i="1"/>
  <c r="X131" i="1"/>
  <c r="S131" i="1"/>
  <c r="P131" i="1"/>
  <c r="K131" i="1"/>
  <c r="J131" i="1"/>
  <c r="I131" i="1"/>
  <c r="H131" i="1" s="1"/>
  <c r="AM130" i="1"/>
  <c r="AL130" i="1"/>
  <c r="AK130" i="1"/>
  <c r="AJ130" i="1"/>
  <c r="AI130" i="1"/>
  <c r="AG130" i="1" s="1"/>
  <c r="Y130" i="1"/>
  <c r="X130" i="1"/>
  <c r="W130" i="1"/>
  <c r="S130" i="1"/>
  <c r="P130" i="1"/>
  <c r="AM129" i="1"/>
  <c r="S129" i="1" s="1"/>
  <c r="AL129" i="1"/>
  <c r="AK129" i="1" s="1"/>
  <c r="AJ129" i="1"/>
  <c r="AI129" i="1"/>
  <c r="AG129" i="1"/>
  <c r="Y129" i="1"/>
  <c r="X129" i="1"/>
  <c r="W129" i="1"/>
  <c r="P129" i="1"/>
  <c r="AM128" i="1"/>
  <c r="AL128" i="1"/>
  <c r="AJ128" i="1"/>
  <c r="AK128" i="1" s="1"/>
  <c r="AI128" i="1"/>
  <c r="AG128" i="1" s="1"/>
  <c r="Y128" i="1"/>
  <c r="W128" i="1" s="1"/>
  <c r="X128" i="1"/>
  <c r="S128" i="1"/>
  <c r="P128" i="1"/>
  <c r="K128" i="1"/>
  <c r="AM127" i="1"/>
  <c r="AL127" i="1"/>
  <c r="AK127" i="1"/>
  <c r="AJ127" i="1"/>
  <c r="AI127" i="1"/>
  <c r="AH127" i="1"/>
  <c r="AG127" i="1"/>
  <c r="Y127" i="1"/>
  <c r="X127" i="1"/>
  <c r="S127" i="1"/>
  <c r="P127" i="1"/>
  <c r="K127" i="1"/>
  <c r="I127" i="1"/>
  <c r="H127" i="1" s="1"/>
  <c r="AM126" i="1"/>
  <c r="S126" i="1" s="1"/>
  <c r="AL126" i="1"/>
  <c r="AK126" i="1"/>
  <c r="AJ126" i="1"/>
  <c r="AI126" i="1"/>
  <c r="AG126" i="1"/>
  <c r="Y126" i="1"/>
  <c r="W126" i="1" s="1"/>
  <c r="X126" i="1"/>
  <c r="P126" i="1"/>
  <c r="AM125" i="1"/>
  <c r="S125" i="1" s="1"/>
  <c r="AL125" i="1"/>
  <c r="AK125" i="1"/>
  <c r="AJ125" i="1"/>
  <c r="AI125" i="1"/>
  <c r="AG125" i="1"/>
  <c r="Y125" i="1"/>
  <c r="X125" i="1"/>
  <c r="W125" i="1"/>
  <c r="P125" i="1"/>
  <c r="N125" i="1"/>
  <c r="K125" i="1"/>
  <c r="AM124" i="1"/>
  <c r="AL124" i="1"/>
  <c r="AJ124" i="1"/>
  <c r="AI124" i="1"/>
  <c r="AG124" i="1" s="1"/>
  <c r="AA124" i="1"/>
  <c r="Y124" i="1"/>
  <c r="W124" i="1" s="1"/>
  <c r="X124" i="1"/>
  <c r="P124" i="1"/>
  <c r="K124" i="1"/>
  <c r="J124" i="1"/>
  <c r="I124" i="1"/>
  <c r="H124" i="1" s="1"/>
  <c r="AM123" i="1"/>
  <c r="AL123" i="1"/>
  <c r="AK123" i="1"/>
  <c r="AJ123" i="1"/>
  <c r="S123" i="1" s="1"/>
  <c r="AI123" i="1"/>
  <c r="AH123" i="1"/>
  <c r="AG123" i="1"/>
  <c r="N123" i="1" s="1"/>
  <c r="Y123" i="1"/>
  <c r="X123" i="1"/>
  <c r="W123" i="1" s="1"/>
  <c r="P123" i="1"/>
  <c r="K123" i="1"/>
  <c r="AM122" i="1"/>
  <c r="S122" i="1" s="1"/>
  <c r="AL122" i="1"/>
  <c r="AK122" i="1"/>
  <c r="AJ122" i="1"/>
  <c r="AI122" i="1"/>
  <c r="AG122" i="1" s="1"/>
  <c r="Y122" i="1"/>
  <c r="X122" i="1"/>
  <c r="W122" i="1"/>
  <c r="P122" i="1"/>
  <c r="I122" i="1"/>
  <c r="H122" i="1" s="1"/>
  <c r="AM121" i="1"/>
  <c r="AL121" i="1"/>
  <c r="AK121" i="1"/>
  <c r="AJ121" i="1"/>
  <c r="AI121" i="1"/>
  <c r="AG121" i="1"/>
  <c r="Y121" i="1"/>
  <c r="X121" i="1"/>
  <c r="W121" i="1"/>
  <c r="S121" i="1"/>
  <c r="P121" i="1"/>
  <c r="N121" i="1"/>
  <c r="K121" i="1"/>
  <c r="AM120" i="1"/>
  <c r="S120" i="1" s="1"/>
  <c r="AL120" i="1"/>
  <c r="AJ120" i="1"/>
  <c r="AK120" i="1" s="1"/>
  <c r="AI120" i="1"/>
  <c r="AG120" i="1" s="1"/>
  <c r="Y120" i="1"/>
  <c r="W120" i="1" s="1"/>
  <c r="X120" i="1"/>
  <c r="P120" i="1"/>
  <c r="AM119" i="1"/>
  <c r="AL119" i="1"/>
  <c r="AK119" i="1"/>
  <c r="AJ119" i="1"/>
  <c r="S119" i="1" s="1"/>
  <c r="AI119" i="1"/>
  <c r="AG119" i="1"/>
  <c r="Y119" i="1"/>
  <c r="X119" i="1"/>
  <c r="P119" i="1"/>
  <c r="K119" i="1"/>
  <c r="AM118" i="1"/>
  <c r="S118" i="1" s="1"/>
  <c r="AL118" i="1"/>
  <c r="AK118" i="1"/>
  <c r="AJ118" i="1"/>
  <c r="AI118" i="1"/>
  <c r="AG118" i="1" s="1"/>
  <c r="Y118" i="1"/>
  <c r="X118" i="1"/>
  <c r="W118" i="1"/>
  <c r="P118" i="1"/>
  <c r="AM117" i="1"/>
  <c r="AL117" i="1"/>
  <c r="AK117" i="1" s="1"/>
  <c r="AJ117" i="1"/>
  <c r="AI117" i="1"/>
  <c r="AG117" i="1" s="1"/>
  <c r="Y117" i="1"/>
  <c r="X117" i="1"/>
  <c r="W117" i="1"/>
  <c r="S117" i="1"/>
  <c r="P117" i="1"/>
  <c r="AM116" i="1"/>
  <c r="AL116" i="1"/>
  <c r="AJ116" i="1"/>
  <c r="AI116" i="1"/>
  <c r="AG116" i="1" s="1"/>
  <c r="Y116" i="1"/>
  <c r="X116" i="1"/>
  <c r="W116" i="1"/>
  <c r="P116" i="1"/>
  <c r="I116" i="1"/>
  <c r="H116" i="1" s="1"/>
  <c r="AA116" i="1" s="1"/>
  <c r="AM115" i="1"/>
  <c r="AL115" i="1"/>
  <c r="AK115" i="1"/>
  <c r="AJ115" i="1"/>
  <c r="S115" i="1" s="1"/>
  <c r="AI115" i="1"/>
  <c r="AG115" i="1" s="1"/>
  <c r="Y115" i="1"/>
  <c r="X115" i="1"/>
  <c r="P115" i="1"/>
  <c r="AM114" i="1"/>
  <c r="AL114" i="1"/>
  <c r="AK114" i="1"/>
  <c r="AJ114" i="1"/>
  <c r="AI114" i="1"/>
  <c r="AG114" i="1" s="1"/>
  <c r="Y114" i="1"/>
  <c r="X114" i="1"/>
  <c r="W114" i="1" s="1"/>
  <c r="S114" i="1"/>
  <c r="P114" i="1"/>
  <c r="AM113" i="1"/>
  <c r="AL113" i="1"/>
  <c r="AK113" i="1"/>
  <c r="AJ113" i="1"/>
  <c r="AI113" i="1"/>
  <c r="AG113" i="1" s="1"/>
  <c r="Y113" i="1"/>
  <c r="W113" i="1" s="1"/>
  <c r="X113" i="1"/>
  <c r="S113" i="1"/>
  <c r="P113" i="1"/>
  <c r="AM112" i="1"/>
  <c r="S112" i="1" s="1"/>
  <c r="AL112" i="1"/>
  <c r="AK112" i="1" s="1"/>
  <c r="AJ112" i="1"/>
  <c r="AI112" i="1"/>
  <c r="AG112" i="1"/>
  <c r="Y112" i="1"/>
  <c r="X112" i="1"/>
  <c r="W112" i="1"/>
  <c r="P112" i="1"/>
  <c r="AM111" i="1"/>
  <c r="AL111" i="1"/>
  <c r="AJ111" i="1"/>
  <c r="AI111" i="1"/>
  <c r="AG111" i="1" s="1"/>
  <c r="Y111" i="1"/>
  <c r="X111" i="1"/>
  <c r="W111" i="1" s="1"/>
  <c r="P111" i="1"/>
  <c r="AM110" i="1"/>
  <c r="AL110" i="1"/>
  <c r="AK110" i="1"/>
  <c r="AJ110" i="1"/>
  <c r="AI110" i="1"/>
  <c r="AG110" i="1" s="1"/>
  <c r="AH110" i="1"/>
  <c r="Y110" i="1"/>
  <c r="X110" i="1"/>
  <c r="W110" i="1" s="1"/>
  <c r="S110" i="1"/>
  <c r="P110" i="1"/>
  <c r="K110" i="1"/>
  <c r="AM109" i="1"/>
  <c r="AL109" i="1"/>
  <c r="AJ109" i="1"/>
  <c r="AK109" i="1" s="1"/>
  <c r="AI109" i="1"/>
  <c r="AG109" i="1" s="1"/>
  <c r="N109" i="1" s="1"/>
  <c r="Y109" i="1"/>
  <c r="W109" i="1" s="1"/>
  <c r="X109" i="1"/>
  <c r="P109" i="1"/>
  <c r="I109" i="1"/>
  <c r="H109" i="1" s="1"/>
  <c r="AA109" i="1" s="1"/>
  <c r="AM108" i="1"/>
  <c r="S108" i="1" s="1"/>
  <c r="AL108" i="1"/>
  <c r="AK108" i="1" s="1"/>
  <c r="AJ108" i="1"/>
  <c r="AI108" i="1"/>
  <c r="AG108" i="1"/>
  <c r="Y108" i="1"/>
  <c r="X108" i="1"/>
  <c r="W108" i="1"/>
  <c r="P108" i="1"/>
  <c r="AM107" i="1"/>
  <c r="AL107" i="1"/>
  <c r="AJ107" i="1"/>
  <c r="AI107" i="1"/>
  <c r="AG107" i="1" s="1"/>
  <c r="J107" i="1" s="1"/>
  <c r="Y107" i="1"/>
  <c r="X107" i="1"/>
  <c r="W107" i="1" s="1"/>
  <c r="P107" i="1"/>
  <c r="AM106" i="1"/>
  <c r="AL106" i="1"/>
  <c r="AK106" i="1"/>
  <c r="AJ106" i="1"/>
  <c r="AI106" i="1"/>
  <c r="AG106" i="1" s="1"/>
  <c r="AH106" i="1"/>
  <c r="Y106" i="1"/>
  <c r="X106" i="1"/>
  <c r="W106" i="1" s="1"/>
  <c r="S106" i="1"/>
  <c r="P106" i="1"/>
  <c r="K106" i="1"/>
  <c r="AM105" i="1"/>
  <c r="AL105" i="1"/>
  <c r="AJ105" i="1"/>
  <c r="AK105" i="1" s="1"/>
  <c r="AI105" i="1"/>
  <c r="AG105" i="1" s="1"/>
  <c r="Y105" i="1"/>
  <c r="W105" i="1" s="1"/>
  <c r="X105" i="1"/>
  <c r="P105" i="1"/>
  <c r="N105" i="1"/>
  <c r="I105" i="1"/>
  <c r="H105" i="1" s="1"/>
  <c r="AA105" i="1" s="1"/>
  <c r="AM104" i="1"/>
  <c r="S104" i="1" s="1"/>
  <c r="AL104" i="1"/>
  <c r="AK104" i="1" s="1"/>
  <c r="AJ104" i="1"/>
  <c r="AI104" i="1"/>
  <c r="AG104" i="1"/>
  <c r="Y104" i="1"/>
  <c r="X104" i="1"/>
  <c r="W104" i="1"/>
  <c r="P104" i="1"/>
  <c r="AM103" i="1"/>
  <c r="AL103" i="1"/>
  <c r="AJ103" i="1"/>
  <c r="AI103" i="1"/>
  <c r="AG103" i="1" s="1"/>
  <c r="Y103" i="1"/>
  <c r="X103" i="1"/>
  <c r="W103" i="1" s="1"/>
  <c r="P103" i="1"/>
  <c r="J103" i="1"/>
  <c r="AM102" i="1"/>
  <c r="AL102" i="1"/>
  <c r="AK102" i="1"/>
  <c r="AJ102" i="1"/>
  <c r="AI102" i="1"/>
  <c r="AG102" i="1" s="1"/>
  <c r="AH102" i="1" s="1"/>
  <c r="Y102" i="1"/>
  <c r="X102" i="1"/>
  <c r="W102" i="1" s="1"/>
  <c r="S102" i="1"/>
  <c r="P102" i="1"/>
  <c r="K102" i="1"/>
  <c r="AM101" i="1"/>
  <c r="AL101" i="1"/>
  <c r="AJ101" i="1"/>
  <c r="AK101" i="1" s="1"/>
  <c r="AI101" i="1"/>
  <c r="AG101" i="1" s="1"/>
  <c r="Y101" i="1"/>
  <c r="W101" i="1" s="1"/>
  <c r="X101" i="1"/>
  <c r="P101" i="1"/>
  <c r="N101" i="1"/>
  <c r="I101" i="1"/>
  <c r="H101" i="1" s="1"/>
  <c r="AM100" i="1"/>
  <c r="AL100" i="1"/>
  <c r="AJ100" i="1"/>
  <c r="AI100" i="1"/>
  <c r="AG100" i="1"/>
  <c r="Y100" i="1"/>
  <c r="X100" i="1"/>
  <c r="W100" i="1"/>
  <c r="P100" i="1"/>
  <c r="N100" i="1"/>
  <c r="AM99" i="1"/>
  <c r="AL99" i="1"/>
  <c r="AJ99" i="1"/>
  <c r="AI99" i="1"/>
  <c r="AG99" i="1" s="1"/>
  <c r="Y99" i="1"/>
  <c r="X99" i="1"/>
  <c r="W99" i="1" s="1"/>
  <c r="P99" i="1"/>
  <c r="K99" i="1"/>
  <c r="J99" i="1"/>
  <c r="AM98" i="1"/>
  <c r="AL98" i="1"/>
  <c r="AK98" i="1"/>
  <c r="AJ98" i="1"/>
  <c r="AI98" i="1"/>
  <c r="AG98" i="1" s="1"/>
  <c r="I98" i="1" s="1"/>
  <c r="H98" i="1" s="1"/>
  <c r="AA98" i="1" s="1"/>
  <c r="AH98" i="1"/>
  <c r="Y98" i="1"/>
  <c r="X98" i="1"/>
  <c r="S98" i="1"/>
  <c r="P98" i="1"/>
  <c r="N98" i="1"/>
  <c r="K98" i="1"/>
  <c r="J98" i="1"/>
  <c r="AM97" i="1"/>
  <c r="AL97" i="1"/>
  <c r="AJ97" i="1"/>
  <c r="AI97" i="1"/>
  <c r="AG97" i="1" s="1"/>
  <c r="Y97" i="1"/>
  <c r="W97" i="1" s="1"/>
  <c r="X97" i="1"/>
  <c r="P97" i="1"/>
  <c r="AM96" i="1"/>
  <c r="AL96" i="1"/>
  <c r="AK96" i="1" s="1"/>
  <c r="AJ96" i="1"/>
  <c r="AI96" i="1"/>
  <c r="AG96" i="1"/>
  <c r="K96" i="1" s="1"/>
  <c r="Y96" i="1"/>
  <c r="X96" i="1"/>
  <c r="W96" i="1" s="1"/>
  <c r="S96" i="1"/>
  <c r="P96" i="1"/>
  <c r="N96" i="1"/>
  <c r="J96" i="1"/>
  <c r="AM95" i="1"/>
  <c r="AL95" i="1"/>
  <c r="AK95" i="1" s="1"/>
  <c r="AJ95" i="1"/>
  <c r="S95" i="1" s="1"/>
  <c r="AI95" i="1"/>
  <c r="AG95" i="1" s="1"/>
  <c r="AH95" i="1"/>
  <c r="Y95" i="1"/>
  <c r="X95" i="1"/>
  <c r="P95" i="1"/>
  <c r="N95" i="1"/>
  <c r="K95" i="1"/>
  <c r="J95" i="1"/>
  <c r="I95" i="1"/>
  <c r="H95" i="1" s="1"/>
  <c r="T95" i="1" s="1"/>
  <c r="U95" i="1" s="1"/>
  <c r="AM94" i="1"/>
  <c r="AL94" i="1"/>
  <c r="AJ94" i="1"/>
  <c r="AK94" i="1" s="1"/>
  <c r="AI94" i="1"/>
  <c r="AH94" i="1"/>
  <c r="AG94" i="1"/>
  <c r="N94" i="1" s="1"/>
  <c r="Y94" i="1"/>
  <c r="X94" i="1"/>
  <c r="W94" i="1" s="1"/>
  <c r="S94" i="1"/>
  <c r="P94" i="1"/>
  <c r="K94" i="1"/>
  <c r="J94" i="1"/>
  <c r="AM93" i="1"/>
  <c r="S93" i="1" s="1"/>
  <c r="AL93" i="1"/>
  <c r="AJ93" i="1"/>
  <c r="AK93" i="1" s="1"/>
  <c r="AI93" i="1"/>
  <c r="AG93" i="1" s="1"/>
  <c r="AH93" i="1"/>
  <c r="Y93" i="1"/>
  <c r="X93" i="1"/>
  <c r="P93" i="1"/>
  <c r="AM92" i="1"/>
  <c r="AL92" i="1"/>
  <c r="AK92" i="1" s="1"/>
  <c r="AJ92" i="1"/>
  <c r="AI92" i="1"/>
  <c r="AG92" i="1"/>
  <c r="Y92" i="1"/>
  <c r="X92" i="1"/>
  <c r="W92" i="1"/>
  <c r="S92" i="1"/>
  <c r="P92" i="1"/>
  <c r="N92" i="1"/>
  <c r="AM91" i="1"/>
  <c r="AL91" i="1"/>
  <c r="AJ91" i="1"/>
  <c r="AK91" i="1" s="1"/>
  <c r="AI91" i="1"/>
  <c r="AG91" i="1" s="1"/>
  <c r="Y91" i="1"/>
  <c r="X91" i="1"/>
  <c r="W91" i="1" s="1"/>
  <c r="P91" i="1"/>
  <c r="AM90" i="1"/>
  <c r="AL90" i="1"/>
  <c r="AK90" i="1"/>
  <c r="AJ90" i="1"/>
  <c r="AI90" i="1"/>
  <c r="AH90" i="1"/>
  <c r="AG90" i="1"/>
  <c r="N90" i="1" s="1"/>
  <c r="Y90" i="1"/>
  <c r="X90" i="1"/>
  <c r="W90" i="1" s="1"/>
  <c r="S90" i="1"/>
  <c r="P90" i="1"/>
  <c r="K90" i="1"/>
  <c r="J90" i="1"/>
  <c r="AM89" i="1"/>
  <c r="AL89" i="1"/>
  <c r="AJ89" i="1"/>
  <c r="AK89" i="1" s="1"/>
  <c r="AI89" i="1"/>
  <c r="AG89" i="1" s="1"/>
  <c r="AH89" i="1" s="1"/>
  <c r="Y89" i="1"/>
  <c r="X89" i="1"/>
  <c r="W89" i="1" s="1"/>
  <c r="P89" i="1"/>
  <c r="AM88" i="1"/>
  <c r="AL88" i="1"/>
  <c r="AK88" i="1" s="1"/>
  <c r="AJ88" i="1"/>
  <c r="AI88" i="1"/>
  <c r="AG88" i="1"/>
  <c r="Y88" i="1"/>
  <c r="X88" i="1"/>
  <c r="W88" i="1"/>
  <c r="S88" i="1"/>
  <c r="P88" i="1"/>
  <c r="AM87" i="1"/>
  <c r="AL87" i="1"/>
  <c r="AJ87" i="1"/>
  <c r="AI87" i="1"/>
  <c r="AG87" i="1" s="1"/>
  <c r="Y87" i="1"/>
  <c r="X87" i="1"/>
  <c r="W87" i="1" s="1"/>
  <c r="P87" i="1"/>
  <c r="AM86" i="1"/>
  <c r="AL86" i="1"/>
  <c r="AJ86" i="1"/>
  <c r="AK86" i="1" s="1"/>
  <c r="AI86" i="1"/>
  <c r="AH86" i="1"/>
  <c r="AG86" i="1"/>
  <c r="N86" i="1" s="1"/>
  <c r="Y86" i="1"/>
  <c r="X86" i="1"/>
  <c r="W86" i="1" s="1"/>
  <c r="S86" i="1"/>
  <c r="P86" i="1"/>
  <c r="K86" i="1"/>
  <c r="J86" i="1"/>
  <c r="AM85" i="1"/>
  <c r="AL85" i="1"/>
  <c r="AJ85" i="1"/>
  <c r="AK85" i="1" s="1"/>
  <c r="AI85" i="1"/>
  <c r="AG85" i="1" s="1"/>
  <c r="AH85" i="1"/>
  <c r="Y85" i="1"/>
  <c r="X85" i="1"/>
  <c r="P85" i="1"/>
  <c r="I85" i="1"/>
  <c r="H85" i="1" s="1"/>
  <c r="AM84" i="1"/>
  <c r="AL84" i="1"/>
  <c r="AK84" i="1" s="1"/>
  <c r="AJ84" i="1"/>
  <c r="AI84" i="1"/>
  <c r="AG84" i="1"/>
  <c r="Y84" i="1"/>
  <c r="X84" i="1"/>
  <c r="W84" i="1"/>
  <c r="S84" i="1"/>
  <c r="P84" i="1"/>
  <c r="N84" i="1"/>
  <c r="AM83" i="1"/>
  <c r="AL83" i="1"/>
  <c r="AJ83" i="1"/>
  <c r="AK83" i="1" s="1"/>
  <c r="AI83" i="1"/>
  <c r="AG83" i="1" s="1"/>
  <c r="Y83" i="1"/>
  <c r="X83" i="1"/>
  <c r="W83" i="1" s="1"/>
  <c r="P83" i="1"/>
  <c r="AM82" i="1"/>
  <c r="AL82" i="1"/>
  <c r="AJ82" i="1"/>
  <c r="AK82" i="1" s="1"/>
  <c r="AI82" i="1"/>
  <c r="AH82" i="1"/>
  <c r="AG82" i="1"/>
  <c r="N82" i="1" s="1"/>
  <c r="Y82" i="1"/>
  <c r="X82" i="1"/>
  <c r="W82" i="1" s="1"/>
  <c r="S82" i="1"/>
  <c r="P82" i="1"/>
  <c r="K82" i="1"/>
  <c r="J82" i="1"/>
  <c r="AM81" i="1"/>
  <c r="AL81" i="1"/>
  <c r="AJ81" i="1"/>
  <c r="AK81" i="1" s="1"/>
  <c r="AI81" i="1"/>
  <c r="AG81" i="1" s="1"/>
  <c r="AH81" i="1"/>
  <c r="Y81" i="1"/>
  <c r="X81" i="1"/>
  <c r="P81" i="1"/>
  <c r="N81" i="1"/>
  <c r="I81" i="1"/>
  <c r="H81" i="1"/>
  <c r="AA81" i="1" s="1"/>
  <c r="AM80" i="1"/>
  <c r="AL80" i="1"/>
  <c r="AK80" i="1" s="1"/>
  <c r="AJ80" i="1"/>
  <c r="AI80" i="1"/>
  <c r="AG80" i="1"/>
  <c r="Y80" i="1"/>
  <c r="X80" i="1"/>
  <c r="W80" i="1"/>
  <c r="S80" i="1"/>
  <c r="P80" i="1"/>
  <c r="AM79" i="1"/>
  <c r="AL79" i="1"/>
  <c r="AJ79" i="1"/>
  <c r="AI79" i="1"/>
  <c r="AG79" i="1" s="1"/>
  <c r="Y79" i="1"/>
  <c r="X79" i="1"/>
  <c r="W79" i="1" s="1"/>
  <c r="P79" i="1"/>
  <c r="AM78" i="1"/>
  <c r="AL78" i="1"/>
  <c r="AJ78" i="1"/>
  <c r="AK78" i="1" s="1"/>
  <c r="AI78" i="1"/>
  <c r="AH78" i="1"/>
  <c r="AG78" i="1"/>
  <c r="N78" i="1" s="1"/>
  <c r="Y78" i="1"/>
  <c r="X78" i="1"/>
  <c r="W78" i="1" s="1"/>
  <c r="S78" i="1"/>
  <c r="P78" i="1"/>
  <c r="K78" i="1"/>
  <c r="J78" i="1"/>
  <c r="AM77" i="1"/>
  <c r="AL77" i="1"/>
  <c r="AJ77" i="1"/>
  <c r="AK77" i="1" s="1"/>
  <c r="AI77" i="1"/>
  <c r="AG77" i="1" s="1"/>
  <c r="AH77" i="1"/>
  <c r="Y77" i="1"/>
  <c r="X77" i="1"/>
  <c r="P77" i="1"/>
  <c r="N77" i="1"/>
  <c r="I77" i="1"/>
  <c r="H77" i="1" s="1"/>
  <c r="AM76" i="1"/>
  <c r="AL76" i="1"/>
  <c r="AK76" i="1" s="1"/>
  <c r="AJ76" i="1"/>
  <c r="AI76" i="1"/>
  <c r="AG76" i="1"/>
  <c r="Y76" i="1"/>
  <c r="X76" i="1"/>
  <c r="W76" i="1"/>
  <c r="S76" i="1"/>
  <c r="P76" i="1"/>
  <c r="AM75" i="1"/>
  <c r="AL75" i="1"/>
  <c r="AJ75" i="1"/>
  <c r="AI75" i="1"/>
  <c r="AG75" i="1" s="1"/>
  <c r="Y75" i="1"/>
  <c r="X75" i="1"/>
  <c r="W75" i="1" s="1"/>
  <c r="P75" i="1"/>
  <c r="AM74" i="1"/>
  <c r="AL74" i="1"/>
  <c r="AJ74" i="1"/>
  <c r="AK74" i="1" s="1"/>
  <c r="AI74" i="1"/>
  <c r="AH74" i="1"/>
  <c r="AG74" i="1"/>
  <c r="N74" i="1" s="1"/>
  <c r="Y74" i="1"/>
  <c r="X74" i="1"/>
  <c r="W74" i="1" s="1"/>
  <c r="S74" i="1"/>
  <c r="P74" i="1"/>
  <c r="K74" i="1"/>
  <c r="J74" i="1"/>
  <c r="AM73" i="1"/>
  <c r="AL73" i="1"/>
  <c r="AJ73" i="1"/>
  <c r="AK73" i="1" s="1"/>
  <c r="AI73" i="1"/>
  <c r="AG73" i="1" s="1"/>
  <c r="AH73" i="1"/>
  <c r="Y73" i="1"/>
  <c r="X73" i="1"/>
  <c r="P73" i="1"/>
  <c r="N73" i="1"/>
  <c r="I73" i="1"/>
  <c r="H73" i="1" s="1"/>
  <c r="AM72" i="1"/>
  <c r="AL72" i="1"/>
  <c r="AK72" i="1" s="1"/>
  <c r="AJ72" i="1"/>
  <c r="AI72" i="1"/>
  <c r="AG72" i="1"/>
  <c r="Y72" i="1"/>
  <c r="X72" i="1"/>
  <c r="W72" i="1"/>
  <c r="S72" i="1"/>
  <c r="P72" i="1"/>
  <c r="AM71" i="1"/>
  <c r="AL71" i="1"/>
  <c r="AJ71" i="1"/>
  <c r="AI71" i="1"/>
  <c r="AG71" i="1" s="1"/>
  <c r="Y71" i="1"/>
  <c r="X71" i="1"/>
  <c r="P71" i="1"/>
  <c r="AM70" i="1"/>
  <c r="AL70" i="1"/>
  <c r="AJ70" i="1"/>
  <c r="AK70" i="1" s="1"/>
  <c r="AI70" i="1"/>
  <c r="AH70" i="1"/>
  <c r="AG70" i="1"/>
  <c r="Y70" i="1"/>
  <c r="X70" i="1"/>
  <c r="W70" i="1"/>
  <c r="P70" i="1"/>
  <c r="K70" i="1"/>
  <c r="J70" i="1"/>
  <c r="AM69" i="1"/>
  <c r="S69" i="1" s="1"/>
  <c r="AL69" i="1"/>
  <c r="AJ69" i="1"/>
  <c r="AK69" i="1" s="1"/>
  <c r="AI69" i="1"/>
  <c r="AG69" i="1" s="1"/>
  <c r="AH69" i="1" s="1"/>
  <c r="Y69" i="1"/>
  <c r="X69" i="1"/>
  <c r="W69" i="1" s="1"/>
  <c r="P69" i="1"/>
  <c r="N69" i="1"/>
  <c r="AM68" i="1"/>
  <c r="AL68" i="1"/>
  <c r="AK68" i="1" s="1"/>
  <c r="AJ68" i="1"/>
  <c r="AI68" i="1"/>
  <c r="AG68" i="1"/>
  <c r="Y68" i="1"/>
  <c r="X68" i="1"/>
  <c r="W68" i="1"/>
  <c r="S68" i="1"/>
  <c r="P68" i="1"/>
  <c r="AM67" i="1"/>
  <c r="AL67" i="1"/>
  <c r="AJ67" i="1"/>
  <c r="AI67" i="1"/>
  <c r="AG67" i="1" s="1"/>
  <c r="Y67" i="1"/>
  <c r="X67" i="1"/>
  <c r="W67" i="1" s="1"/>
  <c r="P67" i="1"/>
  <c r="J67" i="1"/>
  <c r="I67" i="1"/>
  <c r="H67" i="1" s="1"/>
  <c r="AM66" i="1"/>
  <c r="AL66" i="1"/>
  <c r="AJ66" i="1"/>
  <c r="AK66" i="1" s="1"/>
  <c r="AI66" i="1"/>
  <c r="AG66" i="1"/>
  <c r="AH66" i="1" s="1"/>
  <c r="Y66" i="1"/>
  <c r="X66" i="1"/>
  <c r="W66" i="1"/>
  <c r="P66" i="1"/>
  <c r="AM65" i="1"/>
  <c r="AL65" i="1"/>
  <c r="AJ65" i="1"/>
  <c r="AK65" i="1" s="1"/>
  <c r="AI65" i="1"/>
  <c r="AG65" i="1" s="1"/>
  <c r="AH65" i="1"/>
  <c r="Y65" i="1"/>
  <c r="X65" i="1"/>
  <c r="W65" i="1" s="1"/>
  <c r="P65" i="1"/>
  <c r="AM64" i="1"/>
  <c r="AL64" i="1"/>
  <c r="AK64" i="1"/>
  <c r="AJ64" i="1"/>
  <c r="AI64" i="1"/>
  <c r="AG64" i="1"/>
  <c r="N64" i="1" s="1"/>
  <c r="Y64" i="1"/>
  <c r="X64" i="1"/>
  <c r="W64" i="1"/>
  <c r="S64" i="1"/>
  <c r="P64" i="1"/>
  <c r="K64" i="1"/>
  <c r="AM63" i="1"/>
  <c r="AL63" i="1"/>
  <c r="AJ63" i="1"/>
  <c r="AI63" i="1"/>
  <c r="AG63" i="1" s="1"/>
  <c r="Y63" i="1"/>
  <c r="X63" i="1"/>
  <c r="P63" i="1"/>
  <c r="I63" i="1"/>
  <c r="H63" i="1" s="1"/>
  <c r="AM62" i="1"/>
  <c r="AL62" i="1"/>
  <c r="AJ62" i="1"/>
  <c r="S62" i="1" s="1"/>
  <c r="AI62" i="1"/>
  <c r="AG62" i="1"/>
  <c r="I62" i="1" s="1"/>
  <c r="H62" i="1" s="1"/>
  <c r="Y62" i="1"/>
  <c r="X62" i="1"/>
  <c r="W62" i="1"/>
  <c r="P62" i="1"/>
  <c r="K62" i="1"/>
  <c r="J62" i="1"/>
  <c r="AM61" i="1"/>
  <c r="S61" i="1" s="1"/>
  <c r="AL61" i="1"/>
  <c r="AK61" i="1" s="1"/>
  <c r="AJ61" i="1"/>
  <c r="AI61" i="1"/>
  <c r="AG61" i="1" s="1"/>
  <c r="AH61" i="1"/>
  <c r="Y61" i="1"/>
  <c r="X61" i="1"/>
  <c r="P61" i="1"/>
  <c r="I61" i="1"/>
  <c r="H61" i="1" s="1"/>
  <c r="AM60" i="1"/>
  <c r="AL60" i="1"/>
  <c r="AK60" i="1"/>
  <c r="AJ60" i="1"/>
  <c r="AI60" i="1"/>
  <c r="AG60" i="1"/>
  <c r="Y60" i="1"/>
  <c r="X60" i="1"/>
  <c r="W60" i="1"/>
  <c r="S60" i="1"/>
  <c r="P60" i="1"/>
  <c r="K60" i="1"/>
  <c r="J60" i="1"/>
  <c r="AM59" i="1"/>
  <c r="AL59" i="1"/>
  <c r="AJ59" i="1"/>
  <c r="AI59" i="1"/>
  <c r="AG59" i="1" s="1"/>
  <c r="Y59" i="1"/>
  <c r="X59" i="1"/>
  <c r="W59" i="1" s="1"/>
  <c r="P59" i="1"/>
  <c r="AM58" i="1"/>
  <c r="AL58" i="1"/>
  <c r="AJ58" i="1"/>
  <c r="AK58" i="1" s="1"/>
  <c r="AI58" i="1"/>
  <c r="AG58" i="1"/>
  <c r="I58" i="1" s="1"/>
  <c r="H58" i="1" s="1"/>
  <c r="Y58" i="1"/>
  <c r="X58" i="1"/>
  <c r="W58" i="1" s="1"/>
  <c r="S58" i="1"/>
  <c r="P58" i="1"/>
  <c r="AM57" i="1"/>
  <c r="S57" i="1" s="1"/>
  <c r="AL57" i="1"/>
  <c r="AK57" i="1" s="1"/>
  <c r="AJ57" i="1"/>
  <c r="AI57" i="1"/>
  <c r="AG57" i="1" s="1"/>
  <c r="AH57" i="1" s="1"/>
  <c r="Y57" i="1"/>
  <c r="X57" i="1"/>
  <c r="W57" i="1" s="1"/>
  <c r="P57" i="1"/>
  <c r="AM56" i="1"/>
  <c r="AL56" i="1"/>
  <c r="AJ56" i="1"/>
  <c r="AK56" i="1" s="1"/>
  <c r="AI56" i="1"/>
  <c r="AG56" i="1"/>
  <c r="Y56" i="1"/>
  <c r="X56" i="1"/>
  <c r="W56" i="1"/>
  <c r="S56" i="1"/>
  <c r="P56" i="1"/>
  <c r="K56" i="1"/>
  <c r="AM55" i="1"/>
  <c r="AL55" i="1"/>
  <c r="AJ55" i="1"/>
  <c r="AI55" i="1"/>
  <c r="AG55" i="1" s="1"/>
  <c r="AH55" i="1"/>
  <c r="Y55" i="1"/>
  <c r="X55" i="1"/>
  <c r="P55" i="1"/>
  <c r="J55" i="1"/>
  <c r="I55" i="1"/>
  <c r="H55" i="1" s="1"/>
  <c r="AM54" i="1"/>
  <c r="AL54" i="1"/>
  <c r="AK54" i="1"/>
  <c r="AJ54" i="1"/>
  <c r="AI54" i="1"/>
  <c r="AG54" i="1"/>
  <c r="I54" i="1" s="1"/>
  <c r="H54" i="1" s="1"/>
  <c r="Y54" i="1"/>
  <c r="X54" i="1"/>
  <c r="W54" i="1"/>
  <c r="S54" i="1"/>
  <c r="P54" i="1"/>
  <c r="N54" i="1"/>
  <c r="J54" i="1"/>
  <c r="AM53" i="1"/>
  <c r="AL53" i="1"/>
  <c r="AJ53" i="1"/>
  <c r="AK53" i="1" s="1"/>
  <c r="AI53" i="1"/>
  <c r="AG53" i="1" s="1"/>
  <c r="AH53" i="1"/>
  <c r="Y53" i="1"/>
  <c r="X53" i="1"/>
  <c r="P53" i="1"/>
  <c r="AM52" i="1"/>
  <c r="AL52" i="1"/>
  <c r="AK52" i="1"/>
  <c r="AJ52" i="1"/>
  <c r="AI52" i="1"/>
  <c r="AG52" i="1"/>
  <c r="Y52" i="1"/>
  <c r="X52" i="1"/>
  <c r="W52" i="1"/>
  <c r="S52" i="1"/>
  <c r="P52" i="1"/>
  <c r="N52" i="1"/>
  <c r="K52" i="1"/>
  <c r="J52" i="1"/>
  <c r="AM51" i="1"/>
  <c r="AL51" i="1"/>
  <c r="AJ51" i="1"/>
  <c r="AK51" i="1" s="1"/>
  <c r="AI51" i="1"/>
  <c r="AG51" i="1" s="1"/>
  <c r="N51" i="1" s="1"/>
  <c r="AH51" i="1"/>
  <c r="Y51" i="1"/>
  <c r="X51" i="1"/>
  <c r="W51" i="1" s="1"/>
  <c r="S51" i="1"/>
  <c r="P51" i="1"/>
  <c r="K51" i="1"/>
  <c r="J51" i="1"/>
  <c r="I51" i="1"/>
  <c r="H51" i="1" s="1"/>
  <c r="AM50" i="1"/>
  <c r="AL50" i="1"/>
  <c r="AJ50" i="1"/>
  <c r="S50" i="1" s="1"/>
  <c r="AI50" i="1"/>
  <c r="AG50" i="1"/>
  <c r="K50" i="1" s="1"/>
  <c r="Y50" i="1"/>
  <c r="W50" i="1" s="1"/>
  <c r="X50" i="1"/>
  <c r="P50" i="1"/>
  <c r="AM49" i="1"/>
  <c r="AL49" i="1"/>
  <c r="AJ49" i="1"/>
  <c r="AI49" i="1"/>
  <c r="AG49" i="1" s="1"/>
  <c r="Y49" i="1"/>
  <c r="W49" i="1" s="1"/>
  <c r="X49" i="1"/>
  <c r="P49" i="1"/>
  <c r="I49" i="1"/>
  <c r="H49" i="1" s="1"/>
  <c r="AA49" i="1" s="1"/>
  <c r="AM48" i="1"/>
  <c r="S48" i="1" s="1"/>
  <c r="AL48" i="1"/>
  <c r="AK48" i="1"/>
  <c r="AJ48" i="1"/>
  <c r="AI48" i="1"/>
  <c r="AH48" i="1"/>
  <c r="AG48" i="1"/>
  <c r="Y48" i="1"/>
  <c r="X48" i="1"/>
  <c r="W48" i="1" s="1"/>
  <c r="P48" i="1"/>
  <c r="AM47" i="1"/>
  <c r="S47" i="1" s="1"/>
  <c r="AL47" i="1"/>
  <c r="AK47" i="1"/>
  <c r="AJ47" i="1"/>
  <c r="AI47" i="1"/>
  <c r="AG47" i="1" s="1"/>
  <c r="Y47" i="1"/>
  <c r="W47" i="1" s="1"/>
  <c r="X47" i="1"/>
  <c r="P47" i="1"/>
  <c r="N47" i="1"/>
  <c r="AM46" i="1"/>
  <c r="AL46" i="1"/>
  <c r="AK46" i="1" s="1"/>
  <c r="AJ46" i="1"/>
  <c r="AI46" i="1"/>
  <c r="AG46" i="1" s="1"/>
  <c r="Y46" i="1"/>
  <c r="W46" i="1" s="1"/>
  <c r="X46" i="1"/>
  <c r="S46" i="1"/>
  <c r="P46" i="1"/>
  <c r="K46" i="1"/>
  <c r="AM45" i="1"/>
  <c r="AL45" i="1"/>
  <c r="AJ45" i="1"/>
  <c r="AI45" i="1"/>
  <c r="AG45" i="1" s="1"/>
  <c r="Y45" i="1"/>
  <c r="W45" i="1" s="1"/>
  <c r="X45" i="1"/>
  <c r="P45" i="1"/>
  <c r="I45" i="1"/>
  <c r="H45" i="1" s="1"/>
  <c r="AA45" i="1" s="1"/>
  <c r="AM44" i="1"/>
  <c r="S44" i="1" s="1"/>
  <c r="AL44" i="1"/>
  <c r="AK44" i="1"/>
  <c r="AJ44" i="1"/>
  <c r="AI44" i="1"/>
  <c r="AG44" i="1"/>
  <c r="Y44" i="1"/>
  <c r="X44" i="1"/>
  <c r="W44" i="1" s="1"/>
  <c r="P44" i="1"/>
  <c r="AM43" i="1"/>
  <c r="S43" i="1" s="1"/>
  <c r="AL43" i="1"/>
  <c r="AK43" i="1"/>
  <c r="AJ43" i="1"/>
  <c r="AI43" i="1"/>
  <c r="AG43" i="1" s="1"/>
  <c r="Y43" i="1"/>
  <c r="W43" i="1" s="1"/>
  <c r="X43" i="1"/>
  <c r="P43" i="1"/>
  <c r="N43" i="1"/>
  <c r="AM42" i="1"/>
  <c r="AL42" i="1"/>
  <c r="AK42" i="1"/>
  <c r="AJ42" i="1"/>
  <c r="AI42" i="1"/>
  <c r="AG42" i="1" s="1"/>
  <c r="Y42" i="1"/>
  <c r="W42" i="1" s="1"/>
  <c r="X42" i="1"/>
  <c r="S42" i="1"/>
  <c r="P42" i="1"/>
  <c r="AM41" i="1"/>
  <c r="AL41" i="1"/>
  <c r="AJ41" i="1"/>
  <c r="AI41" i="1"/>
  <c r="AG41" i="1" s="1"/>
  <c r="Y41" i="1"/>
  <c r="W41" i="1" s="1"/>
  <c r="X41" i="1"/>
  <c r="P41" i="1"/>
  <c r="J41" i="1"/>
  <c r="I41" i="1"/>
  <c r="H41" i="1" s="1"/>
  <c r="AA41" i="1" s="1"/>
  <c r="AM40" i="1"/>
  <c r="S40" i="1" s="1"/>
  <c r="AL40" i="1"/>
  <c r="AK40" i="1"/>
  <c r="AJ40" i="1"/>
  <c r="AI40" i="1"/>
  <c r="AG40" i="1"/>
  <c r="Y40" i="1"/>
  <c r="X40" i="1"/>
  <c r="W40" i="1"/>
  <c r="P40" i="1"/>
  <c r="AM39" i="1"/>
  <c r="S39" i="1" s="1"/>
  <c r="AL39" i="1"/>
  <c r="AK39" i="1"/>
  <c r="AJ39" i="1"/>
  <c r="AI39" i="1"/>
  <c r="AG39" i="1" s="1"/>
  <c r="N39" i="1" s="1"/>
  <c r="Y39" i="1"/>
  <c r="X39" i="1"/>
  <c r="W39" i="1" s="1"/>
  <c r="P39" i="1"/>
  <c r="AM38" i="1"/>
  <c r="AL38" i="1"/>
  <c r="AK38" i="1"/>
  <c r="AJ38" i="1"/>
  <c r="AI38" i="1"/>
  <c r="AG38" i="1" s="1"/>
  <c r="Y38" i="1"/>
  <c r="W38" i="1" s="1"/>
  <c r="X38" i="1"/>
  <c r="S38" i="1"/>
  <c r="P38" i="1"/>
  <c r="K38" i="1"/>
  <c r="AM37" i="1"/>
  <c r="AL37" i="1"/>
  <c r="AJ37" i="1"/>
  <c r="AI37" i="1"/>
  <c r="AG37" i="1" s="1"/>
  <c r="Y37" i="1"/>
  <c r="W37" i="1" s="1"/>
  <c r="X37" i="1"/>
  <c r="P37" i="1"/>
  <c r="J37" i="1"/>
  <c r="I37" i="1"/>
  <c r="H37" i="1" s="1"/>
  <c r="AA37" i="1" s="1"/>
  <c r="AM36" i="1"/>
  <c r="S36" i="1" s="1"/>
  <c r="AL36" i="1"/>
  <c r="AJ36" i="1"/>
  <c r="AK36" i="1" s="1"/>
  <c r="AI36" i="1"/>
  <c r="AG36" i="1"/>
  <c r="AH36" i="1" s="1"/>
  <c r="Y36" i="1"/>
  <c r="X36" i="1"/>
  <c r="W36" i="1"/>
  <c r="P36" i="1"/>
  <c r="AM35" i="1"/>
  <c r="S35" i="1" s="1"/>
  <c r="AL35" i="1"/>
  <c r="AK35" i="1"/>
  <c r="AJ35" i="1"/>
  <c r="AI35" i="1"/>
  <c r="AG35" i="1" s="1"/>
  <c r="Y35" i="1"/>
  <c r="X35" i="1"/>
  <c r="W35" i="1" s="1"/>
  <c r="P35" i="1"/>
  <c r="N35" i="1"/>
  <c r="AM34" i="1"/>
  <c r="AL34" i="1"/>
  <c r="AK34" i="1"/>
  <c r="AJ34" i="1"/>
  <c r="AI34" i="1"/>
  <c r="AG34" i="1" s="1"/>
  <c r="K34" i="1" s="1"/>
  <c r="Y34" i="1"/>
  <c r="W34" i="1" s="1"/>
  <c r="X34" i="1"/>
  <c r="S34" i="1"/>
  <c r="P34" i="1"/>
  <c r="AM33" i="1"/>
  <c r="AL33" i="1"/>
  <c r="AJ33" i="1"/>
  <c r="AI33" i="1"/>
  <c r="AG33" i="1" s="1"/>
  <c r="Y33" i="1"/>
  <c r="W33" i="1" s="1"/>
  <c r="X33" i="1"/>
  <c r="P33" i="1"/>
  <c r="I33" i="1"/>
  <c r="H33" i="1" s="1"/>
  <c r="AA33" i="1" s="1"/>
  <c r="AM32" i="1"/>
  <c r="AL32" i="1"/>
  <c r="AJ32" i="1"/>
  <c r="AK32" i="1" s="1"/>
  <c r="AI32" i="1"/>
  <c r="AG32" i="1"/>
  <c r="Y32" i="1"/>
  <c r="X32" i="1"/>
  <c r="W32" i="1"/>
  <c r="P32" i="1"/>
  <c r="AM31" i="1"/>
  <c r="S31" i="1" s="1"/>
  <c r="AL31" i="1"/>
  <c r="AK31" i="1"/>
  <c r="AJ31" i="1"/>
  <c r="AI31" i="1"/>
  <c r="AG31" i="1" s="1"/>
  <c r="Y31" i="1"/>
  <c r="X31" i="1"/>
  <c r="W31" i="1" s="1"/>
  <c r="P31" i="1"/>
  <c r="AM30" i="1"/>
  <c r="AL30" i="1"/>
  <c r="AK30" i="1"/>
  <c r="AJ30" i="1"/>
  <c r="AI30" i="1"/>
  <c r="AG30" i="1" s="1"/>
  <c r="Y30" i="1"/>
  <c r="X30" i="1"/>
  <c r="W30" i="1" s="1"/>
  <c r="S30" i="1"/>
  <c r="P30" i="1"/>
  <c r="K30" i="1"/>
  <c r="AM29" i="1"/>
  <c r="AL29" i="1"/>
  <c r="AJ29" i="1"/>
  <c r="AI29" i="1"/>
  <c r="AG29" i="1" s="1"/>
  <c r="Y29" i="1"/>
  <c r="W29" i="1" s="1"/>
  <c r="X29" i="1"/>
  <c r="P29" i="1"/>
  <c r="J29" i="1"/>
  <c r="I29" i="1"/>
  <c r="H29" i="1" s="1"/>
  <c r="AA29" i="1" s="1"/>
  <c r="AM28" i="1"/>
  <c r="AL28" i="1"/>
  <c r="AJ28" i="1"/>
  <c r="AK28" i="1" s="1"/>
  <c r="AI28" i="1"/>
  <c r="AG28" i="1"/>
  <c r="Y28" i="1"/>
  <c r="X28" i="1"/>
  <c r="W28" i="1"/>
  <c r="P28" i="1"/>
  <c r="AM27" i="1"/>
  <c r="S27" i="1" s="1"/>
  <c r="T27" i="1" s="1"/>
  <c r="U27" i="1" s="1"/>
  <c r="AL27" i="1"/>
  <c r="AK27" i="1"/>
  <c r="AJ27" i="1"/>
  <c r="AI27" i="1"/>
  <c r="AH27" i="1"/>
  <c r="AG27" i="1"/>
  <c r="Y27" i="1"/>
  <c r="X27" i="1"/>
  <c r="W27" i="1" s="1"/>
  <c r="P27" i="1"/>
  <c r="N27" i="1"/>
  <c r="K27" i="1"/>
  <c r="J27" i="1"/>
  <c r="I27" i="1"/>
  <c r="H27" i="1"/>
  <c r="AA27" i="1" s="1"/>
  <c r="AM26" i="1"/>
  <c r="AL26" i="1"/>
  <c r="AK26" i="1" s="1"/>
  <c r="AJ26" i="1"/>
  <c r="AI26" i="1"/>
  <c r="AG26" i="1" s="1"/>
  <c r="Y26" i="1"/>
  <c r="X26" i="1"/>
  <c r="W26" i="1" s="1"/>
  <c r="S26" i="1"/>
  <c r="P26" i="1"/>
  <c r="K26" i="1"/>
  <c r="AM25" i="1"/>
  <c r="AL25" i="1"/>
  <c r="AJ25" i="1"/>
  <c r="AI25" i="1"/>
  <c r="AG25" i="1" s="1"/>
  <c r="Y25" i="1"/>
  <c r="W25" i="1" s="1"/>
  <c r="X25" i="1"/>
  <c r="P25" i="1"/>
  <c r="I25" i="1"/>
  <c r="H25" i="1" s="1"/>
  <c r="AA25" i="1" s="1"/>
  <c r="AM24" i="1"/>
  <c r="AL24" i="1"/>
  <c r="AJ24" i="1"/>
  <c r="AK24" i="1" s="1"/>
  <c r="AI24" i="1"/>
  <c r="AH24" i="1"/>
  <c r="AG24" i="1"/>
  <c r="Y24" i="1"/>
  <c r="X24" i="1"/>
  <c r="W24" i="1" s="1"/>
  <c r="P24" i="1"/>
  <c r="AM23" i="1"/>
  <c r="S23" i="1" s="1"/>
  <c r="T23" i="1" s="1"/>
  <c r="U23" i="1" s="1"/>
  <c r="AL23" i="1"/>
  <c r="AK23" i="1" s="1"/>
  <c r="AJ23" i="1"/>
  <c r="AI23" i="1"/>
  <c r="AH23" i="1"/>
  <c r="AG23" i="1"/>
  <c r="I23" i="1" s="1"/>
  <c r="H23" i="1" s="1"/>
  <c r="Y23" i="1"/>
  <c r="X23" i="1"/>
  <c r="W23" i="1" s="1"/>
  <c r="P23" i="1"/>
  <c r="N23" i="1"/>
  <c r="K23" i="1"/>
  <c r="J23" i="1"/>
  <c r="AM22" i="1"/>
  <c r="AL22" i="1"/>
  <c r="AK22" i="1"/>
  <c r="AJ22" i="1"/>
  <c r="AI22" i="1"/>
  <c r="AG22" i="1" s="1"/>
  <c r="Y22" i="1"/>
  <c r="X22" i="1"/>
  <c r="W22" i="1" s="1"/>
  <c r="S22" i="1"/>
  <c r="P22" i="1"/>
  <c r="K22" i="1"/>
  <c r="AM21" i="1"/>
  <c r="AL21" i="1"/>
  <c r="AJ21" i="1"/>
  <c r="AI21" i="1"/>
  <c r="AG21" i="1" s="1"/>
  <c r="Y21" i="1"/>
  <c r="W21" i="1" s="1"/>
  <c r="X21" i="1"/>
  <c r="P21" i="1"/>
  <c r="AM20" i="1"/>
  <c r="AL20" i="1"/>
  <c r="AJ20" i="1"/>
  <c r="AK20" i="1" s="1"/>
  <c r="AI20" i="1"/>
  <c r="AH20" i="1"/>
  <c r="AG20" i="1"/>
  <c r="Y20" i="1"/>
  <c r="X20" i="1"/>
  <c r="W20" i="1"/>
  <c r="P20" i="1"/>
  <c r="AM19" i="1"/>
  <c r="AL19" i="1"/>
  <c r="AJ19" i="1"/>
  <c r="AK19" i="1" s="1"/>
  <c r="AI19" i="1"/>
  <c r="AH19" i="1"/>
  <c r="AG19" i="1"/>
  <c r="Y19" i="1"/>
  <c r="X19" i="1"/>
  <c r="W19" i="1" s="1"/>
  <c r="P19" i="1"/>
  <c r="N19" i="1"/>
  <c r="K19" i="1"/>
  <c r="J19" i="1"/>
  <c r="I19" i="1"/>
  <c r="H19" i="1"/>
  <c r="AA19" i="1" s="1"/>
  <c r="AM18" i="1"/>
  <c r="AL18" i="1"/>
  <c r="AK18" i="1" s="1"/>
  <c r="AJ18" i="1"/>
  <c r="AI18" i="1"/>
  <c r="AG18" i="1" s="1"/>
  <c r="Y18" i="1"/>
  <c r="X18" i="1"/>
  <c r="W18" i="1" s="1"/>
  <c r="S18" i="1"/>
  <c r="P18" i="1"/>
  <c r="K18" i="1"/>
  <c r="AM17" i="1"/>
  <c r="AL17" i="1"/>
  <c r="AJ17" i="1"/>
  <c r="AI17" i="1"/>
  <c r="AG17" i="1" s="1"/>
  <c r="J17" i="1" s="1"/>
  <c r="Y17" i="1"/>
  <c r="X17" i="1"/>
  <c r="W17" i="1" s="1"/>
  <c r="P17" i="1"/>
  <c r="AA51" i="1" l="1"/>
  <c r="V23" i="1"/>
  <c r="Z23" i="1" s="1"/>
  <c r="AC23" i="1"/>
  <c r="V27" i="1"/>
  <c r="Z27" i="1" s="1"/>
  <c r="AC27" i="1"/>
  <c r="T34" i="1"/>
  <c r="U34" i="1" s="1"/>
  <c r="N28" i="1"/>
  <c r="K28" i="1"/>
  <c r="J28" i="1"/>
  <c r="I28" i="1"/>
  <c r="H28" i="1" s="1"/>
  <c r="J42" i="1"/>
  <c r="I42" i="1"/>
  <c r="H42" i="1" s="1"/>
  <c r="T42" i="1" s="1"/>
  <c r="U42" i="1" s="1"/>
  <c r="AH42" i="1"/>
  <c r="N42" i="1"/>
  <c r="AA55" i="1"/>
  <c r="J26" i="1"/>
  <c r="I26" i="1"/>
  <c r="H26" i="1" s="1"/>
  <c r="AH26" i="1"/>
  <c r="N26" i="1"/>
  <c r="K31" i="1"/>
  <c r="J31" i="1"/>
  <c r="I31" i="1"/>
  <c r="H31" i="1" s="1"/>
  <c r="AH31" i="1"/>
  <c r="N44" i="1"/>
  <c r="K44" i="1"/>
  <c r="J44" i="1"/>
  <c r="I44" i="1"/>
  <c r="H44" i="1" s="1"/>
  <c r="AA62" i="1"/>
  <c r="J22" i="1"/>
  <c r="I22" i="1"/>
  <c r="H22" i="1" s="1"/>
  <c r="T22" i="1" s="1"/>
  <c r="U22" i="1" s="1"/>
  <c r="AH22" i="1"/>
  <c r="N22" i="1"/>
  <c r="AA23" i="1"/>
  <c r="Q23" i="1"/>
  <c r="O23" i="1" s="1"/>
  <c r="R23" i="1" s="1"/>
  <c r="L23" i="1" s="1"/>
  <c r="M23" i="1" s="1"/>
  <c r="AH33" i="1"/>
  <c r="N33" i="1"/>
  <c r="K33" i="1"/>
  <c r="T43" i="1"/>
  <c r="U43" i="1" s="1"/>
  <c r="AH44" i="1"/>
  <c r="AB48" i="1"/>
  <c r="AA54" i="1"/>
  <c r="I56" i="1"/>
  <c r="H56" i="1" s="1"/>
  <c r="AH56" i="1"/>
  <c r="J56" i="1"/>
  <c r="N56" i="1"/>
  <c r="AB61" i="1"/>
  <c r="T61" i="1"/>
  <c r="U61" i="1" s="1"/>
  <c r="V95" i="1"/>
  <c r="Z95" i="1" s="1"/>
  <c r="AC95" i="1"/>
  <c r="AH111" i="1"/>
  <c r="N111" i="1"/>
  <c r="K111" i="1"/>
  <c r="I111" i="1"/>
  <c r="H111" i="1" s="1"/>
  <c r="J111" i="1"/>
  <c r="J18" i="1"/>
  <c r="I18" i="1"/>
  <c r="H18" i="1" s="1"/>
  <c r="AH18" i="1"/>
  <c r="N18" i="1"/>
  <c r="AH28" i="1"/>
  <c r="N31" i="1"/>
  <c r="AK45" i="1"/>
  <c r="S45" i="1"/>
  <c r="AA61" i="1"/>
  <c r="Q61" i="1"/>
  <c r="O61" i="1" s="1"/>
  <c r="R61" i="1" s="1"/>
  <c r="T82" i="1"/>
  <c r="U82" i="1" s="1"/>
  <c r="AB23" i="1"/>
  <c r="J30" i="1"/>
  <c r="I30" i="1"/>
  <c r="H30" i="1" s="1"/>
  <c r="AH30" i="1"/>
  <c r="N30" i="1"/>
  <c r="J33" i="1"/>
  <c r="AK33" i="1"/>
  <c r="S33" i="1"/>
  <c r="J38" i="1"/>
  <c r="I38" i="1"/>
  <c r="H38" i="1" s="1"/>
  <c r="AH38" i="1"/>
  <c r="N38" i="1"/>
  <c r="AH41" i="1"/>
  <c r="N41" i="1"/>
  <c r="K41" i="1"/>
  <c r="K47" i="1"/>
  <c r="J47" i="1"/>
  <c r="I47" i="1"/>
  <c r="H47" i="1" s="1"/>
  <c r="AH47" i="1"/>
  <c r="T62" i="1"/>
  <c r="U62" i="1" s="1"/>
  <c r="AA73" i="1"/>
  <c r="AA77" i="1"/>
  <c r="J50" i="1"/>
  <c r="I50" i="1"/>
  <c r="H50" i="1" s="1"/>
  <c r="AH50" i="1"/>
  <c r="N50" i="1"/>
  <c r="AK41" i="1"/>
  <c r="S41" i="1"/>
  <c r="T51" i="1"/>
  <c r="U51" i="1" s="1"/>
  <c r="K39" i="1"/>
  <c r="J39" i="1"/>
  <c r="I39" i="1"/>
  <c r="H39" i="1" s="1"/>
  <c r="AH39" i="1"/>
  <c r="I17" i="1"/>
  <c r="H17" i="1" s="1"/>
  <c r="AH25" i="1"/>
  <c r="N25" i="1"/>
  <c r="K25" i="1"/>
  <c r="AB27" i="1"/>
  <c r="AD27" i="1" s="1"/>
  <c r="N32" i="1"/>
  <c r="K32" i="1"/>
  <c r="J32" i="1"/>
  <c r="I32" i="1"/>
  <c r="H32" i="1" s="1"/>
  <c r="AB47" i="1"/>
  <c r="AH21" i="1"/>
  <c r="N21" i="1"/>
  <c r="K21" i="1"/>
  <c r="AK25" i="1"/>
  <c r="S25" i="1"/>
  <c r="T31" i="1"/>
  <c r="U31" i="1" s="1"/>
  <c r="AB44" i="1"/>
  <c r="J46" i="1"/>
  <c r="I46" i="1"/>
  <c r="H46" i="1" s="1"/>
  <c r="AH46" i="1"/>
  <c r="N46" i="1"/>
  <c r="AH49" i="1"/>
  <c r="N49" i="1"/>
  <c r="K49" i="1"/>
  <c r="AA58" i="1"/>
  <c r="AH71" i="1"/>
  <c r="N71" i="1"/>
  <c r="K71" i="1"/>
  <c r="J71" i="1"/>
  <c r="I71" i="1"/>
  <c r="H71" i="1" s="1"/>
  <c r="I75" i="1"/>
  <c r="H75" i="1" s="1"/>
  <c r="AH75" i="1"/>
  <c r="N75" i="1"/>
  <c r="K75" i="1"/>
  <c r="J75" i="1"/>
  <c r="I79" i="1"/>
  <c r="H79" i="1" s="1"/>
  <c r="AH79" i="1"/>
  <c r="N79" i="1"/>
  <c r="K79" i="1"/>
  <c r="J79" i="1"/>
  <c r="AA85" i="1"/>
  <c r="N36" i="1"/>
  <c r="K36" i="1"/>
  <c r="J36" i="1"/>
  <c r="I36" i="1"/>
  <c r="H36" i="1" s="1"/>
  <c r="AH45" i="1"/>
  <c r="N45" i="1"/>
  <c r="K45" i="1"/>
  <c r="T74" i="1"/>
  <c r="U74" i="1" s="1"/>
  <c r="AH17" i="1"/>
  <c r="N17" i="1"/>
  <c r="K17" i="1"/>
  <c r="N40" i="1"/>
  <c r="K40" i="1"/>
  <c r="J40" i="1"/>
  <c r="I40" i="1"/>
  <c r="H40" i="1" s="1"/>
  <c r="T40" i="1" s="1"/>
  <c r="U40" i="1" s="1"/>
  <c r="T48" i="1"/>
  <c r="U48" i="1" s="1"/>
  <c r="AK17" i="1"/>
  <c r="S17" i="1"/>
  <c r="I21" i="1"/>
  <c r="H21" i="1" s="1"/>
  <c r="J25" i="1"/>
  <c r="AH32" i="1"/>
  <c r="K35" i="1"/>
  <c r="J35" i="1"/>
  <c r="I35" i="1"/>
  <c r="H35" i="1" s="1"/>
  <c r="AH35" i="1"/>
  <c r="T36" i="1"/>
  <c r="U36" i="1" s="1"/>
  <c r="AB36" i="1" s="1"/>
  <c r="AH40" i="1"/>
  <c r="J21" i="1"/>
  <c r="AK21" i="1"/>
  <c r="S21" i="1"/>
  <c r="N24" i="1"/>
  <c r="K24" i="1"/>
  <c r="J24" i="1"/>
  <c r="I24" i="1"/>
  <c r="H24" i="1" s="1"/>
  <c r="AH29" i="1"/>
  <c r="N29" i="1"/>
  <c r="K29" i="1"/>
  <c r="T30" i="1"/>
  <c r="U30" i="1" s="1"/>
  <c r="AB35" i="1"/>
  <c r="AH37" i="1"/>
  <c r="N37" i="1"/>
  <c r="K37" i="1"/>
  <c r="K43" i="1"/>
  <c r="J43" i="1"/>
  <c r="I43" i="1"/>
  <c r="H43" i="1" s="1"/>
  <c r="AH43" i="1"/>
  <c r="N48" i="1"/>
  <c r="K48" i="1"/>
  <c r="J48" i="1"/>
  <c r="I48" i="1"/>
  <c r="H48" i="1" s="1"/>
  <c r="J49" i="1"/>
  <c r="AK49" i="1"/>
  <c r="S49" i="1"/>
  <c r="K53" i="1"/>
  <c r="J53" i="1"/>
  <c r="N53" i="1"/>
  <c r="I53" i="1"/>
  <c r="H53" i="1" s="1"/>
  <c r="T57" i="1"/>
  <c r="U57" i="1" s="1"/>
  <c r="AA63" i="1"/>
  <c r="AA67" i="1"/>
  <c r="J68" i="1"/>
  <c r="I68" i="1"/>
  <c r="H68" i="1" s="1"/>
  <c r="AH68" i="1"/>
  <c r="N68" i="1"/>
  <c r="K68" i="1"/>
  <c r="K72" i="1"/>
  <c r="J72" i="1"/>
  <c r="I72" i="1"/>
  <c r="H72" i="1" s="1"/>
  <c r="AH72" i="1"/>
  <c r="N72" i="1"/>
  <c r="K76" i="1"/>
  <c r="J76" i="1"/>
  <c r="I76" i="1"/>
  <c r="H76" i="1" s="1"/>
  <c r="AH76" i="1"/>
  <c r="N76" i="1"/>
  <c r="K80" i="1"/>
  <c r="J80" i="1"/>
  <c r="I80" i="1"/>
  <c r="H80" i="1" s="1"/>
  <c r="AH80" i="1"/>
  <c r="N80" i="1"/>
  <c r="S99" i="1"/>
  <c r="AK99" i="1"/>
  <c r="T35" i="1"/>
  <c r="U35" i="1" s="1"/>
  <c r="J45" i="1"/>
  <c r="N20" i="1"/>
  <c r="K20" i="1"/>
  <c r="J20" i="1"/>
  <c r="I20" i="1"/>
  <c r="H20" i="1" s="1"/>
  <c r="AK29" i="1"/>
  <c r="S29" i="1"/>
  <c r="J34" i="1"/>
  <c r="I34" i="1"/>
  <c r="H34" i="1" s="1"/>
  <c r="AH34" i="1"/>
  <c r="N34" i="1"/>
  <c r="AK37" i="1"/>
  <c r="S37" i="1"/>
  <c r="K42" i="1"/>
  <c r="T44" i="1"/>
  <c r="U44" i="1" s="1"/>
  <c r="T47" i="1"/>
  <c r="U47" i="1" s="1"/>
  <c r="N59" i="1"/>
  <c r="K59" i="1"/>
  <c r="AH59" i="1"/>
  <c r="I59" i="1"/>
  <c r="H59" i="1" s="1"/>
  <c r="J59" i="1"/>
  <c r="K88" i="1"/>
  <c r="J88" i="1"/>
  <c r="I88" i="1"/>
  <c r="H88" i="1" s="1"/>
  <c r="AH88" i="1"/>
  <c r="N88" i="1"/>
  <c r="K65" i="1"/>
  <c r="J65" i="1"/>
  <c r="N57" i="1"/>
  <c r="AH58" i="1"/>
  <c r="N62" i="1"/>
  <c r="AK62" i="1"/>
  <c r="K84" i="1"/>
  <c r="J84" i="1"/>
  <c r="I84" i="1"/>
  <c r="H84" i="1" s="1"/>
  <c r="AH84" i="1"/>
  <c r="N93" i="1"/>
  <c r="K93" i="1"/>
  <c r="J93" i="1"/>
  <c r="J108" i="1"/>
  <c r="I108" i="1"/>
  <c r="H108" i="1" s="1"/>
  <c r="AH108" i="1"/>
  <c r="N108" i="1"/>
  <c r="K108" i="1"/>
  <c r="J113" i="1"/>
  <c r="AH113" i="1"/>
  <c r="N113" i="1"/>
  <c r="I113" i="1"/>
  <c r="H113" i="1" s="1"/>
  <c r="J117" i="1"/>
  <c r="AH117" i="1"/>
  <c r="K117" i="1"/>
  <c r="I117" i="1"/>
  <c r="H117" i="1" s="1"/>
  <c r="AA196" i="1"/>
  <c r="AK79" i="1"/>
  <c r="S79" i="1"/>
  <c r="J91" i="1"/>
  <c r="I91" i="1"/>
  <c r="H91" i="1" s="1"/>
  <c r="AH91" i="1"/>
  <c r="N91" i="1"/>
  <c r="K91" i="1"/>
  <c r="I52" i="1"/>
  <c r="H52" i="1" s="1"/>
  <c r="AH52" i="1"/>
  <c r="W53" i="1"/>
  <c r="N55" i="1"/>
  <c r="K55" i="1"/>
  <c r="J58" i="1"/>
  <c r="K61" i="1"/>
  <c r="J61" i="1"/>
  <c r="S66" i="1"/>
  <c r="K69" i="1"/>
  <c r="J69" i="1"/>
  <c r="N70" i="1"/>
  <c r="I70" i="1"/>
  <c r="H70" i="1" s="1"/>
  <c r="W71" i="1"/>
  <c r="W73" i="1"/>
  <c r="W77" i="1"/>
  <c r="W81" i="1"/>
  <c r="W85" i="1"/>
  <c r="J87" i="1"/>
  <c r="I87" i="1"/>
  <c r="H87" i="1" s="1"/>
  <c r="AH87" i="1"/>
  <c r="N87" i="1"/>
  <c r="K87" i="1"/>
  <c r="N117" i="1"/>
  <c r="AK138" i="1"/>
  <c r="S138" i="1"/>
  <c r="AK59" i="1"/>
  <c r="S59" i="1"/>
  <c r="S20" i="1"/>
  <c r="S24" i="1"/>
  <c r="Q27" i="1"/>
  <c r="O27" i="1" s="1"/>
  <c r="R27" i="1" s="1"/>
  <c r="L27" i="1" s="1"/>
  <c r="M27" i="1" s="1"/>
  <c r="S28" i="1"/>
  <c r="S32" i="1"/>
  <c r="T54" i="1"/>
  <c r="U54" i="1" s="1"/>
  <c r="AB54" i="1" s="1"/>
  <c r="AK55" i="1"/>
  <c r="S55" i="1"/>
  <c r="K58" i="1"/>
  <c r="AB62" i="1"/>
  <c r="AH63" i="1"/>
  <c r="N63" i="1"/>
  <c r="K63" i="1"/>
  <c r="AK87" i="1"/>
  <c r="N89" i="1"/>
  <c r="K89" i="1"/>
  <c r="J89" i="1"/>
  <c r="I93" i="1"/>
  <c r="H93" i="1" s="1"/>
  <c r="AB95" i="1"/>
  <c r="N115" i="1"/>
  <c r="K115" i="1"/>
  <c r="AH115" i="1"/>
  <c r="J115" i="1"/>
  <c r="I115" i="1"/>
  <c r="H115" i="1" s="1"/>
  <c r="T115" i="1" s="1"/>
  <c r="U115" i="1" s="1"/>
  <c r="AA138" i="1"/>
  <c r="K157" i="1"/>
  <c r="J157" i="1"/>
  <c r="N157" i="1"/>
  <c r="I157" i="1"/>
  <c r="H157" i="1" s="1"/>
  <c r="AH157" i="1"/>
  <c r="T58" i="1"/>
  <c r="U58" i="1" s="1"/>
  <c r="AB58" i="1" s="1"/>
  <c r="AA101" i="1"/>
  <c r="S204" i="1"/>
  <c r="AK204" i="1"/>
  <c r="AK50" i="1"/>
  <c r="AH54" i="1"/>
  <c r="W55" i="1"/>
  <c r="N58" i="1"/>
  <c r="I60" i="1"/>
  <c r="H60" i="1" s="1"/>
  <c r="AH60" i="1"/>
  <c r="W61" i="1"/>
  <c r="AK63" i="1"/>
  <c r="S63" i="1"/>
  <c r="I65" i="1"/>
  <c r="H65" i="1" s="1"/>
  <c r="S70" i="1"/>
  <c r="J83" i="1"/>
  <c r="I83" i="1"/>
  <c r="H83" i="1" s="1"/>
  <c r="AH83" i="1"/>
  <c r="N83" i="1"/>
  <c r="K83" i="1"/>
  <c r="K97" i="1"/>
  <c r="J97" i="1"/>
  <c r="AH97" i="1"/>
  <c r="I97" i="1"/>
  <c r="H97" i="1" s="1"/>
  <c r="N97" i="1"/>
  <c r="K113" i="1"/>
  <c r="AA174" i="1"/>
  <c r="N66" i="1"/>
  <c r="I66" i="1"/>
  <c r="H66" i="1" s="1"/>
  <c r="AK111" i="1"/>
  <c r="S111" i="1"/>
  <c r="S19" i="1"/>
  <c r="K57" i="1"/>
  <c r="J57" i="1"/>
  <c r="J64" i="1"/>
  <c r="I64" i="1"/>
  <c r="H64" i="1" s="1"/>
  <c r="AH64" i="1"/>
  <c r="J66" i="1"/>
  <c r="AH67" i="1"/>
  <c r="N67" i="1"/>
  <c r="K67" i="1"/>
  <c r="N85" i="1"/>
  <c r="K85" i="1"/>
  <c r="J85" i="1"/>
  <c r="I89" i="1"/>
  <c r="H89" i="1" s="1"/>
  <c r="K92" i="1"/>
  <c r="J92" i="1"/>
  <c r="I92" i="1"/>
  <c r="H92" i="1" s="1"/>
  <c r="AH92" i="1"/>
  <c r="AA95" i="1"/>
  <c r="Q95" i="1"/>
  <c r="O95" i="1" s="1"/>
  <c r="R95" i="1" s="1"/>
  <c r="L95" i="1" s="1"/>
  <c r="M95" i="1" s="1"/>
  <c r="K101" i="1"/>
  <c r="J101" i="1"/>
  <c r="AH101" i="1"/>
  <c r="N134" i="1"/>
  <c r="K134" i="1"/>
  <c r="J134" i="1"/>
  <c r="AH134" i="1"/>
  <c r="I134" i="1"/>
  <c r="H134" i="1" s="1"/>
  <c r="AK71" i="1"/>
  <c r="S71" i="1"/>
  <c r="AK75" i="1"/>
  <c r="S75" i="1"/>
  <c r="K54" i="1"/>
  <c r="T56" i="1"/>
  <c r="U56" i="1" s="1"/>
  <c r="I57" i="1"/>
  <c r="H57" i="1" s="1"/>
  <c r="N60" i="1"/>
  <c r="N61" i="1"/>
  <c r="AH62" i="1"/>
  <c r="J63" i="1"/>
  <c r="W63" i="1"/>
  <c r="N65" i="1"/>
  <c r="K66" i="1"/>
  <c r="AK67" i="1"/>
  <c r="S67" i="1"/>
  <c r="I69" i="1"/>
  <c r="H69" i="1" s="1"/>
  <c r="T69" i="1" s="1"/>
  <c r="U69" i="1" s="1"/>
  <c r="K73" i="1"/>
  <c r="J73" i="1"/>
  <c r="K77" i="1"/>
  <c r="J77" i="1"/>
  <c r="K81" i="1"/>
  <c r="J81" i="1"/>
  <c r="W93" i="1"/>
  <c r="T122" i="1"/>
  <c r="U122" i="1" s="1"/>
  <c r="I74" i="1"/>
  <c r="H74" i="1" s="1"/>
  <c r="I78" i="1"/>
  <c r="H78" i="1" s="1"/>
  <c r="T78" i="1" s="1"/>
  <c r="U78" i="1" s="1"/>
  <c r="I82" i="1"/>
  <c r="H82" i="1" s="1"/>
  <c r="S83" i="1"/>
  <c r="I86" i="1"/>
  <c r="H86" i="1" s="1"/>
  <c r="T86" i="1" s="1"/>
  <c r="U86" i="1" s="1"/>
  <c r="S87" i="1"/>
  <c r="I90" i="1"/>
  <c r="H90" i="1" s="1"/>
  <c r="T90" i="1" s="1"/>
  <c r="U90" i="1" s="1"/>
  <c r="S91" i="1"/>
  <c r="I94" i="1"/>
  <c r="H94" i="1" s="1"/>
  <c r="T94" i="1" s="1"/>
  <c r="U94" i="1" s="1"/>
  <c r="AK97" i="1"/>
  <c r="AB98" i="1"/>
  <c r="AH99" i="1"/>
  <c r="N99" i="1"/>
  <c r="I99" i="1"/>
  <c r="H99" i="1" s="1"/>
  <c r="N106" i="1"/>
  <c r="J106" i="1"/>
  <c r="I106" i="1"/>
  <c r="H106" i="1" s="1"/>
  <c r="AA127" i="1"/>
  <c r="T98" i="1"/>
  <c r="U98" i="1" s="1"/>
  <c r="J100" i="1"/>
  <c r="I100" i="1"/>
  <c r="H100" i="1" s="1"/>
  <c r="AH100" i="1"/>
  <c r="K100" i="1"/>
  <c r="AH103" i="1"/>
  <c r="N103" i="1"/>
  <c r="K103" i="1"/>
  <c r="I103" i="1"/>
  <c r="H103" i="1" s="1"/>
  <c r="T106" i="1"/>
  <c r="U106" i="1" s="1"/>
  <c r="AB106" i="1" s="1"/>
  <c r="N110" i="1"/>
  <c r="J110" i="1"/>
  <c r="I110" i="1"/>
  <c r="H110" i="1" s="1"/>
  <c r="AH120" i="1"/>
  <c r="N120" i="1"/>
  <c r="K120" i="1"/>
  <c r="I120" i="1"/>
  <c r="H120" i="1" s="1"/>
  <c r="AK124" i="1"/>
  <c r="S124" i="1"/>
  <c r="AA131" i="1"/>
  <c r="S53" i="1"/>
  <c r="S65" i="1"/>
  <c r="S73" i="1"/>
  <c r="S77" i="1"/>
  <c r="S81" i="1"/>
  <c r="S85" i="1"/>
  <c r="S89" i="1"/>
  <c r="W95" i="1"/>
  <c r="AK103" i="1"/>
  <c r="S103" i="1"/>
  <c r="K105" i="1"/>
  <c r="J105" i="1"/>
  <c r="AH105" i="1"/>
  <c r="J118" i="1"/>
  <c r="I118" i="1"/>
  <c r="H118" i="1" s="1"/>
  <c r="T118" i="1" s="1"/>
  <c r="U118" i="1" s="1"/>
  <c r="N118" i="1"/>
  <c r="AH118" i="1"/>
  <c r="K118" i="1"/>
  <c r="W119" i="1"/>
  <c r="J120" i="1"/>
  <c r="W127" i="1"/>
  <c r="T133" i="1"/>
  <c r="U133" i="1" s="1"/>
  <c r="AB133" i="1" s="1"/>
  <c r="AK134" i="1"/>
  <c r="S134" i="1"/>
  <c r="AA147" i="1"/>
  <c r="AA150" i="1"/>
  <c r="W98" i="1"/>
  <c r="AK100" i="1"/>
  <c r="N102" i="1"/>
  <c r="J102" i="1"/>
  <c r="I102" i="1"/>
  <c r="H102" i="1" s="1"/>
  <c r="AH112" i="1"/>
  <c r="J112" i="1"/>
  <c r="I112" i="1"/>
  <c r="H112" i="1" s="1"/>
  <c r="T112" i="1" s="1"/>
  <c r="U112" i="1" s="1"/>
  <c r="N112" i="1"/>
  <c r="K112" i="1"/>
  <c r="J114" i="1"/>
  <c r="AH114" i="1"/>
  <c r="K114" i="1"/>
  <c r="I114" i="1"/>
  <c r="H114" i="1" s="1"/>
  <c r="N114" i="1"/>
  <c r="T117" i="1"/>
  <c r="U117" i="1" s="1"/>
  <c r="K122" i="1"/>
  <c r="J122" i="1"/>
  <c r="AH122" i="1"/>
  <c r="N122" i="1"/>
  <c r="T143" i="1"/>
  <c r="U143" i="1" s="1"/>
  <c r="I151" i="1"/>
  <c r="H151" i="1" s="1"/>
  <c r="AH151" i="1"/>
  <c r="N151" i="1"/>
  <c r="K151" i="1"/>
  <c r="J151" i="1"/>
  <c r="T184" i="1"/>
  <c r="U184" i="1" s="1"/>
  <c r="Q184" i="1" s="1"/>
  <c r="O184" i="1" s="1"/>
  <c r="R184" i="1" s="1"/>
  <c r="L184" i="1" s="1"/>
  <c r="M184" i="1" s="1"/>
  <c r="I96" i="1"/>
  <c r="H96" i="1" s="1"/>
  <c r="T96" i="1" s="1"/>
  <c r="U96" i="1" s="1"/>
  <c r="AH96" i="1"/>
  <c r="AH107" i="1"/>
  <c r="N107" i="1"/>
  <c r="K107" i="1"/>
  <c r="I107" i="1"/>
  <c r="H107" i="1" s="1"/>
  <c r="T110" i="1"/>
  <c r="U110" i="1" s="1"/>
  <c r="AB110" i="1" s="1"/>
  <c r="W115" i="1"/>
  <c r="AH116" i="1"/>
  <c r="N116" i="1"/>
  <c r="K116" i="1"/>
  <c r="J116" i="1"/>
  <c r="N119" i="1"/>
  <c r="I119" i="1"/>
  <c r="H119" i="1" s="1"/>
  <c r="AH119" i="1"/>
  <c r="J119" i="1"/>
  <c r="AA122" i="1"/>
  <c r="Q122" i="1"/>
  <c r="O122" i="1" s="1"/>
  <c r="R122" i="1" s="1"/>
  <c r="L122" i="1" s="1"/>
  <c r="M122" i="1" s="1"/>
  <c r="K130" i="1"/>
  <c r="J130" i="1"/>
  <c r="AH130" i="1"/>
  <c r="N130" i="1"/>
  <c r="I130" i="1"/>
  <c r="H130" i="1" s="1"/>
  <c r="T142" i="1"/>
  <c r="U142" i="1" s="1"/>
  <c r="K145" i="1"/>
  <c r="J145" i="1"/>
  <c r="AH145" i="1"/>
  <c r="N145" i="1"/>
  <c r="I145" i="1"/>
  <c r="H145" i="1" s="1"/>
  <c r="AH174" i="1"/>
  <c r="N174" i="1"/>
  <c r="K174" i="1"/>
  <c r="J174" i="1"/>
  <c r="J104" i="1"/>
  <c r="I104" i="1"/>
  <c r="H104" i="1" s="1"/>
  <c r="AH104" i="1"/>
  <c r="N104" i="1"/>
  <c r="K104" i="1"/>
  <c r="AK107" i="1"/>
  <c r="S107" i="1"/>
  <c r="K109" i="1"/>
  <c r="J109" i="1"/>
  <c r="AH109" i="1"/>
  <c r="S116" i="1"/>
  <c r="AK116" i="1"/>
  <c r="T128" i="1"/>
  <c r="U128" i="1" s="1"/>
  <c r="T131" i="1"/>
  <c r="U131" i="1" s="1"/>
  <c r="K141" i="1"/>
  <c r="J141" i="1"/>
  <c r="N141" i="1"/>
  <c r="AH141" i="1"/>
  <c r="I141" i="1"/>
  <c r="H141" i="1" s="1"/>
  <c r="T141" i="1" s="1"/>
  <c r="U141" i="1" s="1"/>
  <c r="AK154" i="1"/>
  <c r="S154" i="1"/>
  <c r="S100" i="1"/>
  <c r="AH128" i="1"/>
  <c r="N128" i="1"/>
  <c r="K129" i="1"/>
  <c r="J129" i="1"/>
  <c r="I129" i="1"/>
  <c r="H129" i="1" s="1"/>
  <c r="AH129" i="1"/>
  <c r="N129" i="1"/>
  <c r="S135" i="1"/>
  <c r="AK135" i="1"/>
  <c r="N138" i="1"/>
  <c r="AH138" i="1"/>
  <c r="J138" i="1"/>
  <c r="N154" i="1"/>
  <c r="AH154" i="1"/>
  <c r="K154" i="1"/>
  <c r="J154" i="1"/>
  <c r="I154" i="1"/>
  <c r="H154" i="1" s="1"/>
  <c r="N161" i="1"/>
  <c r="K161" i="1"/>
  <c r="J161" i="1"/>
  <c r="J121" i="1"/>
  <c r="I121" i="1"/>
  <c r="H121" i="1" s="1"/>
  <c r="AH121" i="1"/>
  <c r="K126" i="1"/>
  <c r="J126" i="1"/>
  <c r="AH126" i="1"/>
  <c r="I128" i="1"/>
  <c r="H128" i="1" s="1"/>
  <c r="T130" i="1"/>
  <c r="U130" i="1" s="1"/>
  <c r="AB130" i="1" s="1"/>
  <c r="T132" i="1"/>
  <c r="U132" i="1" s="1"/>
  <c r="I161" i="1"/>
  <c r="H161" i="1" s="1"/>
  <c r="AH162" i="1"/>
  <c r="N162" i="1"/>
  <c r="J162" i="1"/>
  <c r="I162" i="1"/>
  <c r="H162" i="1" s="1"/>
  <c r="J171" i="1"/>
  <c r="I171" i="1"/>
  <c r="H171" i="1" s="1"/>
  <c r="AH171" i="1"/>
  <c r="N171" i="1"/>
  <c r="K171" i="1"/>
  <c r="AH124" i="1"/>
  <c r="N124" i="1"/>
  <c r="N127" i="1"/>
  <c r="J127" i="1"/>
  <c r="J128" i="1"/>
  <c r="W142" i="1"/>
  <c r="K149" i="1"/>
  <c r="J149" i="1"/>
  <c r="I149" i="1"/>
  <c r="H149" i="1" s="1"/>
  <c r="AH149" i="1"/>
  <c r="AK159" i="1"/>
  <c r="T162" i="1"/>
  <c r="U162" i="1" s="1"/>
  <c r="AB162" i="1" s="1"/>
  <c r="AB122" i="1"/>
  <c r="I126" i="1"/>
  <c r="H126" i="1" s="1"/>
  <c r="AA133" i="1"/>
  <c r="N149" i="1"/>
  <c r="AA153" i="1"/>
  <c r="K162" i="1"/>
  <c r="N165" i="1"/>
  <c r="K165" i="1"/>
  <c r="J165" i="1"/>
  <c r="T193" i="1"/>
  <c r="U193" i="1" s="1"/>
  <c r="V197" i="1"/>
  <c r="Z197" i="1" s="1"/>
  <c r="AB197" i="1"/>
  <c r="AC197" i="1"/>
  <c r="AK210" i="1"/>
  <c r="S210" i="1"/>
  <c r="N211" i="1"/>
  <c r="J211" i="1"/>
  <c r="K211" i="1"/>
  <c r="I211" i="1"/>
  <c r="H211" i="1" s="1"/>
  <c r="AH211" i="1"/>
  <c r="S97" i="1"/>
  <c r="S101" i="1"/>
  <c r="S105" i="1"/>
  <c r="S109" i="1"/>
  <c r="I123" i="1"/>
  <c r="H123" i="1" s="1"/>
  <c r="T127" i="1"/>
  <c r="U127" i="1" s="1"/>
  <c r="T147" i="1"/>
  <c r="U147" i="1" s="1"/>
  <c r="Q147" i="1" s="1"/>
  <c r="O147" i="1" s="1"/>
  <c r="R147" i="1" s="1"/>
  <c r="L147" i="1" s="1"/>
  <c r="M147" i="1" s="1"/>
  <c r="T155" i="1"/>
  <c r="U155" i="1" s="1"/>
  <c r="Q180" i="1"/>
  <c r="O180" i="1" s="1"/>
  <c r="R180" i="1" s="1"/>
  <c r="L180" i="1" s="1"/>
  <c r="M180" i="1" s="1"/>
  <c r="AA180" i="1"/>
  <c r="T180" i="1"/>
  <c r="U180" i="1" s="1"/>
  <c r="AH183" i="1"/>
  <c r="N183" i="1"/>
  <c r="K183" i="1"/>
  <c r="I183" i="1"/>
  <c r="H183" i="1" s="1"/>
  <c r="AH187" i="1"/>
  <c r="N187" i="1"/>
  <c r="J187" i="1"/>
  <c r="I187" i="1"/>
  <c r="H187" i="1" s="1"/>
  <c r="K187" i="1"/>
  <c r="T189" i="1"/>
  <c r="U189" i="1" s="1"/>
  <c r="AB189" i="1" s="1"/>
  <c r="J123" i="1"/>
  <c r="J125" i="1"/>
  <c r="I125" i="1"/>
  <c r="H125" i="1" s="1"/>
  <c r="T125" i="1" s="1"/>
  <c r="U125" i="1" s="1"/>
  <c r="AH125" i="1"/>
  <c r="N126" i="1"/>
  <c r="J132" i="1"/>
  <c r="I132" i="1"/>
  <c r="H132" i="1" s="1"/>
  <c r="AH132" i="1"/>
  <c r="K132" i="1"/>
  <c r="N132" i="1"/>
  <c r="AH135" i="1"/>
  <c r="N135" i="1"/>
  <c r="I135" i="1"/>
  <c r="H135" i="1" s="1"/>
  <c r="T139" i="1"/>
  <c r="U139" i="1" s="1"/>
  <c r="J148" i="1"/>
  <c r="I148" i="1"/>
  <c r="H148" i="1" s="1"/>
  <c r="AH148" i="1"/>
  <c r="K148" i="1"/>
  <c r="N148" i="1"/>
  <c r="W150" i="1"/>
  <c r="AH161" i="1"/>
  <c r="I165" i="1"/>
  <c r="H165" i="1" s="1"/>
  <c r="AH166" i="1"/>
  <c r="N166" i="1"/>
  <c r="J166" i="1"/>
  <c r="I166" i="1"/>
  <c r="H166" i="1" s="1"/>
  <c r="T166" i="1" s="1"/>
  <c r="U166" i="1" s="1"/>
  <c r="W170" i="1"/>
  <c r="S187" i="1"/>
  <c r="AK187" i="1"/>
  <c r="AH131" i="1"/>
  <c r="N131" i="1"/>
  <c r="W135" i="1"/>
  <c r="K137" i="1"/>
  <c r="J137" i="1"/>
  <c r="J144" i="1"/>
  <c r="I144" i="1"/>
  <c r="H144" i="1" s="1"/>
  <c r="AH144" i="1"/>
  <c r="AH147" i="1"/>
  <c r="N147" i="1"/>
  <c r="AB149" i="1"/>
  <c r="T153" i="1"/>
  <c r="U153" i="1" s="1"/>
  <c r="AH158" i="1"/>
  <c r="K160" i="1"/>
  <c r="J160" i="1"/>
  <c r="I160" i="1"/>
  <c r="H160" i="1" s="1"/>
  <c r="AH160" i="1"/>
  <c r="AB161" i="1"/>
  <c r="J163" i="1"/>
  <c r="I163" i="1"/>
  <c r="H163" i="1" s="1"/>
  <c r="AH163" i="1"/>
  <c r="N163" i="1"/>
  <c r="K164" i="1"/>
  <c r="J164" i="1"/>
  <c r="I164" i="1"/>
  <c r="H164" i="1" s="1"/>
  <c r="T164" i="1" s="1"/>
  <c r="U164" i="1" s="1"/>
  <c r="AH164" i="1"/>
  <c r="J167" i="1"/>
  <c r="I167" i="1"/>
  <c r="H167" i="1" s="1"/>
  <c r="AH167" i="1"/>
  <c r="N167" i="1"/>
  <c r="N173" i="1"/>
  <c r="K173" i="1"/>
  <c r="J173" i="1"/>
  <c r="I173" i="1"/>
  <c r="H173" i="1" s="1"/>
  <c r="AK174" i="1"/>
  <c r="S174" i="1"/>
  <c r="T176" i="1"/>
  <c r="U176" i="1" s="1"/>
  <c r="J180" i="1"/>
  <c r="AH180" i="1"/>
  <c r="N180" i="1"/>
  <c r="T145" i="1"/>
  <c r="U145" i="1" s="1"/>
  <c r="AB145" i="1" s="1"/>
  <c r="AH170" i="1"/>
  <c r="N170" i="1"/>
  <c r="K170" i="1"/>
  <c r="V175" i="1"/>
  <c r="Z175" i="1" s="1"/>
  <c r="AC175" i="1"/>
  <c r="AD175" i="1" s="1"/>
  <c r="N190" i="1"/>
  <c r="K190" i="1"/>
  <c r="AH190" i="1"/>
  <c r="J190" i="1"/>
  <c r="AC227" i="1"/>
  <c r="V227" i="1"/>
  <c r="Z227" i="1" s="1"/>
  <c r="W131" i="1"/>
  <c r="K133" i="1"/>
  <c r="J133" i="1"/>
  <c r="J140" i="1"/>
  <c r="I140" i="1"/>
  <c r="H140" i="1" s="1"/>
  <c r="AH140" i="1"/>
  <c r="AH143" i="1"/>
  <c r="N143" i="1"/>
  <c r="N144" i="1"/>
  <c r="S146" i="1"/>
  <c r="AH150" i="1"/>
  <c r="K152" i="1"/>
  <c r="J152" i="1"/>
  <c r="I152" i="1"/>
  <c r="H152" i="1" s="1"/>
  <c r="AH152" i="1"/>
  <c r="K153" i="1"/>
  <c r="J153" i="1"/>
  <c r="I155" i="1"/>
  <c r="H155" i="1" s="1"/>
  <c r="AH155" i="1"/>
  <c r="N155" i="1"/>
  <c r="N169" i="1"/>
  <c r="K169" i="1"/>
  <c r="J169" i="1"/>
  <c r="I169" i="1"/>
  <c r="H169" i="1" s="1"/>
  <c r="J170" i="1"/>
  <c r="AK170" i="1"/>
  <c r="S170" i="1"/>
  <c r="AA184" i="1"/>
  <c r="N186" i="1"/>
  <c r="K186" i="1"/>
  <c r="J186" i="1"/>
  <c r="I186" i="1"/>
  <c r="H186" i="1" s="1"/>
  <c r="AK190" i="1"/>
  <c r="S190" i="1"/>
  <c r="K222" i="1"/>
  <c r="AH222" i="1"/>
  <c r="N222" i="1"/>
  <c r="J222" i="1"/>
  <c r="I137" i="1"/>
  <c r="H137" i="1" s="1"/>
  <c r="I146" i="1"/>
  <c r="H146" i="1" s="1"/>
  <c r="AB153" i="1"/>
  <c r="T157" i="1"/>
  <c r="U157" i="1" s="1"/>
  <c r="AB157" i="1" s="1"/>
  <c r="T161" i="1"/>
  <c r="U161" i="1" s="1"/>
  <c r="T165" i="1"/>
  <c r="U165" i="1" s="1"/>
  <c r="T168" i="1"/>
  <c r="U168" i="1" s="1"/>
  <c r="Q175" i="1"/>
  <c r="O175" i="1" s="1"/>
  <c r="R175" i="1" s="1"/>
  <c r="L175" i="1" s="1"/>
  <c r="M175" i="1" s="1"/>
  <c r="AH186" i="1"/>
  <c r="I190" i="1"/>
  <c r="H190" i="1" s="1"/>
  <c r="J136" i="1"/>
  <c r="I136" i="1"/>
  <c r="H136" i="1" s="1"/>
  <c r="T136" i="1" s="1"/>
  <c r="U136" i="1" s="1"/>
  <c r="AH136" i="1"/>
  <c r="AH139" i="1"/>
  <c r="N139" i="1"/>
  <c r="N140" i="1"/>
  <c r="J146" i="1"/>
  <c r="K155" i="1"/>
  <c r="T156" i="1"/>
  <c r="U156" i="1" s="1"/>
  <c r="W158" i="1"/>
  <c r="N160" i="1"/>
  <c r="K163" i="1"/>
  <c r="K167" i="1"/>
  <c r="W174" i="1"/>
  <c r="AA175" i="1"/>
  <c r="J189" i="1"/>
  <c r="I189" i="1"/>
  <c r="H189" i="1" s="1"/>
  <c r="N189" i="1"/>
  <c r="K189" i="1"/>
  <c r="AH189" i="1"/>
  <c r="T137" i="1"/>
  <c r="U137" i="1" s="1"/>
  <c r="K146" i="1"/>
  <c r="T149" i="1"/>
  <c r="U149" i="1" s="1"/>
  <c r="T150" i="1"/>
  <c r="U150" i="1" s="1"/>
  <c r="AB150" i="1" s="1"/>
  <c r="K156" i="1"/>
  <c r="J156" i="1"/>
  <c r="I156" i="1"/>
  <c r="H156" i="1" s="1"/>
  <c r="AH156" i="1"/>
  <c r="I158" i="1"/>
  <c r="H158" i="1" s="1"/>
  <c r="T158" i="1" s="1"/>
  <c r="U158" i="1" s="1"/>
  <c r="I159" i="1"/>
  <c r="H159" i="1" s="1"/>
  <c r="T159" i="1" s="1"/>
  <c r="U159" i="1" s="1"/>
  <c r="AH159" i="1"/>
  <c r="N159" i="1"/>
  <c r="AB175" i="1"/>
  <c r="N178" i="1"/>
  <c r="K178" i="1"/>
  <c r="I178" i="1"/>
  <c r="H178" i="1" s="1"/>
  <c r="AH178" i="1"/>
  <c r="T188" i="1"/>
  <c r="U188" i="1" s="1"/>
  <c r="K194" i="1"/>
  <c r="I194" i="1"/>
  <c r="H194" i="1" s="1"/>
  <c r="J194" i="1"/>
  <c r="AH194" i="1"/>
  <c r="K196" i="1"/>
  <c r="AH196" i="1"/>
  <c r="N196" i="1"/>
  <c r="T212" i="1"/>
  <c r="U212" i="1" s="1"/>
  <c r="AA222" i="1"/>
  <c r="AH179" i="1"/>
  <c r="N179" i="1"/>
  <c r="N182" i="1"/>
  <c r="K182" i="1"/>
  <c r="J195" i="1"/>
  <c r="I195" i="1"/>
  <c r="H195" i="1" s="1"/>
  <c r="T196" i="1"/>
  <c r="U196" i="1" s="1"/>
  <c r="Q203" i="1"/>
  <c r="O203" i="1" s="1"/>
  <c r="R203" i="1" s="1"/>
  <c r="AA203" i="1"/>
  <c r="AH168" i="1"/>
  <c r="AH172" i="1"/>
  <c r="N175" i="1"/>
  <c r="J176" i="1"/>
  <c r="AH176" i="1"/>
  <c r="J179" i="1"/>
  <c r="T179" i="1"/>
  <c r="U179" i="1" s="1"/>
  <c r="AH182" i="1"/>
  <c r="J185" i="1"/>
  <c r="I185" i="1"/>
  <c r="H185" i="1" s="1"/>
  <c r="T185" i="1" s="1"/>
  <c r="U185" i="1" s="1"/>
  <c r="AK186" i="1"/>
  <c r="S186" i="1"/>
  <c r="T191" i="1"/>
  <c r="U191" i="1" s="1"/>
  <c r="AH191" i="1"/>
  <c r="I191" i="1"/>
  <c r="H191" i="1" s="1"/>
  <c r="N191" i="1"/>
  <c r="AB195" i="1"/>
  <c r="AH195" i="1"/>
  <c r="AB196" i="1"/>
  <c r="AK196" i="1"/>
  <c r="AC200" i="1"/>
  <c r="AD200" i="1" s="1"/>
  <c r="V200" i="1"/>
  <c r="Z200" i="1" s="1"/>
  <c r="AB200" i="1"/>
  <c r="AA207" i="1"/>
  <c r="Q207" i="1"/>
  <c r="O207" i="1" s="1"/>
  <c r="R207" i="1" s="1"/>
  <c r="AH212" i="1"/>
  <c r="N212" i="1"/>
  <c r="K212" i="1"/>
  <c r="J212" i="1"/>
  <c r="I212" i="1"/>
  <c r="H212" i="1" s="1"/>
  <c r="Q225" i="1"/>
  <c r="O225" i="1" s="1"/>
  <c r="R225" i="1" s="1"/>
  <c r="L225" i="1" s="1"/>
  <c r="M225" i="1" s="1"/>
  <c r="AA225" i="1"/>
  <c r="S236" i="1"/>
  <c r="AK236" i="1"/>
  <c r="V237" i="1"/>
  <c r="Z237" i="1" s="1"/>
  <c r="AC237" i="1"/>
  <c r="AB237" i="1"/>
  <c r="AD237" i="1" s="1"/>
  <c r="I168" i="1"/>
  <c r="H168" i="1" s="1"/>
  <c r="I172" i="1"/>
  <c r="H172" i="1" s="1"/>
  <c r="T172" i="1" s="1"/>
  <c r="U172" i="1" s="1"/>
  <c r="K179" i="1"/>
  <c r="K193" i="1"/>
  <c r="AK194" i="1"/>
  <c r="S194" i="1"/>
  <c r="J168" i="1"/>
  <c r="J172" i="1"/>
  <c r="J181" i="1"/>
  <c r="I181" i="1"/>
  <c r="H181" i="1" s="1"/>
  <c r="I182" i="1"/>
  <c r="H182" i="1" s="1"/>
  <c r="AK182" i="1"/>
  <c r="S182" i="1"/>
  <c r="K185" i="1"/>
  <c r="J188" i="1"/>
  <c r="AH188" i="1"/>
  <c r="K191" i="1"/>
  <c r="T195" i="1"/>
  <c r="U195" i="1" s="1"/>
  <c r="I201" i="1"/>
  <c r="H201" i="1" s="1"/>
  <c r="T201" i="1" s="1"/>
  <c r="U201" i="1" s="1"/>
  <c r="N201" i="1"/>
  <c r="J201" i="1"/>
  <c r="AH208" i="1"/>
  <c r="K208" i="1"/>
  <c r="J208" i="1"/>
  <c r="N208" i="1"/>
  <c r="T177" i="1"/>
  <c r="U177" i="1" s="1"/>
  <c r="AB177" i="1" s="1"/>
  <c r="J182" i="1"/>
  <c r="J192" i="1"/>
  <c r="K192" i="1"/>
  <c r="I192" i="1"/>
  <c r="H192" i="1" s="1"/>
  <c r="AD197" i="1"/>
  <c r="T203" i="1"/>
  <c r="U203" i="1" s="1"/>
  <c r="AB203" i="1" s="1"/>
  <c r="J177" i="1"/>
  <c r="I177" i="1"/>
  <c r="H177" i="1" s="1"/>
  <c r="AK178" i="1"/>
  <c r="S178" i="1"/>
  <c r="J184" i="1"/>
  <c r="AH184" i="1"/>
  <c r="I193" i="1"/>
  <c r="H193" i="1" s="1"/>
  <c r="J193" i="1"/>
  <c r="K210" i="1"/>
  <c r="AH210" i="1"/>
  <c r="I210" i="1"/>
  <c r="H210" i="1" s="1"/>
  <c r="J210" i="1"/>
  <c r="Q200" i="1"/>
  <c r="O200" i="1" s="1"/>
  <c r="R200" i="1" s="1"/>
  <c r="L200" i="1" s="1"/>
  <c r="M200" i="1" s="1"/>
  <c r="S208" i="1"/>
  <c r="AA218" i="1"/>
  <c r="K218" i="1"/>
  <c r="AH218" i="1"/>
  <c r="J218" i="1"/>
  <c r="T220" i="1"/>
  <c r="U220" i="1" s="1"/>
  <c r="AB223" i="1"/>
  <c r="AA237" i="1"/>
  <c r="Q237" i="1"/>
  <c r="O237" i="1" s="1"/>
  <c r="R237" i="1" s="1"/>
  <c r="L237" i="1" s="1"/>
  <c r="M237" i="1" s="1"/>
  <c r="AK195" i="1"/>
  <c r="AK198" i="1"/>
  <c r="S198" i="1"/>
  <c r="J199" i="1"/>
  <c r="I199" i="1"/>
  <c r="H199" i="1" s="1"/>
  <c r="AK208" i="1"/>
  <c r="T216" i="1"/>
  <c r="U216" i="1" s="1"/>
  <c r="N218" i="1"/>
  <c r="AK218" i="1"/>
  <c r="S218" i="1"/>
  <c r="T223" i="1"/>
  <c r="U223" i="1" s="1"/>
  <c r="T225" i="1"/>
  <c r="U225" i="1" s="1"/>
  <c r="K206" i="1"/>
  <c r="AH206" i="1"/>
  <c r="J206" i="1"/>
  <c r="I206" i="1"/>
  <c r="H206" i="1" s="1"/>
  <c r="T207" i="1"/>
  <c r="U207" i="1" s="1"/>
  <c r="N219" i="1"/>
  <c r="J219" i="1"/>
  <c r="K219" i="1"/>
  <c r="I219" i="1"/>
  <c r="H219" i="1" s="1"/>
  <c r="AH219" i="1"/>
  <c r="T246" i="1"/>
  <c r="U246" i="1" s="1"/>
  <c r="K197" i="1"/>
  <c r="I198" i="1"/>
  <c r="H198" i="1" s="1"/>
  <c r="N203" i="1"/>
  <c r="AH203" i="1"/>
  <c r="J203" i="1"/>
  <c r="AK206" i="1"/>
  <c r="S206" i="1"/>
  <c r="AK207" i="1"/>
  <c r="T215" i="1"/>
  <c r="U215" i="1" s="1"/>
  <c r="K217" i="1"/>
  <c r="J217" i="1"/>
  <c r="I217" i="1"/>
  <c r="H217" i="1" s="1"/>
  <c r="T217" i="1" s="1"/>
  <c r="U217" i="1" s="1"/>
  <c r="N217" i="1"/>
  <c r="AH217" i="1"/>
  <c r="AB227" i="1"/>
  <c r="Q197" i="1"/>
  <c r="O197" i="1" s="1"/>
  <c r="R197" i="1" s="1"/>
  <c r="L197" i="1" s="1"/>
  <c r="M197" i="1" s="1"/>
  <c r="AA202" i="1"/>
  <c r="W207" i="1"/>
  <c r="W208" i="1"/>
  <c r="N228" i="1"/>
  <c r="K228" i="1"/>
  <c r="AH228" i="1"/>
  <c r="I228" i="1"/>
  <c r="H228" i="1" s="1"/>
  <c r="J228" i="1"/>
  <c r="T229" i="1"/>
  <c r="U229" i="1" s="1"/>
  <c r="AB229" i="1" s="1"/>
  <c r="AK226" i="1"/>
  <c r="S226" i="1"/>
  <c r="AA235" i="1"/>
  <c r="AC248" i="1"/>
  <c r="V248" i="1"/>
  <c r="Z248" i="1" s="1"/>
  <c r="AB248" i="1"/>
  <c r="I216" i="1"/>
  <c r="H216" i="1" s="1"/>
  <c r="AH216" i="1"/>
  <c r="AK222" i="1"/>
  <c r="S222" i="1"/>
  <c r="W226" i="1"/>
  <c r="Q227" i="1"/>
  <c r="O227" i="1" s="1"/>
  <c r="R227" i="1" s="1"/>
  <c r="L227" i="1" s="1"/>
  <c r="M227" i="1" s="1"/>
  <c r="AA227" i="1"/>
  <c r="AD227" i="1" s="1"/>
  <c r="AA245" i="1"/>
  <c r="Q245" i="1"/>
  <c r="O245" i="1" s="1"/>
  <c r="R245" i="1" s="1"/>
  <c r="L245" i="1" s="1"/>
  <c r="M245" i="1" s="1"/>
  <c r="AB246" i="1"/>
  <c r="K214" i="1"/>
  <c r="AH214" i="1"/>
  <c r="I220" i="1"/>
  <c r="H220" i="1" s="1"/>
  <c r="AH220" i="1"/>
  <c r="T232" i="1"/>
  <c r="U232" i="1" s="1"/>
  <c r="AH240" i="1"/>
  <c r="N240" i="1"/>
  <c r="J240" i="1"/>
  <c r="I240" i="1"/>
  <c r="H240" i="1" s="1"/>
  <c r="AK202" i="1"/>
  <c r="S202" i="1"/>
  <c r="J205" i="1"/>
  <c r="I205" i="1"/>
  <c r="H205" i="1" s="1"/>
  <c r="J207" i="1"/>
  <c r="AH207" i="1"/>
  <c r="J213" i="1"/>
  <c r="I213" i="1"/>
  <c r="H213" i="1" s="1"/>
  <c r="N213" i="1"/>
  <c r="J214" i="1"/>
  <c r="J220" i="1"/>
  <c r="K221" i="1"/>
  <c r="J221" i="1"/>
  <c r="I221" i="1"/>
  <c r="H221" i="1" s="1"/>
  <c r="T221" i="1" s="1"/>
  <c r="U221" i="1" s="1"/>
  <c r="N221" i="1"/>
  <c r="AK224" i="1"/>
  <c r="S224" i="1"/>
  <c r="AA243" i="1"/>
  <c r="K244" i="1"/>
  <c r="J244" i="1"/>
  <c r="I244" i="1"/>
  <c r="H244" i="1" s="1"/>
  <c r="AH244" i="1"/>
  <c r="T245" i="1"/>
  <c r="U245" i="1" s="1"/>
  <c r="K247" i="1"/>
  <c r="J247" i="1"/>
  <c r="I247" i="1"/>
  <c r="H247" i="1" s="1"/>
  <c r="AH247" i="1"/>
  <c r="AH205" i="1"/>
  <c r="K207" i="1"/>
  <c r="J209" i="1"/>
  <c r="I209" i="1"/>
  <c r="H209" i="1" s="1"/>
  <c r="AH213" i="1"/>
  <c r="AK214" i="1"/>
  <c r="S214" i="1"/>
  <c r="N215" i="1"/>
  <c r="J215" i="1"/>
  <c r="N216" i="1"/>
  <c r="K220" i="1"/>
  <c r="AH221" i="1"/>
  <c r="K239" i="1"/>
  <c r="J239" i="1"/>
  <c r="I239" i="1"/>
  <c r="H239" i="1" s="1"/>
  <c r="T240" i="1"/>
  <c r="U240" i="1" s="1"/>
  <c r="S244" i="1"/>
  <c r="AK244" i="1"/>
  <c r="N247" i="1"/>
  <c r="S228" i="1"/>
  <c r="T230" i="1"/>
  <c r="U230" i="1" s="1"/>
  <c r="Q230" i="1" s="1"/>
  <c r="O230" i="1" s="1"/>
  <c r="R230" i="1" s="1"/>
  <c r="L230" i="1" s="1"/>
  <c r="M230" i="1" s="1"/>
  <c r="K231" i="1"/>
  <c r="J231" i="1"/>
  <c r="I231" i="1"/>
  <c r="H231" i="1" s="1"/>
  <c r="T238" i="1"/>
  <c r="U238" i="1" s="1"/>
  <c r="K254" i="1"/>
  <c r="J254" i="1"/>
  <c r="I254" i="1"/>
  <c r="H254" i="1" s="1"/>
  <c r="AH254" i="1"/>
  <c r="AK240" i="1"/>
  <c r="AH248" i="1"/>
  <c r="N248" i="1"/>
  <c r="T252" i="1"/>
  <c r="U252" i="1" s="1"/>
  <c r="N254" i="1"/>
  <c r="I224" i="1"/>
  <c r="H224" i="1" s="1"/>
  <c r="I226" i="1"/>
  <c r="H226" i="1" s="1"/>
  <c r="AK231" i="1"/>
  <c r="S231" i="1"/>
  <c r="AH233" i="1"/>
  <c r="K233" i="1"/>
  <c r="I233" i="1"/>
  <c r="H233" i="1" s="1"/>
  <c r="T233" i="1" s="1"/>
  <c r="U233" i="1" s="1"/>
  <c r="I234" i="1"/>
  <c r="H234" i="1" s="1"/>
  <c r="K234" i="1"/>
  <c r="J234" i="1"/>
  <c r="AH234" i="1"/>
  <c r="AK235" i="1"/>
  <c r="S235" i="1"/>
  <c r="Q238" i="1"/>
  <c r="O238" i="1" s="1"/>
  <c r="R238" i="1" s="1"/>
  <c r="K251" i="1"/>
  <c r="AH251" i="1"/>
  <c r="N251" i="1"/>
  <c r="J251" i="1"/>
  <c r="AK252" i="1"/>
  <c r="J224" i="1"/>
  <c r="AH224" i="1"/>
  <c r="J226" i="1"/>
  <c r="AH226" i="1"/>
  <c r="AH241" i="1"/>
  <c r="K241" i="1"/>
  <c r="J241" i="1"/>
  <c r="I241" i="1"/>
  <c r="H241" i="1" s="1"/>
  <c r="I242" i="1"/>
  <c r="H242" i="1" s="1"/>
  <c r="K242" i="1"/>
  <c r="J242" i="1"/>
  <c r="AH242" i="1"/>
  <c r="AK243" i="1"/>
  <c r="S243" i="1"/>
  <c r="Q246" i="1"/>
  <c r="O246" i="1" s="1"/>
  <c r="R246" i="1" s="1"/>
  <c r="L246" i="1" s="1"/>
  <c r="M246" i="1" s="1"/>
  <c r="AK251" i="1"/>
  <c r="S251" i="1"/>
  <c r="I229" i="1"/>
  <c r="H229" i="1" s="1"/>
  <c r="AH229" i="1"/>
  <c r="K236" i="1"/>
  <c r="J236" i="1"/>
  <c r="I236" i="1"/>
  <c r="H236" i="1" s="1"/>
  <c r="Q248" i="1"/>
  <c r="O248" i="1" s="1"/>
  <c r="R248" i="1" s="1"/>
  <c r="L248" i="1" s="1"/>
  <c r="M248" i="1" s="1"/>
  <c r="AH249" i="1"/>
  <c r="K249" i="1"/>
  <c r="J249" i="1"/>
  <c r="I249" i="1"/>
  <c r="H249" i="1" s="1"/>
  <c r="I250" i="1"/>
  <c r="H250" i="1" s="1"/>
  <c r="K250" i="1"/>
  <c r="J250" i="1"/>
  <c r="AH250" i="1"/>
  <c r="K230" i="1"/>
  <c r="J235" i="1"/>
  <c r="AH237" i="1"/>
  <c r="K238" i="1"/>
  <c r="J243" i="1"/>
  <c r="AH245" i="1"/>
  <c r="K246" i="1"/>
  <c r="Q252" i="1"/>
  <c r="O252" i="1" s="1"/>
  <c r="R252" i="1" s="1"/>
  <c r="AK239" i="1"/>
  <c r="S239" i="1"/>
  <c r="AK247" i="1"/>
  <c r="S247" i="1"/>
  <c r="AH253" i="1"/>
  <c r="K253" i="1"/>
  <c r="J253" i="1"/>
  <c r="K255" i="1"/>
  <c r="J255" i="1"/>
  <c r="AH255" i="1"/>
  <c r="N255" i="1"/>
  <c r="T254" i="1"/>
  <c r="U254" i="1" s="1"/>
  <c r="AB254" i="1" s="1"/>
  <c r="S234" i="1"/>
  <c r="N235" i="1"/>
  <c r="AH235" i="1"/>
  <c r="S242" i="1"/>
  <c r="N243" i="1"/>
  <c r="AH243" i="1"/>
  <c r="S250" i="1"/>
  <c r="K252" i="1"/>
  <c r="I253" i="1"/>
  <c r="H253" i="1" s="1"/>
  <c r="AH230" i="1"/>
  <c r="AH238" i="1"/>
  <c r="AH246" i="1"/>
  <c r="I255" i="1"/>
  <c r="H255" i="1" s="1"/>
  <c r="T255" i="1"/>
  <c r="U255" i="1" s="1"/>
  <c r="AB255" i="1" s="1"/>
  <c r="S253" i="1"/>
  <c r="V233" i="1" l="1"/>
  <c r="Z233" i="1" s="1"/>
  <c r="AC233" i="1"/>
  <c r="AB233" i="1"/>
  <c r="AC141" i="1"/>
  <c r="V141" i="1"/>
  <c r="Z141" i="1" s="1"/>
  <c r="AB141" i="1"/>
  <c r="V90" i="1"/>
  <c r="Z90" i="1" s="1"/>
  <c r="AC90" i="1"/>
  <c r="AB90" i="1"/>
  <c r="AB172" i="1"/>
  <c r="AC172" i="1"/>
  <c r="V172" i="1"/>
  <c r="Z172" i="1" s="1"/>
  <c r="V115" i="1"/>
  <c r="Z115" i="1" s="1"/>
  <c r="AC115" i="1"/>
  <c r="AB115" i="1"/>
  <c r="V22" i="1"/>
  <c r="Z22" i="1" s="1"/>
  <c r="AC22" i="1"/>
  <c r="AB22" i="1"/>
  <c r="V69" i="1"/>
  <c r="Z69" i="1" s="1"/>
  <c r="AC69" i="1"/>
  <c r="AB69" i="1"/>
  <c r="V217" i="1"/>
  <c r="Z217" i="1" s="1"/>
  <c r="AC217" i="1"/>
  <c r="AD217" i="1" s="1"/>
  <c r="AB217" i="1"/>
  <c r="V159" i="1"/>
  <c r="Z159" i="1" s="1"/>
  <c r="AC159" i="1"/>
  <c r="AB159" i="1"/>
  <c r="AC118" i="1"/>
  <c r="V118" i="1"/>
  <c r="Z118" i="1" s="1"/>
  <c r="AB118" i="1"/>
  <c r="V86" i="1"/>
  <c r="Z86" i="1" s="1"/>
  <c r="AC86" i="1"/>
  <c r="AB86" i="1"/>
  <c r="AB164" i="1"/>
  <c r="V164" i="1"/>
  <c r="Z164" i="1" s="1"/>
  <c r="AC164" i="1"/>
  <c r="V96" i="1"/>
  <c r="Z96" i="1" s="1"/>
  <c r="AC96" i="1"/>
  <c r="AB96" i="1"/>
  <c r="V42" i="1"/>
  <c r="Z42" i="1" s="1"/>
  <c r="AC42" i="1"/>
  <c r="AB42" i="1"/>
  <c r="V166" i="1"/>
  <c r="Z166" i="1" s="1"/>
  <c r="AC166" i="1"/>
  <c r="AB166" i="1"/>
  <c r="V158" i="1"/>
  <c r="Z158" i="1" s="1"/>
  <c r="AC158" i="1"/>
  <c r="AD158" i="1" s="1"/>
  <c r="AB158" i="1"/>
  <c r="V112" i="1"/>
  <c r="Z112" i="1" s="1"/>
  <c r="AC112" i="1"/>
  <c r="AB112" i="1"/>
  <c r="V78" i="1"/>
  <c r="Z78" i="1" s="1"/>
  <c r="AC78" i="1"/>
  <c r="AB78" i="1"/>
  <c r="V40" i="1"/>
  <c r="Z40" i="1" s="1"/>
  <c r="AC40" i="1"/>
  <c r="AB40" i="1"/>
  <c r="V201" i="1"/>
  <c r="Z201" i="1" s="1"/>
  <c r="AC201" i="1"/>
  <c r="AB201" i="1"/>
  <c r="V221" i="1"/>
  <c r="Z221" i="1" s="1"/>
  <c r="AC221" i="1"/>
  <c r="AB221" i="1"/>
  <c r="V185" i="1"/>
  <c r="Z185" i="1" s="1"/>
  <c r="AC185" i="1"/>
  <c r="AB185" i="1"/>
  <c r="V136" i="1"/>
  <c r="Z136" i="1" s="1"/>
  <c r="AC136" i="1"/>
  <c r="AB136" i="1"/>
  <c r="V125" i="1"/>
  <c r="Z125" i="1" s="1"/>
  <c r="AC125" i="1"/>
  <c r="AD125" i="1" s="1"/>
  <c r="AB125" i="1"/>
  <c r="V94" i="1"/>
  <c r="Z94" i="1" s="1"/>
  <c r="AC94" i="1"/>
  <c r="AD94" i="1" s="1"/>
  <c r="AB94" i="1"/>
  <c r="AA219" i="1"/>
  <c r="AB168" i="1"/>
  <c r="AC168" i="1"/>
  <c r="AD168" i="1" s="1"/>
  <c r="V168" i="1"/>
  <c r="Z168" i="1" s="1"/>
  <c r="T174" i="1"/>
  <c r="U174" i="1" s="1"/>
  <c r="AA99" i="1"/>
  <c r="T64" i="1"/>
  <c r="U64" i="1" s="1"/>
  <c r="AA64" i="1"/>
  <c r="V74" i="1"/>
  <c r="Z74" i="1" s="1"/>
  <c r="AC74" i="1"/>
  <c r="Q30" i="1"/>
  <c r="O30" i="1" s="1"/>
  <c r="R30" i="1" s="1"/>
  <c r="L30" i="1" s="1"/>
  <c r="M30" i="1" s="1"/>
  <c r="AA30" i="1"/>
  <c r="T198" i="1"/>
  <c r="U198" i="1" s="1"/>
  <c r="AA192" i="1"/>
  <c r="AC156" i="1"/>
  <c r="AB156" i="1"/>
  <c r="V156" i="1"/>
  <c r="Z156" i="1" s="1"/>
  <c r="V142" i="1"/>
  <c r="Z142" i="1" s="1"/>
  <c r="AC142" i="1"/>
  <c r="T65" i="1"/>
  <c r="U65" i="1" s="1"/>
  <c r="AB74" i="1"/>
  <c r="T66" i="1"/>
  <c r="U66" i="1" s="1"/>
  <c r="T88" i="1"/>
  <c r="U88" i="1" s="1"/>
  <c r="Q88" i="1" s="1"/>
  <c r="O88" i="1" s="1"/>
  <c r="R88" i="1" s="1"/>
  <c r="L88" i="1" s="1"/>
  <c r="M88" i="1" s="1"/>
  <c r="AA88" i="1"/>
  <c r="T21" i="1"/>
  <c r="U21" i="1" s="1"/>
  <c r="AC31" i="1"/>
  <c r="AD31" i="1" s="1"/>
  <c r="V31" i="1"/>
  <c r="Z31" i="1" s="1"/>
  <c r="AA50" i="1"/>
  <c r="Q50" i="1"/>
  <c r="O50" i="1" s="1"/>
  <c r="R50" i="1" s="1"/>
  <c r="L50" i="1" s="1"/>
  <c r="M50" i="1" s="1"/>
  <c r="T50" i="1"/>
  <c r="U50" i="1" s="1"/>
  <c r="AA38" i="1"/>
  <c r="AC43" i="1"/>
  <c r="V43" i="1"/>
  <c r="Z43" i="1" s="1"/>
  <c r="AB31" i="1"/>
  <c r="V34" i="1"/>
  <c r="Z34" i="1" s="1"/>
  <c r="AC34" i="1"/>
  <c r="AB34" i="1"/>
  <c r="AA255" i="1"/>
  <c r="Q255" i="1"/>
  <c r="O255" i="1" s="1"/>
  <c r="R255" i="1" s="1"/>
  <c r="L255" i="1" s="1"/>
  <c r="M255" i="1" s="1"/>
  <c r="AA249" i="1"/>
  <c r="Q249" i="1"/>
  <c r="O249" i="1" s="1"/>
  <c r="R249" i="1" s="1"/>
  <c r="L249" i="1" s="1"/>
  <c r="M249" i="1" s="1"/>
  <c r="V238" i="1"/>
  <c r="Z238" i="1" s="1"/>
  <c r="AC238" i="1"/>
  <c r="AD238" i="1" s="1"/>
  <c r="T228" i="1"/>
  <c r="U228" i="1" s="1"/>
  <c r="Q228" i="1" s="1"/>
  <c r="O228" i="1" s="1"/>
  <c r="R228" i="1" s="1"/>
  <c r="L228" i="1" s="1"/>
  <c r="M228" i="1" s="1"/>
  <c r="AA205" i="1"/>
  <c r="T205" i="1"/>
  <c r="U205" i="1" s="1"/>
  <c r="AC232" i="1"/>
  <c r="AD232" i="1" s="1"/>
  <c r="V232" i="1"/>
  <c r="Z232" i="1" s="1"/>
  <c r="AB232" i="1"/>
  <c r="T249" i="1"/>
  <c r="U249" i="1" s="1"/>
  <c r="Q232" i="1"/>
  <c r="O232" i="1" s="1"/>
  <c r="R232" i="1" s="1"/>
  <c r="L232" i="1" s="1"/>
  <c r="M232" i="1" s="1"/>
  <c r="AA228" i="1"/>
  <c r="Q177" i="1"/>
  <c r="O177" i="1" s="1"/>
  <c r="R177" i="1" s="1"/>
  <c r="L177" i="1" s="1"/>
  <c r="M177" i="1" s="1"/>
  <c r="AA177" i="1"/>
  <c r="AA212" i="1"/>
  <c r="Q212" i="1"/>
  <c r="O212" i="1" s="1"/>
  <c r="R212" i="1" s="1"/>
  <c r="L212" i="1" s="1"/>
  <c r="M212" i="1" s="1"/>
  <c r="AA178" i="1"/>
  <c r="Q189" i="1"/>
  <c r="O189" i="1" s="1"/>
  <c r="R189" i="1" s="1"/>
  <c r="L189" i="1" s="1"/>
  <c r="M189" i="1" s="1"/>
  <c r="AA189" i="1"/>
  <c r="AA152" i="1"/>
  <c r="Q152" i="1"/>
  <c r="O152" i="1" s="1"/>
  <c r="R152" i="1" s="1"/>
  <c r="L152" i="1" s="1"/>
  <c r="M152" i="1" s="1"/>
  <c r="AA173" i="1"/>
  <c r="AA160" i="1"/>
  <c r="Q160" i="1"/>
  <c r="O160" i="1" s="1"/>
  <c r="R160" i="1" s="1"/>
  <c r="L160" i="1" s="1"/>
  <c r="M160" i="1" s="1"/>
  <c r="T160" i="1"/>
  <c r="U160" i="1" s="1"/>
  <c r="AA165" i="1"/>
  <c r="Q165" i="1"/>
  <c r="O165" i="1" s="1"/>
  <c r="R165" i="1" s="1"/>
  <c r="L165" i="1" s="1"/>
  <c r="M165" i="1" s="1"/>
  <c r="Q123" i="1"/>
  <c r="O123" i="1" s="1"/>
  <c r="R123" i="1" s="1"/>
  <c r="L123" i="1" s="1"/>
  <c r="M123" i="1" s="1"/>
  <c r="AA123" i="1"/>
  <c r="Q133" i="1"/>
  <c r="O133" i="1" s="1"/>
  <c r="R133" i="1" s="1"/>
  <c r="L133" i="1" s="1"/>
  <c r="M133" i="1" s="1"/>
  <c r="AA161" i="1"/>
  <c r="Q161" i="1"/>
  <c r="O161" i="1" s="1"/>
  <c r="R161" i="1" s="1"/>
  <c r="L161" i="1" s="1"/>
  <c r="M161" i="1" s="1"/>
  <c r="Q128" i="1"/>
  <c r="O128" i="1" s="1"/>
  <c r="R128" i="1" s="1"/>
  <c r="L128" i="1" s="1"/>
  <c r="M128" i="1" s="1"/>
  <c r="AA128" i="1"/>
  <c r="T135" i="1"/>
  <c r="U135" i="1" s="1"/>
  <c r="Q135" i="1" s="1"/>
  <c r="O135" i="1" s="1"/>
  <c r="R135" i="1" s="1"/>
  <c r="L135" i="1" s="1"/>
  <c r="M135" i="1" s="1"/>
  <c r="Q150" i="1"/>
  <c r="O150" i="1" s="1"/>
  <c r="R150" i="1" s="1"/>
  <c r="L150" i="1" s="1"/>
  <c r="M150" i="1" s="1"/>
  <c r="T53" i="1"/>
  <c r="U53" i="1" s="1"/>
  <c r="AA100" i="1"/>
  <c r="T83" i="1"/>
  <c r="U83" i="1" s="1"/>
  <c r="AA134" i="1"/>
  <c r="T204" i="1"/>
  <c r="U204" i="1" s="1"/>
  <c r="T20" i="1"/>
  <c r="U20" i="1" s="1"/>
  <c r="AA113" i="1"/>
  <c r="T113" i="1"/>
  <c r="U113" i="1" s="1"/>
  <c r="AA48" i="1"/>
  <c r="Q48" i="1"/>
  <c r="O48" i="1" s="1"/>
  <c r="R48" i="1" s="1"/>
  <c r="L48" i="1" s="1"/>
  <c r="M48" i="1" s="1"/>
  <c r="AA21" i="1"/>
  <c r="T25" i="1"/>
  <c r="U25" i="1" s="1"/>
  <c r="AA32" i="1"/>
  <c r="Q32" i="1"/>
  <c r="O32" i="1" s="1"/>
  <c r="R32" i="1" s="1"/>
  <c r="L32" i="1" s="1"/>
  <c r="M32" i="1" s="1"/>
  <c r="V51" i="1"/>
  <c r="Z51" i="1" s="1"/>
  <c r="AB51" i="1"/>
  <c r="AC51" i="1"/>
  <c r="AD51" i="1" s="1"/>
  <c r="AC62" i="1"/>
  <c r="AD62" i="1" s="1"/>
  <c r="V62" i="1"/>
  <c r="Z62" i="1" s="1"/>
  <c r="AA31" i="1"/>
  <c r="Q31" i="1"/>
  <c r="O31" i="1" s="1"/>
  <c r="R31" i="1" s="1"/>
  <c r="L31" i="1" s="1"/>
  <c r="M31" i="1" s="1"/>
  <c r="T250" i="1"/>
  <c r="U250" i="1" s="1"/>
  <c r="AA241" i="1"/>
  <c r="AA181" i="1"/>
  <c r="V165" i="1"/>
  <c r="Z165" i="1" s="1"/>
  <c r="AC165" i="1"/>
  <c r="AD165" i="1" s="1"/>
  <c r="Q125" i="1"/>
  <c r="O125" i="1" s="1"/>
  <c r="R125" i="1" s="1"/>
  <c r="L125" i="1" s="1"/>
  <c r="M125" i="1" s="1"/>
  <c r="AA125" i="1"/>
  <c r="V193" i="1"/>
  <c r="Z193" i="1" s="1"/>
  <c r="AC193" i="1"/>
  <c r="AD193" i="1" s="1"/>
  <c r="AB193" i="1"/>
  <c r="AA114" i="1"/>
  <c r="T103" i="1"/>
  <c r="U103" i="1" s="1"/>
  <c r="Q103" i="1" s="1"/>
  <c r="O103" i="1" s="1"/>
  <c r="R103" i="1" s="1"/>
  <c r="L103" i="1" s="1"/>
  <c r="M103" i="1" s="1"/>
  <c r="AA89" i="1"/>
  <c r="Q89" i="1"/>
  <c r="O89" i="1" s="1"/>
  <c r="R89" i="1" s="1"/>
  <c r="L89" i="1" s="1"/>
  <c r="M89" i="1" s="1"/>
  <c r="T24" i="1"/>
  <c r="U24" i="1" s="1"/>
  <c r="V47" i="1"/>
  <c r="Z47" i="1" s="1"/>
  <c r="AC47" i="1"/>
  <c r="V57" i="1"/>
  <c r="Z57" i="1" s="1"/>
  <c r="AC57" i="1"/>
  <c r="AD57" i="1" s="1"/>
  <c r="AB57" i="1"/>
  <c r="AA226" i="1"/>
  <c r="AB230" i="1"/>
  <c r="V215" i="1"/>
  <c r="Z215" i="1" s="1"/>
  <c r="AC215" i="1"/>
  <c r="AB215" i="1"/>
  <c r="AA198" i="1"/>
  <c r="Q198" i="1"/>
  <c r="O198" i="1" s="1"/>
  <c r="R198" i="1" s="1"/>
  <c r="L198" i="1" s="1"/>
  <c r="M198" i="1" s="1"/>
  <c r="AB216" i="1"/>
  <c r="V216" i="1"/>
  <c r="Z216" i="1" s="1"/>
  <c r="AC216" i="1"/>
  <c r="Q193" i="1"/>
  <c r="O193" i="1" s="1"/>
  <c r="R193" i="1" s="1"/>
  <c r="L193" i="1" s="1"/>
  <c r="M193" i="1" s="1"/>
  <c r="AA193" i="1"/>
  <c r="Q191" i="1"/>
  <c r="O191" i="1" s="1"/>
  <c r="R191" i="1" s="1"/>
  <c r="L191" i="1" s="1"/>
  <c r="M191" i="1" s="1"/>
  <c r="AA191" i="1"/>
  <c r="AC196" i="1"/>
  <c r="AD196" i="1" s="1"/>
  <c r="V196" i="1"/>
  <c r="Z196" i="1" s="1"/>
  <c r="AA156" i="1"/>
  <c r="Q156" i="1"/>
  <c r="O156" i="1" s="1"/>
  <c r="R156" i="1" s="1"/>
  <c r="L156" i="1" s="1"/>
  <c r="M156" i="1" s="1"/>
  <c r="AA190" i="1"/>
  <c r="V161" i="1"/>
  <c r="Z161" i="1" s="1"/>
  <c r="AC161" i="1"/>
  <c r="AD161" i="1" s="1"/>
  <c r="AA167" i="1"/>
  <c r="T167" i="1"/>
  <c r="U167" i="1" s="1"/>
  <c r="Q167" i="1" s="1"/>
  <c r="O167" i="1" s="1"/>
  <c r="R167" i="1" s="1"/>
  <c r="L167" i="1" s="1"/>
  <c r="M167" i="1" s="1"/>
  <c r="Q142" i="1"/>
  <c r="O142" i="1" s="1"/>
  <c r="R142" i="1" s="1"/>
  <c r="L142" i="1" s="1"/>
  <c r="M142" i="1" s="1"/>
  <c r="AA183" i="1"/>
  <c r="T183" i="1"/>
  <c r="U183" i="1" s="1"/>
  <c r="V155" i="1"/>
  <c r="Z155" i="1" s="1"/>
  <c r="AC155" i="1"/>
  <c r="AB155" i="1"/>
  <c r="T109" i="1"/>
  <c r="U109" i="1" s="1"/>
  <c r="AA171" i="1"/>
  <c r="T171" i="1"/>
  <c r="U171" i="1" s="1"/>
  <c r="AA130" i="1"/>
  <c r="Q130" i="1"/>
  <c r="O130" i="1" s="1"/>
  <c r="R130" i="1" s="1"/>
  <c r="L130" i="1" s="1"/>
  <c r="M130" i="1" s="1"/>
  <c r="AA102" i="1"/>
  <c r="Q118" i="1"/>
  <c r="O118" i="1" s="1"/>
  <c r="R118" i="1" s="1"/>
  <c r="L118" i="1" s="1"/>
  <c r="M118" i="1" s="1"/>
  <c r="AA118" i="1"/>
  <c r="T152" i="1"/>
  <c r="U152" i="1" s="1"/>
  <c r="AA103" i="1"/>
  <c r="Q106" i="1"/>
  <c r="O106" i="1" s="1"/>
  <c r="R106" i="1" s="1"/>
  <c r="L106" i="1" s="1"/>
  <c r="M106" i="1" s="1"/>
  <c r="AA106" i="1"/>
  <c r="Q82" i="1"/>
  <c r="O82" i="1" s="1"/>
  <c r="R82" i="1" s="1"/>
  <c r="L82" i="1" s="1"/>
  <c r="M82" i="1" s="1"/>
  <c r="AA82" i="1"/>
  <c r="AA57" i="1"/>
  <c r="Q57" i="1"/>
  <c r="O57" i="1" s="1"/>
  <c r="R57" i="1" s="1"/>
  <c r="L57" i="1" s="1"/>
  <c r="M57" i="1" s="1"/>
  <c r="T55" i="1"/>
  <c r="U55" i="1" s="1"/>
  <c r="Q196" i="1"/>
  <c r="O196" i="1" s="1"/>
  <c r="R196" i="1" s="1"/>
  <c r="L196" i="1" s="1"/>
  <c r="M196" i="1" s="1"/>
  <c r="T84" i="1"/>
  <c r="U84" i="1" s="1"/>
  <c r="Q84" i="1" s="1"/>
  <c r="O84" i="1" s="1"/>
  <c r="R84" i="1" s="1"/>
  <c r="L84" i="1" s="1"/>
  <c r="M84" i="1" s="1"/>
  <c r="AA84" i="1"/>
  <c r="V44" i="1"/>
  <c r="Z44" i="1" s="1"/>
  <c r="AC44" i="1"/>
  <c r="Q34" i="1"/>
  <c r="O34" i="1" s="1"/>
  <c r="R34" i="1" s="1"/>
  <c r="L34" i="1" s="1"/>
  <c r="M34" i="1" s="1"/>
  <c r="AA34" i="1"/>
  <c r="AA80" i="1"/>
  <c r="T80" i="1"/>
  <c r="U80" i="1" s="1"/>
  <c r="Q68" i="1"/>
  <c r="O68" i="1" s="1"/>
  <c r="R68" i="1" s="1"/>
  <c r="L68" i="1" s="1"/>
  <c r="M68" i="1" s="1"/>
  <c r="AA68" i="1"/>
  <c r="T68" i="1"/>
  <c r="U68" i="1" s="1"/>
  <c r="AA53" i="1"/>
  <c r="Q53" i="1"/>
  <c r="O53" i="1" s="1"/>
  <c r="R53" i="1" s="1"/>
  <c r="L53" i="1" s="1"/>
  <c r="M53" i="1" s="1"/>
  <c r="T38" i="1"/>
  <c r="U38" i="1" s="1"/>
  <c r="AA35" i="1"/>
  <c r="Q35" i="1"/>
  <c r="O35" i="1" s="1"/>
  <c r="R35" i="1" s="1"/>
  <c r="L35" i="1" s="1"/>
  <c r="M35" i="1" s="1"/>
  <c r="T17" i="1"/>
  <c r="U17" i="1" s="1"/>
  <c r="AA17" i="1"/>
  <c r="Q17" i="1"/>
  <c r="O17" i="1" s="1"/>
  <c r="R17" i="1" s="1"/>
  <c r="L17" i="1" s="1"/>
  <c r="M17" i="1" s="1"/>
  <c r="T33" i="1"/>
  <c r="U33" i="1" s="1"/>
  <c r="L61" i="1"/>
  <c r="M61" i="1" s="1"/>
  <c r="Q56" i="1"/>
  <c r="O56" i="1" s="1"/>
  <c r="R56" i="1" s="1"/>
  <c r="L56" i="1" s="1"/>
  <c r="M56" i="1" s="1"/>
  <c r="AA56" i="1"/>
  <c r="AA28" i="1"/>
  <c r="AA250" i="1"/>
  <c r="Q136" i="1"/>
  <c r="O136" i="1" s="1"/>
  <c r="R136" i="1" s="1"/>
  <c r="L136" i="1" s="1"/>
  <c r="M136" i="1" s="1"/>
  <c r="AA136" i="1"/>
  <c r="AA169" i="1"/>
  <c r="AA211" i="1"/>
  <c r="T211" i="1"/>
  <c r="U211" i="1" s="1"/>
  <c r="Q121" i="1"/>
  <c r="O121" i="1" s="1"/>
  <c r="R121" i="1" s="1"/>
  <c r="L121" i="1" s="1"/>
  <c r="M121" i="1" s="1"/>
  <c r="AA121" i="1"/>
  <c r="T121" i="1"/>
  <c r="U121" i="1" s="1"/>
  <c r="AA107" i="1"/>
  <c r="AA69" i="1"/>
  <c r="Q69" i="1"/>
  <c r="O69" i="1" s="1"/>
  <c r="R69" i="1" s="1"/>
  <c r="L69" i="1" s="1"/>
  <c r="M69" i="1" s="1"/>
  <c r="AA97" i="1"/>
  <c r="V82" i="1"/>
  <c r="Z82" i="1" s="1"/>
  <c r="AC82" i="1"/>
  <c r="Q42" i="1"/>
  <c r="O42" i="1" s="1"/>
  <c r="R42" i="1" s="1"/>
  <c r="L42" i="1" s="1"/>
  <c r="M42" i="1" s="1"/>
  <c r="AA42" i="1"/>
  <c r="T239" i="1"/>
  <c r="U239" i="1" s="1"/>
  <c r="T243" i="1"/>
  <c r="U243" i="1" s="1"/>
  <c r="L207" i="1"/>
  <c r="M207" i="1" s="1"/>
  <c r="AC149" i="1"/>
  <c r="V149" i="1"/>
  <c r="Z149" i="1" s="1"/>
  <c r="AA148" i="1"/>
  <c r="V162" i="1"/>
  <c r="Z162" i="1" s="1"/>
  <c r="AC162" i="1"/>
  <c r="AD162" i="1" s="1"/>
  <c r="AA154" i="1"/>
  <c r="T120" i="1"/>
  <c r="U120" i="1" s="1"/>
  <c r="Q120" i="1"/>
  <c r="O120" i="1" s="1"/>
  <c r="R120" i="1" s="1"/>
  <c r="L120" i="1" s="1"/>
  <c r="M120" i="1" s="1"/>
  <c r="AA120" i="1"/>
  <c r="Q86" i="1"/>
  <c r="O86" i="1" s="1"/>
  <c r="R86" i="1" s="1"/>
  <c r="L86" i="1" s="1"/>
  <c r="M86" i="1" s="1"/>
  <c r="AA86" i="1"/>
  <c r="T67" i="1"/>
  <c r="U67" i="1" s="1"/>
  <c r="AA52" i="1"/>
  <c r="Q108" i="1"/>
  <c r="O108" i="1" s="1"/>
  <c r="R108" i="1" s="1"/>
  <c r="L108" i="1" s="1"/>
  <c r="M108" i="1" s="1"/>
  <c r="AA108" i="1"/>
  <c r="AA71" i="1"/>
  <c r="T242" i="1"/>
  <c r="U242" i="1" s="1"/>
  <c r="AA234" i="1"/>
  <c r="L252" i="1"/>
  <c r="M252" i="1" s="1"/>
  <c r="AA224" i="1"/>
  <c r="AA209" i="1"/>
  <c r="V245" i="1"/>
  <c r="Z245" i="1" s="1"/>
  <c r="AC245" i="1"/>
  <c r="AB245" i="1"/>
  <c r="T224" i="1"/>
  <c r="U224" i="1" s="1"/>
  <c r="Q224" i="1" s="1"/>
  <c r="O224" i="1" s="1"/>
  <c r="R224" i="1" s="1"/>
  <c r="L224" i="1" s="1"/>
  <c r="M224" i="1" s="1"/>
  <c r="T202" i="1"/>
  <c r="U202" i="1" s="1"/>
  <c r="Q216" i="1"/>
  <c r="O216" i="1" s="1"/>
  <c r="R216" i="1" s="1"/>
  <c r="L216" i="1" s="1"/>
  <c r="M216" i="1" s="1"/>
  <c r="AA216" i="1"/>
  <c r="T226" i="1"/>
  <c r="U226" i="1" s="1"/>
  <c r="Q226" i="1" s="1"/>
  <c r="O226" i="1" s="1"/>
  <c r="R226" i="1" s="1"/>
  <c r="L226" i="1" s="1"/>
  <c r="M226" i="1" s="1"/>
  <c r="T209" i="1"/>
  <c r="U209" i="1" s="1"/>
  <c r="Q209" i="1" s="1"/>
  <c r="O209" i="1" s="1"/>
  <c r="R209" i="1" s="1"/>
  <c r="L209" i="1" s="1"/>
  <c r="M209" i="1" s="1"/>
  <c r="AB238" i="1"/>
  <c r="AA210" i="1"/>
  <c r="T219" i="1"/>
  <c r="U219" i="1" s="1"/>
  <c r="T192" i="1"/>
  <c r="U192" i="1" s="1"/>
  <c r="Q192" i="1" s="1"/>
  <c r="O192" i="1" s="1"/>
  <c r="R192" i="1" s="1"/>
  <c r="L192" i="1" s="1"/>
  <c r="M192" i="1" s="1"/>
  <c r="T181" i="1"/>
  <c r="U181" i="1" s="1"/>
  <c r="V179" i="1"/>
  <c r="Z179" i="1" s="1"/>
  <c r="AC179" i="1"/>
  <c r="AD179" i="1" s="1"/>
  <c r="Q179" i="1"/>
  <c r="O179" i="1" s="1"/>
  <c r="R179" i="1" s="1"/>
  <c r="L179" i="1" s="1"/>
  <c r="M179" i="1" s="1"/>
  <c r="AB179" i="1"/>
  <c r="Q195" i="1"/>
  <c r="O195" i="1" s="1"/>
  <c r="R195" i="1" s="1"/>
  <c r="L195" i="1" s="1"/>
  <c r="M195" i="1" s="1"/>
  <c r="AA195" i="1"/>
  <c r="V137" i="1"/>
  <c r="Z137" i="1" s="1"/>
  <c r="AC137" i="1"/>
  <c r="Q140" i="1"/>
  <c r="O140" i="1" s="1"/>
  <c r="R140" i="1" s="1"/>
  <c r="L140" i="1" s="1"/>
  <c r="M140" i="1" s="1"/>
  <c r="AA140" i="1"/>
  <c r="Q144" i="1"/>
  <c r="O144" i="1" s="1"/>
  <c r="R144" i="1" s="1"/>
  <c r="L144" i="1" s="1"/>
  <c r="M144" i="1" s="1"/>
  <c r="AA144" i="1"/>
  <c r="T144" i="1"/>
  <c r="U144" i="1" s="1"/>
  <c r="T187" i="1"/>
  <c r="U187" i="1" s="1"/>
  <c r="V139" i="1"/>
  <c r="Z139" i="1" s="1"/>
  <c r="AC139" i="1"/>
  <c r="AB139" i="1"/>
  <c r="Q139" i="1"/>
  <c r="O139" i="1" s="1"/>
  <c r="R139" i="1" s="1"/>
  <c r="L139" i="1" s="1"/>
  <c r="M139" i="1" s="1"/>
  <c r="Q132" i="1"/>
  <c r="O132" i="1" s="1"/>
  <c r="R132" i="1" s="1"/>
  <c r="L132" i="1" s="1"/>
  <c r="M132" i="1" s="1"/>
  <c r="AA132" i="1"/>
  <c r="T105" i="1"/>
  <c r="U105" i="1" s="1"/>
  <c r="T210" i="1"/>
  <c r="U210" i="1" s="1"/>
  <c r="AA126" i="1"/>
  <c r="T100" i="1"/>
  <c r="U100" i="1" s="1"/>
  <c r="AB137" i="1"/>
  <c r="T116" i="1"/>
  <c r="U116" i="1" s="1"/>
  <c r="AA145" i="1"/>
  <c r="Q145" i="1"/>
  <c r="O145" i="1" s="1"/>
  <c r="R145" i="1" s="1"/>
  <c r="L145" i="1" s="1"/>
  <c r="M145" i="1" s="1"/>
  <c r="T123" i="1"/>
  <c r="U123" i="1" s="1"/>
  <c r="T89" i="1"/>
  <c r="U89" i="1" s="1"/>
  <c r="AC98" i="1"/>
  <c r="AD98" i="1" s="1"/>
  <c r="V98" i="1"/>
  <c r="Z98" i="1" s="1"/>
  <c r="Q78" i="1"/>
  <c r="O78" i="1" s="1"/>
  <c r="R78" i="1" s="1"/>
  <c r="L78" i="1" s="1"/>
  <c r="M78" i="1" s="1"/>
  <c r="AA78" i="1"/>
  <c r="AC56" i="1"/>
  <c r="AD56" i="1" s="1"/>
  <c r="AB56" i="1"/>
  <c r="V56" i="1"/>
  <c r="Z56" i="1" s="1"/>
  <c r="T19" i="1"/>
  <c r="U19" i="1" s="1"/>
  <c r="Q83" i="1"/>
  <c r="O83" i="1" s="1"/>
  <c r="R83" i="1" s="1"/>
  <c r="L83" i="1" s="1"/>
  <c r="M83" i="1" s="1"/>
  <c r="AA83" i="1"/>
  <c r="T60" i="1"/>
  <c r="U60" i="1" s="1"/>
  <c r="AA60" i="1"/>
  <c r="T59" i="1"/>
  <c r="U59" i="1" s="1"/>
  <c r="AA70" i="1"/>
  <c r="T41" i="1"/>
  <c r="U41" i="1" s="1"/>
  <c r="T52" i="1"/>
  <c r="U52" i="1" s="1"/>
  <c r="Q52" i="1" s="1"/>
  <c r="O52" i="1" s="1"/>
  <c r="R52" i="1" s="1"/>
  <c r="L52" i="1" s="1"/>
  <c r="M52" i="1" s="1"/>
  <c r="Q18" i="1"/>
  <c r="O18" i="1" s="1"/>
  <c r="R18" i="1" s="1"/>
  <c r="L18" i="1" s="1"/>
  <c r="M18" i="1" s="1"/>
  <c r="AA18" i="1"/>
  <c r="T18" i="1"/>
  <c r="U18" i="1" s="1"/>
  <c r="AD95" i="1"/>
  <c r="Q62" i="1"/>
  <c r="O62" i="1" s="1"/>
  <c r="R62" i="1" s="1"/>
  <c r="L62" i="1" s="1"/>
  <c r="M62" i="1" s="1"/>
  <c r="AD23" i="1"/>
  <c r="V230" i="1"/>
  <c r="Z230" i="1" s="1"/>
  <c r="AC230" i="1"/>
  <c r="AD230" i="1" s="1"/>
  <c r="V229" i="1"/>
  <c r="Z229" i="1" s="1"/>
  <c r="AC229" i="1"/>
  <c r="AA182" i="1"/>
  <c r="AC145" i="1"/>
  <c r="AD145" i="1" s="1"/>
  <c r="V145" i="1"/>
  <c r="Z145" i="1" s="1"/>
  <c r="V127" i="1"/>
  <c r="Z127" i="1" s="1"/>
  <c r="AC127" i="1"/>
  <c r="V128" i="1"/>
  <c r="Z128" i="1" s="1"/>
  <c r="AB128" i="1"/>
  <c r="AC128" i="1"/>
  <c r="AD128" i="1" s="1"/>
  <c r="T87" i="1"/>
  <c r="U87" i="1" s="1"/>
  <c r="Q87" i="1" s="1"/>
  <c r="O87" i="1" s="1"/>
  <c r="R87" i="1" s="1"/>
  <c r="L87" i="1" s="1"/>
  <c r="M87" i="1" s="1"/>
  <c r="T71" i="1"/>
  <c r="U71" i="1" s="1"/>
  <c r="Q71" i="1" s="1"/>
  <c r="O71" i="1" s="1"/>
  <c r="R71" i="1" s="1"/>
  <c r="L71" i="1" s="1"/>
  <c r="M71" i="1" s="1"/>
  <c r="T63" i="1"/>
  <c r="U63" i="1" s="1"/>
  <c r="AA76" i="1"/>
  <c r="T76" i="1"/>
  <c r="U76" i="1" s="1"/>
  <c r="AA111" i="1"/>
  <c r="T214" i="1"/>
  <c r="U214" i="1" s="1"/>
  <c r="AB220" i="1"/>
  <c r="V220" i="1"/>
  <c r="Z220" i="1" s="1"/>
  <c r="AC220" i="1"/>
  <c r="AC130" i="1"/>
  <c r="V130" i="1"/>
  <c r="Z130" i="1" s="1"/>
  <c r="AA79" i="1"/>
  <c r="AA229" i="1"/>
  <c r="Q229" i="1"/>
  <c r="O229" i="1" s="1"/>
  <c r="R229" i="1" s="1"/>
  <c r="L229" i="1" s="1"/>
  <c r="M229" i="1" s="1"/>
  <c r="AA254" i="1"/>
  <c r="Q254" i="1"/>
  <c r="O254" i="1" s="1"/>
  <c r="R254" i="1" s="1"/>
  <c r="L254" i="1" s="1"/>
  <c r="M254" i="1" s="1"/>
  <c r="V191" i="1"/>
  <c r="Z191" i="1" s="1"/>
  <c r="AC191" i="1"/>
  <c r="AD191" i="1" s="1"/>
  <c r="AB191" i="1"/>
  <c r="AA194" i="1"/>
  <c r="T190" i="1"/>
  <c r="U190" i="1" s="1"/>
  <c r="Q190" i="1" s="1"/>
  <c r="O190" i="1" s="1"/>
  <c r="R190" i="1" s="1"/>
  <c r="L190" i="1" s="1"/>
  <c r="M190" i="1" s="1"/>
  <c r="T170" i="1"/>
  <c r="U170" i="1" s="1"/>
  <c r="V176" i="1"/>
  <c r="Z176" i="1" s="1"/>
  <c r="AC176" i="1"/>
  <c r="AB176" i="1"/>
  <c r="Q176" i="1"/>
  <c r="O176" i="1" s="1"/>
  <c r="R176" i="1" s="1"/>
  <c r="L176" i="1" s="1"/>
  <c r="M176" i="1" s="1"/>
  <c r="Q163" i="1"/>
  <c r="O163" i="1" s="1"/>
  <c r="R163" i="1" s="1"/>
  <c r="L163" i="1" s="1"/>
  <c r="M163" i="1" s="1"/>
  <c r="AA163" i="1"/>
  <c r="T163" i="1"/>
  <c r="U163" i="1" s="1"/>
  <c r="AC189" i="1"/>
  <c r="AD189" i="1" s="1"/>
  <c r="V189" i="1"/>
  <c r="Z189" i="1" s="1"/>
  <c r="V147" i="1"/>
  <c r="Z147" i="1" s="1"/>
  <c r="AC147" i="1"/>
  <c r="AB147" i="1"/>
  <c r="T101" i="1"/>
  <c r="U101" i="1" s="1"/>
  <c r="T154" i="1"/>
  <c r="U154" i="1" s="1"/>
  <c r="Q154" i="1" s="1"/>
  <c r="O154" i="1" s="1"/>
  <c r="R154" i="1" s="1"/>
  <c r="L154" i="1" s="1"/>
  <c r="M154" i="1" s="1"/>
  <c r="V131" i="1"/>
  <c r="Z131" i="1" s="1"/>
  <c r="AB131" i="1"/>
  <c r="AC131" i="1"/>
  <c r="AD131" i="1" s="1"/>
  <c r="Q104" i="1"/>
  <c r="O104" i="1" s="1"/>
  <c r="R104" i="1" s="1"/>
  <c r="L104" i="1" s="1"/>
  <c r="M104" i="1" s="1"/>
  <c r="AA104" i="1"/>
  <c r="T104" i="1"/>
  <c r="U104" i="1" s="1"/>
  <c r="AA119" i="1"/>
  <c r="Q119" i="1"/>
  <c r="O119" i="1" s="1"/>
  <c r="R119" i="1" s="1"/>
  <c r="L119" i="1" s="1"/>
  <c r="M119" i="1" s="1"/>
  <c r="V110" i="1"/>
  <c r="Z110" i="1" s="1"/>
  <c r="AC110" i="1"/>
  <c r="Q151" i="1"/>
  <c r="O151" i="1" s="1"/>
  <c r="R151" i="1" s="1"/>
  <c r="L151" i="1" s="1"/>
  <c r="M151" i="1" s="1"/>
  <c r="AA151" i="1"/>
  <c r="T151" i="1"/>
  <c r="U151" i="1" s="1"/>
  <c r="T134" i="1"/>
  <c r="U134" i="1" s="1"/>
  <c r="Q134" i="1" s="1"/>
  <c r="O134" i="1" s="1"/>
  <c r="R134" i="1" s="1"/>
  <c r="L134" i="1" s="1"/>
  <c r="M134" i="1" s="1"/>
  <c r="T85" i="1"/>
  <c r="U85" i="1" s="1"/>
  <c r="Q131" i="1"/>
  <c r="O131" i="1" s="1"/>
  <c r="R131" i="1" s="1"/>
  <c r="L131" i="1" s="1"/>
  <c r="M131" i="1" s="1"/>
  <c r="Q110" i="1"/>
  <c r="O110" i="1" s="1"/>
  <c r="R110" i="1" s="1"/>
  <c r="L110" i="1" s="1"/>
  <c r="M110" i="1" s="1"/>
  <c r="AA110" i="1"/>
  <c r="Q94" i="1"/>
  <c r="O94" i="1" s="1"/>
  <c r="R94" i="1" s="1"/>
  <c r="L94" i="1" s="1"/>
  <c r="M94" i="1" s="1"/>
  <c r="AA94" i="1"/>
  <c r="Q74" i="1"/>
  <c r="O74" i="1" s="1"/>
  <c r="R74" i="1" s="1"/>
  <c r="L74" i="1" s="1"/>
  <c r="M74" i="1" s="1"/>
  <c r="AA74" i="1"/>
  <c r="T111" i="1"/>
  <c r="U111" i="1" s="1"/>
  <c r="AC58" i="1"/>
  <c r="AD58" i="1" s="1"/>
  <c r="V58" i="1"/>
  <c r="Z58" i="1" s="1"/>
  <c r="AA115" i="1"/>
  <c r="Q115" i="1"/>
  <c r="O115" i="1" s="1"/>
  <c r="R115" i="1" s="1"/>
  <c r="L115" i="1" s="1"/>
  <c r="M115" i="1" s="1"/>
  <c r="AA93" i="1"/>
  <c r="Q93" i="1"/>
  <c r="O93" i="1" s="1"/>
  <c r="R93" i="1" s="1"/>
  <c r="L93" i="1" s="1"/>
  <c r="M93" i="1" s="1"/>
  <c r="AC54" i="1"/>
  <c r="AD54" i="1" s="1"/>
  <c r="V54" i="1"/>
  <c r="Z54" i="1" s="1"/>
  <c r="AA87" i="1"/>
  <c r="AA91" i="1"/>
  <c r="T140" i="1"/>
  <c r="U140" i="1" s="1"/>
  <c r="AA59" i="1"/>
  <c r="Q59" i="1"/>
  <c r="O59" i="1" s="1"/>
  <c r="R59" i="1" s="1"/>
  <c r="L59" i="1" s="1"/>
  <c r="M59" i="1" s="1"/>
  <c r="AB43" i="1"/>
  <c r="T29" i="1"/>
  <c r="U29" i="1" s="1"/>
  <c r="AC35" i="1"/>
  <c r="AD35" i="1" s="1"/>
  <c r="V35" i="1"/>
  <c r="Z35" i="1" s="1"/>
  <c r="AA72" i="1"/>
  <c r="T72" i="1"/>
  <c r="U72" i="1" s="1"/>
  <c r="Q72" i="1" s="1"/>
  <c r="O72" i="1" s="1"/>
  <c r="R72" i="1" s="1"/>
  <c r="L72" i="1" s="1"/>
  <c r="M72" i="1" s="1"/>
  <c r="AA24" i="1"/>
  <c r="Q24" i="1"/>
  <c r="O24" i="1" s="1"/>
  <c r="R24" i="1" s="1"/>
  <c r="L24" i="1" s="1"/>
  <c r="M24" i="1" s="1"/>
  <c r="V48" i="1"/>
  <c r="Z48" i="1" s="1"/>
  <c r="AC48" i="1"/>
  <c r="AD48" i="1" s="1"/>
  <c r="AA39" i="1"/>
  <c r="T45" i="1"/>
  <c r="U45" i="1" s="1"/>
  <c r="Q54" i="1"/>
  <c r="O54" i="1" s="1"/>
  <c r="R54" i="1" s="1"/>
  <c r="L54" i="1" s="1"/>
  <c r="M54" i="1" s="1"/>
  <c r="AA44" i="1"/>
  <c r="Q44" i="1"/>
  <c r="O44" i="1" s="1"/>
  <c r="R44" i="1" s="1"/>
  <c r="L44" i="1" s="1"/>
  <c r="M44" i="1" s="1"/>
  <c r="T222" i="1"/>
  <c r="U222" i="1" s="1"/>
  <c r="AA217" i="1"/>
  <c r="Q217" i="1"/>
  <c r="O217" i="1" s="1"/>
  <c r="R217" i="1" s="1"/>
  <c r="L217" i="1" s="1"/>
  <c r="M217" i="1" s="1"/>
  <c r="T218" i="1"/>
  <c r="U218" i="1" s="1"/>
  <c r="Q185" i="1"/>
  <c r="O185" i="1" s="1"/>
  <c r="R185" i="1" s="1"/>
  <c r="L185" i="1" s="1"/>
  <c r="M185" i="1" s="1"/>
  <c r="AA185" i="1"/>
  <c r="AA164" i="1"/>
  <c r="Q164" i="1"/>
  <c r="O164" i="1" s="1"/>
  <c r="R164" i="1" s="1"/>
  <c r="L164" i="1" s="1"/>
  <c r="M164" i="1" s="1"/>
  <c r="V106" i="1"/>
  <c r="Z106" i="1" s="1"/>
  <c r="AC106" i="1"/>
  <c r="AD106" i="1" s="1"/>
  <c r="V30" i="1"/>
  <c r="Z30" i="1" s="1"/>
  <c r="AC30" i="1"/>
  <c r="AB30" i="1"/>
  <c r="AA247" i="1"/>
  <c r="L203" i="1"/>
  <c r="M203" i="1" s="1"/>
  <c r="Q158" i="1"/>
  <c r="O158" i="1" s="1"/>
  <c r="R158" i="1" s="1"/>
  <c r="L158" i="1" s="1"/>
  <c r="M158" i="1" s="1"/>
  <c r="AA158" i="1"/>
  <c r="Q146" i="1"/>
  <c r="O146" i="1" s="1"/>
  <c r="R146" i="1" s="1"/>
  <c r="L146" i="1" s="1"/>
  <c r="M146" i="1" s="1"/>
  <c r="AA146" i="1"/>
  <c r="L238" i="1"/>
  <c r="M238" i="1" s="1"/>
  <c r="AA233" i="1"/>
  <c r="Q233" i="1"/>
  <c r="O233" i="1" s="1"/>
  <c r="R233" i="1" s="1"/>
  <c r="L233" i="1" s="1"/>
  <c r="M233" i="1" s="1"/>
  <c r="AA231" i="1"/>
  <c r="T244" i="1"/>
  <c r="U244" i="1" s="1"/>
  <c r="Q220" i="1"/>
  <c r="O220" i="1" s="1"/>
  <c r="R220" i="1" s="1"/>
  <c r="L220" i="1" s="1"/>
  <c r="M220" i="1" s="1"/>
  <c r="AA220" i="1"/>
  <c r="V246" i="1"/>
  <c r="Z246" i="1" s="1"/>
  <c r="AC246" i="1"/>
  <c r="AD246" i="1" s="1"/>
  <c r="V207" i="1"/>
  <c r="Z207" i="1" s="1"/>
  <c r="AC207" i="1"/>
  <c r="AB207" i="1"/>
  <c r="AC225" i="1"/>
  <c r="AD225" i="1" s="1"/>
  <c r="V225" i="1"/>
  <c r="Z225" i="1" s="1"/>
  <c r="AB225" i="1"/>
  <c r="T236" i="1"/>
  <c r="U236" i="1" s="1"/>
  <c r="AA253" i="1"/>
  <c r="T234" i="1"/>
  <c r="U234" i="1" s="1"/>
  <c r="Q234" i="1" s="1"/>
  <c r="O234" i="1" s="1"/>
  <c r="R234" i="1" s="1"/>
  <c r="L234" i="1" s="1"/>
  <c r="M234" i="1" s="1"/>
  <c r="T251" i="1"/>
  <c r="U251" i="1" s="1"/>
  <c r="AA242" i="1"/>
  <c r="T235" i="1"/>
  <c r="U235" i="1" s="1"/>
  <c r="AC252" i="1"/>
  <c r="AD252" i="1" s="1"/>
  <c r="V252" i="1"/>
  <c r="Z252" i="1" s="1"/>
  <c r="AB252" i="1"/>
  <c r="AA244" i="1"/>
  <c r="AA213" i="1"/>
  <c r="Q240" i="1"/>
  <c r="O240" i="1" s="1"/>
  <c r="R240" i="1" s="1"/>
  <c r="L240" i="1" s="1"/>
  <c r="M240" i="1" s="1"/>
  <c r="AA240" i="1"/>
  <c r="AD248" i="1"/>
  <c r="T206" i="1"/>
  <c r="U206" i="1" s="1"/>
  <c r="Q215" i="1"/>
  <c r="O215" i="1" s="1"/>
  <c r="R215" i="1" s="1"/>
  <c r="L215" i="1" s="1"/>
  <c r="M215" i="1" s="1"/>
  <c r="Q201" i="1"/>
  <c r="O201" i="1" s="1"/>
  <c r="R201" i="1" s="1"/>
  <c r="L201" i="1" s="1"/>
  <c r="M201" i="1" s="1"/>
  <c r="AA201" i="1"/>
  <c r="T182" i="1"/>
  <c r="U182" i="1" s="1"/>
  <c r="AA172" i="1"/>
  <c r="Q172" i="1"/>
  <c r="O172" i="1" s="1"/>
  <c r="R172" i="1" s="1"/>
  <c r="L172" i="1" s="1"/>
  <c r="M172" i="1" s="1"/>
  <c r="T186" i="1"/>
  <c r="U186" i="1" s="1"/>
  <c r="T213" i="1"/>
  <c r="U213" i="1" s="1"/>
  <c r="AA137" i="1"/>
  <c r="Q137" i="1"/>
  <c r="O137" i="1" s="1"/>
  <c r="R137" i="1" s="1"/>
  <c r="L137" i="1" s="1"/>
  <c r="M137" i="1" s="1"/>
  <c r="Q155" i="1"/>
  <c r="O155" i="1" s="1"/>
  <c r="R155" i="1" s="1"/>
  <c r="L155" i="1" s="1"/>
  <c r="M155" i="1" s="1"/>
  <c r="AA155" i="1"/>
  <c r="AB165" i="1"/>
  <c r="Q166" i="1"/>
  <c r="O166" i="1" s="1"/>
  <c r="R166" i="1" s="1"/>
  <c r="L166" i="1" s="1"/>
  <c r="M166" i="1" s="1"/>
  <c r="AA166" i="1"/>
  <c r="AA135" i="1"/>
  <c r="T126" i="1"/>
  <c r="U126" i="1" s="1"/>
  <c r="T97" i="1"/>
  <c r="U97" i="1" s="1"/>
  <c r="T173" i="1"/>
  <c r="U173" i="1" s="1"/>
  <c r="AA149" i="1"/>
  <c r="Q149" i="1"/>
  <c r="O149" i="1" s="1"/>
  <c r="R149" i="1" s="1"/>
  <c r="L149" i="1" s="1"/>
  <c r="M149" i="1" s="1"/>
  <c r="Q162" i="1"/>
  <c r="O162" i="1" s="1"/>
  <c r="R162" i="1" s="1"/>
  <c r="L162" i="1" s="1"/>
  <c r="M162" i="1" s="1"/>
  <c r="AA162" i="1"/>
  <c r="T148" i="1"/>
  <c r="U148" i="1" s="1"/>
  <c r="Q96" i="1"/>
  <c r="O96" i="1" s="1"/>
  <c r="R96" i="1" s="1"/>
  <c r="L96" i="1" s="1"/>
  <c r="M96" i="1" s="1"/>
  <c r="AA96" i="1"/>
  <c r="V143" i="1"/>
  <c r="Z143" i="1" s="1"/>
  <c r="AC143" i="1"/>
  <c r="AB143" i="1"/>
  <c r="Q143" i="1"/>
  <c r="O143" i="1" s="1"/>
  <c r="R143" i="1" s="1"/>
  <c r="L143" i="1" s="1"/>
  <c r="M143" i="1" s="1"/>
  <c r="T81" i="1"/>
  <c r="U81" i="1" s="1"/>
  <c r="Q127" i="1"/>
  <c r="O127" i="1" s="1"/>
  <c r="R127" i="1" s="1"/>
  <c r="L127" i="1" s="1"/>
  <c r="M127" i="1" s="1"/>
  <c r="T102" i="1"/>
  <c r="U102" i="1" s="1"/>
  <c r="T91" i="1"/>
  <c r="U91" i="1" s="1"/>
  <c r="Q91" i="1" s="1"/>
  <c r="O91" i="1" s="1"/>
  <c r="R91" i="1" s="1"/>
  <c r="L91" i="1" s="1"/>
  <c r="M91" i="1" s="1"/>
  <c r="T75" i="1"/>
  <c r="U75" i="1" s="1"/>
  <c r="T92" i="1"/>
  <c r="U92" i="1" s="1"/>
  <c r="AA92" i="1"/>
  <c r="Q92" i="1"/>
  <c r="O92" i="1" s="1"/>
  <c r="R92" i="1" s="1"/>
  <c r="L92" i="1" s="1"/>
  <c r="M92" i="1" s="1"/>
  <c r="Q98" i="1"/>
  <c r="O98" i="1" s="1"/>
  <c r="R98" i="1" s="1"/>
  <c r="L98" i="1" s="1"/>
  <c r="M98" i="1" s="1"/>
  <c r="T93" i="1"/>
  <c r="U93" i="1" s="1"/>
  <c r="T70" i="1"/>
  <c r="U70" i="1" s="1"/>
  <c r="Q70" i="1" s="1"/>
  <c r="O70" i="1" s="1"/>
  <c r="R70" i="1" s="1"/>
  <c r="L70" i="1" s="1"/>
  <c r="M70" i="1" s="1"/>
  <c r="T32" i="1"/>
  <c r="U32" i="1" s="1"/>
  <c r="T138" i="1"/>
  <c r="U138" i="1" s="1"/>
  <c r="Q117" i="1"/>
  <c r="O117" i="1" s="1"/>
  <c r="R117" i="1" s="1"/>
  <c r="L117" i="1" s="1"/>
  <c r="M117" i="1" s="1"/>
  <c r="AA117" i="1"/>
  <c r="T39" i="1"/>
  <c r="U39" i="1" s="1"/>
  <c r="AA36" i="1"/>
  <c r="Q36" i="1"/>
  <c r="O36" i="1" s="1"/>
  <c r="R36" i="1" s="1"/>
  <c r="L36" i="1" s="1"/>
  <c r="M36" i="1" s="1"/>
  <c r="AA46" i="1"/>
  <c r="T46" i="1"/>
  <c r="U46" i="1" s="1"/>
  <c r="AB127" i="1"/>
  <c r="V61" i="1"/>
  <c r="Z61" i="1" s="1"/>
  <c r="AC61" i="1"/>
  <c r="AD61" i="1" s="1"/>
  <c r="Q51" i="1"/>
  <c r="O51" i="1" s="1"/>
  <c r="R51" i="1" s="1"/>
  <c r="L51" i="1" s="1"/>
  <c r="M51" i="1" s="1"/>
  <c r="AA239" i="1"/>
  <c r="Q239" i="1"/>
  <c r="O239" i="1" s="1"/>
  <c r="R239" i="1" s="1"/>
  <c r="L239" i="1" s="1"/>
  <c r="M239" i="1" s="1"/>
  <c r="T178" i="1"/>
  <c r="U178" i="1" s="1"/>
  <c r="Q159" i="1"/>
  <c r="O159" i="1" s="1"/>
  <c r="R159" i="1" s="1"/>
  <c r="L159" i="1" s="1"/>
  <c r="M159" i="1" s="1"/>
  <c r="AA159" i="1"/>
  <c r="AC132" i="1"/>
  <c r="AB132" i="1"/>
  <c r="V132" i="1"/>
  <c r="Z132" i="1" s="1"/>
  <c r="T107" i="1"/>
  <c r="U107" i="1" s="1"/>
  <c r="V133" i="1"/>
  <c r="Z133" i="1" s="1"/>
  <c r="AC133" i="1"/>
  <c r="AD133" i="1" s="1"/>
  <c r="T73" i="1"/>
  <c r="U73" i="1" s="1"/>
  <c r="AA20" i="1"/>
  <c r="Q20" i="1"/>
  <c r="O20" i="1" s="1"/>
  <c r="R20" i="1" s="1"/>
  <c r="L20" i="1" s="1"/>
  <c r="M20" i="1" s="1"/>
  <c r="V36" i="1"/>
  <c r="Z36" i="1" s="1"/>
  <c r="AC36" i="1"/>
  <c r="Q22" i="1"/>
  <c r="O22" i="1" s="1"/>
  <c r="R22" i="1" s="1"/>
  <c r="L22" i="1" s="1"/>
  <c r="M22" i="1" s="1"/>
  <c r="AA22" i="1"/>
  <c r="AC255" i="1"/>
  <c r="AD255" i="1" s="1"/>
  <c r="V255" i="1"/>
  <c r="Z255" i="1" s="1"/>
  <c r="AA236" i="1"/>
  <c r="Q236" i="1"/>
  <c r="O236" i="1" s="1"/>
  <c r="R236" i="1" s="1"/>
  <c r="L236" i="1" s="1"/>
  <c r="M236" i="1" s="1"/>
  <c r="T231" i="1"/>
  <c r="U231" i="1" s="1"/>
  <c r="Q231" i="1" s="1"/>
  <c r="O231" i="1" s="1"/>
  <c r="R231" i="1" s="1"/>
  <c r="L231" i="1" s="1"/>
  <c r="M231" i="1" s="1"/>
  <c r="T253" i="1"/>
  <c r="U253" i="1" s="1"/>
  <c r="AC254" i="1"/>
  <c r="AD254" i="1" s="1"/>
  <c r="V254" i="1"/>
  <c r="Z254" i="1" s="1"/>
  <c r="T247" i="1"/>
  <c r="U247" i="1" s="1"/>
  <c r="Q247" i="1" s="1"/>
  <c r="O247" i="1" s="1"/>
  <c r="R247" i="1" s="1"/>
  <c r="L247" i="1" s="1"/>
  <c r="M247" i="1" s="1"/>
  <c r="T241" i="1"/>
  <c r="U241" i="1" s="1"/>
  <c r="AC240" i="1"/>
  <c r="V240" i="1"/>
  <c r="Z240" i="1" s="1"/>
  <c r="AB240" i="1"/>
  <c r="AA221" i="1"/>
  <c r="Q221" i="1"/>
  <c r="O221" i="1" s="1"/>
  <c r="R221" i="1" s="1"/>
  <c r="L221" i="1" s="1"/>
  <c r="M221" i="1" s="1"/>
  <c r="AA206" i="1"/>
  <c r="Q206" i="1"/>
  <c r="O206" i="1" s="1"/>
  <c r="R206" i="1" s="1"/>
  <c r="L206" i="1" s="1"/>
  <c r="M206" i="1" s="1"/>
  <c r="AC223" i="1"/>
  <c r="AD223" i="1" s="1"/>
  <c r="V223" i="1"/>
  <c r="Z223" i="1" s="1"/>
  <c r="Q223" i="1"/>
  <c r="O223" i="1" s="1"/>
  <c r="R223" i="1" s="1"/>
  <c r="L223" i="1" s="1"/>
  <c r="M223" i="1" s="1"/>
  <c r="AA199" i="1"/>
  <c r="T199" i="1"/>
  <c r="U199" i="1" s="1"/>
  <c r="Q199" i="1" s="1"/>
  <c r="O199" i="1" s="1"/>
  <c r="R199" i="1" s="1"/>
  <c r="L199" i="1" s="1"/>
  <c r="M199" i="1" s="1"/>
  <c r="T208" i="1"/>
  <c r="U208" i="1" s="1"/>
  <c r="AC203" i="1"/>
  <c r="AD203" i="1" s="1"/>
  <c r="V203" i="1"/>
  <c r="Z203" i="1" s="1"/>
  <c r="AC177" i="1"/>
  <c r="V177" i="1"/>
  <c r="Z177" i="1" s="1"/>
  <c r="AC195" i="1"/>
  <c r="V195" i="1"/>
  <c r="Z195" i="1" s="1"/>
  <c r="T194" i="1"/>
  <c r="U194" i="1" s="1"/>
  <c r="AA168" i="1"/>
  <c r="Q168" i="1"/>
  <c r="O168" i="1" s="1"/>
  <c r="R168" i="1" s="1"/>
  <c r="L168" i="1" s="1"/>
  <c r="M168" i="1" s="1"/>
  <c r="AB212" i="1"/>
  <c r="V212" i="1"/>
  <c r="Z212" i="1" s="1"/>
  <c r="AC212" i="1"/>
  <c r="V188" i="1"/>
  <c r="Z188" i="1" s="1"/>
  <c r="AC188" i="1"/>
  <c r="AD188" i="1" s="1"/>
  <c r="AB188" i="1"/>
  <c r="Q188" i="1"/>
  <c r="O188" i="1" s="1"/>
  <c r="R188" i="1" s="1"/>
  <c r="L188" i="1" s="1"/>
  <c r="M188" i="1" s="1"/>
  <c r="V150" i="1"/>
  <c r="Z150" i="1" s="1"/>
  <c r="AC150" i="1"/>
  <c r="AD150" i="1" s="1"/>
  <c r="AC157" i="1"/>
  <c r="AD157" i="1" s="1"/>
  <c r="V157" i="1"/>
  <c r="Z157" i="1" s="1"/>
  <c r="AA186" i="1"/>
  <c r="Q186" i="1"/>
  <c r="O186" i="1" s="1"/>
  <c r="R186" i="1" s="1"/>
  <c r="L186" i="1" s="1"/>
  <c r="M186" i="1" s="1"/>
  <c r="T146" i="1"/>
  <c r="U146" i="1" s="1"/>
  <c r="T169" i="1"/>
  <c r="U169" i="1" s="1"/>
  <c r="AC153" i="1"/>
  <c r="AD153" i="1" s="1"/>
  <c r="V153" i="1"/>
  <c r="Z153" i="1" s="1"/>
  <c r="AA187" i="1"/>
  <c r="AC180" i="1"/>
  <c r="AD180" i="1" s="1"/>
  <c r="AB180" i="1"/>
  <c r="V180" i="1"/>
  <c r="Z180" i="1" s="1"/>
  <c r="Q153" i="1"/>
  <c r="O153" i="1" s="1"/>
  <c r="R153" i="1" s="1"/>
  <c r="L153" i="1" s="1"/>
  <c r="M153" i="1" s="1"/>
  <c r="AB142" i="1"/>
  <c r="AA129" i="1"/>
  <c r="T129" i="1"/>
  <c r="U129" i="1" s="1"/>
  <c r="Q129" i="1" s="1"/>
  <c r="O129" i="1" s="1"/>
  <c r="R129" i="1" s="1"/>
  <c r="L129" i="1" s="1"/>
  <c r="M129" i="1" s="1"/>
  <c r="AA141" i="1"/>
  <c r="Q141" i="1"/>
  <c r="O141" i="1" s="1"/>
  <c r="R141" i="1" s="1"/>
  <c r="L141" i="1" s="1"/>
  <c r="M141" i="1" s="1"/>
  <c r="AC184" i="1"/>
  <c r="AB184" i="1"/>
  <c r="V184" i="1"/>
  <c r="Z184" i="1" s="1"/>
  <c r="AC117" i="1"/>
  <c r="AD117" i="1" s="1"/>
  <c r="AB117" i="1"/>
  <c r="V117" i="1"/>
  <c r="Z117" i="1" s="1"/>
  <c r="Q112" i="1"/>
  <c r="O112" i="1" s="1"/>
  <c r="R112" i="1" s="1"/>
  <c r="L112" i="1" s="1"/>
  <c r="M112" i="1" s="1"/>
  <c r="AA112" i="1"/>
  <c r="T77" i="1"/>
  <c r="U77" i="1" s="1"/>
  <c r="T124" i="1"/>
  <c r="U124" i="1" s="1"/>
  <c r="T119" i="1"/>
  <c r="U119" i="1" s="1"/>
  <c r="Q90" i="1"/>
  <c r="O90" i="1" s="1"/>
  <c r="R90" i="1" s="1"/>
  <c r="L90" i="1" s="1"/>
  <c r="M90" i="1" s="1"/>
  <c r="AA90" i="1"/>
  <c r="V122" i="1"/>
  <c r="Z122" i="1" s="1"/>
  <c r="AC122" i="1"/>
  <c r="AD122" i="1" s="1"/>
  <c r="T108" i="1"/>
  <c r="U108" i="1" s="1"/>
  <c r="AB82" i="1"/>
  <c r="Q66" i="1"/>
  <c r="O66" i="1" s="1"/>
  <c r="R66" i="1" s="1"/>
  <c r="L66" i="1" s="1"/>
  <c r="M66" i="1" s="1"/>
  <c r="AA66" i="1"/>
  <c r="AA65" i="1"/>
  <c r="Q65" i="1"/>
  <c r="O65" i="1" s="1"/>
  <c r="R65" i="1" s="1"/>
  <c r="L65" i="1" s="1"/>
  <c r="M65" i="1" s="1"/>
  <c r="AA157" i="1"/>
  <c r="Q157" i="1"/>
  <c r="O157" i="1" s="1"/>
  <c r="R157" i="1" s="1"/>
  <c r="L157" i="1" s="1"/>
  <c r="M157" i="1" s="1"/>
  <c r="T28" i="1"/>
  <c r="U28" i="1" s="1"/>
  <c r="Q28" i="1" s="1"/>
  <c r="O28" i="1" s="1"/>
  <c r="R28" i="1" s="1"/>
  <c r="L28" i="1" s="1"/>
  <c r="M28" i="1" s="1"/>
  <c r="T79" i="1"/>
  <c r="U79" i="1" s="1"/>
  <c r="T37" i="1"/>
  <c r="U37" i="1" s="1"/>
  <c r="T99" i="1"/>
  <c r="U99" i="1" s="1"/>
  <c r="T49" i="1"/>
  <c r="U49" i="1" s="1"/>
  <c r="AA43" i="1"/>
  <c r="Q43" i="1"/>
  <c r="O43" i="1" s="1"/>
  <c r="R43" i="1" s="1"/>
  <c r="L43" i="1" s="1"/>
  <c r="M43" i="1" s="1"/>
  <c r="AA40" i="1"/>
  <c r="Q40" i="1"/>
  <c r="O40" i="1" s="1"/>
  <c r="R40" i="1" s="1"/>
  <c r="L40" i="1" s="1"/>
  <c r="M40" i="1" s="1"/>
  <c r="Q75" i="1"/>
  <c r="O75" i="1" s="1"/>
  <c r="R75" i="1" s="1"/>
  <c r="L75" i="1" s="1"/>
  <c r="M75" i="1" s="1"/>
  <c r="AA75" i="1"/>
  <c r="Q58" i="1"/>
  <c r="O58" i="1" s="1"/>
  <c r="R58" i="1" s="1"/>
  <c r="L58" i="1" s="1"/>
  <c r="M58" i="1" s="1"/>
  <c r="AA47" i="1"/>
  <c r="Q47" i="1"/>
  <c r="O47" i="1" s="1"/>
  <c r="R47" i="1" s="1"/>
  <c r="L47" i="1" s="1"/>
  <c r="M47" i="1" s="1"/>
  <c r="T114" i="1"/>
  <c r="U114" i="1" s="1"/>
  <c r="Q26" i="1"/>
  <c r="O26" i="1" s="1"/>
  <c r="R26" i="1" s="1"/>
  <c r="L26" i="1" s="1"/>
  <c r="M26" i="1" s="1"/>
  <c r="AA26" i="1"/>
  <c r="T26" i="1"/>
  <c r="U26" i="1" s="1"/>
  <c r="V97" i="1" l="1"/>
  <c r="Z97" i="1" s="1"/>
  <c r="AC97" i="1"/>
  <c r="AD97" i="1" s="1"/>
  <c r="AB97" i="1"/>
  <c r="AC218" i="1"/>
  <c r="V218" i="1"/>
  <c r="Z218" i="1" s="1"/>
  <c r="Q218" i="1"/>
  <c r="O218" i="1" s="1"/>
  <c r="R218" i="1" s="1"/>
  <c r="L218" i="1" s="1"/>
  <c r="M218" i="1" s="1"/>
  <c r="AB218" i="1"/>
  <c r="V187" i="1"/>
  <c r="Z187" i="1" s="1"/>
  <c r="AC187" i="1"/>
  <c r="AB187" i="1"/>
  <c r="V67" i="1"/>
  <c r="Z67" i="1" s="1"/>
  <c r="AC67" i="1"/>
  <c r="AD67" i="1" s="1"/>
  <c r="AB67" i="1"/>
  <c r="Q67" i="1"/>
  <c r="O67" i="1" s="1"/>
  <c r="R67" i="1" s="1"/>
  <c r="L67" i="1" s="1"/>
  <c r="M67" i="1" s="1"/>
  <c r="Q97" i="1"/>
  <c r="O97" i="1" s="1"/>
  <c r="R97" i="1" s="1"/>
  <c r="L97" i="1" s="1"/>
  <c r="M97" i="1" s="1"/>
  <c r="AC250" i="1"/>
  <c r="AD250" i="1" s="1"/>
  <c r="V250" i="1"/>
  <c r="Z250" i="1" s="1"/>
  <c r="AB250" i="1"/>
  <c r="V113" i="1"/>
  <c r="Z113" i="1" s="1"/>
  <c r="AB113" i="1"/>
  <c r="AC113" i="1"/>
  <c r="V49" i="1"/>
  <c r="Z49" i="1" s="1"/>
  <c r="AC49" i="1"/>
  <c r="AB49" i="1"/>
  <c r="Q49" i="1"/>
  <c r="O49" i="1" s="1"/>
  <c r="R49" i="1" s="1"/>
  <c r="L49" i="1" s="1"/>
  <c r="M49" i="1" s="1"/>
  <c r="V253" i="1"/>
  <c r="Z253" i="1" s="1"/>
  <c r="AC253" i="1"/>
  <c r="AB253" i="1"/>
  <c r="V46" i="1"/>
  <c r="Z46" i="1" s="1"/>
  <c r="AC46" i="1"/>
  <c r="AB46" i="1"/>
  <c r="V186" i="1"/>
  <c r="Z186" i="1" s="1"/>
  <c r="AC186" i="1"/>
  <c r="AD186" i="1" s="1"/>
  <c r="AB186" i="1"/>
  <c r="Q187" i="1"/>
  <c r="O187" i="1" s="1"/>
  <c r="R187" i="1" s="1"/>
  <c r="L187" i="1" s="1"/>
  <c r="M187" i="1" s="1"/>
  <c r="AD132" i="1"/>
  <c r="AC39" i="1"/>
  <c r="V39" i="1"/>
  <c r="Z39" i="1" s="1"/>
  <c r="AB39" i="1"/>
  <c r="V114" i="1"/>
  <c r="Z114" i="1" s="1"/>
  <c r="AC114" i="1"/>
  <c r="AD114" i="1" s="1"/>
  <c r="AB114" i="1"/>
  <c r="V79" i="1"/>
  <c r="Z79" i="1" s="1"/>
  <c r="AC79" i="1"/>
  <c r="AD79" i="1" s="1"/>
  <c r="AB79" i="1"/>
  <c r="V119" i="1"/>
  <c r="Z119" i="1" s="1"/>
  <c r="AC119" i="1"/>
  <c r="AB119" i="1"/>
  <c r="AD212" i="1"/>
  <c r="AD195" i="1"/>
  <c r="AC73" i="1"/>
  <c r="V73" i="1"/>
  <c r="Z73" i="1" s="1"/>
  <c r="Q73" i="1"/>
  <c r="O73" i="1" s="1"/>
  <c r="R73" i="1" s="1"/>
  <c r="L73" i="1" s="1"/>
  <c r="M73" i="1" s="1"/>
  <c r="AB73" i="1"/>
  <c r="V93" i="1"/>
  <c r="Z93" i="1" s="1"/>
  <c r="AC93" i="1"/>
  <c r="AD93" i="1" s="1"/>
  <c r="AB93" i="1"/>
  <c r="V173" i="1"/>
  <c r="Z173" i="1" s="1"/>
  <c r="AC173" i="1"/>
  <c r="AD173" i="1" s="1"/>
  <c r="AB173" i="1"/>
  <c r="V206" i="1"/>
  <c r="Z206" i="1" s="1"/>
  <c r="AC206" i="1"/>
  <c r="AB206" i="1"/>
  <c r="AD30" i="1"/>
  <c r="V111" i="1"/>
  <c r="Z111" i="1" s="1"/>
  <c r="AB111" i="1"/>
  <c r="AC111" i="1"/>
  <c r="AD111" i="1" s="1"/>
  <c r="AD110" i="1"/>
  <c r="AD176" i="1"/>
  <c r="Q79" i="1"/>
  <c r="O79" i="1" s="1"/>
  <c r="R79" i="1" s="1"/>
  <c r="L79" i="1" s="1"/>
  <c r="M79" i="1" s="1"/>
  <c r="Q111" i="1"/>
  <c r="O111" i="1" s="1"/>
  <c r="R111" i="1" s="1"/>
  <c r="L111" i="1" s="1"/>
  <c r="M111" i="1" s="1"/>
  <c r="V116" i="1"/>
  <c r="Z116" i="1" s="1"/>
  <c r="AC116" i="1"/>
  <c r="AD116" i="1" s="1"/>
  <c r="AB116" i="1"/>
  <c r="Q116" i="1"/>
  <c r="O116" i="1" s="1"/>
  <c r="R116" i="1" s="1"/>
  <c r="L116" i="1" s="1"/>
  <c r="M116" i="1" s="1"/>
  <c r="AC210" i="1"/>
  <c r="V210" i="1"/>
  <c r="Z210" i="1" s="1"/>
  <c r="AB210" i="1"/>
  <c r="AD137" i="1"/>
  <c r="V181" i="1"/>
  <c r="Z181" i="1" s="1"/>
  <c r="AC181" i="1"/>
  <c r="AD181" i="1" s="1"/>
  <c r="AB181" i="1"/>
  <c r="AD245" i="1"/>
  <c r="V33" i="1"/>
  <c r="Z33" i="1" s="1"/>
  <c r="AC33" i="1"/>
  <c r="Q33" i="1"/>
  <c r="O33" i="1" s="1"/>
  <c r="R33" i="1" s="1"/>
  <c r="L33" i="1" s="1"/>
  <c r="M33" i="1" s="1"/>
  <c r="AB33" i="1"/>
  <c r="V38" i="1"/>
  <c r="Z38" i="1" s="1"/>
  <c r="AC38" i="1"/>
  <c r="AD38" i="1" s="1"/>
  <c r="AB38" i="1"/>
  <c r="AD155" i="1"/>
  <c r="AD156" i="1"/>
  <c r="AD40" i="1"/>
  <c r="AD86" i="1"/>
  <c r="AD90" i="1"/>
  <c r="AC244" i="1"/>
  <c r="AD244" i="1" s="1"/>
  <c r="V244" i="1"/>
  <c r="Z244" i="1" s="1"/>
  <c r="AB244" i="1"/>
  <c r="V138" i="1"/>
  <c r="Z138" i="1" s="1"/>
  <c r="AC138" i="1"/>
  <c r="AB138" i="1"/>
  <c r="Q138" i="1"/>
  <c r="O138" i="1" s="1"/>
  <c r="R138" i="1" s="1"/>
  <c r="L138" i="1" s="1"/>
  <c r="M138" i="1" s="1"/>
  <c r="V182" i="1"/>
  <c r="Z182" i="1" s="1"/>
  <c r="AC182" i="1"/>
  <c r="AD182" i="1" s="1"/>
  <c r="AB182" i="1"/>
  <c r="AC76" i="1"/>
  <c r="AB76" i="1"/>
  <c r="V76" i="1"/>
  <c r="Z76" i="1" s="1"/>
  <c r="V219" i="1"/>
  <c r="Z219" i="1" s="1"/>
  <c r="AC219" i="1"/>
  <c r="AB219" i="1"/>
  <c r="V211" i="1"/>
  <c r="Z211" i="1" s="1"/>
  <c r="AC211" i="1"/>
  <c r="AD211" i="1" s="1"/>
  <c r="AB211" i="1"/>
  <c r="V171" i="1"/>
  <c r="Z171" i="1" s="1"/>
  <c r="AC171" i="1"/>
  <c r="AB171" i="1"/>
  <c r="V183" i="1"/>
  <c r="Z183" i="1" s="1"/>
  <c r="AC183" i="1"/>
  <c r="AB183" i="1"/>
  <c r="Q113" i="1"/>
  <c r="O113" i="1" s="1"/>
  <c r="R113" i="1" s="1"/>
  <c r="L113" i="1" s="1"/>
  <c r="M113" i="1" s="1"/>
  <c r="V205" i="1"/>
  <c r="Z205" i="1" s="1"/>
  <c r="AC205" i="1"/>
  <c r="AD205" i="1" s="1"/>
  <c r="AB205" i="1"/>
  <c r="AD43" i="1"/>
  <c r="V21" i="1"/>
  <c r="Z21" i="1" s="1"/>
  <c r="AC21" i="1"/>
  <c r="AB21" i="1"/>
  <c r="AC64" i="1"/>
  <c r="V64" i="1"/>
  <c r="Z64" i="1" s="1"/>
  <c r="AB64" i="1"/>
  <c r="AD221" i="1"/>
  <c r="AD96" i="1"/>
  <c r="AD115" i="1"/>
  <c r="V108" i="1"/>
  <c r="Z108" i="1" s="1"/>
  <c r="AC108" i="1"/>
  <c r="AD108" i="1" s="1"/>
  <c r="AB108" i="1"/>
  <c r="V169" i="1"/>
  <c r="Z169" i="1" s="1"/>
  <c r="AC169" i="1"/>
  <c r="AD169" i="1" s="1"/>
  <c r="AB169" i="1"/>
  <c r="AD240" i="1"/>
  <c r="AD36" i="1"/>
  <c r="V107" i="1"/>
  <c r="Z107" i="1" s="1"/>
  <c r="AB107" i="1"/>
  <c r="AC107" i="1"/>
  <c r="AC148" i="1"/>
  <c r="AB148" i="1"/>
  <c r="V148" i="1"/>
  <c r="Z148" i="1" s="1"/>
  <c r="AC126" i="1"/>
  <c r="V126" i="1"/>
  <c r="Z126" i="1" s="1"/>
  <c r="AB126" i="1"/>
  <c r="V235" i="1"/>
  <c r="Z235" i="1" s="1"/>
  <c r="AC235" i="1"/>
  <c r="AD235" i="1" s="1"/>
  <c r="AB235" i="1"/>
  <c r="Q235" i="1"/>
  <c r="O235" i="1" s="1"/>
  <c r="R235" i="1" s="1"/>
  <c r="L235" i="1" s="1"/>
  <c r="M235" i="1" s="1"/>
  <c r="Q253" i="1"/>
  <c r="O253" i="1" s="1"/>
  <c r="R253" i="1" s="1"/>
  <c r="L253" i="1" s="1"/>
  <c r="M253" i="1" s="1"/>
  <c r="AD207" i="1"/>
  <c r="Q39" i="1"/>
  <c r="O39" i="1" s="1"/>
  <c r="R39" i="1" s="1"/>
  <c r="L39" i="1" s="1"/>
  <c r="M39" i="1" s="1"/>
  <c r="V140" i="1"/>
  <c r="Z140" i="1" s="1"/>
  <c r="AC140" i="1"/>
  <c r="AD140" i="1" s="1"/>
  <c r="AB140" i="1"/>
  <c r="V134" i="1"/>
  <c r="Z134" i="1" s="1"/>
  <c r="AC134" i="1"/>
  <c r="AD134" i="1" s="1"/>
  <c r="AB134" i="1"/>
  <c r="V163" i="1"/>
  <c r="Z163" i="1" s="1"/>
  <c r="AC163" i="1"/>
  <c r="AB163" i="1"/>
  <c r="AD220" i="1"/>
  <c r="Q76" i="1"/>
  <c r="O76" i="1" s="1"/>
  <c r="R76" i="1" s="1"/>
  <c r="L76" i="1" s="1"/>
  <c r="M76" i="1" s="1"/>
  <c r="V18" i="1"/>
  <c r="Z18" i="1" s="1"/>
  <c r="AC18" i="1"/>
  <c r="AD18" i="1" s="1"/>
  <c r="AB18" i="1"/>
  <c r="V59" i="1"/>
  <c r="Z59" i="1" s="1"/>
  <c r="AC59" i="1"/>
  <c r="AB59" i="1"/>
  <c r="V19" i="1"/>
  <c r="Z19" i="1" s="1"/>
  <c r="AC19" i="1"/>
  <c r="AD19" i="1" s="1"/>
  <c r="AB19" i="1"/>
  <c r="Q19" i="1"/>
  <c r="O19" i="1" s="1"/>
  <c r="R19" i="1" s="1"/>
  <c r="L19" i="1" s="1"/>
  <c r="M19" i="1" s="1"/>
  <c r="V89" i="1"/>
  <c r="Z89" i="1" s="1"/>
  <c r="AC89" i="1"/>
  <c r="AB89" i="1"/>
  <c r="AB144" i="1"/>
  <c r="V144" i="1"/>
  <c r="Z144" i="1" s="1"/>
  <c r="AC144" i="1"/>
  <c r="Q210" i="1"/>
  <c r="O210" i="1" s="1"/>
  <c r="R210" i="1" s="1"/>
  <c r="L210" i="1" s="1"/>
  <c r="M210" i="1" s="1"/>
  <c r="V202" i="1"/>
  <c r="Z202" i="1" s="1"/>
  <c r="AC202" i="1"/>
  <c r="AD202" i="1" s="1"/>
  <c r="AB202" i="1"/>
  <c r="Q202" i="1"/>
  <c r="O202" i="1" s="1"/>
  <c r="R202" i="1" s="1"/>
  <c r="L202" i="1" s="1"/>
  <c r="M202" i="1" s="1"/>
  <c r="AC68" i="1"/>
  <c r="AB68" i="1"/>
  <c r="V68" i="1"/>
  <c r="Z68" i="1" s="1"/>
  <c r="AD44" i="1"/>
  <c r="V152" i="1"/>
  <c r="Z152" i="1" s="1"/>
  <c r="AC152" i="1"/>
  <c r="AD152" i="1" s="1"/>
  <c r="AB152" i="1"/>
  <c r="Q183" i="1"/>
  <c r="O183" i="1" s="1"/>
  <c r="R183" i="1" s="1"/>
  <c r="L183" i="1" s="1"/>
  <c r="M183" i="1" s="1"/>
  <c r="AD215" i="1"/>
  <c r="AD47" i="1"/>
  <c r="V25" i="1"/>
  <c r="Z25" i="1" s="1"/>
  <c r="AC25" i="1"/>
  <c r="Q25" i="1"/>
  <c r="O25" i="1" s="1"/>
  <c r="R25" i="1" s="1"/>
  <c r="L25" i="1" s="1"/>
  <c r="M25" i="1" s="1"/>
  <c r="AB25" i="1"/>
  <c r="AC65" i="1"/>
  <c r="V65" i="1"/>
  <c r="Z65" i="1" s="1"/>
  <c r="AB65" i="1"/>
  <c r="V198" i="1"/>
  <c r="Z198" i="1" s="1"/>
  <c r="AC198" i="1"/>
  <c r="AD198" i="1" s="1"/>
  <c r="AB198" i="1"/>
  <c r="Q64" i="1"/>
  <c r="O64" i="1" s="1"/>
  <c r="R64" i="1" s="1"/>
  <c r="L64" i="1" s="1"/>
  <c r="M64" i="1" s="1"/>
  <c r="Q219" i="1"/>
  <c r="O219" i="1" s="1"/>
  <c r="R219" i="1" s="1"/>
  <c r="L219" i="1" s="1"/>
  <c r="M219" i="1" s="1"/>
  <c r="AD78" i="1"/>
  <c r="V103" i="1"/>
  <c r="Z103" i="1" s="1"/>
  <c r="AB103" i="1"/>
  <c r="AC103" i="1"/>
  <c r="AD103" i="1" s="1"/>
  <c r="V154" i="1"/>
  <c r="Z154" i="1" s="1"/>
  <c r="AC154" i="1"/>
  <c r="AB154" i="1"/>
  <c r="V83" i="1"/>
  <c r="Z83" i="1" s="1"/>
  <c r="AC83" i="1"/>
  <c r="AB83" i="1"/>
  <c r="V99" i="1"/>
  <c r="Z99" i="1" s="1"/>
  <c r="AC99" i="1"/>
  <c r="AD99" i="1" s="1"/>
  <c r="AB99" i="1"/>
  <c r="AC77" i="1"/>
  <c r="V77" i="1"/>
  <c r="Z77" i="1" s="1"/>
  <c r="Q77" i="1"/>
  <c r="O77" i="1" s="1"/>
  <c r="R77" i="1" s="1"/>
  <c r="L77" i="1" s="1"/>
  <c r="M77" i="1" s="1"/>
  <c r="AB77" i="1"/>
  <c r="AD184" i="1"/>
  <c r="V146" i="1"/>
  <c r="Z146" i="1" s="1"/>
  <c r="AC146" i="1"/>
  <c r="AD146" i="1" s="1"/>
  <c r="AB146" i="1"/>
  <c r="V241" i="1"/>
  <c r="Z241" i="1" s="1"/>
  <c r="AC241" i="1"/>
  <c r="AD241" i="1" s="1"/>
  <c r="AB241" i="1"/>
  <c r="AC231" i="1"/>
  <c r="V231" i="1"/>
  <c r="Z231" i="1" s="1"/>
  <c r="AB231" i="1"/>
  <c r="Q46" i="1"/>
  <c r="O46" i="1" s="1"/>
  <c r="R46" i="1" s="1"/>
  <c r="L46" i="1" s="1"/>
  <c r="M46" i="1" s="1"/>
  <c r="V32" i="1"/>
  <c r="Z32" i="1" s="1"/>
  <c r="AC32" i="1"/>
  <c r="AB32" i="1"/>
  <c r="AB92" i="1"/>
  <c r="AC92" i="1"/>
  <c r="V92" i="1"/>
  <c r="Z92" i="1" s="1"/>
  <c r="AC81" i="1"/>
  <c r="AD81" i="1" s="1"/>
  <c r="Q81" i="1"/>
  <c r="O81" i="1" s="1"/>
  <c r="R81" i="1" s="1"/>
  <c r="L81" i="1" s="1"/>
  <c r="M81" i="1" s="1"/>
  <c r="V81" i="1"/>
  <c r="Z81" i="1" s="1"/>
  <c r="AB81" i="1"/>
  <c r="V104" i="1"/>
  <c r="Z104" i="1" s="1"/>
  <c r="AC104" i="1"/>
  <c r="AD104" i="1" s="1"/>
  <c r="AB104" i="1"/>
  <c r="V190" i="1"/>
  <c r="Z190" i="1" s="1"/>
  <c r="AC190" i="1"/>
  <c r="AB190" i="1"/>
  <c r="AD229" i="1"/>
  <c r="V100" i="1"/>
  <c r="Z100" i="1" s="1"/>
  <c r="AB100" i="1"/>
  <c r="AC100" i="1"/>
  <c r="AC239" i="1"/>
  <c r="V239" i="1"/>
  <c r="Z239" i="1" s="1"/>
  <c r="AB239" i="1"/>
  <c r="Q211" i="1"/>
  <c r="O211" i="1" s="1"/>
  <c r="R211" i="1" s="1"/>
  <c r="L211" i="1" s="1"/>
  <c r="M211" i="1" s="1"/>
  <c r="V17" i="1"/>
  <c r="Z17" i="1" s="1"/>
  <c r="AC17" i="1"/>
  <c r="AB17" i="1"/>
  <c r="Q171" i="1"/>
  <c r="O171" i="1" s="1"/>
  <c r="R171" i="1" s="1"/>
  <c r="L171" i="1" s="1"/>
  <c r="M171" i="1" s="1"/>
  <c r="Q114" i="1"/>
  <c r="O114" i="1" s="1"/>
  <c r="R114" i="1" s="1"/>
  <c r="L114" i="1" s="1"/>
  <c r="M114" i="1" s="1"/>
  <c r="V20" i="1"/>
  <c r="Z20" i="1" s="1"/>
  <c r="AC20" i="1"/>
  <c r="AB20" i="1"/>
  <c r="AB160" i="1"/>
  <c r="V160" i="1"/>
  <c r="Z160" i="1" s="1"/>
  <c r="AC160" i="1"/>
  <c r="AD160" i="1" s="1"/>
  <c r="Q205" i="1"/>
  <c r="O205" i="1" s="1"/>
  <c r="R205" i="1" s="1"/>
  <c r="L205" i="1" s="1"/>
  <c r="M205" i="1" s="1"/>
  <c r="Q38" i="1"/>
  <c r="O38" i="1" s="1"/>
  <c r="R38" i="1" s="1"/>
  <c r="L38" i="1" s="1"/>
  <c r="M38" i="1" s="1"/>
  <c r="AD142" i="1"/>
  <c r="AD136" i="1"/>
  <c r="AD166" i="1"/>
  <c r="AD164" i="1"/>
  <c r="AD118" i="1"/>
  <c r="AD69" i="1"/>
  <c r="AD141" i="1"/>
  <c r="V124" i="1"/>
  <c r="Z124" i="1" s="1"/>
  <c r="AC124" i="1"/>
  <c r="Q124" i="1"/>
  <c r="O124" i="1" s="1"/>
  <c r="R124" i="1" s="1"/>
  <c r="L124" i="1" s="1"/>
  <c r="M124" i="1" s="1"/>
  <c r="AB124" i="1"/>
  <c r="V87" i="1"/>
  <c r="Z87" i="1" s="1"/>
  <c r="AB87" i="1"/>
  <c r="AC87" i="1"/>
  <c r="AD87" i="1" s="1"/>
  <c r="V55" i="1"/>
  <c r="Z55" i="1" s="1"/>
  <c r="AC55" i="1"/>
  <c r="AB55" i="1"/>
  <c r="Q55" i="1"/>
  <c r="O55" i="1" s="1"/>
  <c r="R55" i="1" s="1"/>
  <c r="L55" i="1" s="1"/>
  <c r="M55" i="1" s="1"/>
  <c r="V135" i="1"/>
  <c r="Z135" i="1" s="1"/>
  <c r="AC135" i="1"/>
  <c r="AD135" i="1" s="1"/>
  <c r="AB135" i="1"/>
  <c r="V28" i="1"/>
  <c r="Z28" i="1" s="1"/>
  <c r="AC28" i="1"/>
  <c r="AD28" i="1" s="1"/>
  <c r="AB28" i="1"/>
  <c r="AD177" i="1"/>
  <c r="V178" i="1"/>
  <c r="Z178" i="1" s="1"/>
  <c r="AC178" i="1"/>
  <c r="AD178" i="1" s="1"/>
  <c r="AB178" i="1"/>
  <c r="V234" i="1"/>
  <c r="Z234" i="1" s="1"/>
  <c r="AC234" i="1"/>
  <c r="AD234" i="1" s="1"/>
  <c r="AB234" i="1"/>
  <c r="V170" i="1"/>
  <c r="Z170" i="1" s="1"/>
  <c r="AC170" i="1"/>
  <c r="AB170" i="1"/>
  <c r="Q170" i="1"/>
  <c r="O170" i="1" s="1"/>
  <c r="R170" i="1" s="1"/>
  <c r="L170" i="1" s="1"/>
  <c r="M170" i="1" s="1"/>
  <c r="AD130" i="1"/>
  <c r="Q182" i="1"/>
  <c r="O182" i="1" s="1"/>
  <c r="R182" i="1" s="1"/>
  <c r="L182" i="1" s="1"/>
  <c r="M182" i="1" s="1"/>
  <c r="AC105" i="1"/>
  <c r="Q105" i="1"/>
  <c r="O105" i="1" s="1"/>
  <c r="R105" i="1" s="1"/>
  <c r="L105" i="1" s="1"/>
  <c r="M105" i="1" s="1"/>
  <c r="V105" i="1"/>
  <c r="Z105" i="1" s="1"/>
  <c r="AB105" i="1"/>
  <c r="AC242" i="1"/>
  <c r="AD242" i="1" s="1"/>
  <c r="V242" i="1"/>
  <c r="Z242" i="1" s="1"/>
  <c r="AB242" i="1"/>
  <c r="Q250" i="1"/>
  <c r="O250" i="1" s="1"/>
  <c r="R250" i="1" s="1"/>
  <c r="L250" i="1" s="1"/>
  <c r="M250" i="1" s="1"/>
  <c r="V26" i="1"/>
  <c r="Z26" i="1" s="1"/>
  <c r="AC26" i="1"/>
  <c r="AD26" i="1" s="1"/>
  <c r="AB26" i="1"/>
  <c r="V194" i="1"/>
  <c r="Z194" i="1" s="1"/>
  <c r="AC194" i="1"/>
  <c r="AB194" i="1"/>
  <c r="AC208" i="1"/>
  <c r="AB208" i="1"/>
  <c r="V208" i="1"/>
  <c r="Z208" i="1" s="1"/>
  <c r="Q208" i="1"/>
  <c r="O208" i="1" s="1"/>
  <c r="R208" i="1" s="1"/>
  <c r="L208" i="1" s="1"/>
  <c r="M208" i="1" s="1"/>
  <c r="V75" i="1"/>
  <c r="Z75" i="1" s="1"/>
  <c r="AC75" i="1"/>
  <c r="AB75" i="1"/>
  <c r="V213" i="1"/>
  <c r="Z213" i="1" s="1"/>
  <c r="AC213" i="1"/>
  <c r="AD213" i="1" s="1"/>
  <c r="AB213" i="1"/>
  <c r="Q213" i="1"/>
  <c r="O213" i="1" s="1"/>
  <c r="R213" i="1" s="1"/>
  <c r="L213" i="1" s="1"/>
  <c r="M213" i="1" s="1"/>
  <c r="AC236" i="1"/>
  <c r="V236" i="1"/>
  <c r="Z236" i="1" s="1"/>
  <c r="AB236" i="1"/>
  <c r="AC222" i="1"/>
  <c r="AD222" i="1" s="1"/>
  <c r="V222" i="1"/>
  <c r="Z222" i="1" s="1"/>
  <c r="AB222" i="1"/>
  <c r="Q222" i="1"/>
  <c r="O222" i="1" s="1"/>
  <c r="R222" i="1" s="1"/>
  <c r="L222" i="1" s="1"/>
  <c r="M222" i="1" s="1"/>
  <c r="V151" i="1"/>
  <c r="Z151" i="1" s="1"/>
  <c r="AB151" i="1"/>
  <c r="AC151" i="1"/>
  <c r="AC101" i="1"/>
  <c r="V101" i="1"/>
  <c r="Z101" i="1" s="1"/>
  <c r="AB101" i="1"/>
  <c r="Q101" i="1"/>
  <c r="O101" i="1" s="1"/>
  <c r="R101" i="1" s="1"/>
  <c r="L101" i="1" s="1"/>
  <c r="M101" i="1" s="1"/>
  <c r="V63" i="1"/>
  <c r="Z63" i="1" s="1"/>
  <c r="AC63" i="1"/>
  <c r="AD63" i="1" s="1"/>
  <c r="AB63" i="1"/>
  <c r="Q63" i="1"/>
  <c r="O63" i="1" s="1"/>
  <c r="R63" i="1" s="1"/>
  <c r="L63" i="1" s="1"/>
  <c r="M63" i="1" s="1"/>
  <c r="V123" i="1"/>
  <c r="Z123" i="1" s="1"/>
  <c r="AC123" i="1"/>
  <c r="AB123" i="1"/>
  <c r="Q126" i="1"/>
  <c r="O126" i="1" s="1"/>
  <c r="R126" i="1" s="1"/>
  <c r="L126" i="1" s="1"/>
  <c r="M126" i="1" s="1"/>
  <c r="V224" i="1"/>
  <c r="Z224" i="1" s="1"/>
  <c r="AB224" i="1"/>
  <c r="AC224" i="1"/>
  <c r="Q148" i="1"/>
  <c r="O148" i="1" s="1"/>
  <c r="R148" i="1" s="1"/>
  <c r="L148" i="1" s="1"/>
  <c r="M148" i="1" s="1"/>
  <c r="Q107" i="1"/>
  <c r="O107" i="1" s="1"/>
  <c r="R107" i="1" s="1"/>
  <c r="L107" i="1" s="1"/>
  <c r="M107" i="1" s="1"/>
  <c r="Q169" i="1"/>
  <c r="O169" i="1" s="1"/>
  <c r="R169" i="1" s="1"/>
  <c r="L169" i="1" s="1"/>
  <c r="M169" i="1" s="1"/>
  <c r="AD216" i="1"/>
  <c r="V24" i="1"/>
  <c r="Z24" i="1" s="1"/>
  <c r="AC24" i="1"/>
  <c r="AB24" i="1"/>
  <c r="Q181" i="1"/>
  <c r="O181" i="1" s="1"/>
  <c r="R181" i="1" s="1"/>
  <c r="L181" i="1" s="1"/>
  <c r="M181" i="1" s="1"/>
  <c r="Q21" i="1"/>
  <c r="O21" i="1" s="1"/>
  <c r="R21" i="1" s="1"/>
  <c r="L21" i="1" s="1"/>
  <c r="M21" i="1" s="1"/>
  <c r="Q100" i="1"/>
  <c r="O100" i="1" s="1"/>
  <c r="R100" i="1" s="1"/>
  <c r="L100" i="1" s="1"/>
  <c r="M100" i="1" s="1"/>
  <c r="Q178" i="1"/>
  <c r="O178" i="1" s="1"/>
  <c r="R178" i="1" s="1"/>
  <c r="L178" i="1" s="1"/>
  <c r="M178" i="1" s="1"/>
  <c r="AC50" i="1"/>
  <c r="AD50" i="1" s="1"/>
  <c r="V50" i="1"/>
  <c r="Z50" i="1" s="1"/>
  <c r="AB50" i="1"/>
  <c r="Q99" i="1"/>
  <c r="O99" i="1" s="1"/>
  <c r="R99" i="1" s="1"/>
  <c r="L99" i="1" s="1"/>
  <c r="M99" i="1" s="1"/>
  <c r="AD201" i="1"/>
  <c r="AD172" i="1"/>
  <c r="AC72" i="1"/>
  <c r="AB72" i="1"/>
  <c r="V72" i="1"/>
  <c r="Z72" i="1" s="1"/>
  <c r="V85" i="1"/>
  <c r="Z85" i="1" s="1"/>
  <c r="AC85" i="1"/>
  <c r="AB85" i="1"/>
  <c r="Q85" i="1"/>
  <c r="O85" i="1" s="1"/>
  <c r="R85" i="1" s="1"/>
  <c r="L85" i="1" s="1"/>
  <c r="M85" i="1" s="1"/>
  <c r="V192" i="1"/>
  <c r="Z192" i="1" s="1"/>
  <c r="AC192" i="1"/>
  <c r="AB192" i="1"/>
  <c r="V243" i="1"/>
  <c r="Z243" i="1" s="1"/>
  <c r="AC243" i="1"/>
  <c r="AD243" i="1" s="1"/>
  <c r="AB243" i="1"/>
  <c r="Q243" i="1"/>
  <c r="O243" i="1" s="1"/>
  <c r="R243" i="1" s="1"/>
  <c r="L243" i="1" s="1"/>
  <c r="M243" i="1" s="1"/>
  <c r="Q244" i="1"/>
  <c r="O244" i="1" s="1"/>
  <c r="R244" i="1" s="1"/>
  <c r="L244" i="1" s="1"/>
  <c r="M244" i="1" s="1"/>
  <c r="Q242" i="1"/>
  <c r="O242" i="1" s="1"/>
  <c r="R242" i="1" s="1"/>
  <c r="L242" i="1" s="1"/>
  <c r="M242" i="1" s="1"/>
  <c r="V29" i="1"/>
  <c r="Z29" i="1" s="1"/>
  <c r="AC29" i="1"/>
  <c r="AD29" i="1" s="1"/>
  <c r="Q29" i="1"/>
  <c r="O29" i="1" s="1"/>
  <c r="R29" i="1" s="1"/>
  <c r="L29" i="1" s="1"/>
  <c r="M29" i="1" s="1"/>
  <c r="AB29" i="1"/>
  <c r="Q194" i="1"/>
  <c r="O194" i="1" s="1"/>
  <c r="R194" i="1" s="1"/>
  <c r="L194" i="1" s="1"/>
  <c r="M194" i="1" s="1"/>
  <c r="AD127" i="1"/>
  <c r="AC52" i="1"/>
  <c r="V52" i="1"/>
  <c r="Z52" i="1" s="1"/>
  <c r="AB52" i="1"/>
  <c r="AC60" i="1"/>
  <c r="AD60" i="1" s="1"/>
  <c r="V60" i="1"/>
  <c r="Z60" i="1" s="1"/>
  <c r="AB60" i="1"/>
  <c r="V209" i="1"/>
  <c r="Z209" i="1" s="1"/>
  <c r="AC209" i="1"/>
  <c r="AD209" i="1" s="1"/>
  <c r="AB209" i="1"/>
  <c r="AC80" i="1"/>
  <c r="AB80" i="1"/>
  <c r="V80" i="1"/>
  <c r="Z80" i="1" s="1"/>
  <c r="AC109" i="1"/>
  <c r="AD109" i="1" s="1"/>
  <c r="V109" i="1"/>
  <c r="Z109" i="1" s="1"/>
  <c r="Q109" i="1"/>
  <c r="O109" i="1" s="1"/>
  <c r="R109" i="1" s="1"/>
  <c r="L109" i="1" s="1"/>
  <c r="M109" i="1" s="1"/>
  <c r="AB109" i="1"/>
  <c r="V167" i="1"/>
  <c r="Z167" i="1" s="1"/>
  <c r="AC167" i="1"/>
  <c r="AB167" i="1"/>
  <c r="Q241" i="1"/>
  <c r="O241" i="1" s="1"/>
  <c r="R241" i="1" s="1"/>
  <c r="L241" i="1" s="1"/>
  <c r="M241" i="1" s="1"/>
  <c r="V204" i="1"/>
  <c r="Z204" i="1" s="1"/>
  <c r="AC204" i="1"/>
  <c r="AB204" i="1"/>
  <c r="Q204" i="1"/>
  <c r="O204" i="1" s="1"/>
  <c r="R204" i="1" s="1"/>
  <c r="L204" i="1" s="1"/>
  <c r="M204" i="1" s="1"/>
  <c r="AC53" i="1"/>
  <c r="V53" i="1"/>
  <c r="Z53" i="1" s="1"/>
  <c r="AB53" i="1"/>
  <c r="V249" i="1"/>
  <c r="Z249" i="1" s="1"/>
  <c r="AC249" i="1"/>
  <c r="AD249" i="1" s="1"/>
  <c r="AB249" i="1"/>
  <c r="AC228" i="1"/>
  <c r="V228" i="1"/>
  <c r="Z228" i="1" s="1"/>
  <c r="AB228" i="1"/>
  <c r="AD34" i="1"/>
  <c r="AB88" i="1"/>
  <c r="AC88" i="1"/>
  <c r="AD88" i="1" s="1"/>
  <c r="V88" i="1"/>
  <c r="Z88" i="1" s="1"/>
  <c r="V174" i="1"/>
  <c r="Z174" i="1" s="1"/>
  <c r="AC174" i="1"/>
  <c r="AB174" i="1"/>
  <c r="Q174" i="1"/>
  <c r="O174" i="1" s="1"/>
  <c r="R174" i="1" s="1"/>
  <c r="L174" i="1" s="1"/>
  <c r="M174" i="1" s="1"/>
  <c r="AD112" i="1"/>
  <c r="AD159" i="1"/>
  <c r="AD233" i="1"/>
  <c r="V102" i="1"/>
  <c r="Z102" i="1" s="1"/>
  <c r="AC102" i="1"/>
  <c r="AB102" i="1"/>
  <c r="V45" i="1"/>
  <c r="Z45" i="1" s="1"/>
  <c r="AC45" i="1"/>
  <c r="AB45" i="1"/>
  <c r="Q45" i="1"/>
  <c r="O45" i="1" s="1"/>
  <c r="R45" i="1" s="1"/>
  <c r="L45" i="1" s="1"/>
  <c r="M45" i="1" s="1"/>
  <c r="V37" i="1"/>
  <c r="Z37" i="1" s="1"/>
  <c r="AC37" i="1"/>
  <c r="AD37" i="1" s="1"/>
  <c r="AB37" i="1"/>
  <c r="Q37" i="1"/>
  <c r="O37" i="1" s="1"/>
  <c r="R37" i="1" s="1"/>
  <c r="L37" i="1" s="1"/>
  <c r="M37" i="1" s="1"/>
  <c r="AC247" i="1"/>
  <c r="V247" i="1"/>
  <c r="Z247" i="1" s="1"/>
  <c r="AB247" i="1"/>
  <c r="V70" i="1"/>
  <c r="Z70" i="1" s="1"/>
  <c r="AC70" i="1"/>
  <c r="AB70" i="1"/>
  <c r="V129" i="1"/>
  <c r="Z129" i="1" s="1"/>
  <c r="AC129" i="1"/>
  <c r="AB129" i="1"/>
  <c r="AC199" i="1"/>
  <c r="V199" i="1"/>
  <c r="Z199" i="1" s="1"/>
  <c r="AB199" i="1"/>
  <c r="V91" i="1"/>
  <c r="Z91" i="1" s="1"/>
  <c r="AB91" i="1"/>
  <c r="AC91" i="1"/>
  <c r="AD143" i="1"/>
  <c r="V251" i="1"/>
  <c r="Z251" i="1" s="1"/>
  <c r="AC251" i="1"/>
  <c r="AB251" i="1"/>
  <c r="Q251" i="1"/>
  <c r="O251" i="1" s="1"/>
  <c r="R251" i="1" s="1"/>
  <c r="L251" i="1" s="1"/>
  <c r="M251" i="1" s="1"/>
  <c r="AD147" i="1"/>
  <c r="V214" i="1"/>
  <c r="Z214" i="1" s="1"/>
  <c r="AC214" i="1"/>
  <c r="Q214" i="1"/>
  <c r="O214" i="1" s="1"/>
  <c r="R214" i="1" s="1"/>
  <c r="L214" i="1" s="1"/>
  <c r="M214" i="1" s="1"/>
  <c r="AB214" i="1"/>
  <c r="V71" i="1"/>
  <c r="Z71" i="1" s="1"/>
  <c r="AC71" i="1"/>
  <c r="AB71" i="1"/>
  <c r="V41" i="1"/>
  <c r="Z41" i="1" s="1"/>
  <c r="AC41" i="1"/>
  <c r="AD41" i="1" s="1"/>
  <c r="AB41" i="1"/>
  <c r="Q41" i="1"/>
  <c r="O41" i="1" s="1"/>
  <c r="R41" i="1" s="1"/>
  <c r="L41" i="1" s="1"/>
  <c r="M41" i="1" s="1"/>
  <c r="Q60" i="1"/>
  <c r="O60" i="1" s="1"/>
  <c r="R60" i="1" s="1"/>
  <c r="L60" i="1" s="1"/>
  <c r="M60" i="1" s="1"/>
  <c r="AD139" i="1"/>
  <c r="V226" i="1"/>
  <c r="Z226" i="1" s="1"/>
  <c r="AC226" i="1"/>
  <c r="AB226" i="1"/>
  <c r="V120" i="1"/>
  <c r="Z120" i="1" s="1"/>
  <c r="AC120" i="1"/>
  <c r="AB120" i="1"/>
  <c r="AD149" i="1"/>
  <c r="AD82" i="1"/>
  <c r="AB121" i="1"/>
  <c r="V121" i="1"/>
  <c r="Z121" i="1" s="1"/>
  <c r="AC121" i="1"/>
  <c r="AD121" i="1" s="1"/>
  <c r="Q80" i="1"/>
  <c r="O80" i="1" s="1"/>
  <c r="R80" i="1" s="1"/>
  <c r="L80" i="1" s="1"/>
  <c r="M80" i="1" s="1"/>
  <c r="AB84" i="1"/>
  <c r="AC84" i="1"/>
  <c r="AD84" i="1" s="1"/>
  <c r="V84" i="1"/>
  <c r="Z84" i="1" s="1"/>
  <c r="Q102" i="1"/>
  <c r="O102" i="1" s="1"/>
  <c r="R102" i="1" s="1"/>
  <c r="L102" i="1" s="1"/>
  <c r="M102" i="1" s="1"/>
  <c r="Q173" i="1"/>
  <c r="O173" i="1" s="1"/>
  <c r="R173" i="1" s="1"/>
  <c r="L173" i="1" s="1"/>
  <c r="M173" i="1" s="1"/>
  <c r="V66" i="1"/>
  <c r="Z66" i="1" s="1"/>
  <c r="AC66" i="1"/>
  <c r="AB66" i="1"/>
  <c r="AD74" i="1"/>
  <c r="AD185" i="1"/>
  <c r="AD42" i="1"/>
  <c r="AD22" i="1"/>
  <c r="AD183" i="1" l="1"/>
  <c r="AD49" i="1"/>
  <c r="AD226" i="1"/>
  <c r="AD192" i="1"/>
  <c r="AD72" i="1"/>
  <c r="AD101" i="1"/>
  <c r="AD75" i="1"/>
  <c r="AD170" i="1"/>
  <c r="AD124" i="1"/>
  <c r="AD59" i="1"/>
  <c r="AD163" i="1"/>
  <c r="AD219" i="1"/>
  <c r="AD206" i="1"/>
  <c r="AD46" i="1"/>
  <c r="AD70" i="1"/>
  <c r="AD194" i="1"/>
  <c r="AD167" i="1"/>
  <c r="AD80" i="1"/>
  <c r="AD151" i="1"/>
  <c r="AD55" i="1"/>
  <c r="AD239" i="1"/>
  <c r="AD92" i="1"/>
  <c r="AD231" i="1"/>
  <c r="AD83" i="1"/>
  <c r="AD65" i="1"/>
  <c r="AD89" i="1"/>
  <c r="AD126" i="1"/>
  <c r="AD33" i="1"/>
  <c r="AD39" i="1"/>
  <c r="AD113" i="1"/>
  <c r="AD66" i="1"/>
  <c r="AD190" i="1"/>
  <c r="AD251" i="1"/>
  <c r="AD199" i="1"/>
  <c r="AD45" i="1"/>
  <c r="AD53" i="1"/>
  <c r="AD52" i="1"/>
  <c r="AD224" i="1"/>
  <c r="AD236" i="1"/>
  <c r="AD100" i="1"/>
  <c r="AD171" i="1"/>
  <c r="AD138" i="1"/>
  <c r="AD210" i="1"/>
  <c r="AD218" i="1"/>
  <c r="AD123" i="1"/>
  <c r="AD20" i="1"/>
  <c r="AD119" i="1"/>
  <c r="AD105" i="1"/>
  <c r="AD73" i="1"/>
  <c r="AD253" i="1"/>
  <c r="AD21" i="1"/>
  <c r="AD71" i="1"/>
  <c r="AD247" i="1"/>
  <c r="AD174" i="1"/>
  <c r="AD228" i="1"/>
  <c r="AD85" i="1"/>
  <c r="AD24" i="1"/>
  <c r="AD17" i="1"/>
  <c r="AD32" i="1"/>
  <c r="AD77" i="1"/>
  <c r="AD154" i="1"/>
  <c r="AD25" i="1"/>
  <c r="AD148" i="1"/>
  <c r="AD76" i="1"/>
  <c r="AD68" i="1"/>
  <c r="AD129" i="1"/>
  <c r="AD120" i="1"/>
  <c r="AD214" i="1"/>
  <c r="AD91" i="1"/>
  <c r="AD102" i="1"/>
  <c r="AD204" i="1"/>
  <c r="AD208" i="1"/>
  <c r="AD144" i="1"/>
  <c r="AD107" i="1"/>
  <c r="AD64" i="1"/>
  <c r="AD187" i="1"/>
</calcChain>
</file>

<file path=xl/sharedStrings.xml><?xml version="1.0" encoding="utf-8"?>
<sst xmlns="http://schemas.openxmlformats.org/spreadsheetml/2006/main" count="3276" uniqueCount="1051">
  <si>
    <t>File opened</t>
  </si>
  <si>
    <t>2026-04-06 20:04:13</t>
  </si>
  <si>
    <t>Console s/n</t>
  </si>
  <si>
    <t>68C-373388</t>
  </si>
  <si>
    <t>Console ver</t>
  </si>
  <si>
    <t>Bluestem v.2.1.13</t>
  </si>
  <si>
    <t>Scripts ver</t>
  </si>
  <si>
    <t>2024.01  2.1.13, Apr 2024</t>
  </si>
  <si>
    <t>Head s/n</t>
  </si>
  <si>
    <t>68H-413376</t>
  </si>
  <si>
    <t>Head ver</t>
  </si>
  <si>
    <t>1.4.23</t>
  </si>
  <si>
    <t>Head cal</t>
  </si>
  <si>
    <t>{"oxygen": "20", "co2azero": "1.06539", "co2aspan1": "1.00014", "co2aspan2": "-0.028185", "co2aspan2a": "0.309472", "co2aspan2b": "0.306816", "co2aspanconc1": "2492", "co2aspanconc2": "285.6", "co2bzero": "1.01236", "co2bspan1": "0.999964", "co2bspan2": "-0.0275681", "co2bspan2a": "0.309881", "co2bspan2b": "0.307222", "co2bspanconc1": "2492", "co2bspanconc2": "285.6", "h2oazero": "1.36093", "h2oaspan1": "0.999718", "h2oaspan2": "0", "h2oaspan2a": "0.067854", "h2oaspan2b": "0.0678349", "h2oaspanconc1": "12.33", "h2oaspanconc2": "0", "h2obzero": "1.38818", "h2obspan1": "1.00595", "h2obspan2": "0", "h2obspan2a": "0.0676005", "h2obspan2b": "0.0680027", "h2obspanconc1": "12.33", "h2obspanconc2": "0", "tazero": "0.374474", "tbzero": "0.565647", "flowmeterzero": "2.48912", "flowazero": "0.306", "flowbzero": "0.29676", "chamberpressurezero": "2.60812", "ssa_ref": "31166.2", "ssb_ref": "30724"}</t>
  </si>
  <si>
    <t>Factory cal date</t>
  </si>
  <si>
    <t>22 Sep 2025</t>
  </si>
  <si>
    <t>CO2 rangematch</t>
  </si>
  <si>
    <t>Mon Apr  6 09:12</t>
  </si>
  <si>
    <t>H2O rangematch</t>
  </si>
  <si>
    <t>Tue Mar 31 10:54</t>
  </si>
  <si>
    <t>Chamber type</t>
  </si>
  <si>
    <t>6800-12A</t>
  </si>
  <si>
    <t>Chamber s/n</t>
  </si>
  <si>
    <t>CHM-11636</t>
  </si>
  <si>
    <t>Chamber rev</t>
  </si>
  <si>
    <t>0</t>
  </si>
  <si>
    <t>Chamber cal</t>
  </si>
  <si>
    <t>8</t>
  </si>
  <si>
    <t>HeadLS type</t>
  </si>
  <si>
    <t>6800-02</t>
  </si>
  <si>
    <t>HeadLS s/n</t>
  </si>
  <si>
    <t>751854</t>
  </si>
  <si>
    <t>HeadLS f</t>
  </si>
  <si>
    <t>0.0483 0.0757</t>
  </si>
  <si>
    <t>HeadLS u0</t>
  </si>
  <si>
    <t>530 1285</t>
  </si>
  <si>
    <t>20:04:13</t>
  </si>
  <si>
    <t>Stability Definition:	Flow (Meas): Per=30	CO2_r (Meas): Per=30</t>
  </si>
  <si>
    <t>SysConst</t>
  </si>
  <si>
    <t>AvgTime</t>
  </si>
  <si>
    <t>5</t>
  </si>
  <si>
    <t>Oxygen</t>
  </si>
  <si>
    <t>20</t>
  </si>
  <si>
    <t>ChambConst</t>
  </si>
  <si>
    <t>Chamber</t>
  </si>
  <si>
    <t>Aperture</t>
  </si>
  <si>
    <t>1x3 FB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</si>
  <si>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</si>
  <si>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</si>
  <si>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</si>
  <si>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</si>
  <si>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</si>
  <si>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</si>
  <si>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</si>
  <si>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</si>
  <si>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</si>
  <si>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</si>
  <si>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</si>
  <si>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</si>
  <si>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</si>
  <si>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</si>
  <si>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</si>
  <si>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</si>
  <si>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</si>
  <si>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</si>
  <si>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</si>
  <si>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</si>
  <si>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</si>
  <si>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</si>
  <si>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</si>
  <si>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</si>
  <si>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</si>
  <si>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</si>
  <si>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</si>
  <si>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</si>
  <si>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</si>
  <si>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</si>
  <si>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</si>
  <si>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</si>
  <si>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</si>
  <si>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</si>
  <si>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</si>
  <si>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</si>
  <si>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</si>
  <si>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</si>
  <si>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</si>
  <si>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</si>
  <si>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</si>
  <si>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</si>
  <si>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</si>
  <si>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</si>
  <si>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4.02522 183.792 385.01 627.907 856.524 1063.12 1226.53 1366.19</t>
  </si>
  <si>
    <t>Fs_true</t>
  </si>
  <si>
    <t>0.748862 192.321 388.559 599.92 801.584 1000.8 1200.46 1400.86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</si>
  <si>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</si>
  <si>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</si>
  <si>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</si>
  <si>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</si>
  <si>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</si>
  <si>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</si>
  <si>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</si>
  <si>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</si>
  <si>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</si>
  <si>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</si>
  <si>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</si>
  <si>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</si>
  <si>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</si>
  <si>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</si>
  <si>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</si>
  <si>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</si>
  <si>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</si>
  <si>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</si>
  <si>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</si>
  <si>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</si>
  <si>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</si>
  <si>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</si>
  <si>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</si>
  <si>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</si>
  <si>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</si>
  <si>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</si>
  <si>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</si>
  <si>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</si>
  <si>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</si>
  <si>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</si>
  <si>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</si>
  <si>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</si>
  <si>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</si>
  <si>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</si>
  <si>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</si>
  <si>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</si>
  <si>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</si>
  <si>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</si>
  <si>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</si>
  <si>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</si>
  <si>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</si>
  <si>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</si>
  <si>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</si>
  <si>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</si>
  <si>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</si>
  <si>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</si>
  <si>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</si>
  <si>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</si>
  <si>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</si>
  <si>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</si>
  <si>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</si>
  <si>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</si>
  <si>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</si>
  <si>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</si>
  <si>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</si>
  <si>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</si>
  <si>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</si>
  <si>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</si>
  <si>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</si>
  <si>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</si>
  <si>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</si>
  <si>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</si>
  <si>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</si>
  <si>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</si>
  <si>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</si>
  <si>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</si>
  <si>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</si>
  <si>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</si>
  <si>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</si>
  <si>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</si>
  <si>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</si>
  <si>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</si>
  <si>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</si>
  <si>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</si>
  <si>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</si>
  <si>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</si>
  <si>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</si>
  <si>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</si>
  <si>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</si>
  <si>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</si>
  <si>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</si>
  <si>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</si>
  <si>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</si>
  <si>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</si>
  <si>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</si>
  <si>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</si>
  <si>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</si>
  <si>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</si>
  <si>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</si>
  <si>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</si>
  <si>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</si>
  <si>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</si>
  <si>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</si>
  <si>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</si>
  <si>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</si>
  <si>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</si>
  <si>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</si>
  <si>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</si>
  <si>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</si>
  <si>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</si>
  <si>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</si>
  <si>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</si>
  <si>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CO2_r:MN</t>
  </si>
  <si>
    <t>CO2_r:SLP</t>
  </si>
  <si>
    <t>CO2_r:SD</t>
  </si>
  <si>
    <t>CO2_r:OK</t>
  </si>
  <si>
    <t>Flow:MN</t>
  </si>
  <si>
    <t>Flow:SLP</t>
  </si>
  <si>
    <t>Flow:SD</t>
  </si>
  <si>
    <t>Flow:OK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</si>
  <si>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</si>
  <si>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</si>
  <si>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</si>
  <si>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</si>
  <si>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</si>
  <si>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</si>
  <si>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</si>
  <si>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</si>
  <si>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</si>
  <si>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</si>
  <si>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</si>
  <si>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</si>
  <si>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</si>
  <si>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</si>
  <si>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</si>
  <si>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</si>
  <si>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</si>
  <si>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</si>
  <si>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</si>
  <si>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</si>
  <si>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</si>
  <si>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</si>
  <si>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</si>
  <si>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</si>
  <si>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</si>
  <si>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</si>
  <si>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</si>
  <si>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</si>
  <si>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</si>
  <si>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</si>
  <si>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</si>
  <si>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</si>
  <si>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</si>
  <si>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</si>
  <si>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</si>
  <si>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</si>
  <si>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</si>
  <si>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</si>
  <si>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</si>
  <si>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</si>
  <si>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</si>
  <si>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</si>
  <si>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</si>
  <si>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</si>
  <si>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</si>
  <si>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</si>
  <si>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</si>
  <si>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</si>
  <si>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</si>
  <si>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</si>
  <si>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</si>
  <si>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</si>
  <si>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</si>
  <si>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</si>
  <si>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</si>
  <si>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</si>
  <si>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</si>
  <si>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</si>
  <si>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</si>
  <si>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</si>
  <si>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</si>
  <si>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</si>
  <si>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</si>
  <si>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</si>
  <si>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</si>
  <si>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</si>
  <si>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</si>
  <si>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</si>
  <si>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</si>
  <si>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</si>
  <si>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</si>
  <si>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</si>
  <si>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</si>
  <si>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</si>
  <si>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</si>
  <si>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</si>
  <si>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</si>
  <si>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</si>
  <si>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</si>
  <si>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</si>
  <si>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</si>
  <si>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</si>
  <si>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</si>
  <si>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</si>
  <si>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</si>
  <si>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</si>
  <si>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</si>
  <si>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</si>
  <si>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</si>
  <si>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</si>
  <si>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</si>
  <si>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</si>
  <si>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</si>
  <si>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</si>
  <si>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</si>
  <si>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</si>
  <si>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</si>
  <si>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</si>
  <si>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</si>
  <si>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</si>
  <si>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</si>
  <si>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</si>
  <si>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</si>
  <si>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</si>
  <si>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</si>
  <si>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</si>
  <si>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</si>
  <si>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</si>
  <si>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</si>
  <si>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</si>
  <si>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</si>
  <si>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J/µmol</t>
  </si>
  <si>
    <t>cm²</t>
  </si>
  <si>
    <t>mmol mol⁻¹</t>
  </si>
  <si>
    <t>rpm</t>
  </si>
  <si>
    <t>secs</t>
  </si>
  <si>
    <t>µmol/mol</t>
  </si>
  <si>
    <t>mmol/mol</t>
  </si>
  <si>
    <t>µmol mol⁻¹ min⁻¹</t>
  </si>
  <si>
    <t>µmol s⁻¹ min⁻¹</t>
  </si>
  <si>
    <t>V</t>
  </si>
  <si>
    <t>mV</t>
  </si>
  <si>
    <t>mg</t>
  </si>
  <si>
    <t>hrs</t>
  </si>
  <si>
    <t>min</t>
  </si>
  <si>
    <t>20260406 20:10:38</t>
  </si>
  <si>
    <t>20:10:38</t>
  </si>
  <si>
    <t>0: Broadleaf</t>
  </si>
  <si>
    <t>20:11:00</t>
  </si>
  <si>
    <t>0/0</t>
  </si>
  <si>
    <t>11111111</t>
  </si>
  <si>
    <t>oooooooo</t>
  </si>
  <si>
    <t>on</t>
  </si>
  <si>
    <t>20260406 20:11:38</t>
  </si>
  <si>
    <t>20:11:38</t>
  </si>
  <si>
    <t>20:11:56</t>
  </si>
  <si>
    <t>20260406 20:12:38</t>
  </si>
  <si>
    <t>20:12:38</t>
  </si>
  <si>
    <t>20:12:57</t>
  </si>
  <si>
    <t>20260406 20:13:38</t>
  </si>
  <si>
    <t>20:13:38</t>
  </si>
  <si>
    <t>20:13:58</t>
  </si>
  <si>
    <t>20260406 20:14:38</t>
  </si>
  <si>
    <t>20:14:38</t>
  </si>
  <si>
    <t>20:15:03</t>
  </si>
  <si>
    <t>20260406 20:15:38</t>
  </si>
  <si>
    <t>20:15:38</t>
  </si>
  <si>
    <t>20:16:03</t>
  </si>
  <si>
    <t>20260406 20:16:38</t>
  </si>
  <si>
    <t>20:16:38</t>
  </si>
  <si>
    <t>20:16:58</t>
  </si>
  <si>
    <t>20260406 20:17:38</t>
  </si>
  <si>
    <t>20:17:38</t>
  </si>
  <si>
    <t>20:18:05</t>
  </si>
  <si>
    <t>20260406 20:18:38</t>
  </si>
  <si>
    <t>20:18:38</t>
  </si>
  <si>
    <t>20:18:59</t>
  </si>
  <si>
    <t>20260406 20:19:38</t>
  </si>
  <si>
    <t>20:19:38</t>
  </si>
  <si>
    <t>20:19:57</t>
  </si>
  <si>
    <t>20260406 20:20:38</t>
  </si>
  <si>
    <t>20:20:38</t>
  </si>
  <si>
    <t>20:20:55</t>
  </si>
  <si>
    <t>20260406 20:21:38</t>
  </si>
  <si>
    <t>20:21:38</t>
  </si>
  <si>
    <t>20:21:55</t>
  </si>
  <si>
    <t>20260406 20:22:38</t>
  </si>
  <si>
    <t>20:22:38</t>
  </si>
  <si>
    <t>20:22:58</t>
  </si>
  <si>
    <t>20260406 20:23:38</t>
  </si>
  <si>
    <t>20:23:38</t>
  </si>
  <si>
    <t>20:23:55</t>
  </si>
  <si>
    <t>20260406 20:24:38</t>
  </si>
  <si>
    <t>20:24:38</t>
  </si>
  <si>
    <t>20:24:59</t>
  </si>
  <si>
    <t>20260406 20:25:38</t>
  </si>
  <si>
    <t>20:25:38</t>
  </si>
  <si>
    <t>20:25:55</t>
  </si>
  <si>
    <t>20260406 20:26:38</t>
  </si>
  <si>
    <t>20:26:38</t>
  </si>
  <si>
    <t>20:26:55</t>
  </si>
  <si>
    <t>20260406 20:27:38</t>
  </si>
  <si>
    <t>20:27:38</t>
  </si>
  <si>
    <t>20:27:55</t>
  </si>
  <si>
    <t>20260406 20:28:38</t>
  </si>
  <si>
    <t>20:28:38</t>
  </si>
  <si>
    <t>20:29:01</t>
  </si>
  <si>
    <t>20260406 20:29:38</t>
  </si>
  <si>
    <t>20:29:38</t>
  </si>
  <si>
    <t>20:29:58</t>
  </si>
  <si>
    <t>20260406 20:30:38</t>
  </si>
  <si>
    <t>20:30:38</t>
  </si>
  <si>
    <t>20:30:55</t>
  </si>
  <si>
    <t>20260406 20:31:38</t>
  </si>
  <si>
    <t>20:31:38</t>
  </si>
  <si>
    <t>20:31:55</t>
  </si>
  <si>
    <t>20260406 20:32:38</t>
  </si>
  <si>
    <t>20:32:38</t>
  </si>
  <si>
    <t>20:32:55</t>
  </si>
  <si>
    <t>20260406 20:33:38</t>
  </si>
  <si>
    <t>20:33:38</t>
  </si>
  <si>
    <t>20:33:58</t>
  </si>
  <si>
    <t>20260406 20:34:38</t>
  </si>
  <si>
    <t>20:34:38</t>
  </si>
  <si>
    <t>20:34:55</t>
  </si>
  <si>
    <t>20260406 20:35:38</t>
  </si>
  <si>
    <t>20:35:38</t>
  </si>
  <si>
    <t>20:35:54</t>
  </si>
  <si>
    <t>20260406 20:36:38</t>
  </si>
  <si>
    <t>20:36:38</t>
  </si>
  <si>
    <t>20:36:55</t>
  </si>
  <si>
    <t>20260406 20:37:38</t>
  </si>
  <si>
    <t>20:37:38</t>
  </si>
  <si>
    <t>20:37:56</t>
  </si>
  <si>
    <t>20260406 20:38:38</t>
  </si>
  <si>
    <t>20:38:38</t>
  </si>
  <si>
    <t>20:38:55</t>
  </si>
  <si>
    <t>20260406 20:39:38</t>
  </si>
  <si>
    <t>20:39:38</t>
  </si>
  <si>
    <t>20:40:00</t>
  </si>
  <si>
    <t>20260406 20:40:38</t>
  </si>
  <si>
    <t>20:40:38</t>
  </si>
  <si>
    <t>20:40:56</t>
  </si>
  <si>
    <t>20260406 20:41:38</t>
  </si>
  <si>
    <t>20:41:38</t>
  </si>
  <si>
    <t>20:41:56</t>
  </si>
  <si>
    <t>20260406 20:42:38</t>
  </si>
  <si>
    <t>20:42:38</t>
  </si>
  <si>
    <t>20:42:55</t>
  </si>
  <si>
    <t>20260406 20:43:38</t>
  </si>
  <si>
    <t>20:43:38</t>
  </si>
  <si>
    <t>20:43:56</t>
  </si>
  <si>
    <t>20260406 20:44:38</t>
  </si>
  <si>
    <t>20:44:38</t>
  </si>
  <si>
    <t>20:44:56</t>
  </si>
  <si>
    <t>20260406 20:45:38</t>
  </si>
  <si>
    <t>20:45:38</t>
  </si>
  <si>
    <t>20:45:55</t>
  </si>
  <si>
    <t>20260406 20:46:38</t>
  </si>
  <si>
    <t>20:46:38</t>
  </si>
  <si>
    <t>20:46:58</t>
  </si>
  <si>
    <t>20260406 20:47:38</t>
  </si>
  <si>
    <t>20:47:38</t>
  </si>
  <si>
    <t>20:48:03</t>
  </si>
  <si>
    <t>20260406 20:48:38</t>
  </si>
  <si>
    <t>20:48:38</t>
  </si>
  <si>
    <t>20:48:54</t>
  </si>
  <si>
    <t>20260406 20:49:38</t>
  </si>
  <si>
    <t>20:49:38</t>
  </si>
  <si>
    <t>20:49:55</t>
  </si>
  <si>
    <t>20260406 20:50:38</t>
  </si>
  <si>
    <t>20:50:38</t>
  </si>
  <si>
    <t>20:50:55</t>
  </si>
  <si>
    <t>20260406 20:51:38</t>
  </si>
  <si>
    <t>20:51:38</t>
  </si>
  <si>
    <t>20:51:55</t>
  </si>
  <si>
    <t>20260406 20:52:38</t>
  </si>
  <si>
    <t>20:52:38</t>
  </si>
  <si>
    <t>20:52:59</t>
  </si>
  <si>
    <t>20260406 20:53:38</t>
  </si>
  <si>
    <t>20:53:38</t>
  </si>
  <si>
    <t>20:53:55</t>
  </si>
  <si>
    <t>20260406 20:54:38</t>
  </si>
  <si>
    <t>20:54:38</t>
  </si>
  <si>
    <t>20:54:55</t>
  </si>
  <si>
    <t>20260406 20:55:38</t>
  </si>
  <si>
    <t>20:55:38</t>
  </si>
  <si>
    <t>20:55:54</t>
  </si>
  <si>
    <t>20260406 20:56:38</t>
  </si>
  <si>
    <t>20:56:38</t>
  </si>
  <si>
    <t>20:56:55</t>
  </si>
  <si>
    <t>20260406 20:57:38</t>
  </si>
  <si>
    <t>20:57:38</t>
  </si>
  <si>
    <t>20:57:57</t>
  </si>
  <si>
    <t>20260406 20:58:38</t>
  </si>
  <si>
    <t>20:58:38</t>
  </si>
  <si>
    <t>20:58:55</t>
  </si>
  <si>
    <t>20260406 20:59:38</t>
  </si>
  <si>
    <t>20:59:38</t>
  </si>
  <si>
    <t>20:59:55</t>
  </si>
  <si>
    <t>20260406 21:00:39</t>
  </si>
  <si>
    <t>21:00:39</t>
  </si>
  <si>
    <t>21:00:56</t>
  </si>
  <si>
    <t>20260406 21:01:39</t>
  </si>
  <si>
    <t>21:01:39</t>
  </si>
  <si>
    <t>21:01:55</t>
  </si>
  <si>
    <t>20260406 21:02:39</t>
  </si>
  <si>
    <t>21:02:39</t>
  </si>
  <si>
    <t>21:02:56</t>
  </si>
  <si>
    <t>20260406 21:03:39</t>
  </si>
  <si>
    <t>21:03:39</t>
  </si>
  <si>
    <t>21:03:56</t>
  </si>
  <si>
    <t>20260406 21:04:39</t>
  </si>
  <si>
    <t>21:04:39</t>
  </si>
  <si>
    <t>21:04:55</t>
  </si>
  <si>
    <t>20260406 21:05:39</t>
  </si>
  <si>
    <t>21:05:39</t>
  </si>
  <si>
    <t>21:05:57</t>
  </si>
  <si>
    <t>20260406 21:06:39</t>
  </si>
  <si>
    <t>21:06:39</t>
  </si>
  <si>
    <t>21:06:56</t>
  </si>
  <si>
    <t>20260406 21:07:39</t>
  </si>
  <si>
    <t>21:07:39</t>
  </si>
  <si>
    <t>21:07:56</t>
  </si>
  <si>
    <t>20260406 21:08:39</t>
  </si>
  <si>
    <t>21:08:39</t>
  </si>
  <si>
    <t>21:09:02</t>
  </si>
  <si>
    <t>20260406 21:09:39</t>
  </si>
  <si>
    <t>21:09:39</t>
  </si>
  <si>
    <t>21:09:56</t>
  </si>
  <si>
    <t>20260406 21:10:39</t>
  </si>
  <si>
    <t>21:10:39</t>
  </si>
  <si>
    <t>21:10:57</t>
  </si>
  <si>
    <t>20260406 21:11:39</t>
  </si>
  <si>
    <t>21:11:39</t>
  </si>
  <si>
    <t>21:11:56</t>
  </si>
  <si>
    <t>20260406 21:12:39</t>
  </si>
  <si>
    <t>21:12:39</t>
  </si>
  <si>
    <t>21:12:55</t>
  </si>
  <si>
    <t>20260406 21:13:39</t>
  </si>
  <si>
    <t>21:13:39</t>
  </si>
  <si>
    <t>21:13:57</t>
  </si>
  <si>
    <t>20260406 21:14:39</t>
  </si>
  <si>
    <t>21:14:39</t>
  </si>
  <si>
    <t>21:14:55</t>
  </si>
  <si>
    <t>20260406 21:15:39</t>
  </si>
  <si>
    <t>21:15:39</t>
  </si>
  <si>
    <t>21:15:56</t>
  </si>
  <si>
    <t>20260406 21:16:39</t>
  </si>
  <si>
    <t>21:16:39</t>
  </si>
  <si>
    <t>21:16:56</t>
  </si>
  <si>
    <t>20260406 21:17:39</t>
  </si>
  <si>
    <t>21:17:39</t>
  </si>
  <si>
    <t>21:17:55</t>
  </si>
  <si>
    <t>20260406 21:18:39</t>
  </si>
  <si>
    <t>21:18:39</t>
  </si>
  <si>
    <t>21:19:00</t>
  </si>
  <si>
    <t>20260406 21:19:39</t>
  </si>
  <si>
    <t>21:19:39</t>
  </si>
  <si>
    <t>21:19:56</t>
  </si>
  <si>
    <t>20260406 21:20:39</t>
  </si>
  <si>
    <t>21:20:39</t>
  </si>
  <si>
    <t>21:20:56</t>
  </si>
  <si>
    <t>20260406 21:21:39</t>
  </si>
  <si>
    <t>21:21:39</t>
  </si>
  <si>
    <t>21:21:56</t>
  </si>
  <si>
    <t>20260406 21:22:39</t>
  </si>
  <si>
    <t>21:22:39</t>
  </si>
  <si>
    <t>21:22:56</t>
  </si>
  <si>
    <t>20260406 21:23:39</t>
  </si>
  <si>
    <t>21:23:39</t>
  </si>
  <si>
    <t>21:23:56</t>
  </si>
  <si>
    <t>20260406 21:24:39</t>
  </si>
  <si>
    <t>21:24:39</t>
  </si>
  <si>
    <t>21:24:56</t>
  </si>
  <si>
    <t>20260406 21:25:39</t>
  </si>
  <si>
    <t>21:25:39</t>
  </si>
  <si>
    <t>21:25:56</t>
  </si>
  <si>
    <t>20260406 21:26:39</t>
  </si>
  <si>
    <t>21:26:39</t>
  </si>
  <si>
    <t>21:26:56</t>
  </si>
  <si>
    <t>20260406 21:27:39</t>
  </si>
  <si>
    <t>21:27:39</t>
  </si>
  <si>
    <t>21:27:55</t>
  </si>
  <si>
    <t>20260406 21:28:39</t>
  </si>
  <si>
    <t>21:28:39</t>
  </si>
  <si>
    <t>21:28:55</t>
  </si>
  <si>
    <t>20260406 21:29:39</t>
  </si>
  <si>
    <t>21:29:39</t>
  </si>
  <si>
    <t>21:29:55</t>
  </si>
  <si>
    <t>20260406 21:30:39</t>
  </si>
  <si>
    <t>21:30:39</t>
  </si>
  <si>
    <t>21:30:58</t>
  </si>
  <si>
    <t>20260406 21:31:39</t>
  </si>
  <si>
    <t>21:31:39</t>
  </si>
  <si>
    <t>21:31:56</t>
  </si>
  <si>
    <t>20260406 21:32:39</t>
  </si>
  <si>
    <t>21:32:39</t>
  </si>
  <si>
    <t>21:33:04</t>
  </si>
  <si>
    <t>20260406 21:33:39</t>
  </si>
  <si>
    <t>21:33:39</t>
  </si>
  <si>
    <t>21:33:55</t>
  </si>
  <si>
    <t>20260406 21:34:39</t>
  </si>
  <si>
    <t>21:34:39</t>
  </si>
  <si>
    <t>21:34:51</t>
  </si>
  <si>
    <t>20260406 21:35:39</t>
  </si>
  <si>
    <t>21:35:39</t>
  </si>
  <si>
    <t>21:35:56</t>
  </si>
  <si>
    <t>20260406 21:36:39</t>
  </si>
  <si>
    <t>21:36:39</t>
  </si>
  <si>
    <t>21:36:58</t>
  </si>
  <si>
    <t>20260406 21:37:39</t>
  </si>
  <si>
    <t>21:37:39</t>
  </si>
  <si>
    <t>21:37:55</t>
  </si>
  <si>
    <t>20260406 21:38:39</t>
  </si>
  <si>
    <t>21:38:39</t>
  </si>
  <si>
    <t>21:38:57</t>
  </si>
  <si>
    <t>20260406 21:39:39</t>
  </si>
  <si>
    <t>21:39:39</t>
  </si>
  <si>
    <t>21:39:57</t>
  </si>
  <si>
    <t>20260406 21:40:39</t>
  </si>
  <si>
    <t>21:40:39</t>
  </si>
  <si>
    <t>21:40:56</t>
  </si>
  <si>
    <t>20260406 21:41:39</t>
  </si>
  <si>
    <t>21:41:39</t>
  </si>
  <si>
    <t>21:41:53</t>
  </si>
  <si>
    <t>20260406 21:42:39</t>
  </si>
  <si>
    <t>21:42:39</t>
  </si>
  <si>
    <t>21:42:58</t>
  </si>
  <si>
    <t>20260406 21:43:39</t>
  </si>
  <si>
    <t>21:43:39</t>
  </si>
  <si>
    <t>21:44:03</t>
  </si>
  <si>
    <t>20260406 21:44:39</t>
  </si>
  <si>
    <t>21:44:39</t>
  </si>
  <si>
    <t>21:44:55</t>
  </si>
  <si>
    <t>20260406 21:45:39</t>
  </si>
  <si>
    <t>21:45:39</t>
  </si>
  <si>
    <t>21:45:56</t>
  </si>
  <si>
    <t>20260406 21:46:39</t>
  </si>
  <si>
    <t>21:46:39</t>
  </si>
  <si>
    <t>21:46:58</t>
  </si>
  <si>
    <t>20260406 21:47:39</t>
  </si>
  <si>
    <t>21:47:39</t>
  </si>
  <si>
    <t>21:47:56</t>
  </si>
  <si>
    <t>20260406 21:48:39</t>
  </si>
  <si>
    <t>21:48:39</t>
  </si>
  <si>
    <t>21:48:57</t>
  </si>
  <si>
    <t>20260406 21:49:39</t>
  </si>
  <si>
    <t>21:49:39</t>
  </si>
  <si>
    <t>21:49:56</t>
  </si>
  <si>
    <t>20260406 21:50:39</t>
  </si>
  <si>
    <t>21:50:39</t>
  </si>
  <si>
    <t>21:50:56</t>
  </si>
  <si>
    <t>20260406 21:51:39</t>
  </si>
  <si>
    <t>21:51:39</t>
  </si>
  <si>
    <t>21:52:01</t>
  </si>
  <si>
    <t>20260406 21:52:39</t>
  </si>
  <si>
    <t>21:52:39</t>
  </si>
  <si>
    <t>21:52:56</t>
  </si>
  <si>
    <t>20260406 21:53:39</t>
  </si>
  <si>
    <t>21:53:39</t>
  </si>
  <si>
    <t>21:54:01</t>
  </si>
  <si>
    <t>20260406 21:54:39</t>
  </si>
  <si>
    <t>21:54:39</t>
  </si>
  <si>
    <t>21:54:56</t>
  </si>
  <si>
    <t>20260406 21:55:39</t>
  </si>
  <si>
    <t>21:55:39</t>
  </si>
  <si>
    <t>21:55:51</t>
  </si>
  <si>
    <t>20260406 21:56:39</t>
  </si>
  <si>
    <t>21:56:39</t>
  </si>
  <si>
    <t>21:56:56</t>
  </si>
  <si>
    <t>20260406 21:57:39</t>
  </si>
  <si>
    <t>21:57:39</t>
  </si>
  <si>
    <t>21:57:56</t>
  </si>
  <si>
    <t>20260406 21:58:39</t>
  </si>
  <si>
    <t>21:58:39</t>
  </si>
  <si>
    <t>21:58:57</t>
  </si>
  <si>
    <t>20260406 21:59:39</t>
  </si>
  <si>
    <t>21:59:39</t>
  </si>
  <si>
    <t>21:59:56</t>
  </si>
  <si>
    <t>20260406 22:00:39</t>
  </si>
  <si>
    <t>22:00:39</t>
  </si>
  <si>
    <t>22:00:57</t>
  </si>
  <si>
    <t>20260406 22:01:39</t>
  </si>
  <si>
    <t>22:01:39</t>
  </si>
  <si>
    <t>22:01:56</t>
  </si>
  <si>
    <t>20260406 22:02:39</t>
  </si>
  <si>
    <t>22:02:39</t>
  </si>
  <si>
    <t>22:02:55</t>
  </si>
  <si>
    <t>20260406 22:03:39</t>
  </si>
  <si>
    <t>22:03:39</t>
  </si>
  <si>
    <t>22:03:55</t>
  </si>
  <si>
    <t>20260406 22:04:39</t>
  </si>
  <si>
    <t>22:04:39</t>
  </si>
  <si>
    <t>22:04:55</t>
  </si>
  <si>
    <t>20260406 22:05:39</t>
  </si>
  <si>
    <t>22:05:39</t>
  </si>
  <si>
    <t>22:05:55</t>
  </si>
  <si>
    <t>20260406 22:06:39</t>
  </si>
  <si>
    <t>22:06:39</t>
  </si>
  <si>
    <t>22:06:56</t>
  </si>
  <si>
    <t>20260406 22:07:39</t>
  </si>
  <si>
    <t>22:07:39</t>
  </si>
  <si>
    <t>22:08:03</t>
  </si>
  <si>
    <t>20260406 22:08:39</t>
  </si>
  <si>
    <t>22:08:39</t>
  </si>
  <si>
    <t>22:08:53</t>
  </si>
  <si>
    <t>20260406 22:09:39</t>
  </si>
  <si>
    <t>22:09:39</t>
  </si>
  <si>
    <t>22:09:58</t>
  </si>
  <si>
    <t>20260406 22:10:39</t>
  </si>
  <si>
    <t>22:10:39</t>
  </si>
  <si>
    <t>22:10:56</t>
  </si>
  <si>
    <t>20260406 22:11:39</t>
  </si>
  <si>
    <t>22:11:39</t>
  </si>
  <si>
    <t>22:11:56</t>
  </si>
  <si>
    <t>20260406 22:12:39</t>
  </si>
  <si>
    <t>22:12:39</t>
  </si>
  <si>
    <t>22:12:55</t>
  </si>
  <si>
    <t>20260406 22:13:39</t>
  </si>
  <si>
    <t>22:13:39</t>
  </si>
  <si>
    <t>22:13:56</t>
  </si>
  <si>
    <t>20260406 22:14:39</t>
  </si>
  <si>
    <t>22:14:39</t>
  </si>
  <si>
    <t>22:14:55</t>
  </si>
  <si>
    <t>20260406 22:15:39</t>
  </si>
  <si>
    <t>22:15:39</t>
  </si>
  <si>
    <t>22:15:56</t>
  </si>
  <si>
    <t>20260406 22:16:39</t>
  </si>
  <si>
    <t>22:16:39</t>
  </si>
  <si>
    <t>22:16:54</t>
  </si>
  <si>
    <t>20260406 22:17:39</t>
  </si>
  <si>
    <t>22:17:39</t>
  </si>
  <si>
    <t>22:18:04</t>
  </si>
  <si>
    <t>20260406 22:18:39</t>
  </si>
  <si>
    <t>22:18:39</t>
  </si>
  <si>
    <t>22:19:00</t>
  </si>
  <si>
    <t>20260406 22:19:39</t>
  </si>
  <si>
    <t>22:19:39</t>
  </si>
  <si>
    <t>22:19:54</t>
  </si>
  <si>
    <t>20260406 22:20:39</t>
  </si>
  <si>
    <t>22:20:39</t>
  </si>
  <si>
    <t>22:20:55</t>
  </si>
  <si>
    <t>20260406 22:21:39</t>
  </si>
  <si>
    <t>22:21:39</t>
  </si>
  <si>
    <t>22:21:58</t>
  </si>
  <si>
    <t>20260406 22:22:39</t>
  </si>
  <si>
    <t>22:22:39</t>
  </si>
  <si>
    <t>22:22:53</t>
  </si>
  <si>
    <t>20260406 22:23:39</t>
  </si>
  <si>
    <t>22:23:39</t>
  </si>
  <si>
    <t>22:23:55</t>
  </si>
  <si>
    <t>20260406 22:24:39</t>
  </si>
  <si>
    <t>22:24:39</t>
  </si>
  <si>
    <t>22:24:57</t>
  </si>
  <si>
    <t>20260406 22:25:39</t>
  </si>
  <si>
    <t>22:25:39</t>
  </si>
  <si>
    <t>22:25:56</t>
  </si>
  <si>
    <t>20260406 22:26:39</t>
  </si>
  <si>
    <t>22:26:39</t>
  </si>
  <si>
    <t>22:27:02</t>
  </si>
  <si>
    <t>20260406 22:27:39</t>
  </si>
  <si>
    <t>22:27:39</t>
  </si>
  <si>
    <t>22:28:00</t>
  </si>
  <si>
    <t>20260406 22:28:39</t>
  </si>
  <si>
    <t>22:28:39</t>
  </si>
  <si>
    <t>22:28:56</t>
  </si>
  <si>
    <t>20260406 22:29:39</t>
  </si>
  <si>
    <t>22:29:39</t>
  </si>
  <si>
    <t>22:29:57</t>
  </si>
  <si>
    <t>20260406 22:30:39</t>
  </si>
  <si>
    <t>22:30:39</t>
  </si>
  <si>
    <t>22:30:55</t>
  </si>
  <si>
    <t>20260406 22:31:39</t>
  </si>
  <si>
    <t>22:31:39</t>
  </si>
  <si>
    <t>22:31:55</t>
  </si>
  <si>
    <t>20260406 22:32:39</t>
  </si>
  <si>
    <t>22:32:39</t>
  </si>
  <si>
    <t>22:32:56</t>
  </si>
  <si>
    <t>20260406 22:33:39</t>
  </si>
  <si>
    <t>22:33:39</t>
  </si>
  <si>
    <t>22:33:56</t>
  </si>
  <si>
    <t>20260406 22:34:39</t>
  </si>
  <si>
    <t>22:34:39</t>
  </si>
  <si>
    <t>22:34:54</t>
  </si>
  <si>
    <t>20260406 22:35:39</t>
  </si>
  <si>
    <t>22:35:39</t>
  </si>
  <si>
    <t>22:35:55</t>
  </si>
  <si>
    <t>20260406 22:36:39</t>
  </si>
  <si>
    <t>22:36:39</t>
  </si>
  <si>
    <t>22:37:01</t>
  </si>
  <si>
    <t>20260406 22:37:39</t>
  </si>
  <si>
    <t>22:37:39</t>
  </si>
  <si>
    <t>22:38:03</t>
  </si>
  <si>
    <t>20260406 22:38:39</t>
  </si>
  <si>
    <t>22:38:39</t>
  </si>
  <si>
    <t>22:39:04</t>
  </si>
  <si>
    <t>20260406 22:39:39</t>
  </si>
  <si>
    <t>22:39:39</t>
  </si>
  <si>
    <t>22:39:56</t>
  </si>
  <si>
    <t>20260406 22:40:39</t>
  </si>
  <si>
    <t>22:40:39</t>
  </si>
  <si>
    <t>22:41:05</t>
  </si>
  <si>
    <t>20260406 22:41:39</t>
  </si>
  <si>
    <t>22:41:39</t>
  </si>
  <si>
    <t>22:42:02</t>
  </si>
  <si>
    <t>20260406 22:42:39</t>
  </si>
  <si>
    <t>22:42:39</t>
  </si>
  <si>
    <t>22:42:57</t>
  </si>
  <si>
    <t>20260406 22:43:39</t>
  </si>
  <si>
    <t>22:43:39</t>
  </si>
  <si>
    <t>22:43:56</t>
  </si>
  <si>
    <t>20260406 22:44:39</t>
  </si>
  <si>
    <t>22:44:39</t>
  </si>
  <si>
    <t>22:44:54</t>
  </si>
  <si>
    <t>20260406 22:45:39</t>
  </si>
  <si>
    <t>22:45:39</t>
  </si>
  <si>
    <t>22:45:57</t>
  </si>
  <si>
    <t>20260406 22:46:39</t>
  </si>
  <si>
    <t>22:46:39</t>
  </si>
  <si>
    <t>22:46:54</t>
  </si>
  <si>
    <t>20260406 22:47:39</t>
  </si>
  <si>
    <t>22:47:39</t>
  </si>
  <si>
    <t>22:47:55</t>
  </si>
  <si>
    <t>20260406 22:48:39</t>
  </si>
  <si>
    <t>22:48:39</t>
  </si>
  <si>
    <t>22:48:56</t>
  </si>
  <si>
    <t>20260406 22:49:39</t>
  </si>
  <si>
    <t>22:49:39</t>
  </si>
  <si>
    <t>22:49:53</t>
  </si>
  <si>
    <t>20260406 22:50:39</t>
  </si>
  <si>
    <t>22:50:39</t>
  </si>
  <si>
    <t>22:50:56</t>
  </si>
  <si>
    <t>20260406 22:51:39</t>
  </si>
  <si>
    <t>22:51:39</t>
  </si>
  <si>
    <t>22:51:57</t>
  </si>
  <si>
    <t>20260406 22:52:39</t>
  </si>
  <si>
    <t>22:52:39</t>
  </si>
  <si>
    <t>22:52:56</t>
  </si>
  <si>
    <t>20260406 22:53:39</t>
  </si>
  <si>
    <t>22:53:39</t>
  </si>
  <si>
    <t>22:53:57</t>
  </si>
  <si>
    <t>20260406 22:54:40</t>
  </si>
  <si>
    <t>22:54:40</t>
  </si>
  <si>
    <t>22:54:55</t>
  </si>
  <si>
    <t>20260406 22:55:40</t>
  </si>
  <si>
    <t>22:55:40</t>
  </si>
  <si>
    <t>22:55:59</t>
  </si>
  <si>
    <t>20260406 22:56:40</t>
  </si>
  <si>
    <t>22:56:40</t>
  </si>
  <si>
    <t>22:56:59</t>
  </si>
  <si>
    <t>20260406 22:57:40</t>
  </si>
  <si>
    <t>22:57:40</t>
  </si>
  <si>
    <t>22:57:56</t>
  </si>
  <si>
    <t>20260406 22:58:40</t>
  </si>
  <si>
    <t>22:58:40</t>
  </si>
  <si>
    <t>22:58:56</t>
  </si>
  <si>
    <t>20260406 22:59:40</t>
  </si>
  <si>
    <t>22:59:40</t>
  </si>
  <si>
    <t>23:00:00</t>
  </si>
  <si>
    <t>20260406 23:00:40</t>
  </si>
  <si>
    <t>23:00:40</t>
  </si>
  <si>
    <t>23:00:55</t>
  </si>
  <si>
    <t>20260406 23:01:40</t>
  </si>
  <si>
    <t>23:01:40</t>
  </si>
  <si>
    <t>23:01:56</t>
  </si>
  <si>
    <t>20260406 23:02:40</t>
  </si>
  <si>
    <t>23:02:40</t>
  </si>
  <si>
    <t>23:03:00</t>
  </si>
  <si>
    <t>20260406 23:03:40</t>
  </si>
  <si>
    <t>23:03:40</t>
  </si>
  <si>
    <t>23:04:00</t>
  </si>
  <si>
    <t>20260406 23:04:40</t>
  </si>
  <si>
    <t>23:04:40</t>
  </si>
  <si>
    <t>23:04:57</t>
  </si>
  <si>
    <t>20260406 23:05:40</t>
  </si>
  <si>
    <t>23:05:40</t>
  </si>
  <si>
    <t>23:06:04</t>
  </si>
  <si>
    <t>20260406 23:06:40</t>
  </si>
  <si>
    <t>23:06:40</t>
  </si>
  <si>
    <t>23:07:00</t>
  </si>
  <si>
    <t>20260406 23:07:40</t>
  </si>
  <si>
    <t>23:07:40</t>
  </si>
  <si>
    <t>23:07:56</t>
  </si>
  <si>
    <t>20260406 23:08:40</t>
  </si>
  <si>
    <t>23:08:40</t>
  </si>
  <si>
    <t>23:08:59</t>
  </si>
  <si>
    <t>20260406 23:09:40</t>
  </si>
  <si>
    <t>23:09:40</t>
  </si>
  <si>
    <t>23:09:56</t>
  </si>
  <si>
    <t>20260406 23:10:40</t>
  </si>
  <si>
    <t>23:10:40</t>
  </si>
  <si>
    <t>23:10:56</t>
  </si>
  <si>
    <t>20260406 23:11:40</t>
  </si>
  <si>
    <t>23:11:40</t>
  </si>
  <si>
    <t>23:12:01</t>
  </si>
  <si>
    <t>20260406 23:12:40</t>
  </si>
  <si>
    <t>23:12:40</t>
  </si>
  <si>
    <t>23:13:03</t>
  </si>
  <si>
    <t>20260406 23:13:40</t>
  </si>
  <si>
    <t>23:13:40</t>
  </si>
  <si>
    <t>23:14:00</t>
  </si>
  <si>
    <t>20260406 23:14:40</t>
  </si>
  <si>
    <t>23:14:40</t>
  </si>
  <si>
    <t>23:14:58</t>
  </si>
  <si>
    <t>20260406 23:15:40</t>
  </si>
  <si>
    <t>23:15:40</t>
  </si>
  <si>
    <t>23:16:00</t>
  </si>
  <si>
    <t>20260406 23:16:40</t>
  </si>
  <si>
    <t>23:16:40</t>
  </si>
  <si>
    <t>23:16:57</t>
  </si>
  <si>
    <t>20260406 23:17:40</t>
  </si>
  <si>
    <t>23:17:40</t>
  </si>
  <si>
    <t>23:17:57</t>
  </si>
  <si>
    <t>20260406 23:18:40</t>
  </si>
  <si>
    <t>23:18:40</t>
  </si>
  <si>
    <t>23:19:00</t>
  </si>
  <si>
    <t>20260406 23:19:40</t>
  </si>
  <si>
    <t>23:19:40</t>
  </si>
  <si>
    <t>23:20:02</t>
  </si>
  <si>
    <t>20260406 23:20:40</t>
  </si>
  <si>
    <t>23:20:40</t>
  </si>
  <si>
    <t>23:21:02</t>
  </si>
  <si>
    <t>20260406 23:21:40</t>
  </si>
  <si>
    <t>23:21:40</t>
  </si>
  <si>
    <t>23:21:58</t>
  </si>
  <si>
    <t>20260406 23:22:40</t>
  </si>
  <si>
    <t>23:22:40</t>
  </si>
  <si>
    <t>23:22:57</t>
  </si>
  <si>
    <t>20260406 23:23:40</t>
  </si>
  <si>
    <t>23:23:40</t>
  </si>
  <si>
    <t>23:24:03</t>
  </si>
  <si>
    <t>20260406 23:24:40</t>
  </si>
  <si>
    <t>23:24:40</t>
  </si>
  <si>
    <t>23:24:56</t>
  </si>
  <si>
    <t>20260406 23:25:40</t>
  </si>
  <si>
    <t>23:25:40</t>
  </si>
  <si>
    <t>23:26:00</t>
  </si>
  <si>
    <t>20260406 23:26:40</t>
  </si>
  <si>
    <t>23:26:40</t>
  </si>
  <si>
    <t>23:26:55</t>
  </si>
  <si>
    <t>20260406 23:27:40</t>
  </si>
  <si>
    <t>23:27:40</t>
  </si>
  <si>
    <t>23:27:57</t>
  </si>
  <si>
    <t>20260406 23:28:40</t>
  </si>
  <si>
    <t>23:28:40</t>
  </si>
  <si>
    <t>23:28:55</t>
  </si>
  <si>
    <t>20260406 23:29:40</t>
  </si>
  <si>
    <t>23:29:40</t>
  </si>
  <si>
    <t>23:29:53</t>
  </si>
  <si>
    <t>20260406 23:30:40</t>
  </si>
  <si>
    <t>23:30:40</t>
  </si>
  <si>
    <t>23:31:00</t>
  </si>
  <si>
    <t>20260406 23:31:40</t>
  </si>
  <si>
    <t>23:31:40</t>
  </si>
  <si>
    <t>23:31:58</t>
  </si>
  <si>
    <t>20260406 23:32:40</t>
  </si>
  <si>
    <t>23:32:40</t>
  </si>
  <si>
    <t>23:32:58</t>
  </si>
  <si>
    <t>20260406 23:33:40</t>
  </si>
  <si>
    <t>23:33:40</t>
  </si>
  <si>
    <t>23:34:00</t>
  </si>
  <si>
    <t>20260406 23:34:40</t>
  </si>
  <si>
    <t>23:34:40</t>
  </si>
  <si>
    <t>23:34:54</t>
  </si>
  <si>
    <t>20260406 23:35:40</t>
  </si>
  <si>
    <t>23:35:40</t>
  </si>
  <si>
    <t>23:35:58</t>
  </si>
  <si>
    <t>20260406 23:36:40</t>
  </si>
  <si>
    <t>23:36:40</t>
  </si>
  <si>
    <t>23:36:59</t>
  </si>
  <si>
    <t>20260406 23:37:40</t>
  </si>
  <si>
    <t>23:37:40</t>
  </si>
  <si>
    <t>23:37:57</t>
  </si>
  <si>
    <t>20260406 23:38:40</t>
  </si>
  <si>
    <t>23:38:40</t>
  </si>
  <si>
    <t>23:38:55</t>
  </si>
  <si>
    <t>20260406 23:39:40</t>
  </si>
  <si>
    <t>23:39:40</t>
  </si>
  <si>
    <t>23:40:00</t>
  </si>
  <si>
    <t>20260406 23:40:40</t>
  </si>
  <si>
    <t>23:40:40</t>
  </si>
  <si>
    <t>23:41:01</t>
  </si>
  <si>
    <t>20260406 23:41:40</t>
  </si>
  <si>
    <t>23:41:40</t>
  </si>
  <si>
    <t>23:41:53</t>
  </si>
  <si>
    <t>20260406 23:42:40</t>
  </si>
  <si>
    <t>23:42:40</t>
  </si>
  <si>
    <t>23:42:56</t>
  </si>
  <si>
    <t>20260406 23:43:40</t>
  </si>
  <si>
    <t>23:43:40</t>
  </si>
  <si>
    <t>23:44:04</t>
  </si>
  <si>
    <t>20260406 23:44:40</t>
  </si>
  <si>
    <t>23:44:40</t>
  </si>
  <si>
    <t>23:44:56</t>
  </si>
  <si>
    <t>20260406 23:45:40</t>
  </si>
  <si>
    <t>23:45:40</t>
  </si>
  <si>
    <t>23:45:58</t>
  </si>
  <si>
    <t>20260406 23:46:40</t>
  </si>
  <si>
    <t>23:46:40</t>
  </si>
  <si>
    <t>23:46:58</t>
  </si>
  <si>
    <t>20260406 23:47:40</t>
  </si>
  <si>
    <t>23:47:40</t>
  </si>
  <si>
    <t>23:47:56</t>
  </si>
  <si>
    <t>20260406 23:48:40</t>
  </si>
  <si>
    <t>23:48:40</t>
  </si>
  <si>
    <t>23:49:03</t>
  </si>
  <si>
    <t>20260406 23:49:40</t>
  </si>
  <si>
    <t>23:49:40</t>
  </si>
  <si>
    <t>23:49:56</t>
  </si>
  <si>
    <t>20260406 23:50:40</t>
  </si>
  <si>
    <t>23:50:40</t>
  </si>
  <si>
    <t>23:50:57</t>
  </si>
  <si>
    <t>20260406 23:51:40</t>
  </si>
  <si>
    <t>23:51:40</t>
  </si>
  <si>
    <t>23:51:56</t>
  </si>
  <si>
    <t>20260406 23:52:40</t>
  </si>
  <si>
    <t>23:52:40</t>
  </si>
  <si>
    <t>23:52:57</t>
  </si>
  <si>
    <t>20260406 23:53:40</t>
  </si>
  <si>
    <t>23:53:40</t>
  </si>
  <si>
    <t>23:53:59</t>
  </si>
  <si>
    <t>20260406 23:54:40</t>
  </si>
  <si>
    <t>23:54:40</t>
  </si>
  <si>
    <t>23:55:01</t>
  </si>
  <si>
    <t>20260406 23:55:40</t>
  </si>
  <si>
    <t>23:55:40</t>
  </si>
  <si>
    <t>23:55:55</t>
  </si>
  <si>
    <t>20260406 23:56:40</t>
  </si>
  <si>
    <t>23:56:40</t>
  </si>
  <si>
    <t>23:56:57</t>
  </si>
  <si>
    <t>20260406 23:57:40</t>
  </si>
  <si>
    <t>23:57:40</t>
  </si>
  <si>
    <t>23:57:57</t>
  </si>
  <si>
    <t>20260406 23:58:40</t>
  </si>
  <si>
    <t>23:58:40</t>
  </si>
  <si>
    <t>23:58:57</t>
  </si>
  <si>
    <t>20260406 23:59:40</t>
  </si>
  <si>
    <t>23:59:40</t>
  </si>
  <si>
    <t>23:59:52</t>
  </si>
  <si>
    <t>20260407 00:00:40</t>
  </si>
  <si>
    <t>00:00:40</t>
  </si>
  <si>
    <t>00:00:58</t>
  </si>
  <si>
    <t>20260407 00:01:40</t>
  </si>
  <si>
    <t>00:01:40</t>
  </si>
  <si>
    <t>00:01:56</t>
  </si>
  <si>
    <t>20260407 00:02:40</t>
  </si>
  <si>
    <t>00:02:40</t>
  </si>
  <si>
    <t>00:03:00</t>
  </si>
  <si>
    <t>20260407 00:03:40</t>
  </si>
  <si>
    <t>00:03:40</t>
  </si>
  <si>
    <t>00:03:56</t>
  </si>
  <si>
    <t>20260407 00:04:40</t>
  </si>
  <si>
    <t>00:04:40</t>
  </si>
  <si>
    <t>00:04:58</t>
  </si>
  <si>
    <t>20260407 00:05:40</t>
  </si>
  <si>
    <t>00:05:40</t>
  </si>
  <si>
    <t>00:06:01</t>
  </si>
  <si>
    <t>20260407 00:06:40</t>
  </si>
  <si>
    <t>00:06:40</t>
  </si>
  <si>
    <t>00:07:03</t>
  </si>
  <si>
    <t>20260407 00:07:40</t>
  </si>
  <si>
    <t>00:07:40</t>
  </si>
  <si>
    <t>00:07:56</t>
  </si>
  <si>
    <t>20260407 00:08:40</t>
  </si>
  <si>
    <t>00:08:40</t>
  </si>
  <si>
    <t>00:08:57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</si>
</sst>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P258"/>
  <sheetViews>
    <sheetView tabSelected="1" topLeftCell="A241" workbookViewId="0">
      <selection activeCell="O258" sqref="O258"/>
    </sheetView>
  </sheetViews>
  <sheetFormatPr defaultRowHeight="14.5" x14ac:dyDescent="0.35"/>
  <sheetData>
    <row r="2" spans="1:198" x14ac:dyDescent="0.35">
      <c r="A2" t="s">
        <v>38</v>
      </c>
      <c r="B2" t="s">
        <v>39</v>
      </c>
      <c r="C2" t="s">
        <v>41</v>
      </c>
    </row>
    <row r="3" spans="1:198" x14ac:dyDescent="0.35">
      <c r="B3" t="s">
        <v>40</v>
      </c>
      <c r="C3" t="s">
        <v>42</v>
      </c>
    </row>
    <row r="4" spans="1:198" x14ac:dyDescent="0.35">
      <c r="A4" t="s">
        <v>43</v>
      </c>
      <c r="B4" t="s">
        <v>44</v>
      </c>
      <c r="C4" t="s">
        <v>45</v>
      </c>
      <c r="D4" t="s">
        <v>47</v>
      </c>
      <c r="E4" t="s">
        <v>48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</row>
    <row r="5" spans="1:198" x14ac:dyDescent="0.35">
      <c r="B5" t="s">
        <v>21</v>
      </c>
      <c r="C5" t="s">
        <v>46</v>
      </c>
      <c r="D5">
        <v>0.188</v>
      </c>
      <c r="E5">
        <v>0.57954090000000003</v>
      </c>
      <c r="F5">
        <v>-1.15295E-2</v>
      </c>
      <c r="G5">
        <v>0</v>
      </c>
      <c r="H5">
        <v>-9.7259000000000009E-3</v>
      </c>
      <c r="I5">
        <v>1</v>
      </c>
      <c r="J5">
        <v>3</v>
      </c>
      <c r="K5">
        <v>96.7</v>
      </c>
    </row>
    <row r="6" spans="1:198" x14ac:dyDescent="0.35">
      <c r="A6" t="s">
        <v>55</v>
      </c>
      <c r="B6" t="s">
        <v>56</v>
      </c>
      <c r="C6" t="s">
        <v>57</v>
      </c>
      <c r="D6" t="s">
        <v>58</v>
      </c>
      <c r="E6" t="s">
        <v>59</v>
      </c>
    </row>
    <row r="7" spans="1:198" x14ac:dyDescent="0.35">
      <c r="B7">
        <v>0</v>
      </c>
      <c r="C7">
        <v>1</v>
      </c>
      <c r="D7">
        <v>0</v>
      </c>
      <c r="E7">
        <v>0</v>
      </c>
    </row>
    <row r="8" spans="1:198" x14ac:dyDescent="0.35">
      <c r="A8" t="s">
        <v>60</v>
      </c>
      <c r="B8" t="s">
        <v>61</v>
      </c>
      <c r="C8" t="s">
        <v>63</v>
      </c>
      <c r="D8" t="s">
        <v>65</v>
      </c>
      <c r="E8" t="s">
        <v>66</v>
      </c>
      <c r="F8" t="s">
        <v>67</v>
      </c>
      <c r="G8" t="s">
        <v>68</v>
      </c>
      <c r="H8" t="s">
        <v>69</v>
      </c>
      <c r="I8" t="s">
        <v>70</v>
      </c>
      <c r="J8" t="s">
        <v>71</v>
      </c>
      <c r="K8" t="s">
        <v>72</v>
      </c>
      <c r="L8" t="s">
        <v>73</v>
      </c>
      <c r="M8" t="s">
        <v>74</v>
      </c>
      <c r="N8" t="s">
        <v>75</v>
      </c>
      <c r="O8" t="s">
        <v>76</v>
      </c>
      <c r="P8" t="s">
        <v>77</v>
      </c>
      <c r="Q8" t="s">
        <v>78</v>
      </c>
    </row>
    <row r="9" spans="1:198" x14ac:dyDescent="0.35">
      <c r="B9" t="s">
        <v>62</v>
      </c>
      <c r="C9" t="s">
        <v>64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198" x14ac:dyDescent="0.35">
      <c r="A10" t="s">
        <v>79</v>
      </c>
      <c r="B10" t="s">
        <v>80</v>
      </c>
      <c r="C10" t="s">
        <v>81</v>
      </c>
      <c r="D10" t="s">
        <v>82</v>
      </c>
      <c r="E10" t="s">
        <v>83</v>
      </c>
      <c r="F10" t="s">
        <v>84</v>
      </c>
    </row>
    <row r="11" spans="1:198" x14ac:dyDescent="0.35">
      <c r="B11">
        <v>0</v>
      </c>
      <c r="C11">
        <v>0</v>
      </c>
      <c r="D11">
        <v>1</v>
      </c>
      <c r="E11">
        <v>0</v>
      </c>
      <c r="F11">
        <v>0</v>
      </c>
    </row>
    <row r="12" spans="1:198" x14ac:dyDescent="0.35">
      <c r="A12" t="s">
        <v>85</v>
      </c>
      <c r="B12" t="s">
        <v>86</v>
      </c>
      <c r="C12" t="s">
        <v>87</v>
      </c>
      <c r="D12" t="s">
        <v>88</v>
      </c>
      <c r="E12" t="s">
        <v>89</v>
      </c>
      <c r="F12" t="s">
        <v>90</v>
      </c>
      <c r="G12" t="s">
        <v>92</v>
      </c>
      <c r="H12" t="s">
        <v>94</v>
      </c>
    </row>
    <row r="13" spans="1:198" x14ac:dyDescent="0.35">
      <c r="B13">
        <v>-6276</v>
      </c>
      <c r="C13">
        <v>6.6</v>
      </c>
      <c r="D13">
        <v>1.7090000000000001E-5</v>
      </c>
      <c r="E13">
        <v>3.11</v>
      </c>
      <c r="F13" t="s">
        <v>91</v>
      </c>
      <c r="G13" t="s">
        <v>93</v>
      </c>
      <c r="H13">
        <v>0</v>
      </c>
    </row>
    <row r="14" spans="1:198" x14ac:dyDescent="0.35">
      <c r="A14" t="s">
        <v>95</v>
      </c>
      <c r="B14" t="s">
        <v>95</v>
      </c>
      <c r="C14" t="s">
        <v>95</v>
      </c>
      <c r="D14" t="s">
        <v>95</v>
      </c>
      <c r="E14" t="s">
        <v>95</v>
      </c>
      <c r="F14" t="s">
        <v>95</v>
      </c>
      <c r="G14" t="s">
        <v>96</v>
      </c>
      <c r="H14" t="s">
        <v>96</v>
      </c>
      <c r="I14" t="s">
        <v>96</v>
      </c>
      <c r="J14" t="s">
        <v>96</v>
      </c>
      <c r="K14" t="s">
        <v>96</v>
      </c>
      <c r="L14" t="s">
        <v>96</v>
      </c>
      <c r="M14" t="s">
        <v>96</v>
      </c>
      <c r="N14" t="s">
        <v>96</v>
      </c>
      <c r="O14" t="s">
        <v>96</v>
      </c>
      <c r="P14" t="s">
        <v>96</v>
      </c>
      <c r="Q14" t="s">
        <v>96</v>
      </c>
      <c r="R14" t="s">
        <v>96</v>
      </c>
      <c r="S14" t="s">
        <v>96</v>
      </c>
      <c r="T14" t="s">
        <v>96</v>
      </c>
      <c r="U14" t="s">
        <v>96</v>
      </c>
      <c r="V14" t="s">
        <v>96</v>
      </c>
      <c r="W14" t="s">
        <v>96</v>
      </c>
      <c r="X14" t="s">
        <v>96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97</v>
      </c>
      <c r="AF14" t="s">
        <v>97</v>
      </c>
      <c r="AG14" t="s">
        <v>97</v>
      </c>
      <c r="AH14" t="s">
        <v>97</v>
      </c>
      <c r="AI14" t="s">
        <v>97</v>
      </c>
      <c r="AJ14" t="s">
        <v>98</v>
      </c>
      <c r="AK14" t="s">
        <v>98</v>
      </c>
      <c r="AL14" t="s">
        <v>98</v>
      </c>
      <c r="AM14" t="s">
        <v>98</v>
      </c>
      <c r="AN14" t="s">
        <v>99</v>
      </c>
      <c r="AO14" t="s">
        <v>99</v>
      </c>
      <c r="AP14" t="s">
        <v>99</v>
      </c>
      <c r="AQ14" t="s">
        <v>99</v>
      </c>
      <c r="AR14" t="s">
        <v>100</v>
      </c>
      <c r="AS14" t="s">
        <v>100</v>
      </c>
      <c r="AT14" t="s">
        <v>100</v>
      </c>
      <c r="AU14" t="s">
        <v>100</v>
      </c>
      <c r="AV14" t="s">
        <v>100</v>
      </c>
      <c r="AW14" t="s">
        <v>100</v>
      </c>
      <c r="AX14" t="s">
        <v>100</v>
      </c>
      <c r="AY14" t="s">
        <v>100</v>
      </c>
      <c r="AZ14" t="s">
        <v>100</v>
      </c>
      <c r="BA14" t="s">
        <v>100</v>
      </c>
      <c r="BB14" t="s">
        <v>100</v>
      </c>
      <c r="BC14" t="s">
        <v>100</v>
      </c>
      <c r="BD14" t="s">
        <v>100</v>
      </c>
      <c r="BE14" t="s">
        <v>100</v>
      </c>
      <c r="BF14" t="s">
        <v>100</v>
      </c>
      <c r="BG14" t="s">
        <v>100</v>
      </c>
      <c r="BH14" t="s">
        <v>100</v>
      </c>
      <c r="BI14" t="s">
        <v>100</v>
      </c>
      <c r="BJ14" t="s">
        <v>101</v>
      </c>
      <c r="BK14" t="s">
        <v>101</v>
      </c>
      <c r="BL14" t="s">
        <v>101</v>
      </c>
      <c r="BM14" t="s">
        <v>101</v>
      </c>
      <c r="BN14" t="s">
        <v>101</v>
      </c>
      <c r="BO14" t="s">
        <v>101</v>
      </c>
      <c r="BP14" t="s">
        <v>101</v>
      </c>
      <c r="BQ14" t="s">
        <v>101</v>
      </c>
      <c r="BR14" t="s">
        <v>101</v>
      </c>
      <c r="BS14" t="s">
        <v>101</v>
      </c>
      <c r="BT14" t="s">
        <v>102</v>
      </c>
      <c r="BU14" t="s">
        <v>102</v>
      </c>
      <c r="BV14" t="s">
        <v>102</v>
      </c>
      <c r="BW14" t="s">
        <v>102</v>
      </c>
      <c r="BX14" t="s">
        <v>102</v>
      </c>
      <c r="BY14" t="s">
        <v>103</v>
      </c>
      <c r="BZ14" t="s">
        <v>103</v>
      </c>
      <c r="CA14" t="s">
        <v>103</v>
      </c>
      <c r="CB14" t="s">
        <v>103</v>
      </c>
      <c r="CC14" t="s">
        <v>103</v>
      </c>
      <c r="CD14" t="s">
        <v>103</v>
      </c>
      <c r="CE14" t="s">
        <v>103</v>
      </c>
      <c r="CF14" t="s">
        <v>103</v>
      </c>
      <c r="CG14" t="s">
        <v>103</v>
      </c>
      <c r="CH14" t="s">
        <v>103</v>
      </c>
      <c r="CI14" t="s">
        <v>103</v>
      </c>
      <c r="CJ14" t="s">
        <v>103</v>
      </c>
      <c r="CK14" t="s">
        <v>103</v>
      </c>
      <c r="CL14" t="s">
        <v>104</v>
      </c>
      <c r="CM14" t="s">
        <v>104</v>
      </c>
      <c r="CN14" t="s">
        <v>104</v>
      </c>
      <c r="CO14" t="s">
        <v>104</v>
      </c>
      <c r="CP14" t="s">
        <v>104</v>
      </c>
      <c r="CQ14" t="s">
        <v>104</v>
      </c>
      <c r="CR14" t="s">
        <v>104</v>
      </c>
      <c r="CS14" t="s">
        <v>104</v>
      </c>
      <c r="CT14" t="s">
        <v>104</v>
      </c>
      <c r="CU14" t="s">
        <v>104</v>
      </c>
      <c r="CV14" t="s">
        <v>104</v>
      </c>
      <c r="CW14" t="s">
        <v>105</v>
      </c>
      <c r="CX14" t="s">
        <v>105</v>
      </c>
      <c r="CY14" t="s">
        <v>105</v>
      </c>
      <c r="CZ14" t="s">
        <v>105</v>
      </c>
      <c r="DA14" t="s">
        <v>105</v>
      </c>
      <c r="DB14" t="s">
        <v>105</v>
      </c>
      <c r="DC14" t="s">
        <v>105</v>
      </c>
      <c r="DD14" t="s">
        <v>105</v>
      </c>
      <c r="DE14" t="s">
        <v>105</v>
      </c>
      <c r="DF14" t="s">
        <v>105</v>
      </c>
      <c r="DG14" t="s">
        <v>105</v>
      </c>
      <c r="DH14" t="s">
        <v>105</v>
      </c>
      <c r="DI14" t="s">
        <v>105</v>
      </c>
      <c r="DJ14" t="s">
        <v>105</v>
      </c>
      <c r="DK14" t="s">
        <v>105</v>
      </c>
      <c r="DL14" t="s">
        <v>105</v>
      </c>
      <c r="DM14" t="s">
        <v>105</v>
      </c>
      <c r="DN14" t="s">
        <v>105</v>
      </c>
      <c r="DO14" t="s">
        <v>106</v>
      </c>
      <c r="DP14" t="s">
        <v>106</v>
      </c>
      <c r="DQ14" t="s">
        <v>106</v>
      </c>
      <c r="DR14" t="s">
        <v>106</v>
      </c>
      <c r="DS14" t="s">
        <v>106</v>
      </c>
      <c r="DT14" t="s">
        <v>106</v>
      </c>
      <c r="DU14" t="s">
        <v>106</v>
      </c>
      <c r="DV14" t="s">
        <v>106</v>
      </c>
      <c r="DW14" t="s">
        <v>106</v>
      </c>
      <c r="DX14" t="s">
        <v>106</v>
      </c>
      <c r="DY14" t="s">
        <v>106</v>
      </c>
      <c r="DZ14" t="s">
        <v>106</v>
      </c>
      <c r="EA14" t="s">
        <v>106</v>
      </c>
      <c r="EB14" t="s">
        <v>106</v>
      </c>
      <c r="EC14" t="s">
        <v>106</v>
      </c>
      <c r="ED14" t="s">
        <v>106</v>
      </c>
      <c r="EE14" t="s">
        <v>106</v>
      </c>
      <c r="EF14" t="s">
        <v>106</v>
      </c>
      <c r="EG14" t="s">
        <v>106</v>
      </c>
      <c r="EH14" t="s">
        <v>107</v>
      </c>
      <c r="EI14" t="s">
        <v>107</v>
      </c>
      <c r="EJ14" t="s">
        <v>107</v>
      </c>
      <c r="EK14" t="s">
        <v>107</v>
      </c>
      <c r="EL14" t="s">
        <v>107</v>
      </c>
      <c r="EM14" t="s">
        <v>107</v>
      </c>
      <c r="EN14" t="s">
        <v>107</v>
      </c>
      <c r="EO14" t="s">
        <v>107</v>
      </c>
      <c r="EP14" t="s">
        <v>107</v>
      </c>
      <c r="EQ14" t="s">
        <v>107</v>
      </c>
      <c r="ER14" t="s">
        <v>107</v>
      </c>
      <c r="ES14" t="s">
        <v>107</v>
      </c>
      <c r="ET14" t="s">
        <v>107</v>
      </c>
      <c r="EU14" t="s">
        <v>107</v>
      </c>
      <c r="EV14" t="s">
        <v>107</v>
      </c>
      <c r="EW14" t="s">
        <v>107</v>
      </c>
      <c r="EX14" t="s">
        <v>107</v>
      </c>
      <c r="EY14" t="s">
        <v>107</v>
      </c>
      <c r="EZ14" t="s">
        <v>107</v>
      </c>
      <c r="FA14" t="s">
        <v>108</v>
      </c>
      <c r="FB14" t="s">
        <v>108</v>
      </c>
      <c r="FC14" t="s">
        <v>108</v>
      </c>
      <c r="FD14" t="s">
        <v>108</v>
      </c>
      <c r="FE14" t="s">
        <v>108</v>
      </c>
      <c r="FF14" t="s">
        <v>108</v>
      </c>
      <c r="FG14" t="s">
        <v>108</v>
      </c>
      <c r="FH14" t="s">
        <v>108</v>
      </c>
      <c r="FI14" t="s">
        <v>108</v>
      </c>
      <c r="FJ14" t="s">
        <v>108</v>
      </c>
      <c r="FK14" t="s">
        <v>108</v>
      </c>
      <c r="FL14" t="s">
        <v>108</v>
      </c>
      <c r="FM14" t="s">
        <v>108</v>
      </c>
      <c r="FN14" t="s">
        <v>108</v>
      </c>
      <c r="FO14" t="s">
        <v>108</v>
      </c>
      <c r="FP14" t="s">
        <v>108</v>
      </c>
      <c r="FQ14" t="s">
        <v>108</v>
      </c>
      <c r="FR14" t="s">
        <v>108</v>
      </c>
      <c r="FS14" t="s">
        <v>109</v>
      </c>
      <c r="FT14" t="s">
        <v>109</v>
      </c>
      <c r="FU14" t="s">
        <v>109</v>
      </c>
      <c r="FV14" t="s">
        <v>109</v>
      </c>
      <c r="FW14" t="s">
        <v>109</v>
      </c>
      <c r="FX14" t="s">
        <v>109</v>
      </c>
      <c r="FY14" t="s">
        <v>109</v>
      </c>
      <c r="FZ14" t="s">
        <v>109</v>
      </c>
      <c r="GA14" t="s">
        <v>110</v>
      </c>
      <c r="GB14" t="s">
        <v>110</v>
      </c>
      <c r="GC14" t="s">
        <v>110</v>
      </c>
      <c r="GD14" t="s">
        <v>110</v>
      </c>
      <c r="GE14" t="s">
        <v>110</v>
      </c>
      <c r="GF14" t="s">
        <v>110</v>
      </c>
      <c r="GG14" t="s">
        <v>110</v>
      </c>
      <c r="GH14" t="s">
        <v>110</v>
      </c>
      <c r="GI14" t="s">
        <v>110</v>
      </c>
      <c r="GJ14" t="s">
        <v>110</v>
      </c>
      <c r="GK14" t="s">
        <v>110</v>
      </c>
      <c r="GL14" t="s">
        <v>110</v>
      </c>
      <c r="GM14" t="s">
        <v>110</v>
      </c>
      <c r="GN14" t="s">
        <v>110</v>
      </c>
      <c r="GO14" t="s">
        <v>110</v>
      </c>
      <c r="GP14" t="s">
        <v>110</v>
      </c>
    </row>
    <row r="15" spans="1:198" x14ac:dyDescent="0.35">
      <c r="A15" t="s">
        <v>111</v>
      </c>
      <c r="B15" t="s">
        <v>112</v>
      </c>
      <c r="C15" t="s">
        <v>113</v>
      </c>
      <c r="D15" t="s">
        <v>114</v>
      </c>
      <c r="E15" t="s">
        <v>115</v>
      </c>
      <c r="F15" t="s">
        <v>116</v>
      </c>
      <c r="G15" t="s">
        <v>117</v>
      </c>
      <c r="H15" t="s">
        <v>118</v>
      </c>
      <c r="I15" t="s">
        <v>119</v>
      </c>
      <c r="J15" t="s">
        <v>120</v>
      </c>
      <c r="K15" t="s">
        <v>121</v>
      </c>
      <c r="L15" t="s">
        <v>122</v>
      </c>
      <c r="M15" t="s">
        <v>123</v>
      </c>
      <c r="N15" t="s">
        <v>124</v>
      </c>
      <c r="O15" t="s">
        <v>125</v>
      </c>
      <c r="P15" t="s">
        <v>126</v>
      </c>
      <c r="Q15" t="s">
        <v>127</v>
      </c>
      <c r="R15" t="s">
        <v>128</v>
      </c>
      <c r="S15" t="s">
        <v>129</v>
      </c>
      <c r="T15" t="s">
        <v>130</v>
      </c>
      <c r="U15" t="s">
        <v>131</v>
      </c>
      <c r="V15" t="s">
        <v>132</v>
      </c>
      <c r="W15" t="s">
        <v>133</v>
      </c>
      <c r="X15" t="s">
        <v>134</v>
      </c>
      <c r="Y15" t="s">
        <v>135</v>
      </c>
      <c r="Z15" t="s">
        <v>136</v>
      </c>
      <c r="AA15" t="s">
        <v>137</v>
      </c>
      <c r="AB15" t="s">
        <v>138</v>
      </c>
      <c r="AC15" t="s">
        <v>139</v>
      </c>
      <c r="AD15" t="s">
        <v>140</v>
      </c>
      <c r="AE15" t="s">
        <v>97</v>
      </c>
      <c r="AF15" t="s">
        <v>141</v>
      </c>
      <c r="AG15" t="s">
        <v>142</v>
      </c>
      <c r="AH15" t="s">
        <v>143</v>
      </c>
      <c r="AI15" t="s">
        <v>144</v>
      </c>
      <c r="AJ15" t="s">
        <v>145</v>
      </c>
      <c r="AK15" t="s">
        <v>146</v>
      </c>
      <c r="AL15" t="s">
        <v>147</v>
      </c>
      <c r="AM15" t="s">
        <v>148</v>
      </c>
      <c r="AN15" t="s">
        <v>149</v>
      </c>
      <c r="AO15" t="s">
        <v>150</v>
      </c>
      <c r="AP15" t="s">
        <v>151</v>
      </c>
      <c r="AQ15" t="s">
        <v>152</v>
      </c>
      <c r="AR15" t="s">
        <v>117</v>
      </c>
      <c r="AS15" t="s">
        <v>153</v>
      </c>
      <c r="AT15" t="s">
        <v>154</v>
      </c>
      <c r="AU15" t="s">
        <v>155</v>
      </c>
      <c r="AV15" t="s">
        <v>156</v>
      </c>
      <c r="AW15" t="s">
        <v>157</v>
      </c>
      <c r="AX15" t="s">
        <v>158</v>
      </c>
      <c r="AY15" t="s">
        <v>159</v>
      </c>
      <c r="AZ15" t="s">
        <v>160</v>
      </c>
      <c r="BA15" t="s">
        <v>161</v>
      </c>
      <c r="BB15" t="s">
        <v>162</v>
      </c>
      <c r="BC15" t="s">
        <v>163</v>
      </c>
      <c r="BD15" t="s">
        <v>164</v>
      </c>
      <c r="BE15" t="s">
        <v>165</v>
      </c>
      <c r="BF15" t="s">
        <v>166</v>
      </c>
      <c r="BG15" t="s">
        <v>167</v>
      </c>
      <c r="BH15" t="s">
        <v>168</v>
      </c>
      <c r="BI15" t="s">
        <v>169</v>
      </c>
      <c r="BJ15" t="s">
        <v>170</v>
      </c>
      <c r="BK15" t="s">
        <v>171</v>
      </c>
      <c r="BL15" t="s">
        <v>172</v>
      </c>
      <c r="BM15" t="s">
        <v>173</v>
      </c>
      <c r="BN15" t="s">
        <v>174</v>
      </c>
      <c r="BO15" t="s">
        <v>175</v>
      </c>
      <c r="BP15" t="s">
        <v>176</v>
      </c>
      <c r="BQ15" t="s">
        <v>177</v>
      </c>
      <c r="BR15" t="s">
        <v>178</v>
      </c>
      <c r="BS15" t="s">
        <v>179</v>
      </c>
      <c r="BT15" t="s">
        <v>180</v>
      </c>
      <c r="BU15" t="s">
        <v>181</v>
      </c>
      <c r="BV15" t="s">
        <v>182</v>
      </c>
      <c r="BW15" t="s">
        <v>183</v>
      </c>
      <c r="BX15" t="s">
        <v>184</v>
      </c>
      <c r="BY15" t="s">
        <v>112</v>
      </c>
      <c r="BZ15" t="s">
        <v>115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205</v>
      </c>
      <c r="CV15" t="s">
        <v>206</v>
      </c>
      <c r="CW15" t="s">
        <v>207</v>
      </c>
      <c r="CX15" t="s">
        <v>208</v>
      </c>
      <c r="CY15" t="s">
        <v>209</v>
      </c>
      <c r="CZ15" t="s">
        <v>210</v>
      </c>
      <c r="DA15" t="s">
        <v>211</v>
      </c>
      <c r="DB15" t="s">
        <v>212</v>
      </c>
      <c r="DC15" t="s">
        <v>213</v>
      </c>
      <c r="DD15" t="s">
        <v>214</v>
      </c>
      <c r="DE15" t="s">
        <v>215</v>
      </c>
      <c r="DF15" t="s">
        <v>216</v>
      </c>
      <c r="DG15" t="s">
        <v>217</v>
      </c>
      <c r="DH15" t="s">
        <v>218</v>
      </c>
      <c r="DI15" t="s">
        <v>219</v>
      </c>
      <c r="DJ15" t="s">
        <v>220</v>
      </c>
      <c r="DK15" t="s">
        <v>221</v>
      </c>
      <c r="DL15" t="s">
        <v>222</v>
      </c>
      <c r="DM15" t="s">
        <v>223</v>
      </c>
      <c r="DN15" t="s">
        <v>224</v>
      </c>
      <c r="DO15" t="s">
        <v>225</v>
      </c>
      <c r="DP15" t="s">
        <v>226</v>
      </c>
      <c r="DQ15" t="s">
        <v>227</v>
      </c>
      <c r="DR15" t="s">
        <v>228</v>
      </c>
      <c r="DS15" t="s">
        <v>229</v>
      </c>
      <c r="DT15" t="s">
        <v>230</v>
      </c>
      <c r="DU15" t="s">
        <v>231</v>
      </c>
      <c r="DV15" t="s">
        <v>232</v>
      </c>
      <c r="DW15" t="s">
        <v>233</v>
      </c>
      <c r="DX15" t="s">
        <v>234</v>
      </c>
      <c r="DY15" t="s">
        <v>235</v>
      </c>
      <c r="DZ15" t="s">
        <v>236</v>
      </c>
      <c r="EA15" t="s">
        <v>237</v>
      </c>
      <c r="EB15" t="s">
        <v>238</v>
      </c>
      <c r="EC15" t="s">
        <v>239</v>
      </c>
      <c r="ED15" t="s">
        <v>240</v>
      </c>
      <c r="EE15" t="s">
        <v>241</v>
      </c>
      <c r="EF15" t="s">
        <v>242</v>
      </c>
      <c r="EG15" t="s">
        <v>243</v>
      </c>
      <c r="EH15" t="s">
        <v>244</v>
      </c>
      <c r="EI15" t="s">
        <v>245</v>
      </c>
      <c r="EJ15" t="s">
        <v>246</v>
      </c>
      <c r="EK15" t="s">
        <v>247</v>
      </c>
      <c r="EL15" t="s">
        <v>248</v>
      </c>
      <c r="EM15" t="s">
        <v>249</v>
      </c>
      <c r="EN15" t="s">
        <v>250</v>
      </c>
      <c r="EO15" t="s">
        <v>251</v>
      </c>
      <c r="EP15" t="s">
        <v>252</v>
      </c>
      <c r="EQ15" t="s">
        <v>253</v>
      </c>
      <c r="ER15" t="s">
        <v>254</v>
      </c>
      <c r="ES15" t="s">
        <v>255</v>
      </c>
      <c r="ET15" t="s">
        <v>256</v>
      </c>
      <c r="EU15" t="s">
        <v>257</v>
      </c>
      <c r="EV15" t="s">
        <v>258</v>
      </c>
      <c r="EW15" t="s">
        <v>259</v>
      </c>
      <c r="EX15" t="s">
        <v>260</v>
      </c>
      <c r="EY15" t="s">
        <v>261</v>
      </c>
      <c r="EZ15" t="s">
        <v>262</v>
      </c>
      <c r="FA15" t="s">
        <v>263</v>
      </c>
      <c r="FB15" t="s">
        <v>264</v>
      </c>
      <c r="FC15" t="s">
        <v>265</v>
      </c>
      <c r="FD15" t="s">
        <v>266</v>
      </c>
      <c r="FE15" t="s">
        <v>267</v>
      </c>
      <c r="FF15" t="s">
        <v>268</v>
      </c>
      <c r="FG15" t="s">
        <v>269</v>
      </c>
      <c r="FH15" t="s">
        <v>270</v>
      </c>
      <c r="FI15" t="s">
        <v>271</v>
      </c>
      <c r="FJ15" t="s">
        <v>272</v>
      </c>
      <c r="FK15" t="s">
        <v>273</v>
      </c>
      <c r="FL15" t="s">
        <v>274</v>
      </c>
      <c r="FM15" t="s">
        <v>275</v>
      </c>
      <c r="FN15" t="s">
        <v>276</v>
      </c>
      <c r="FO15" t="s">
        <v>277</v>
      </c>
      <c r="FP15" t="s">
        <v>278</v>
      </c>
      <c r="FQ15" t="s">
        <v>279</v>
      </c>
      <c r="FR15" t="s">
        <v>280</v>
      </c>
      <c r="FS15" t="s">
        <v>281</v>
      </c>
      <c r="FT15" t="s">
        <v>282</v>
      </c>
      <c r="FU15" t="s">
        <v>283</v>
      </c>
      <c r="FV15" t="s">
        <v>284</v>
      </c>
      <c r="FW15" t="s">
        <v>285</v>
      </c>
      <c r="FX15" t="s">
        <v>286</v>
      </c>
      <c r="FY15" t="s">
        <v>287</v>
      </c>
      <c r="FZ15" t="s">
        <v>288</v>
      </c>
      <c r="GA15" t="s">
        <v>289</v>
      </c>
      <c r="GB15" t="s">
        <v>290</v>
      </c>
      <c r="GC15" t="s">
        <v>291</v>
      </c>
      <c r="GD15" t="s">
        <v>292</v>
      </c>
      <c r="GE15" t="s">
        <v>293</v>
      </c>
      <c r="GF15" t="s">
        <v>294</v>
      </c>
      <c r="GG15" t="s">
        <v>295</v>
      </c>
      <c r="GH15" t="s">
        <v>296</v>
      </c>
      <c r="GI15" t="s">
        <v>297</v>
      </c>
      <c r="GJ15" t="s">
        <v>298</v>
      </c>
      <c r="GK15" t="s">
        <v>299</v>
      </c>
      <c r="GL15" t="s">
        <v>300</v>
      </c>
      <c r="GM15" t="s">
        <v>301</v>
      </c>
      <c r="GN15" t="s">
        <v>302</v>
      </c>
      <c r="GO15" t="s">
        <v>303</v>
      </c>
      <c r="GP15" t="s">
        <v>304</v>
      </c>
    </row>
    <row r="16" spans="1:198" x14ac:dyDescent="0.35">
      <c r="B16" t="s">
        <v>305</v>
      </c>
      <c r="C16" t="s">
        <v>305</v>
      </c>
      <c r="F16" t="s">
        <v>305</v>
      </c>
      <c r="G16" t="s">
        <v>305</v>
      </c>
      <c r="H16" t="s">
        <v>306</v>
      </c>
      <c r="I16" t="s">
        <v>307</v>
      </c>
      <c r="J16" t="s">
        <v>308</v>
      </c>
      <c r="K16" t="s">
        <v>309</v>
      </c>
      <c r="L16" t="s">
        <v>309</v>
      </c>
      <c r="M16" t="s">
        <v>160</v>
      </c>
      <c r="N16" t="s">
        <v>160</v>
      </c>
      <c r="O16" t="s">
        <v>306</v>
      </c>
      <c r="P16" t="s">
        <v>306</v>
      </c>
      <c r="Q16" t="s">
        <v>306</v>
      </c>
      <c r="R16" t="s">
        <v>306</v>
      </c>
      <c r="S16" t="s">
        <v>310</v>
      </c>
      <c r="T16" t="s">
        <v>311</v>
      </c>
      <c r="U16" t="s">
        <v>311</v>
      </c>
      <c r="V16" t="s">
        <v>312</v>
      </c>
      <c r="W16" t="s">
        <v>313</v>
      </c>
      <c r="X16" t="s">
        <v>312</v>
      </c>
      <c r="Y16" t="s">
        <v>312</v>
      </c>
      <c r="Z16" t="s">
        <v>312</v>
      </c>
      <c r="AA16" t="s">
        <v>310</v>
      </c>
      <c r="AB16" t="s">
        <v>310</v>
      </c>
      <c r="AC16" t="s">
        <v>310</v>
      </c>
      <c r="AD16" t="s">
        <v>310</v>
      </c>
      <c r="AE16" t="s">
        <v>314</v>
      </c>
      <c r="AF16" t="s">
        <v>313</v>
      </c>
      <c r="AH16" t="s">
        <v>313</v>
      </c>
      <c r="AI16" t="s">
        <v>314</v>
      </c>
      <c r="AJ16" t="s">
        <v>308</v>
      </c>
      <c r="AK16" t="s">
        <v>308</v>
      </c>
      <c r="AM16" t="s">
        <v>315</v>
      </c>
      <c r="AN16" t="s">
        <v>316</v>
      </c>
      <c r="AQ16" t="s">
        <v>306</v>
      </c>
      <c r="AR16" t="s">
        <v>305</v>
      </c>
      <c r="AS16" t="s">
        <v>309</v>
      </c>
      <c r="AT16" t="s">
        <v>309</v>
      </c>
      <c r="AU16" t="s">
        <v>317</v>
      </c>
      <c r="AV16" t="s">
        <v>317</v>
      </c>
      <c r="AW16" t="s">
        <v>309</v>
      </c>
      <c r="AX16" t="s">
        <v>317</v>
      </c>
      <c r="AY16" t="s">
        <v>314</v>
      </c>
      <c r="AZ16" t="s">
        <v>312</v>
      </c>
      <c r="BA16" t="s">
        <v>312</v>
      </c>
      <c r="BB16" t="s">
        <v>311</v>
      </c>
      <c r="BC16" t="s">
        <v>311</v>
      </c>
      <c r="BD16" t="s">
        <v>311</v>
      </c>
      <c r="BE16" t="s">
        <v>311</v>
      </c>
      <c r="BF16" t="s">
        <v>311</v>
      </c>
      <c r="BG16" t="s">
        <v>318</v>
      </c>
      <c r="BH16" t="s">
        <v>308</v>
      </c>
      <c r="BI16" t="s">
        <v>308</v>
      </c>
      <c r="BJ16" t="s">
        <v>309</v>
      </c>
      <c r="BK16" t="s">
        <v>309</v>
      </c>
      <c r="BL16" t="s">
        <v>309</v>
      </c>
      <c r="BM16" t="s">
        <v>317</v>
      </c>
      <c r="BN16" t="s">
        <v>309</v>
      </c>
      <c r="BO16" t="s">
        <v>317</v>
      </c>
      <c r="BP16" t="s">
        <v>312</v>
      </c>
      <c r="BQ16" t="s">
        <v>312</v>
      </c>
      <c r="BR16" t="s">
        <v>311</v>
      </c>
      <c r="BS16" t="s">
        <v>311</v>
      </c>
      <c r="BT16" t="s">
        <v>308</v>
      </c>
      <c r="BW16" t="s">
        <v>311</v>
      </c>
      <c r="BY16" t="s">
        <v>319</v>
      </c>
      <c r="CA16" t="s">
        <v>305</v>
      </c>
      <c r="CB16" t="s">
        <v>305</v>
      </c>
      <c r="CD16" t="s">
        <v>320</v>
      </c>
      <c r="CE16" t="s">
        <v>321</v>
      </c>
      <c r="CF16" t="s">
        <v>320</v>
      </c>
      <c r="CG16" t="s">
        <v>321</v>
      </c>
      <c r="CH16" t="s">
        <v>320</v>
      </c>
      <c r="CI16" t="s">
        <v>321</v>
      </c>
      <c r="CJ16" t="s">
        <v>313</v>
      </c>
      <c r="CK16" t="s">
        <v>313</v>
      </c>
      <c r="CL16" t="s">
        <v>309</v>
      </c>
      <c r="CM16" t="s">
        <v>322</v>
      </c>
      <c r="CN16" t="s">
        <v>309</v>
      </c>
      <c r="CP16" t="s">
        <v>314</v>
      </c>
      <c r="CQ16" t="s">
        <v>323</v>
      </c>
      <c r="CR16" t="s">
        <v>314</v>
      </c>
      <c r="CW16" t="s">
        <v>324</v>
      </c>
      <c r="CX16" t="s">
        <v>324</v>
      </c>
      <c r="DK16" t="s">
        <v>324</v>
      </c>
      <c r="DL16" t="s">
        <v>324</v>
      </c>
      <c r="DM16" t="s">
        <v>325</v>
      </c>
      <c r="DN16" t="s">
        <v>325</v>
      </c>
      <c r="DO16" t="s">
        <v>311</v>
      </c>
      <c r="DP16" t="s">
        <v>311</v>
      </c>
      <c r="DQ16" t="s">
        <v>313</v>
      </c>
      <c r="DR16" t="s">
        <v>311</v>
      </c>
      <c r="DS16" t="s">
        <v>317</v>
      </c>
      <c r="DT16" t="s">
        <v>313</v>
      </c>
      <c r="DU16" t="s">
        <v>313</v>
      </c>
      <c r="DW16" t="s">
        <v>324</v>
      </c>
      <c r="DX16" t="s">
        <v>324</v>
      </c>
      <c r="DY16" t="s">
        <v>324</v>
      </c>
      <c r="DZ16" t="s">
        <v>324</v>
      </c>
      <c r="EA16" t="s">
        <v>324</v>
      </c>
      <c r="EB16" t="s">
        <v>324</v>
      </c>
      <c r="EC16" t="s">
        <v>324</v>
      </c>
      <c r="ED16" t="s">
        <v>326</v>
      </c>
      <c r="EE16" t="s">
        <v>326</v>
      </c>
      <c r="EF16" t="s">
        <v>326</v>
      </c>
      <c r="EG16" t="s">
        <v>327</v>
      </c>
      <c r="EH16" t="s">
        <v>324</v>
      </c>
      <c r="EI16" t="s">
        <v>324</v>
      </c>
      <c r="EJ16" t="s">
        <v>324</v>
      </c>
      <c r="EK16" t="s">
        <v>324</v>
      </c>
      <c r="EL16" t="s">
        <v>324</v>
      </c>
      <c r="EM16" t="s">
        <v>324</v>
      </c>
      <c r="EN16" t="s">
        <v>324</v>
      </c>
      <c r="EO16" t="s">
        <v>324</v>
      </c>
      <c r="EP16" t="s">
        <v>324</v>
      </c>
      <c r="EQ16" t="s">
        <v>324</v>
      </c>
      <c r="ER16" t="s">
        <v>324</v>
      </c>
      <c r="ES16" t="s">
        <v>324</v>
      </c>
      <c r="EZ16" t="s">
        <v>324</v>
      </c>
      <c r="FA16" t="s">
        <v>313</v>
      </c>
      <c r="FB16" t="s">
        <v>313</v>
      </c>
      <c r="FC16" t="s">
        <v>320</v>
      </c>
      <c r="FD16" t="s">
        <v>321</v>
      </c>
      <c r="FE16" t="s">
        <v>320</v>
      </c>
      <c r="FI16" t="s">
        <v>321</v>
      </c>
      <c r="FM16" t="s">
        <v>309</v>
      </c>
      <c r="FN16" t="s">
        <v>309</v>
      </c>
      <c r="FO16" t="s">
        <v>317</v>
      </c>
      <c r="FP16" t="s">
        <v>317</v>
      </c>
      <c r="FQ16" t="s">
        <v>328</v>
      </c>
      <c r="FR16" t="s">
        <v>328</v>
      </c>
      <c r="FS16" t="s">
        <v>324</v>
      </c>
      <c r="FT16" t="s">
        <v>324</v>
      </c>
      <c r="FU16" t="s">
        <v>324</v>
      </c>
      <c r="FV16" t="s">
        <v>324</v>
      </c>
      <c r="FW16" t="s">
        <v>324</v>
      </c>
      <c r="FX16" t="s">
        <v>324</v>
      </c>
      <c r="FY16" t="s">
        <v>311</v>
      </c>
      <c r="FZ16" t="s">
        <v>324</v>
      </c>
      <c r="GB16" t="s">
        <v>314</v>
      </c>
      <c r="GC16" t="s">
        <v>314</v>
      </c>
      <c r="GD16" t="s">
        <v>311</v>
      </c>
      <c r="GE16" t="s">
        <v>311</v>
      </c>
      <c r="GF16" t="s">
        <v>311</v>
      </c>
      <c r="GG16" t="s">
        <v>311</v>
      </c>
      <c r="GH16" t="s">
        <v>311</v>
      </c>
      <c r="GI16" t="s">
        <v>313</v>
      </c>
      <c r="GJ16" t="s">
        <v>313</v>
      </c>
      <c r="GK16" t="s">
        <v>313</v>
      </c>
      <c r="GL16" t="s">
        <v>311</v>
      </c>
      <c r="GM16" t="s">
        <v>309</v>
      </c>
      <c r="GN16" t="s">
        <v>317</v>
      </c>
      <c r="GO16" t="s">
        <v>313</v>
      </c>
      <c r="GP16" t="s">
        <v>313</v>
      </c>
    </row>
    <row r="17" spans="1:198" x14ac:dyDescent="0.35">
      <c r="A17">
        <v>1</v>
      </c>
      <c r="B17">
        <v>1775481038.5</v>
      </c>
      <c r="C17">
        <v>0</v>
      </c>
      <c r="D17" t="s">
        <v>329</v>
      </c>
      <c r="E17" t="s">
        <v>330</v>
      </c>
      <c r="F17">
        <v>60</v>
      </c>
      <c r="G17">
        <v>1775481030.75</v>
      </c>
      <c r="H17">
        <f t="shared" ref="H17:H80" si="0">(I17)/1000</f>
        <v>3.3581841171669664E-3</v>
      </c>
      <c r="I17">
        <f t="shared" ref="I17:I80" si="1">1000*AY17*AG17*(AU17-AV17)/(100*AN17*(1000-AG17*AU17))</f>
        <v>3.3581841171669664</v>
      </c>
      <c r="J17">
        <f t="shared" ref="J17:J80" si="2">AY17*AG17*(AT17-AS17*(1000-AG17*AV17)/(1000-AG17*AU17))/(100*AN17)</f>
        <v>1.5639718671249843</v>
      </c>
      <c r="K17">
        <f t="shared" ref="K17:K80" si="3">AS17 - IF(AG17&gt;1, J17*AN17*100/(AI17), 0)</f>
        <v>16.60018333333333</v>
      </c>
      <c r="L17">
        <f t="shared" ref="L17:L80" si="4">((R17-H17/2)*K17-J17)/(R17+H17/2)</f>
        <v>-11.605795575854518</v>
      </c>
      <c r="M17">
        <f t="shared" ref="M17:M80" si="5">L17*(AZ17+BA17)/1000</f>
        <v>-1.1643297888337745</v>
      </c>
      <c r="N17">
        <f t="shared" ref="N17:N80" si="6">(AS17 - IF(AG17&gt;1, J17*AN17*100/(AI17), 0))*(AZ17+BA17)/1000</f>
        <v>1.6653824228399645</v>
      </c>
      <c r="O17">
        <f t="shared" ref="O17:O80" si="7">2/((1/Q17-1/P17)+SIGN(Q17)*SQRT((1/Q17-1/P17)*(1/Q17-1/P17) + 4*AO17/((AO17+1)*(AO17+1))*(2*1/Q17*1/P17-1/P17*1/P17)))</f>
        <v>9.080086638369704E-2</v>
      </c>
      <c r="P17">
        <f t="shared" ref="P17:P80" si="8">IF(LEFT(AP17,1)&lt;&gt;"0",IF(LEFT(AP17,1)="1",3,AQ17),$D$5+$E$5*(BG17*AZ17/($K$5*1000))+$F$5*(BG17*AZ17/($K$5*1000))*MAX(MIN(AN17,$J$5),$I$5)*MAX(MIN(AN17,$J$5),$I$5)+$G$5*MAX(MIN(AN17,$J$5),$I$5)*(BG17*AZ17/($K$5*1000))+$H$5*(BG17*AZ17/($K$5*1000))*(BG17*AZ17/($K$5*1000)))</f>
        <v>2.3924817341128297</v>
      </c>
      <c r="Q17">
        <f t="shared" ref="Q17:Q80" si="9">H17*(1000-(1000*0.61365*EXP(17.502*U17/(240.97+U17))/(AZ17+BA17)+AU17)/2)/(1000*0.61365*EXP(17.502*U17/(240.97+U17))/(AZ17+BA17)-AU17)</f>
        <v>8.8928930711092674E-2</v>
      </c>
      <c r="R17">
        <f t="shared" ref="R17:R80" si="10">1/((AO17+1)/(O17/1.6)+1/(P17/1.37)) + AO17/((AO17+1)/(O17/1.6) + AO17/(P17/1.37))</f>
        <v>5.5745553416473408E-2</v>
      </c>
      <c r="S17">
        <f t="shared" ref="S17:S80" si="11">(AJ17*AM17)</f>
        <v>0</v>
      </c>
      <c r="T17">
        <f t="shared" ref="T17:T80" si="12">(BB17+(S17+2*0.95*0.0000000567*(((BB17+$B$7)+273)^4-(BB17+273)^4)-44100*H17)/(1.84*29.3*P17+8*0.95*0.0000000567*(BB17+273)^3))</f>
        <v>26.213562453865677</v>
      </c>
      <c r="U17">
        <f t="shared" ref="U17:U80" si="13">($C$7*BC17+$D$7*BD17+$E$7*T17)</f>
        <v>27.338683333333329</v>
      </c>
      <c r="V17">
        <f t="shared" ref="V17:V80" si="14">0.61365*EXP(17.502*U17/(240.97+U17))</f>
        <v>3.6509764471148585</v>
      </c>
      <c r="W17">
        <f t="shared" ref="W17:W80" si="15">(X17/Y17*100)</f>
        <v>-1.9217366395671824</v>
      </c>
      <c r="X17">
        <f t="shared" ref="X17:X80" si="16">AU17*(AZ17+BA17)/1000</f>
        <v>-6.986602396269144E-2</v>
      </c>
      <c r="Y17">
        <f t="shared" ref="Y17:Y80" si="17">0.61365*EXP(17.502*BB17/(240.97+BB17))</f>
        <v>3.6355670451507245</v>
      </c>
      <c r="Z17">
        <f t="shared" ref="Z17:Z80" si="18">(V17-AU17*(AZ17+BA17)/1000)</f>
        <v>3.7208424710775501</v>
      </c>
      <c r="AA17">
        <f t="shared" ref="AA17:AA80" si="19">(-H17*44100)</f>
        <v>-148.09591956706322</v>
      </c>
      <c r="AB17">
        <f t="shared" ref="AB17:AB80" si="20">2*29.3*P17*0.92*(BB17-U17)</f>
        <v>-9.3095972985908535</v>
      </c>
      <c r="AC17">
        <f t="shared" ref="AC17:AC80" si="21">2*0.95*0.0000000567*(((BB17+$B$7)+273)^4-(U17+273)^4)</f>
        <v>-0.8423076282704034</v>
      </c>
      <c r="AD17">
        <f t="shared" ref="AD17:AD80" si="22">S17+AC17+AA17+AB17</f>
        <v>-158.24782449392447</v>
      </c>
      <c r="AE17">
        <v>22</v>
      </c>
      <c r="AF17">
        <v>4</v>
      </c>
      <c r="AG17">
        <f t="shared" ref="AG17:AG80" si="23">IF(AE17*$H$13&gt;=AI17,1,(AI17/(AI17-AE17*$H$13)))</f>
        <v>1</v>
      </c>
      <c r="AH17">
        <f t="shared" ref="AH17:AH80" si="24">(AG17-1)*100</f>
        <v>0</v>
      </c>
      <c r="AI17">
        <f t="shared" ref="AI17:AI80" si="25">MAX(0,($B$13+$C$13*BG17)/(1+$D$13*BG17)*AZ17/(BB17+273)*$E$13)</f>
        <v>25556.763173189262</v>
      </c>
      <c r="AJ17">
        <f t="shared" ref="AJ17:AJ80" si="26">$B$11*BH17+$C$11*BI17+$D$11*BT17</f>
        <v>0</v>
      </c>
      <c r="AK17">
        <f t="shared" ref="AK17:AK80" si="27">AJ17*AL17</f>
        <v>0</v>
      </c>
      <c r="AL17">
        <f t="shared" ref="AL17:AL80" si="28">($B$11*$D$9+$C$11*$D$9+$D$11*(BU17*$E$9+BV17*$G$9))/($B$11+$C$11+$D$11)</f>
        <v>0</v>
      </c>
      <c r="AM17">
        <f t="shared" ref="AM17:AM80" si="29">($B$11*$K$9+$C$11*$K$9+$D$11*(BU17*$L$9+BV17*$N$9))/($B$11+$C$11+$D$11)</f>
        <v>0</v>
      </c>
      <c r="AN17">
        <v>3</v>
      </c>
      <c r="AO17">
        <v>0.5</v>
      </c>
      <c r="AP17" t="s">
        <v>331</v>
      </c>
      <c r="AQ17">
        <v>2</v>
      </c>
      <c r="AR17">
        <v>1775481030.75</v>
      </c>
      <c r="AS17">
        <v>16.60018333333333</v>
      </c>
      <c r="AT17">
        <v>17.57198</v>
      </c>
      <c r="AU17">
        <v>-0.69640990000000014</v>
      </c>
      <c r="AV17">
        <v>-2.7126523333333332</v>
      </c>
      <c r="AW17">
        <v>8.0971833333333336</v>
      </c>
      <c r="AX17">
        <v>0.29286109999999999</v>
      </c>
      <c r="AY17">
        <v>500.01766666666668</v>
      </c>
      <c r="AZ17">
        <v>100.28019999999999</v>
      </c>
      <c r="BA17">
        <v>4.2934353333333328E-2</v>
      </c>
      <c r="BB17">
        <v>27.266506666666661</v>
      </c>
      <c r="BC17">
        <v>27.338683333333329</v>
      </c>
      <c r="BD17">
        <v>999.9000000000002</v>
      </c>
      <c r="BE17">
        <v>0</v>
      </c>
      <c r="BF17">
        <v>0</v>
      </c>
      <c r="BG17">
        <v>4997.4666666666662</v>
      </c>
      <c r="BH17">
        <v>0.38296530000000012</v>
      </c>
      <c r="BI17">
        <v>0.22961599999999999</v>
      </c>
      <c r="BJ17">
        <v>-0.80652749999999995</v>
      </c>
      <c r="BK17">
        <v>16.75379666666667</v>
      </c>
      <c r="BL17">
        <v>17.52444333333333</v>
      </c>
      <c r="BM17">
        <v>2.016243666666667</v>
      </c>
      <c r="BN17">
        <v>17.57198</v>
      </c>
      <c r="BO17">
        <v>-2.7126523333333332</v>
      </c>
      <c r="BP17">
        <v>-6.9836119999999988E-2</v>
      </c>
      <c r="BQ17">
        <v>-0.27202549999999998</v>
      </c>
      <c r="BR17">
        <v>-99.900000000000034</v>
      </c>
      <c r="BS17">
        <v>-99.900000000000034</v>
      </c>
      <c r="BT17">
        <v>0</v>
      </c>
      <c r="BU17">
        <v>0</v>
      </c>
      <c r="BV17">
        <v>0</v>
      </c>
      <c r="BW17">
        <v>26</v>
      </c>
      <c r="BX17">
        <v>-1</v>
      </c>
      <c r="BY17">
        <v>1775481060.5</v>
      </c>
      <c r="BZ17" t="s">
        <v>332</v>
      </c>
      <c r="CA17">
        <v>1775481060.5</v>
      </c>
      <c r="CB17">
        <v>1775480969.5</v>
      </c>
      <c r="CC17">
        <v>2</v>
      </c>
      <c r="CD17">
        <v>-0.16500000000000001</v>
      </c>
      <c r="CE17">
        <v>0.19500000000000001</v>
      </c>
      <c r="CF17">
        <v>8.5030000000000001</v>
      </c>
      <c r="CG17">
        <v>-0.98899999999999999</v>
      </c>
      <c r="CH17">
        <v>17</v>
      </c>
      <c r="CI17">
        <v>-3</v>
      </c>
      <c r="CJ17">
        <v>0.22</v>
      </c>
      <c r="CK17">
        <v>0.06</v>
      </c>
      <c r="CL17">
        <v>17.40799333333333</v>
      </c>
      <c r="CM17">
        <v>1.151967324256773</v>
      </c>
      <c r="CN17">
        <v>0.17675552878355899</v>
      </c>
      <c r="CO17">
        <v>-1</v>
      </c>
      <c r="CP17">
        <v>500.0104</v>
      </c>
      <c r="CQ17">
        <v>7.8955265366039799E-3</v>
      </c>
      <c r="CR17">
        <v>7.5166304507627901E-2</v>
      </c>
      <c r="CS17">
        <v>-1</v>
      </c>
      <c r="CT17">
        <v>0</v>
      </c>
      <c r="CU17">
        <v>0</v>
      </c>
      <c r="CV17" t="s">
        <v>333</v>
      </c>
      <c r="CW17">
        <v>3.1672400000000001</v>
      </c>
      <c r="CX17">
        <v>2.6642100000000002</v>
      </c>
      <c r="CY17">
        <v>2.43735E-3</v>
      </c>
      <c r="CZ17">
        <v>5.2657900000000002E-3</v>
      </c>
      <c r="DA17">
        <v>2.6534100000000001E-3</v>
      </c>
      <c r="DB17">
        <v>-2.7047399999999999E-2</v>
      </c>
      <c r="DC17">
        <v>21628.799999999999</v>
      </c>
      <c r="DD17">
        <v>21893.200000000001</v>
      </c>
      <c r="DE17">
        <v>23209.8</v>
      </c>
      <c r="DF17">
        <v>22358</v>
      </c>
      <c r="DG17">
        <v>29834.5</v>
      </c>
      <c r="DH17">
        <v>27386.7</v>
      </c>
      <c r="DI17">
        <v>40765.199999999997</v>
      </c>
      <c r="DJ17">
        <v>37061</v>
      </c>
      <c r="DK17">
        <v>2.10012</v>
      </c>
      <c r="DL17">
        <v>1.84684</v>
      </c>
      <c r="DM17">
        <v>2.1877899999999999E-2</v>
      </c>
      <c r="DN17">
        <v>0</v>
      </c>
      <c r="DO17">
        <v>26.978899999999999</v>
      </c>
      <c r="DP17">
        <v>999.9</v>
      </c>
      <c r="DQ17">
        <v>79.599999999999994</v>
      </c>
      <c r="DR17">
        <v>26.6</v>
      </c>
      <c r="DS17">
        <v>27.749400000000001</v>
      </c>
      <c r="DT17">
        <v>30.73</v>
      </c>
      <c r="DU17">
        <v>9.9639399999999991</v>
      </c>
      <c r="DV17">
        <v>1</v>
      </c>
      <c r="DW17">
        <v>7.1652400000000005E-2</v>
      </c>
      <c r="DX17">
        <v>0.112612</v>
      </c>
      <c r="DY17">
        <v>20.366700000000002</v>
      </c>
      <c r="DZ17">
        <v>5.2098599999999999</v>
      </c>
      <c r="EA17">
        <v>11.8482</v>
      </c>
      <c r="EB17">
        <v>4.96828</v>
      </c>
      <c r="EC17">
        <v>3.2915199999999998</v>
      </c>
      <c r="ED17">
        <v>894.7</v>
      </c>
      <c r="EE17">
        <v>0</v>
      </c>
      <c r="EF17">
        <v>4111.1000000000004</v>
      </c>
      <c r="EG17">
        <v>108.8</v>
      </c>
      <c r="EH17">
        <v>4.9716500000000003</v>
      </c>
      <c r="EI17">
        <v>1.87168</v>
      </c>
      <c r="EJ17">
        <v>1.8687400000000001</v>
      </c>
      <c r="EK17">
        <v>1.8712200000000001</v>
      </c>
      <c r="EL17">
        <v>1.8690199999999999</v>
      </c>
      <c r="EM17">
        <v>1.86798</v>
      </c>
      <c r="EN17">
        <v>1.86981</v>
      </c>
      <c r="EO17">
        <v>1.87164</v>
      </c>
      <c r="EP17">
        <v>0</v>
      </c>
      <c r="EQ17">
        <v>0</v>
      </c>
      <c r="ER17">
        <v>0</v>
      </c>
      <c r="ES17">
        <v>0</v>
      </c>
      <c r="ET17" t="s">
        <v>334</v>
      </c>
      <c r="EU17" t="s">
        <v>335</v>
      </c>
      <c r="EV17" t="s">
        <v>336</v>
      </c>
      <c r="EW17" t="s">
        <v>336</v>
      </c>
      <c r="EX17" t="s">
        <v>336</v>
      </c>
      <c r="EY17" t="s">
        <v>336</v>
      </c>
      <c r="EZ17">
        <v>0</v>
      </c>
      <c r="FA17">
        <v>100</v>
      </c>
      <c r="FB17">
        <v>100</v>
      </c>
      <c r="FC17">
        <v>8.5030000000000001</v>
      </c>
      <c r="FD17">
        <v>-0.98929999999999996</v>
      </c>
      <c r="FE17">
        <v>8.6682785714285693</v>
      </c>
      <c r="FF17">
        <v>0</v>
      </c>
      <c r="FG17">
        <v>0</v>
      </c>
      <c r="FH17">
        <v>0</v>
      </c>
      <c r="FI17">
        <v>-0.98927100000000023</v>
      </c>
      <c r="FJ17">
        <v>0</v>
      </c>
      <c r="FK17">
        <v>0</v>
      </c>
      <c r="FL17">
        <v>0</v>
      </c>
      <c r="FM17">
        <v>-1</v>
      </c>
      <c r="FN17">
        <v>-1</v>
      </c>
      <c r="FO17">
        <v>-1</v>
      </c>
      <c r="FP17">
        <v>-1</v>
      </c>
      <c r="FQ17">
        <v>1.4</v>
      </c>
      <c r="FR17">
        <v>1.1000000000000001</v>
      </c>
      <c r="FS17">
        <v>0.144043</v>
      </c>
      <c r="FT17">
        <v>4.99756</v>
      </c>
      <c r="FU17">
        <v>1.5979000000000001</v>
      </c>
      <c r="FV17">
        <v>2.17896</v>
      </c>
      <c r="FW17">
        <v>1.5478499999999999</v>
      </c>
      <c r="FX17">
        <v>2.4182100000000002</v>
      </c>
      <c r="FY17">
        <v>30.264900000000001</v>
      </c>
      <c r="FZ17">
        <v>16.3035</v>
      </c>
      <c r="GA17">
        <v>3</v>
      </c>
      <c r="GB17">
        <v>487.89800000000002</v>
      </c>
      <c r="GC17">
        <v>416.68099999999998</v>
      </c>
      <c r="GD17">
        <v>27.622599999999998</v>
      </c>
      <c r="GE17">
        <v>28.063700000000001</v>
      </c>
      <c r="GF17">
        <v>30.001200000000001</v>
      </c>
      <c r="GG17">
        <v>27.901800000000001</v>
      </c>
      <c r="GH17">
        <v>27.8355</v>
      </c>
      <c r="GI17">
        <v>-1</v>
      </c>
      <c r="GJ17">
        <v>0</v>
      </c>
      <c r="GK17">
        <v>100</v>
      </c>
      <c r="GL17">
        <v>27.673500000000001</v>
      </c>
      <c r="GM17">
        <v>432.1</v>
      </c>
      <c r="GN17">
        <v>68.912800000000004</v>
      </c>
      <c r="GO17">
        <v>102.63500000000001</v>
      </c>
      <c r="GP17">
        <v>96.697999999999993</v>
      </c>
    </row>
    <row r="18" spans="1:198" x14ac:dyDescent="0.35">
      <c r="A18">
        <v>2</v>
      </c>
      <c r="B18">
        <v>1775481098.5</v>
      </c>
      <c r="C18">
        <v>60</v>
      </c>
      <c r="D18" t="s">
        <v>337</v>
      </c>
      <c r="E18" t="s">
        <v>338</v>
      </c>
      <c r="F18">
        <v>60</v>
      </c>
      <c r="G18">
        <v>1775481090.5</v>
      </c>
      <c r="H18">
        <f t="shared" si="0"/>
        <v>3.7296012914363207E-3</v>
      </c>
      <c r="I18">
        <f t="shared" si="1"/>
        <v>3.7296012914363206</v>
      </c>
      <c r="J18">
        <f t="shared" si="2"/>
        <v>1.9309922686553365</v>
      </c>
      <c r="K18">
        <f t="shared" si="3"/>
        <v>16.138323870967739</v>
      </c>
      <c r="L18">
        <f t="shared" si="4"/>
        <v>-14.950992253203829</v>
      </c>
      <c r="M18">
        <f t="shared" si="5"/>
        <v>-1.4999591825155845</v>
      </c>
      <c r="N18">
        <f t="shared" si="6"/>
        <v>1.6190782973271396</v>
      </c>
      <c r="O18">
        <f t="shared" si="7"/>
        <v>0.10149518304886215</v>
      </c>
      <c r="P18">
        <f t="shared" si="8"/>
        <v>2.3938340170463417</v>
      </c>
      <c r="Q18">
        <f t="shared" si="9"/>
        <v>9.9163724293638122E-2</v>
      </c>
      <c r="R18">
        <f t="shared" si="10"/>
        <v>6.2182339350970138E-2</v>
      </c>
      <c r="S18">
        <f t="shared" si="11"/>
        <v>0</v>
      </c>
      <c r="T18">
        <f t="shared" si="12"/>
        <v>26.115264272148959</v>
      </c>
      <c r="U18">
        <f t="shared" si="13"/>
        <v>27.374735483870971</v>
      </c>
      <c r="V18">
        <f t="shared" si="14"/>
        <v>3.6586947480962402</v>
      </c>
      <c r="W18">
        <f t="shared" si="15"/>
        <v>-1.2821039593837122</v>
      </c>
      <c r="X18">
        <f t="shared" si="16"/>
        <v>-4.6659680146029836E-2</v>
      </c>
      <c r="Y18">
        <f t="shared" si="17"/>
        <v>3.6393055184431713</v>
      </c>
      <c r="Z18">
        <f t="shared" si="18"/>
        <v>3.7053544282422699</v>
      </c>
      <c r="AA18">
        <f t="shared" si="19"/>
        <v>-164.47541695234173</v>
      </c>
      <c r="AB18">
        <f t="shared" si="20"/>
        <v>-11.704581001296258</v>
      </c>
      <c r="AC18">
        <f t="shared" si="21"/>
        <v>-1.0586844921502634</v>
      </c>
      <c r="AD18">
        <f t="shared" si="22"/>
        <v>-177.23868244578824</v>
      </c>
      <c r="AE18">
        <v>21</v>
      </c>
      <c r="AF18">
        <v>4</v>
      </c>
      <c r="AG18">
        <f t="shared" si="23"/>
        <v>1</v>
      </c>
      <c r="AH18">
        <f t="shared" si="24"/>
        <v>0</v>
      </c>
      <c r="AI18">
        <f t="shared" si="25"/>
        <v>25575.775910048251</v>
      </c>
      <c r="AJ18">
        <f t="shared" si="26"/>
        <v>0</v>
      </c>
      <c r="AK18">
        <f t="shared" si="27"/>
        <v>0</v>
      </c>
      <c r="AL18">
        <f t="shared" si="28"/>
        <v>0</v>
      </c>
      <c r="AM18">
        <f t="shared" si="29"/>
        <v>0</v>
      </c>
      <c r="AN18">
        <v>3</v>
      </c>
      <c r="AO18">
        <v>0.5</v>
      </c>
      <c r="AP18" t="s">
        <v>331</v>
      </c>
      <c r="AQ18">
        <v>2</v>
      </c>
      <c r="AR18">
        <v>1775481090.5</v>
      </c>
      <c r="AS18">
        <v>16.138323870967739</v>
      </c>
      <c r="AT18">
        <v>17.333035483870969</v>
      </c>
      <c r="AU18">
        <v>-0.46508500000000003</v>
      </c>
      <c r="AV18">
        <v>-2.7038912903225811</v>
      </c>
      <c r="AW18">
        <v>7.6373238709677409</v>
      </c>
      <c r="AX18">
        <v>0.52418600000000004</v>
      </c>
      <c r="AY18">
        <v>499.99893548387092</v>
      </c>
      <c r="AZ18">
        <v>100.28167741935491</v>
      </c>
      <c r="BA18">
        <v>4.3381754838709673E-2</v>
      </c>
      <c r="BB18">
        <v>27.28404193548387</v>
      </c>
      <c r="BC18">
        <v>27.374735483870971</v>
      </c>
      <c r="BD18">
        <v>999.90000000000032</v>
      </c>
      <c r="BE18">
        <v>0</v>
      </c>
      <c r="BF18">
        <v>0</v>
      </c>
      <c r="BG18">
        <v>5000.8709677419356</v>
      </c>
      <c r="BH18">
        <v>0.36302516129032258</v>
      </c>
      <c r="BI18">
        <v>0.23324516129032249</v>
      </c>
      <c r="BJ18">
        <v>-1.1924245161290321</v>
      </c>
      <c r="BK18">
        <v>16.133125806451609</v>
      </c>
      <c r="BL18">
        <v>17.286306451612901</v>
      </c>
      <c r="BM18">
        <v>2.2388067741935491</v>
      </c>
      <c r="BN18">
        <v>17.333035483870969</v>
      </c>
      <c r="BO18">
        <v>-2.7038912903225811</v>
      </c>
      <c r="BP18">
        <v>-4.6639529032258063E-2</v>
      </c>
      <c r="BQ18">
        <v>-0.27115109677419352</v>
      </c>
      <c r="BR18">
        <v>-99.900000000000034</v>
      </c>
      <c r="BS18">
        <v>-99.900000000000034</v>
      </c>
      <c r="BT18">
        <v>0</v>
      </c>
      <c r="BU18">
        <v>0</v>
      </c>
      <c r="BV18">
        <v>0</v>
      </c>
      <c r="BW18">
        <v>26</v>
      </c>
      <c r="BX18">
        <v>-0.98924741935483884</v>
      </c>
      <c r="BY18">
        <v>1775481116.5</v>
      </c>
      <c r="BZ18" t="s">
        <v>339</v>
      </c>
      <c r="CA18">
        <v>1775481116.5</v>
      </c>
      <c r="CB18">
        <v>1775480969.5</v>
      </c>
      <c r="CC18">
        <v>3</v>
      </c>
      <c r="CD18">
        <v>-2E-3</v>
      </c>
      <c r="CE18">
        <v>0.19500000000000001</v>
      </c>
      <c r="CF18">
        <v>8.5009999999999994</v>
      </c>
      <c r="CG18">
        <v>-0.98899999999999999</v>
      </c>
      <c r="CH18">
        <v>18</v>
      </c>
      <c r="CI18">
        <v>-3</v>
      </c>
      <c r="CJ18">
        <v>0.32</v>
      </c>
      <c r="CK18">
        <v>0.06</v>
      </c>
      <c r="CL18">
        <v>17.24069333333334</v>
      </c>
      <c r="CM18">
        <v>0.66793553764940861</v>
      </c>
      <c r="CN18">
        <v>0.13034722841532009</v>
      </c>
      <c r="CO18">
        <v>-1</v>
      </c>
      <c r="CP18">
        <v>500.06689999999998</v>
      </c>
      <c r="CQ18">
        <v>-0.8021094748534614</v>
      </c>
      <c r="CR18">
        <v>0.2770258531858244</v>
      </c>
      <c r="CS18">
        <v>-1</v>
      </c>
      <c r="CT18">
        <v>0</v>
      </c>
      <c r="CU18">
        <v>0</v>
      </c>
      <c r="CV18" t="s">
        <v>333</v>
      </c>
      <c r="CW18">
        <v>3.1673399999999998</v>
      </c>
      <c r="CX18">
        <v>2.6647500000000002</v>
      </c>
      <c r="CY18">
        <v>2.3355199999999998E-3</v>
      </c>
      <c r="CZ18">
        <v>5.3794999999999997E-3</v>
      </c>
      <c r="DA18">
        <v>4.4938299999999999E-3</v>
      </c>
      <c r="DB18">
        <v>-2.6906300000000001E-2</v>
      </c>
      <c r="DC18">
        <v>21617.1</v>
      </c>
      <c r="DD18">
        <v>21882.400000000001</v>
      </c>
      <c r="DE18">
        <v>23195.9</v>
      </c>
      <c r="DF18">
        <v>22350.1</v>
      </c>
      <c r="DG18">
        <v>29762.400000000001</v>
      </c>
      <c r="DH18">
        <v>27372.799999999999</v>
      </c>
      <c r="DI18">
        <v>40742.199999999997</v>
      </c>
      <c r="DJ18">
        <v>37047</v>
      </c>
      <c r="DK18">
        <v>2.0980799999999999</v>
      </c>
      <c r="DL18">
        <v>1.8415600000000001</v>
      </c>
      <c r="DM18">
        <v>2.1725899999999999E-2</v>
      </c>
      <c r="DN18">
        <v>0</v>
      </c>
      <c r="DO18">
        <v>27.029699999999998</v>
      </c>
      <c r="DP18">
        <v>999.9</v>
      </c>
      <c r="DQ18">
        <v>80</v>
      </c>
      <c r="DR18">
        <v>26.7</v>
      </c>
      <c r="DS18">
        <v>28.054099999999998</v>
      </c>
      <c r="DT18">
        <v>30.94</v>
      </c>
      <c r="DU18">
        <v>9.9519199999999994</v>
      </c>
      <c r="DV18">
        <v>1</v>
      </c>
      <c r="DW18">
        <v>9.1729699999999997E-2</v>
      </c>
      <c r="DX18">
        <v>-0.206479</v>
      </c>
      <c r="DY18">
        <v>20.366900000000001</v>
      </c>
      <c r="DZ18">
        <v>5.2122599999999997</v>
      </c>
      <c r="EA18">
        <v>11.8482</v>
      </c>
      <c r="EB18">
        <v>4.96868</v>
      </c>
      <c r="EC18">
        <v>3.2924000000000002</v>
      </c>
      <c r="ED18">
        <v>894.7</v>
      </c>
      <c r="EE18">
        <v>0</v>
      </c>
      <c r="EF18">
        <v>4137.5</v>
      </c>
      <c r="EG18">
        <v>108.8</v>
      </c>
      <c r="EH18">
        <v>4.9716399999999998</v>
      </c>
      <c r="EI18">
        <v>1.8716900000000001</v>
      </c>
      <c r="EJ18">
        <v>1.8687499999999999</v>
      </c>
      <c r="EK18">
        <v>1.8712599999999999</v>
      </c>
      <c r="EL18">
        <v>1.86903</v>
      </c>
      <c r="EM18">
        <v>1.86798</v>
      </c>
      <c r="EN18">
        <v>1.86981</v>
      </c>
      <c r="EO18">
        <v>1.87164</v>
      </c>
      <c r="EP18">
        <v>0</v>
      </c>
      <c r="EQ18">
        <v>0</v>
      </c>
      <c r="ER18">
        <v>0</v>
      </c>
      <c r="ES18">
        <v>0</v>
      </c>
      <c r="ET18" t="s">
        <v>334</v>
      </c>
      <c r="EU18" t="s">
        <v>335</v>
      </c>
      <c r="EV18" t="s">
        <v>336</v>
      </c>
      <c r="EW18" t="s">
        <v>336</v>
      </c>
      <c r="EX18" t="s">
        <v>336</v>
      </c>
      <c r="EY18" t="s">
        <v>336</v>
      </c>
      <c r="EZ18">
        <v>0</v>
      </c>
      <c r="FA18">
        <v>100</v>
      </c>
      <c r="FB18">
        <v>100</v>
      </c>
      <c r="FC18">
        <v>8.5009999999999994</v>
      </c>
      <c r="FD18">
        <v>-0.98929999999999996</v>
      </c>
      <c r="FE18">
        <v>8.5032959999999989</v>
      </c>
      <c r="FF18">
        <v>0</v>
      </c>
      <c r="FG18">
        <v>0</v>
      </c>
      <c r="FH18">
        <v>0</v>
      </c>
      <c r="FI18">
        <v>-0.98927100000000023</v>
      </c>
      <c r="FJ18">
        <v>0</v>
      </c>
      <c r="FK18">
        <v>0</v>
      </c>
      <c r="FL18">
        <v>0</v>
      </c>
      <c r="FM18">
        <v>-1</v>
      </c>
      <c r="FN18">
        <v>-1</v>
      </c>
      <c r="FO18">
        <v>-1</v>
      </c>
      <c r="FP18">
        <v>-1</v>
      </c>
      <c r="FQ18">
        <v>0.6</v>
      </c>
      <c r="FR18">
        <v>2.1</v>
      </c>
      <c r="FS18">
        <v>0.144043</v>
      </c>
      <c r="FT18">
        <v>4.99756</v>
      </c>
      <c r="FU18">
        <v>1.5979000000000001</v>
      </c>
      <c r="FV18">
        <v>2.17896</v>
      </c>
      <c r="FW18">
        <v>1.5478499999999999</v>
      </c>
      <c r="FX18">
        <v>2.3840300000000001</v>
      </c>
      <c r="FY18">
        <v>30.544599999999999</v>
      </c>
      <c r="FZ18">
        <v>16.294699999999999</v>
      </c>
      <c r="GA18">
        <v>3</v>
      </c>
      <c r="GB18">
        <v>489.03899999999999</v>
      </c>
      <c r="GC18">
        <v>415.59399999999999</v>
      </c>
      <c r="GD18">
        <v>27.964600000000001</v>
      </c>
      <c r="GE18">
        <v>28.3246</v>
      </c>
      <c r="GF18">
        <v>30.0015</v>
      </c>
      <c r="GG18">
        <v>28.194800000000001</v>
      </c>
      <c r="GH18">
        <v>28.114100000000001</v>
      </c>
      <c r="GI18">
        <v>-1</v>
      </c>
      <c r="GJ18">
        <v>0</v>
      </c>
      <c r="GK18">
        <v>100</v>
      </c>
      <c r="GL18">
        <v>27.971800000000002</v>
      </c>
      <c r="GM18">
        <v>432.1</v>
      </c>
      <c r="GN18">
        <v>68.912800000000004</v>
      </c>
      <c r="GO18">
        <v>102.57599999999999</v>
      </c>
      <c r="GP18">
        <v>96.662400000000005</v>
      </c>
    </row>
    <row r="19" spans="1:198" x14ac:dyDescent="0.35">
      <c r="A19">
        <v>3</v>
      </c>
      <c r="B19">
        <v>1775481158.5</v>
      </c>
      <c r="C19">
        <v>120</v>
      </c>
      <c r="D19" t="s">
        <v>340</v>
      </c>
      <c r="E19" t="s">
        <v>341</v>
      </c>
      <c r="F19">
        <v>60</v>
      </c>
      <c r="G19">
        <v>1775481150.5</v>
      </c>
      <c r="H19">
        <f t="shared" si="0"/>
        <v>4.0923058957063599E-3</v>
      </c>
      <c r="I19">
        <f t="shared" si="1"/>
        <v>4.0923058957063603</v>
      </c>
      <c r="J19">
        <f t="shared" si="2"/>
        <v>1.8024688243371854</v>
      </c>
      <c r="K19">
        <f t="shared" si="3"/>
        <v>16.416761935483869</v>
      </c>
      <c r="L19">
        <f t="shared" si="4"/>
        <v>-10.038648676293692</v>
      </c>
      <c r="M19">
        <f t="shared" si="5"/>
        <v>-1.0070858119357673</v>
      </c>
      <c r="N19">
        <f t="shared" si="6"/>
        <v>1.6469435833725237</v>
      </c>
      <c r="O19">
        <f t="shared" si="7"/>
        <v>0.11224746131515678</v>
      </c>
      <c r="P19">
        <f t="shared" si="8"/>
        <v>2.3922890612896484</v>
      </c>
      <c r="Q19">
        <f t="shared" si="9"/>
        <v>0.10940152180394692</v>
      </c>
      <c r="R19">
        <f t="shared" si="10"/>
        <v>6.8625637538809403E-2</v>
      </c>
      <c r="S19">
        <f t="shared" si="11"/>
        <v>0</v>
      </c>
      <c r="T19">
        <f t="shared" si="12"/>
        <v>26.001066916813386</v>
      </c>
      <c r="U19">
        <f t="shared" si="13"/>
        <v>27.381964516129031</v>
      </c>
      <c r="V19">
        <f t="shared" si="14"/>
        <v>3.6602441035955247</v>
      </c>
      <c r="W19">
        <f t="shared" si="15"/>
        <v>-0.67005415445933447</v>
      </c>
      <c r="X19">
        <f t="shared" si="16"/>
        <v>-2.4385640539426233E-2</v>
      </c>
      <c r="Y19">
        <f t="shared" si="17"/>
        <v>3.6393536816592031</v>
      </c>
      <c r="Z19">
        <f t="shared" si="18"/>
        <v>3.6846297441349507</v>
      </c>
      <c r="AA19">
        <f t="shared" si="19"/>
        <v>-180.47069000065048</v>
      </c>
      <c r="AB19">
        <f t="shared" si="20"/>
        <v>-12.600254642899985</v>
      </c>
      <c r="AC19">
        <f t="shared" si="21"/>
        <v>-1.1404770579715657</v>
      </c>
      <c r="AD19">
        <f t="shared" si="22"/>
        <v>-194.21142170152203</v>
      </c>
      <c r="AE19">
        <v>20</v>
      </c>
      <c r="AF19">
        <v>4</v>
      </c>
      <c r="AG19">
        <f t="shared" si="23"/>
        <v>1</v>
      </c>
      <c r="AH19">
        <f t="shared" si="24"/>
        <v>0</v>
      </c>
      <c r="AI19">
        <f t="shared" si="25"/>
        <v>25552.447933995358</v>
      </c>
      <c r="AJ19">
        <f t="shared" si="26"/>
        <v>0</v>
      </c>
      <c r="AK19">
        <f t="shared" si="27"/>
        <v>0</v>
      </c>
      <c r="AL19">
        <f t="shared" si="28"/>
        <v>0</v>
      </c>
      <c r="AM19">
        <f t="shared" si="29"/>
        <v>0</v>
      </c>
      <c r="AN19">
        <v>3</v>
      </c>
      <c r="AO19">
        <v>0.5</v>
      </c>
      <c r="AP19" t="s">
        <v>331</v>
      </c>
      <c r="AQ19">
        <v>2</v>
      </c>
      <c r="AR19">
        <v>1775481150.5</v>
      </c>
      <c r="AS19">
        <v>16.416761935483869</v>
      </c>
      <c r="AT19">
        <v>17.538583870967742</v>
      </c>
      <c r="AU19">
        <v>-0.2430764838709677</v>
      </c>
      <c r="AV19">
        <v>-2.6991251612903229</v>
      </c>
      <c r="AW19">
        <v>7.9597619354838711</v>
      </c>
      <c r="AX19">
        <v>0.74619448387096776</v>
      </c>
      <c r="AY19">
        <v>499.98609677419353</v>
      </c>
      <c r="AZ19">
        <v>100.27703225806449</v>
      </c>
      <c r="BA19">
        <v>4.3822112903225817E-2</v>
      </c>
      <c r="BB19">
        <v>27.28426774193548</v>
      </c>
      <c r="BC19">
        <v>27.381964516129031</v>
      </c>
      <c r="BD19">
        <v>999.90000000000032</v>
      </c>
      <c r="BE19">
        <v>0</v>
      </c>
      <c r="BF19">
        <v>0</v>
      </c>
      <c r="BG19">
        <v>4997.1290322580644</v>
      </c>
      <c r="BH19">
        <v>0.39005645161290309</v>
      </c>
      <c r="BI19">
        <v>0.23331922580645159</v>
      </c>
      <c r="BJ19">
        <v>-1.0779273225806449</v>
      </c>
      <c r="BK19">
        <v>16.456661290322579</v>
      </c>
      <c r="BL19">
        <v>17.49136774193548</v>
      </c>
      <c r="BM19">
        <v>2.4560483870967742</v>
      </c>
      <c r="BN19">
        <v>17.538583870967742</v>
      </c>
      <c r="BO19">
        <v>-2.6991251612903229</v>
      </c>
      <c r="BP19">
        <v>-2.4375000000000001E-2</v>
      </c>
      <c r="BQ19">
        <v>-0.27066022580645149</v>
      </c>
      <c r="BR19">
        <v>-99.900000000000034</v>
      </c>
      <c r="BS19">
        <v>-99.900000000000034</v>
      </c>
      <c r="BT19">
        <v>0</v>
      </c>
      <c r="BU19">
        <v>0</v>
      </c>
      <c r="BV19">
        <v>0</v>
      </c>
      <c r="BW19">
        <v>26</v>
      </c>
      <c r="BX19">
        <v>-0.98924741935483884</v>
      </c>
      <c r="BY19">
        <v>1775481177</v>
      </c>
      <c r="BZ19" t="s">
        <v>342</v>
      </c>
      <c r="CA19">
        <v>1775481177</v>
      </c>
      <c r="CB19">
        <v>1775480969.5</v>
      </c>
      <c r="CC19">
        <v>4</v>
      </c>
      <c r="CD19">
        <v>-4.3999999999999997E-2</v>
      </c>
      <c r="CE19">
        <v>0.19500000000000001</v>
      </c>
      <c r="CF19">
        <v>8.4570000000000007</v>
      </c>
      <c r="CG19">
        <v>-0.98899999999999999</v>
      </c>
      <c r="CH19">
        <v>17</v>
      </c>
      <c r="CI19">
        <v>-3</v>
      </c>
      <c r="CJ19">
        <v>0.28000000000000003</v>
      </c>
      <c r="CK19">
        <v>0.06</v>
      </c>
      <c r="CL19">
        <v>17.715771666666669</v>
      </c>
      <c r="CM19">
        <v>-1.7367434287302179</v>
      </c>
      <c r="CN19">
        <v>0.33308076102334211</v>
      </c>
      <c r="CO19">
        <v>-1</v>
      </c>
      <c r="CP19">
        <v>499.98868333333343</v>
      </c>
      <c r="CQ19">
        <v>-3.1705473742558631E-2</v>
      </c>
      <c r="CR19">
        <v>6.1414029794147167E-2</v>
      </c>
      <c r="CS19">
        <v>-1</v>
      </c>
      <c r="CT19">
        <v>0</v>
      </c>
      <c r="CU19">
        <v>0</v>
      </c>
      <c r="CV19" t="s">
        <v>333</v>
      </c>
      <c r="CW19">
        <v>3.1673100000000001</v>
      </c>
      <c r="CX19">
        <v>2.6652200000000001</v>
      </c>
      <c r="CY19">
        <v>2.3199399999999999E-3</v>
      </c>
      <c r="CZ19">
        <v>5.1346600000000001E-3</v>
      </c>
      <c r="DA19">
        <v>6.2012300000000003E-3</v>
      </c>
      <c r="DB19">
        <v>-2.6817899999999999E-2</v>
      </c>
      <c r="DC19">
        <v>21604.7</v>
      </c>
      <c r="DD19">
        <v>21881.599999999999</v>
      </c>
      <c r="DE19">
        <v>23183.1</v>
      </c>
      <c r="DF19">
        <v>22344.400000000001</v>
      </c>
      <c r="DG19">
        <v>29695.599999999999</v>
      </c>
      <c r="DH19">
        <v>27363.200000000001</v>
      </c>
      <c r="DI19">
        <v>40720.9</v>
      </c>
      <c r="DJ19">
        <v>37036.9</v>
      </c>
      <c r="DK19">
        <v>2.0966200000000002</v>
      </c>
      <c r="DL19">
        <v>1.8382799999999999</v>
      </c>
      <c r="DM19">
        <v>1.89543E-2</v>
      </c>
      <c r="DN19">
        <v>0</v>
      </c>
      <c r="DO19">
        <v>27.070699999999999</v>
      </c>
      <c r="DP19">
        <v>999.9</v>
      </c>
      <c r="DQ19">
        <v>80.3</v>
      </c>
      <c r="DR19">
        <v>26.8</v>
      </c>
      <c r="DS19">
        <v>28.327400000000001</v>
      </c>
      <c r="DT19">
        <v>30.64</v>
      </c>
      <c r="DU19">
        <v>10.02</v>
      </c>
      <c r="DV19">
        <v>1</v>
      </c>
      <c r="DW19">
        <v>0.108185</v>
      </c>
      <c r="DX19">
        <v>-0.146782</v>
      </c>
      <c r="DY19">
        <v>20.367100000000001</v>
      </c>
      <c r="DZ19">
        <v>5.2125000000000004</v>
      </c>
      <c r="EA19">
        <v>11.8482</v>
      </c>
      <c r="EB19">
        <v>4.96828</v>
      </c>
      <c r="EC19">
        <v>3.2920600000000002</v>
      </c>
      <c r="ED19">
        <v>894.7</v>
      </c>
      <c r="EE19">
        <v>0</v>
      </c>
      <c r="EF19">
        <v>4164.3999999999996</v>
      </c>
      <c r="EG19">
        <v>108.9</v>
      </c>
      <c r="EH19">
        <v>4.9716399999999998</v>
      </c>
      <c r="EI19">
        <v>1.8717200000000001</v>
      </c>
      <c r="EJ19">
        <v>1.86876</v>
      </c>
      <c r="EK19">
        <v>1.87131</v>
      </c>
      <c r="EL19">
        <v>1.8690500000000001</v>
      </c>
      <c r="EM19">
        <v>1.86798</v>
      </c>
      <c r="EN19">
        <v>1.86981</v>
      </c>
      <c r="EO19">
        <v>1.87164</v>
      </c>
      <c r="EP19">
        <v>0</v>
      </c>
      <c r="EQ19">
        <v>0</v>
      </c>
      <c r="ER19">
        <v>0</v>
      </c>
      <c r="ES19">
        <v>0</v>
      </c>
      <c r="ET19" t="s">
        <v>334</v>
      </c>
      <c r="EU19" t="s">
        <v>335</v>
      </c>
      <c r="EV19" t="s">
        <v>336</v>
      </c>
      <c r="EW19" t="s">
        <v>336</v>
      </c>
      <c r="EX19" t="s">
        <v>336</v>
      </c>
      <c r="EY19" t="s">
        <v>336</v>
      </c>
      <c r="EZ19">
        <v>0</v>
      </c>
      <c r="FA19">
        <v>100</v>
      </c>
      <c r="FB19">
        <v>100</v>
      </c>
      <c r="FC19">
        <v>8.4570000000000007</v>
      </c>
      <c r="FD19">
        <v>-0.98929999999999996</v>
      </c>
      <c r="FE19">
        <v>8.5008960000000009</v>
      </c>
      <c r="FF19">
        <v>0</v>
      </c>
      <c r="FG19">
        <v>0</v>
      </c>
      <c r="FH19">
        <v>0</v>
      </c>
      <c r="FI19">
        <v>-0.98927100000000023</v>
      </c>
      <c r="FJ19">
        <v>0</v>
      </c>
      <c r="FK19">
        <v>0</v>
      </c>
      <c r="FL19">
        <v>0</v>
      </c>
      <c r="FM19">
        <v>-1</v>
      </c>
      <c r="FN19">
        <v>-1</v>
      </c>
      <c r="FO19">
        <v>-1</v>
      </c>
      <c r="FP19">
        <v>-1</v>
      </c>
      <c r="FQ19">
        <v>0.7</v>
      </c>
      <c r="FR19">
        <v>3.1</v>
      </c>
      <c r="FS19">
        <v>0.144043</v>
      </c>
      <c r="FT19">
        <v>4.99756</v>
      </c>
      <c r="FU19">
        <v>1.5979000000000001</v>
      </c>
      <c r="FV19">
        <v>2.17896</v>
      </c>
      <c r="FW19">
        <v>1.5478499999999999</v>
      </c>
      <c r="FX19">
        <v>2.2997999999999998</v>
      </c>
      <c r="FY19">
        <v>30.782</v>
      </c>
      <c r="FZ19">
        <v>16.2685</v>
      </c>
      <c r="GA19">
        <v>3</v>
      </c>
      <c r="GB19">
        <v>490.09899999999999</v>
      </c>
      <c r="GC19">
        <v>415.44299999999998</v>
      </c>
      <c r="GD19">
        <v>27.819500000000001</v>
      </c>
      <c r="GE19">
        <v>28.537199999999999</v>
      </c>
      <c r="GF19">
        <v>30.001300000000001</v>
      </c>
      <c r="GG19">
        <v>28.436299999999999</v>
      </c>
      <c r="GH19">
        <v>28.363399999999999</v>
      </c>
      <c r="GI19">
        <v>-1</v>
      </c>
      <c r="GJ19">
        <v>0</v>
      </c>
      <c r="GK19">
        <v>100</v>
      </c>
      <c r="GL19">
        <v>27.833400000000001</v>
      </c>
      <c r="GM19">
        <v>432.1</v>
      </c>
      <c r="GN19">
        <v>68.912800000000004</v>
      </c>
      <c r="GO19">
        <v>102.521</v>
      </c>
      <c r="GP19">
        <v>96.636700000000005</v>
      </c>
    </row>
    <row r="20" spans="1:198" x14ac:dyDescent="0.35">
      <c r="A20">
        <v>4</v>
      </c>
      <c r="B20">
        <v>1775481218.5</v>
      </c>
      <c r="C20">
        <v>180</v>
      </c>
      <c r="D20" t="s">
        <v>343</v>
      </c>
      <c r="E20" t="s">
        <v>344</v>
      </c>
      <c r="F20">
        <v>60</v>
      </c>
      <c r="G20">
        <v>1775481210.75</v>
      </c>
      <c r="H20">
        <f t="shared" si="0"/>
        <v>4.4143151884052908E-3</v>
      </c>
      <c r="I20">
        <f t="shared" si="1"/>
        <v>4.4143151884052907</v>
      </c>
      <c r="J20">
        <f t="shared" si="2"/>
        <v>2.1742841981526424</v>
      </c>
      <c r="K20">
        <f t="shared" si="3"/>
        <v>14.72784</v>
      </c>
      <c r="L20">
        <f t="shared" si="4"/>
        <v>-14.524696571376733</v>
      </c>
      <c r="M20">
        <f t="shared" si="5"/>
        <v>-1.4571320342395564</v>
      </c>
      <c r="N20">
        <f t="shared" si="6"/>
        <v>1.4775115854362093</v>
      </c>
      <c r="O20">
        <f t="shared" si="7"/>
        <v>0.12182335989469634</v>
      </c>
      <c r="P20">
        <f t="shared" si="8"/>
        <v>2.3939587265783255</v>
      </c>
      <c r="Q20">
        <f t="shared" si="9"/>
        <v>0.11848118462322658</v>
      </c>
      <c r="R20">
        <f t="shared" si="10"/>
        <v>7.4343384287631015E-2</v>
      </c>
      <c r="S20">
        <f t="shared" si="11"/>
        <v>0</v>
      </c>
      <c r="T20">
        <f t="shared" si="12"/>
        <v>25.920703161086308</v>
      </c>
      <c r="U20">
        <f t="shared" si="13"/>
        <v>27.4057</v>
      </c>
      <c r="V20">
        <f t="shared" si="14"/>
        <v>3.6653352160172852</v>
      </c>
      <c r="W20">
        <f t="shared" si="15"/>
        <v>-0.11454420256461334</v>
      </c>
      <c r="X20">
        <f t="shared" si="16"/>
        <v>-4.1734838726661463E-3</v>
      </c>
      <c r="Y20">
        <f t="shared" si="17"/>
        <v>3.6435574906655988</v>
      </c>
      <c r="Z20">
        <f t="shared" si="18"/>
        <v>3.6695086998899513</v>
      </c>
      <c r="AA20">
        <f t="shared" si="19"/>
        <v>-194.67129980867333</v>
      </c>
      <c r="AB20">
        <f t="shared" si="20"/>
        <v>-13.130019665033105</v>
      </c>
      <c r="AC20">
        <f t="shared" si="21"/>
        <v>-1.1878560481782761</v>
      </c>
      <c r="AD20">
        <f t="shared" si="22"/>
        <v>-208.9891755218847</v>
      </c>
      <c r="AE20">
        <v>19</v>
      </c>
      <c r="AF20">
        <v>4</v>
      </c>
      <c r="AG20">
        <f t="shared" si="23"/>
        <v>1</v>
      </c>
      <c r="AH20">
        <f t="shared" si="24"/>
        <v>0</v>
      </c>
      <c r="AI20">
        <f t="shared" si="25"/>
        <v>25576.168158159886</v>
      </c>
      <c r="AJ20">
        <f t="shared" si="26"/>
        <v>0</v>
      </c>
      <c r="AK20">
        <f t="shared" si="27"/>
        <v>0</v>
      </c>
      <c r="AL20">
        <f t="shared" si="28"/>
        <v>0</v>
      </c>
      <c r="AM20">
        <f t="shared" si="29"/>
        <v>0</v>
      </c>
      <c r="AN20">
        <v>3</v>
      </c>
      <c r="AO20">
        <v>0.5</v>
      </c>
      <c r="AP20" t="s">
        <v>331</v>
      </c>
      <c r="AQ20">
        <v>2</v>
      </c>
      <c r="AR20">
        <v>1775481210.75</v>
      </c>
      <c r="AS20">
        <v>14.72784</v>
      </c>
      <c r="AT20">
        <v>16.071426666666671</v>
      </c>
      <c r="AU20">
        <v>-4.1601300000000008E-2</v>
      </c>
      <c r="AV20">
        <v>-2.6903166666666669</v>
      </c>
      <c r="AW20">
        <v>6.2828399999999993</v>
      </c>
      <c r="AX20">
        <v>0.94766966666666674</v>
      </c>
      <c r="AY20">
        <v>499.99696666666671</v>
      </c>
      <c r="AZ20">
        <v>100.2768333333333</v>
      </c>
      <c r="BA20">
        <v>4.4163189999999998E-2</v>
      </c>
      <c r="BB20">
        <v>27.303966666666661</v>
      </c>
      <c r="BC20">
        <v>27.4057</v>
      </c>
      <c r="BD20">
        <v>999.9000000000002</v>
      </c>
      <c r="BE20">
        <v>0</v>
      </c>
      <c r="BF20">
        <v>0</v>
      </c>
      <c r="BG20">
        <v>5001.4333333333334</v>
      </c>
      <c r="BH20">
        <v>0.38564306666666659</v>
      </c>
      <c r="BI20">
        <v>0.23344266666666669</v>
      </c>
      <c r="BJ20">
        <v>-1.331435333333334</v>
      </c>
      <c r="BK20">
        <v>14.739373333333329</v>
      </c>
      <c r="BL20">
        <v>16.028300000000002</v>
      </c>
      <c r="BM20">
        <v>2.6487163333333328</v>
      </c>
      <c r="BN20">
        <v>16.071426666666671</v>
      </c>
      <c r="BO20">
        <v>-2.6903166666666669</v>
      </c>
      <c r="BP20">
        <v>-4.1716419999999997E-3</v>
      </c>
      <c r="BQ20">
        <v>-0.2697764333333334</v>
      </c>
      <c r="BR20">
        <v>-99.900000000000034</v>
      </c>
      <c r="BS20">
        <v>-99.900000000000034</v>
      </c>
      <c r="BT20">
        <v>0</v>
      </c>
      <c r="BU20">
        <v>0</v>
      </c>
      <c r="BV20">
        <v>0</v>
      </c>
      <c r="BW20">
        <v>26</v>
      </c>
      <c r="BX20">
        <v>-1</v>
      </c>
      <c r="BY20">
        <v>1775481238.5</v>
      </c>
      <c r="BZ20" t="s">
        <v>345</v>
      </c>
      <c r="CA20">
        <v>1775481238.5</v>
      </c>
      <c r="CB20">
        <v>1775480969.5</v>
      </c>
      <c r="CC20">
        <v>5</v>
      </c>
      <c r="CD20">
        <v>-1.2E-2</v>
      </c>
      <c r="CE20">
        <v>0.19500000000000001</v>
      </c>
      <c r="CF20">
        <v>8.4450000000000003</v>
      </c>
      <c r="CG20">
        <v>-0.98899999999999999</v>
      </c>
      <c r="CH20">
        <v>17</v>
      </c>
      <c r="CI20">
        <v>-3</v>
      </c>
      <c r="CJ20">
        <v>0.18</v>
      </c>
      <c r="CK20">
        <v>0.06</v>
      </c>
      <c r="CL20">
        <v>15.93244754098361</v>
      </c>
      <c r="CM20">
        <v>1.737717398202038</v>
      </c>
      <c r="CN20">
        <v>0.43175624901039589</v>
      </c>
      <c r="CO20">
        <v>-1</v>
      </c>
      <c r="CP20">
        <v>499.99413114754111</v>
      </c>
      <c r="CQ20">
        <v>1.932945531481765E-2</v>
      </c>
      <c r="CR20">
        <v>5.508933889001396E-2</v>
      </c>
      <c r="CS20">
        <v>-1</v>
      </c>
      <c r="CT20">
        <v>0</v>
      </c>
      <c r="CU20">
        <v>0</v>
      </c>
      <c r="CV20" t="s">
        <v>333</v>
      </c>
      <c r="CW20">
        <v>3.1674000000000002</v>
      </c>
      <c r="CX20">
        <v>2.66594</v>
      </c>
      <c r="CY20">
        <v>1.8655900000000001E-3</v>
      </c>
      <c r="CZ20">
        <v>4.74589E-3</v>
      </c>
      <c r="DA20">
        <v>7.7055200000000004E-3</v>
      </c>
      <c r="DB20">
        <v>-2.6680499999999999E-2</v>
      </c>
      <c r="DC20">
        <v>21603.3</v>
      </c>
      <c r="DD20">
        <v>21885.200000000001</v>
      </c>
      <c r="DE20">
        <v>23171.7</v>
      </c>
      <c r="DF20">
        <v>22339.8</v>
      </c>
      <c r="DG20">
        <v>29636.3</v>
      </c>
      <c r="DH20">
        <v>27353.3</v>
      </c>
      <c r="DI20">
        <v>40701.300000000003</v>
      </c>
      <c r="DJ20">
        <v>37028.199999999997</v>
      </c>
      <c r="DK20">
        <v>2.09558</v>
      </c>
      <c r="DL20">
        <v>1.8352200000000001</v>
      </c>
      <c r="DM20">
        <v>1.9699299999999999E-2</v>
      </c>
      <c r="DN20">
        <v>0</v>
      </c>
      <c r="DO20">
        <v>27.081199999999999</v>
      </c>
      <c r="DP20">
        <v>999.9</v>
      </c>
      <c r="DQ20">
        <v>80.5</v>
      </c>
      <c r="DR20">
        <v>26.8</v>
      </c>
      <c r="DS20">
        <v>28.397099999999998</v>
      </c>
      <c r="DT20">
        <v>30.82</v>
      </c>
      <c r="DU20">
        <v>9.5913500000000003</v>
      </c>
      <c r="DV20">
        <v>1</v>
      </c>
      <c r="DW20">
        <v>0.121693</v>
      </c>
      <c r="DX20">
        <v>-8.4939000000000001E-2</v>
      </c>
      <c r="DY20">
        <v>20.367000000000001</v>
      </c>
      <c r="DZ20">
        <v>5.2116600000000002</v>
      </c>
      <c r="EA20">
        <v>11.8482</v>
      </c>
      <c r="EB20">
        <v>4.9679599999999997</v>
      </c>
      <c r="EC20">
        <v>3.2921200000000002</v>
      </c>
      <c r="ED20">
        <v>894.7</v>
      </c>
      <c r="EE20">
        <v>0</v>
      </c>
      <c r="EF20">
        <v>4186.6000000000004</v>
      </c>
      <c r="EG20">
        <v>108.9</v>
      </c>
      <c r="EH20">
        <v>4.97166</v>
      </c>
      <c r="EI20">
        <v>1.87175</v>
      </c>
      <c r="EJ20">
        <v>1.86877</v>
      </c>
      <c r="EK20">
        <v>1.8713299999999999</v>
      </c>
      <c r="EL20">
        <v>1.8690500000000001</v>
      </c>
      <c r="EM20">
        <v>1.86798</v>
      </c>
      <c r="EN20">
        <v>1.86981</v>
      </c>
      <c r="EO20">
        <v>1.87164</v>
      </c>
      <c r="EP20">
        <v>0</v>
      </c>
      <c r="EQ20">
        <v>0</v>
      </c>
      <c r="ER20">
        <v>0</v>
      </c>
      <c r="ES20">
        <v>0</v>
      </c>
      <c r="ET20" t="s">
        <v>334</v>
      </c>
      <c r="EU20" t="s">
        <v>335</v>
      </c>
      <c r="EV20" t="s">
        <v>336</v>
      </c>
      <c r="EW20" t="s">
        <v>336</v>
      </c>
      <c r="EX20" t="s">
        <v>336</v>
      </c>
      <c r="EY20" t="s">
        <v>336</v>
      </c>
      <c r="EZ20">
        <v>0</v>
      </c>
      <c r="FA20">
        <v>100</v>
      </c>
      <c r="FB20">
        <v>100</v>
      </c>
      <c r="FC20">
        <v>8.4450000000000003</v>
      </c>
      <c r="FD20">
        <v>-0.98929999999999996</v>
      </c>
      <c r="FE20">
        <v>8.4571500000000004</v>
      </c>
      <c r="FF20">
        <v>0</v>
      </c>
      <c r="FG20">
        <v>0</v>
      </c>
      <c r="FH20">
        <v>0</v>
      </c>
      <c r="FI20">
        <v>-0.98927100000000023</v>
      </c>
      <c r="FJ20">
        <v>0</v>
      </c>
      <c r="FK20">
        <v>0</v>
      </c>
      <c r="FL20">
        <v>0</v>
      </c>
      <c r="FM20">
        <v>-1</v>
      </c>
      <c r="FN20">
        <v>-1</v>
      </c>
      <c r="FO20">
        <v>-1</v>
      </c>
      <c r="FP20">
        <v>-1</v>
      </c>
      <c r="FQ20">
        <v>0.7</v>
      </c>
      <c r="FR20">
        <v>4.2</v>
      </c>
      <c r="FS20">
        <v>0.144043</v>
      </c>
      <c r="FT20">
        <v>4.99756</v>
      </c>
      <c r="FU20">
        <v>1.5979000000000001</v>
      </c>
      <c r="FV20">
        <v>2.1765099999999999</v>
      </c>
      <c r="FW20">
        <v>1.5478499999999999</v>
      </c>
      <c r="FX20">
        <v>2.4145500000000002</v>
      </c>
      <c r="FY20">
        <v>30.9985</v>
      </c>
      <c r="FZ20">
        <v>16.259699999999999</v>
      </c>
      <c r="GA20">
        <v>3</v>
      </c>
      <c r="GB20">
        <v>491.166</v>
      </c>
      <c r="GC20">
        <v>415.197</v>
      </c>
      <c r="GD20">
        <v>27.8233</v>
      </c>
      <c r="GE20">
        <v>28.712399999999999</v>
      </c>
      <c r="GF20">
        <v>30.001000000000001</v>
      </c>
      <c r="GG20">
        <v>28.648900000000001</v>
      </c>
      <c r="GH20">
        <v>28.5823</v>
      </c>
      <c r="GI20">
        <v>-1</v>
      </c>
      <c r="GJ20">
        <v>0</v>
      </c>
      <c r="GK20">
        <v>100</v>
      </c>
      <c r="GL20">
        <v>27.828700000000001</v>
      </c>
      <c r="GM20">
        <v>432.1</v>
      </c>
      <c r="GN20">
        <v>68.912800000000004</v>
      </c>
      <c r="GO20">
        <v>102.47199999999999</v>
      </c>
      <c r="GP20">
        <v>96.615099999999998</v>
      </c>
    </row>
    <row r="21" spans="1:198" x14ac:dyDescent="0.35">
      <c r="A21">
        <v>5</v>
      </c>
      <c r="B21">
        <v>1775481278.5</v>
      </c>
      <c r="C21">
        <v>240</v>
      </c>
      <c r="D21" t="s">
        <v>346</v>
      </c>
      <c r="E21" t="s">
        <v>347</v>
      </c>
      <c r="F21">
        <v>60</v>
      </c>
      <c r="G21">
        <v>1775481270.5</v>
      </c>
      <c r="H21">
        <f t="shared" si="0"/>
        <v>4.7053758612621097E-3</v>
      </c>
      <c r="I21">
        <f t="shared" si="1"/>
        <v>4.7053758612621097</v>
      </c>
      <c r="J21">
        <f t="shared" si="2"/>
        <v>1.3859224354871618</v>
      </c>
      <c r="K21">
        <f t="shared" si="3"/>
        <v>14.942507741935479</v>
      </c>
      <c r="L21">
        <f t="shared" si="4"/>
        <v>-2.8112978559581556</v>
      </c>
      <c r="M21">
        <f t="shared" si="5"/>
        <v>-0.28203587794047086</v>
      </c>
      <c r="N21">
        <f t="shared" si="6"/>
        <v>1.4990668031483689</v>
      </c>
      <c r="O21">
        <f t="shared" si="7"/>
        <v>0.13078303296754368</v>
      </c>
      <c r="P21">
        <f t="shared" si="8"/>
        <v>2.3914378826634701</v>
      </c>
      <c r="Q21">
        <f t="shared" si="9"/>
        <v>0.12693559647843997</v>
      </c>
      <c r="R21">
        <f t="shared" si="10"/>
        <v>7.9670996664381016E-2</v>
      </c>
      <c r="S21">
        <f t="shared" si="11"/>
        <v>0</v>
      </c>
      <c r="T21">
        <f t="shared" si="12"/>
        <v>25.822866270779866</v>
      </c>
      <c r="U21">
        <f t="shared" si="13"/>
        <v>27.403280645161288</v>
      </c>
      <c r="V21">
        <f t="shared" si="14"/>
        <v>3.6648159968710083</v>
      </c>
      <c r="W21">
        <f t="shared" si="15"/>
        <v>0.38864638099062637</v>
      </c>
      <c r="X21">
        <f t="shared" si="16"/>
        <v>1.4156240828377655E-2</v>
      </c>
      <c r="Y21">
        <f t="shared" si="17"/>
        <v>3.6424476132505359</v>
      </c>
      <c r="Z21">
        <f t="shared" si="18"/>
        <v>3.6506597560426308</v>
      </c>
      <c r="AA21">
        <f t="shared" si="19"/>
        <v>-207.50707548165903</v>
      </c>
      <c r="AB21">
        <f t="shared" si="20"/>
        <v>-13.474555885863083</v>
      </c>
      <c r="AC21">
        <f t="shared" si="21"/>
        <v>-1.220264362527328</v>
      </c>
      <c r="AD21">
        <f t="shared" si="22"/>
        <v>-222.20189573004944</v>
      </c>
      <c r="AE21">
        <v>18</v>
      </c>
      <c r="AF21">
        <v>4</v>
      </c>
      <c r="AG21">
        <f t="shared" si="23"/>
        <v>1</v>
      </c>
      <c r="AH21">
        <f t="shared" si="24"/>
        <v>0</v>
      </c>
      <c r="AI21">
        <f t="shared" si="25"/>
        <v>25538.242486431238</v>
      </c>
      <c r="AJ21">
        <f t="shared" si="26"/>
        <v>0</v>
      </c>
      <c r="AK21">
        <f t="shared" si="27"/>
        <v>0</v>
      </c>
      <c r="AL21">
        <f t="shared" si="28"/>
        <v>0</v>
      </c>
      <c r="AM21">
        <f t="shared" si="29"/>
        <v>0</v>
      </c>
      <c r="AN21">
        <v>3</v>
      </c>
      <c r="AO21">
        <v>0.5</v>
      </c>
      <c r="AP21" t="s">
        <v>331</v>
      </c>
      <c r="AQ21">
        <v>2</v>
      </c>
      <c r="AR21">
        <v>1775481270.5</v>
      </c>
      <c r="AS21">
        <v>14.942507741935479</v>
      </c>
      <c r="AT21">
        <v>15.816251612903219</v>
      </c>
      <c r="AU21">
        <v>0.14110761290322579</v>
      </c>
      <c r="AV21">
        <v>-2.6817335483870961</v>
      </c>
      <c r="AW21">
        <v>6.5615077419354844</v>
      </c>
      <c r="AX21">
        <v>1.1303783870967741</v>
      </c>
      <c r="AY21">
        <v>499.99751612903242</v>
      </c>
      <c r="AZ21">
        <v>100.2777741935484</v>
      </c>
      <c r="BA21">
        <v>4.4529735483870951E-2</v>
      </c>
      <c r="BB21">
        <v>27.298767741935489</v>
      </c>
      <c r="BC21">
        <v>27.403280645161288</v>
      </c>
      <c r="BD21">
        <v>999.90000000000032</v>
      </c>
      <c r="BE21">
        <v>0</v>
      </c>
      <c r="BF21">
        <v>0</v>
      </c>
      <c r="BG21">
        <v>4994.9032258064517</v>
      </c>
      <c r="BH21">
        <v>0.3906440322580646</v>
      </c>
      <c r="BI21">
        <v>0.23331922580645159</v>
      </c>
      <c r="BJ21">
        <v>-0.80988632258064497</v>
      </c>
      <c r="BK21">
        <v>15.008487096774189</v>
      </c>
      <c r="BL21">
        <v>15.773951612903231</v>
      </c>
      <c r="BM21">
        <v>2.8228409677419362</v>
      </c>
      <c r="BN21">
        <v>15.816251612903219</v>
      </c>
      <c r="BO21">
        <v>-2.6817335483870961</v>
      </c>
      <c r="BP21">
        <v>1.4149961290322579E-2</v>
      </c>
      <c r="BQ21">
        <v>-0.26891825806451608</v>
      </c>
      <c r="BR21">
        <v>-42.744009677419349</v>
      </c>
      <c r="BS21">
        <v>-99.900000000000034</v>
      </c>
      <c r="BT21">
        <v>0</v>
      </c>
      <c r="BU21">
        <v>0</v>
      </c>
      <c r="BV21">
        <v>0</v>
      </c>
      <c r="BW21">
        <v>26</v>
      </c>
      <c r="BX21">
        <v>-1</v>
      </c>
      <c r="BY21">
        <v>1775481303.5</v>
      </c>
      <c r="BZ21" t="s">
        <v>348</v>
      </c>
      <c r="CA21">
        <v>1775481303.5</v>
      </c>
      <c r="CB21">
        <v>1775480969.5</v>
      </c>
      <c r="CC21">
        <v>6</v>
      </c>
      <c r="CD21">
        <v>-6.3E-2</v>
      </c>
      <c r="CE21">
        <v>0.19500000000000001</v>
      </c>
      <c r="CF21">
        <v>8.3810000000000002</v>
      </c>
      <c r="CG21">
        <v>-0.98899999999999999</v>
      </c>
      <c r="CH21">
        <v>15</v>
      </c>
      <c r="CI21">
        <v>-3</v>
      </c>
      <c r="CJ21">
        <v>0.19</v>
      </c>
      <c r="CK21">
        <v>0.06</v>
      </c>
      <c r="CL21">
        <v>16.385811475409842</v>
      </c>
      <c r="CM21">
        <v>-4.0545740877842924</v>
      </c>
      <c r="CN21">
        <v>0.78742281060126795</v>
      </c>
      <c r="CO21">
        <v>-1</v>
      </c>
      <c r="CP21">
        <v>499.99859016393441</v>
      </c>
      <c r="CQ21">
        <v>-5.0855631940931623E-2</v>
      </c>
      <c r="CR21">
        <v>5.5505243305465343E-2</v>
      </c>
      <c r="CS21">
        <v>-1</v>
      </c>
      <c r="CT21">
        <v>0</v>
      </c>
      <c r="CU21">
        <v>0</v>
      </c>
      <c r="CV21" t="s">
        <v>333</v>
      </c>
      <c r="CW21">
        <v>3.16743</v>
      </c>
      <c r="CX21">
        <v>2.66614</v>
      </c>
      <c r="CY21">
        <v>1.7376900000000001E-3</v>
      </c>
      <c r="CZ21">
        <v>4.6352399999999997E-3</v>
      </c>
      <c r="DA21">
        <v>9.0616900000000007E-3</v>
      </c>
      <c r="DB21">
        <v>-2.65448E-2</v>
      </c>
      <c r="DC21">
        <v>21595.4</v>
      </c>
      <c r="DD21">
        <v>21883.200000000001</v>
      </c>
      <c r="DE21">
        <v>23160.9</v>
      </c>
      <c r="DF21">
        <v>22335.8</v>
      </c>
      <c r="DG21">
        <v>29582.2</v>
      </c>
      <c r="DH21">
        <v>27344.5</v>
      </c>
      <c r="DI21">
        <v>40682.800000000003</v>
      </c>
      <c r="DJ21">
        <v>37021</v>
      </c>
      <c r="DK21">
        <v>2.09456</v>
      </c>
      <c r="DL21">
        <v>1.83256</v>
      </c>
      <c r="DM21">
        <v>1.8089999999999998E-2</v>
      </c>
      <c r="DN21">
        <v>0</v>
      </c>
      <c r="DO21">
        <v>27.101400000000002</v>
      </c>
      <c r="DP21">
        <v>999.9</v>
      </c>
      <c r="DQ21">
        <v>80.7</v>
      </c>
      <c r="DR21">
        <v>26.9</v>
      </c>
      <c r="DS21">
        <v>28.634799999999998</v>
      </c>
      <c r="DT21">
        <v>30.64</v>
      </c>
      <c r="DU21">
        <v>9.6113800000000005</v>
      </c>
      <c r="DV21">
        <v>1</v>
      </c>
      <c r="DW21">
        <v>0.13359099999999999</v>
      </c>
      <c r="DX21">
        <v>-0.16892799999999999</v>
      </c>
      <c r="DY21">
        <v>20.3672</v>
      </c>
      <c r="DZ21">
        <v>5.2117800000000001</v>
      </c>
      <c r="EA21">
        <v>11.8482</v>
      </c>
      <c r="EB21">
        <v>4.9680400000000002</v>
      </c>
      <c r="EC21">
        <v>3.2921</v>
      </c>
      <c r="ED21">
        <v>894.7</v>
      </c>
      <c r="EE21">
        <v>0</v>
      </c>
      <c r="EF21">
        <v>4213.7</v>
      </c>
      <c r="EG21">
        <v>108.9</v>
      </c>
      <c r="EH21">
        <v>4.9716300000000002</v>
      </c>
      <c r="EI21">
        <v>1.87174</v>
      </c>
      <c r="EJ21">
        <v>1.86877</v>
      </c>
      <c r="EK21">
        <v>1.8713299999999999</v>
      </c>
      <c r="EL21">
        <v>1.8690500000000001</v>
      </c>
      <c r="EM21">
        <v>1.86798</v>
      </c>
      <c r="EN21">
        <v>1.86981</v>
      </c>
      <c r="EO21">
        <v>1.87164</v>
      </c>
      <c r="EP21">
        <v>0</v>
      </c>
      <c r="EQ21">
        <v>0</v>
      </c>
      <c r="ER21">
        <v>0</v>
      </c>
      <c r="ES21">
        <v>0</v>
      </c>
      <c r="ET21" t="s">
        <v>334</v>
      </c>
      <c r="EU21" t="s">
        <v>335</v>
      </c>
      <c r="EV21" t="s">
        <v>336</v>
      </c>
      <c r="EW21" t="s">
        <v>336</v>
      </c>
      <c r="EX21" t="s">
        <v>336</v>
      </c>
      <c r="EY21" t="s">
        <v>336</v>
      </c>
      <c r="EZ21">
        <v>0</v>
      </c>
      <c r="FA21">
        <v>100</v>
      </c>
      <c r="FB21">
        <v>100</v>
      </c>
      <c r="FC21">
        <v>8.3810000000000002</v>
      </c>
      <c r="FD21">
        <v>-0.98929999999999996</v>
      </c>
      <c r="FE21">
        <v>8.4448585000000023</v>
      </c>
      <c r="FF21">
        <v>0</v>
      </c>
      <c r="FG21">
        <v>0</v>
      </c>
      <c r="FH21">
        <v>0</v>
      </c>
      <c r="FI21">
        <v>-0.98927100000000023</v>
      </c>
      <c r="FJ21">
        <v>0</v>
      </c>
      <c r="FK21">
        <v>0</v>
      </c>
      <c r="FL21">
        <v>0</v>
      </c>
      <c r="FM21">
        <v>-1</v>
      </c>
      <c r="FN21">
        <v>-1</v>
      </c>
      <c r="FO21">
        <v>-1</v>
      </c>
      <c r="FP21">
        <v>-1</v>
      </c>
      <c r="FQ21">
        <v>0.7</v>
      </c>
      <c r="FR21">
        <v>5.2</v>
      </c>
      <c r="FS21">
        <v>0.144043</v>
      </c>
      <c r="FT21">
        <v>4.99756</v>
      </c>
      <c r="FU21">
        <v>1.5979000000000001</v>
      </c>
      <c r="FV21">
        <v>2.1752899999999999</v>
      </c>
      <c r="FW21">
        <v>1.5478499999999999</v>
      </c>
      <c r="FX21">
        <v>2.3901400000000002</v>
      </c>
      <c r="FY21">
        <v>31.193899999999999</v>
      </c>
      <c r="FZ21">
        <v>16.259699999999999</v>
      </c>
      <c r="GA21">
        <v>3</v>
      </c>
      <c r="GB21">
        <v>492.07</v>
      </c>
      <c r="GC21">
        <v>415.012</v>
      </c>
      <c r="GD21">
        <v>27.817499999999999</v>
      </c>
      <c r="GE21">
        <v>28.865600000000001</v>
      </c>
      <c r="GF21">
        <v>30.000900000000001</v>
      </c>
      <c r="GG21">
        <v>28.839600000000001</v>
      </c>
      <c r="GH21">
        <v>28.777799999999999</v>
      </c>
      <c r="GI21">
        <v>-1</v>
      </c>
      <c r="GJ21">
        <v>0</v>
      </c>
      <c r="GK21">
        <v>100</v>
      </c>
      <c r="GL21">
        <v>27.823499999999999</v>
      </c>
      <c r="GM21">
        <v>432.1</v>
      </c>
      <c r="GN21">
        <v>68.912800000000004</v>
      </c>
      <c r="GO21">
        <v>102.425</v>
      </c>
      <c r="GP21">
        <v>96.596800000000002</v>
      </c>
    </row>
    <row r="22" spans="1:198" x14ac:dyDescent="0.35">
      <c r="A22">
        <v>6</v>
      </c>
      <c r="B22">
        <v>1775481338.5</v>
      </c>
      <c r="C22">
        <v>300</v>
      </c>
      <c r="D22" t="s">
        <v>349</v>
      </c>
      <c r="E22" t="s">
        <v>350</v>
      </c>
      <c r="F22">
        <v>60</v>
      </c>
      <c r="G22">
        <v>1775481330.5</v>
      </c>
      <c r="H22">
        <f t="shared" si="0"/>
        <v>4.9587861432673205E-3</v>
      </c>
      <c r="I22">
        <f t="shared" si="1"/>
        <v>4.9587861432673206</v>
      </c>
      <c r="J22">
        <f t="shared" si="2"/>
        <v>2.9306455753906397</v>
      </c>
      <c r="K22">
        <f t="shared" si="3"/>
        <v>14.282942258064519</v>
      </c>
      <c r="L22">
        <f t="shared" si="4"/>
        <v>-20.290137727863229</v>
      </c>
      <c r="M22">
        <f t="shared" si="5"/>
        <v>-2.0356068913744116</v>
      </c>
      <c r="N22">
        <f t="shared" si="6"/>
        <v>1.4329353540904126</v>
      </c>
      <c r="O22">
        <f t="shared" si="7"/>
        <v>0.13864794262887481</v>
      </c>
      <c r="P22">
        <f t="shared" si="8"/>
        <v>2.3933211438588358</v>
      </c>
      <c r="Q22">
        <f t="shared" si="9"/>
        <v>0.13433534680278003</v>
      </c>
      <c r="R22">
        <f t="shared" si="10"/>
        <v>8.4335887278474103E-2</v>
      </c>
      <c r="S22">
        <f t="shared" si="11"/>
        <v>0</v>
      </c>
      <c r="T22">
        <f t="shared" si="12"/>
        <v>25.745750045562616</v>
      </c>
      <c r="U22">
        <f t="shared" si="13"/>
        <v>27.40745161290323</v>
      </c>
      <c r="V22">
        <f t="shared" si="14"/>
        <v>3.6657111707440366</v>
      </c>
      <c r="W22">
        <f t="shared" si="15"/>
        <v>0.83974077838505934</v>
      </c>
      <c r="X22">
        <f t="shared" si="16"/>
        <v>3.0589349910153975E-2</v>
      </c>
      <c r="Y22">
        <f t="shared" si="17"/>
        <v>3.6427134060324704</v>
      </c>
      <c r="Z22">
        <f t="shared" si="18"/>
        <v>3.6351218208338825</v>
      </c>
      <c r="AA22">
        <f t="shared" si="19"/>
        <v>-218.68246891808883</v>
      </c>
      <c r="AB22">
        <f t="shared" si="20"/>
        <v>-13.862680209627522</v>
      </c>
      <c r="AC22">
        <f t="shared" si="21"/>
        <v>-1.2544592199362328</v>
      </c>
      <c r="AD22">
        <f t="shared" si="22"/>
        <v>-233.79960834765257</v>
      </c>
      <c r="AE22">
        <v>18</v>
      </c>
      <c r="AF22">
        <v>4</v>
      </c>
      <c r="AG22">
        <f t="shared" si="23"/>
        <v>1</v>
      </c>
      <c r="AH22">
        <f t="shared" si="24"/>
        <v>0</v>
      </c>
      <c r="AI22">
        <f t="shared" si="25"/>
        <v>25566.678378171018</v>
      </c>
      <c r="AJ22">
        <f t="shared" si="26"/>
        <v>0</v>
      </c>
      <c r="AK22">
        <f t="shared" si="27"/>
        <v>0</v>
      </c>
      <c r="AL22">
        <f t="shared" si="28"/>
        <v>0</v>
      </c>
      <c r="AM22">
        <f t="shared" si="29"/>
        <v>0</v>
      </c>
      <c r="AN22">
        <v>3</v>
      </c>
      <c r="AO22">
        <v>0.5</v>
      </c>
      <c r="AP22" t="s">
        <v>331</v>
      </c>
      <c r="AQ22">
        <v>2</v>
      </c>
      <c r="AR22">
        <v>1775481330.5</v>
      </c>
      <c r="AS22">
        <v>14.282942258064519</v>
      </c>
      <c r="AT22">
        <v>16.083741935483872</v>
      </c>
      <c r="AU22">
        <v>0.30490274193548389</v>
      </c>
      <c r="AV22">
        <v>-2.669324193548388</v>
      </c>
      <c r="AW22">
        <v>5.9229422580645172</v>
      </c>
      <c r="AX22">
        <v>1.2941732258064511</v>
      </c>
      <c r="AY22">
        <v>500.02312903225823</v>
      </c>
      <c r="AZ22">
        <v>100.2801290322581</v>
      </c>
      <c r="BA22">
        <v>4.4813000000000013E-2</v>
      </c>
      <c r="BB22">
        <v>27.300012903225799</v>
      </c>
      <c r="BC22">
        <v>27.40745161290323</v>
      </c>
      <c r="BD22">
        <v>999.90000000000032</v>
      </c>
      <c r="BE22">
        <v>0</v>
      </c>
      <c r="BF22">
        <v>0</v>
      </c>
      <c r="BG22">
        <v>4999.6290322580644</v>
      </c>
      <c r="BH22">
        <v>0.38407312903225799</v>
      </c>
      <c r="BI22">
        <v>0.23187496774193539</v>
      </c>
      <c r="BJ22">
        <v>-1.779422258064516</v>
      </c>
      <c r="BK22">
        <v>14.308687096774189</v>
      </c>
      <c r="BL22">
        <v>16.040916129032261</v>
      </c>
      <c r="BM22">
        <v>2.9742277419354828</v>
      </c>
      <c r="BN22">
        <v>16.083741935483872</v>
      </c>
      <c r="BO22">
        <v>-2.669324193548388</v>
      </c>
      <c r="BP22">
        <v>3.0575661290322589E-2</v>
      </c>
      <c r="BQ22">
        <v>-0.26768012903225807</v>
      </c>
      <c r="BR22">
        <v>-35.260351612903229</v>
      </c>
      <c r="BS22">
        <v>-99.900000000000034</v>
      </c>
      <c r="BT22">
        <v>0</v>
      </c>
      <c r="BU22">
        <v>0</v>
      </c>
      <c r="BV22">
        <v>0</v>
      </c>
      <c r="BW22">
        <v>26</v>
      </c>
      <c r="BX22">
        <v>-1</v>
      </c>
      <c r="BY22">
        <v>1775481363.5</v>
      </c>
      <c r="BZ22" t="s">
        <v>351</v>
      </c>
      <c r="CA22">
        <v>1775481363.5</v>
      </c>
      <c r="CB22">
        <v>1775480969.5</v>
      </c>
      <c r="CC22">
        <v>7</v>
      </c>
      <c r="CD22">
        <v>-2.1000000000000001E-2</v>
      </c>
      <c r="CE22">
        <v>0.19500000000000001</v>
      </c>
      <c r="CF22">
        <v>8.36</v>
      </c>
      <c r="CG22">
        <v>-0.98899999999999999</v>
      </c>
      <c r="CH22">
        <v>17</v>
      </c>
      <c r="CI22">
        <v>-3</v>
      </c>
      <c r="CJ22">
        <v>0.19</v>
      </c>
      <c r="CK22">
        <v>0.06</v>
      </c>
      <c r="CL22">
        <v>15.9979131147541</v>
      </c>
      <c r="CM22">
        <v>0.86539608672658663</v>
      </c>
      <c r="CN22">
        <v>0.14704895189777009</v>
      </c>
      <c r="CO22">
        <v>-1</v>
      </c>
      <c r="CP22">
        <v>500.41854098360659</v>
      </c>
      <c r="CQ22">
        <v>-4.2603617133796536</v>
      </c>
      <c r="CR22">
        <v>1.1246796057248749</v>
      </c>
      <c r="CS22">
        <v>-1</v>
      </c>
      <c r="CT22">
        <v>0</v>
      </c>
      <c r="CU22">
        <v>0</v>
      </c>
      <c r="CV22" t="s">
        <v>333</v>
      </c>
      <c r="CW22">
        <v>3.1675200000000001</v>
      </c>
      <c r="CX22">
        <v>2.6656599999999999</v>
      </c>
      <c r="CY22">
        <v>1.7970600000000001E-3</v>
      </c>
      <c r="CZ22">
        <v>4.8653699999999999E-3</v>
      </c>
      <c r="DA22">
        <v>1.0248500000000001E-2</v>
      </c>
      <c r="DB22">
        <v>-2.6366400000000002E-2</v>
      </c>
      <c r="DC22">
        <v>21584</v>
      </c>
      <c r="DD22">
        <v>21874.7</v>
      </c>
      <c r="DE22">
        <v>23150.6</v>
      </c>
      <c r="DF22">
        <v>22332.6</v>
      </c>
      <c r="DG22">
        <v>29533.7</v>
      </c>
      <c r="DH22">
        <v>27335.599999999999</v>
      </c>
      <c r="DI22">
        <v>40665.1</v>
      </c>
      <c r="DJ22">
        <v>37015.1</v>
      </c>
      <c r="DK22">
        <v>2.0931199999999999</v>
      </c>
      <c r="DL22">
        <v>1.8299000000000001</v>
      </c>
      <c r="DM22">
        <v>1.8209199999999998E-2</v>
      </c>
      <c r="DN22">
        <v>0</v>
      </c>
      <c r="DO22">
        <v>27.1096</v>
      </c>
      <c r="DP22">
        <v>999.9</v>
      </c>
      <c r="DQ22">
        <v>80.8</v>
      </c>
      <c r="DR22">
        <v>27</v>
      </c>
      <c r="DS22">
        <v>28.842400000000001</v>
      </c>
      <c r="DT22">
        <v>30.19</v>
      </c>
      <c r="DU22">
        <v>9.5392600000000005</v>
      </c>
      <c r="DV22">
        <v>1</v>
      </c>
      <c r="DW22">
        <v>0.14394899999999999</v>
      </c>
      <c r="DX22">
        <v>-0.184059</v>
      </c>
      <c r="DY22">
        <v>20.366800000000001</v>
      </c>
      <c r="DZ22">
        <v>5.2071100000000001</v>
      </c>
      <c r="EA22">
        <v>11.8482</v>
      </c>
      <c r="EB22">
        <v>4.96732</v>
      </c>
      <c r="EC22">
        <v>3.2915800000000002</v>
      </c>
      <c r="ED22">
        <v>894.7</v>
      </c>
      <c r="EE22">
        <v>0</v>
      </c>
      <c r="EF22">
        <v>4239.7</v>
      </c>
      <c r="EG22">
        <v>108.9</v>
      </c>
      <c r="EH22">
        <v>4.9716399999999998</v>
      </c>
      <c r="EI22">
        <v>1.87178</v>
      </c>
      <c r="EJ22">
        <v>1.86883</v>
      </c>
      <c r="EK22">
        <v>1.8713299999999999</v>
      </c>
      <c r="EL22">
        <v>1.8690500000000001</v>
      </c>
      <c r="EM22">
        <v>1.86798</v>
      </c>
      <c r="EN22">
        <v>1.86981</v>
      </c>
      <c r="EO22">
        <v>1.87164</v>
      </c>
      <c r="EP22">
        <v>0</v>
      </c>
      <c r="EQ22">
        <v>0</v>
      </c>
      <c r="ER22">
        <v>0</v>
      </c>
      <c r="ES22">
        <v>0</v>
      </c>
      <c r="ET22" t="s">
        <v>334</v>
      </c>
      <c r="EU22" t="s">
        <v>335</v>
      </c>
      <c r="EV22" t="s">
        <v>336</v>
      </c>
      <c r="EW22" t="s">
        <v>336</v>
      </c>
      <c r="EX22" t="s">
        <v>336</v>
      </c>
      <c r="EY22" t="s">
        <v>336</v>
      </c>
      <c r="EZ22">
        <v>0</v>
      </c>
      <c r="FA22">
        <v>100</v>
      </c>
      <c r="FB22">
        <v>100</v>
      </c>
      <c r="FC22">
        <v>8.36</v>
      </c>
      <c r="FD22">
        <v>-0.98929999999999996</v>
      </c>
      <c r="FE22">
        <v>8.3813765</v>
      </c>
      <c r="FF22">
        <v>0</v>
      </c>
      <c r="FG22">
        <v>0</v>
      </c>
      <c r="FH22">
        <v>0</v>
      </c>
      <c r="FI22">
        <v>-0.98927100000000023</v>
      </c>
      <c r="FJ22">
        <v>0</v>
      </c>
      <c r="FK22">
        <v>0</v>
      </c>
      <c r="FL22">
        <v>0</v>
      </c>
      <c r="FM22">
        <v>-1</v>
      </c>
      <c r="FN22">
        <v>-1</v>
      </c>
      <c r="FO22">
        <v>-1</v>
      </c>
      <c r="FP22">
        <v>-1</v>
      </c>
      <c r="FQ22">
        <v>0.6</v>
      </c>
      <c r="FR22">
        <v>6.2</v>
      </c>
      <c r="FS22">
        <v>0.144043</v>
      </c>
      <c r="FT22">
        <v>4.99756</v>
      </c>
      <c r="FU22">
        <v>1.5979000000000001</v>
      </c>
      <c r="FV22">
        <v>2.1740699999999999</v>
      </c>
      <c r="FW22">
        <v>1.5478499999999999</v>
      </c>
      <c r="FX22">
        <v>2.3913600000000002</v>
      </c>
      <c r="FY22">
        <v>31.367999999999999</v>
      </c>
      <c r="FZ22">
        <v>16.2422</v>
      </c>
      <c r="GA22">
        <v>3</v>
      </c>
      <c r="GB22">
        <v>492.59399999999999</v>
      </c>
      <c r="GC22">
        <v>414.65499999999997</v>
      </c>
      <c r="GD22">
        <v>27.8581</v>
      </c>
      <c r="GE22">
        <v>29.001000000000001</v>
      </c>
      <c r="GF22">
        <v>30.000800000000002</v>
      </c>
      <c r="GG22">
        <v>29.012799999999999</v>
      </c>
      <c r="GH22">
        <v>28.949200000000001</v>
      </c>
      <c r="GI22">
        <v>-1</v>
      </c>
      <c r="GJ22">
        <v>0</v>
      </c>
      <c r="GK22">
        <v>100</v>
      </c>
      <c r="GL22">
        <v>27.839500000000001</v>
      </c>
      <c r="GM22">
        <v>432.1</v>
      </c>
      <c r="GN22">
        <v>68.912800000000004</v>
      </c>
      <c r="GO22">
        <v>102.38</v>
      </c>
      <c r="GP22">
        <v>96.582099999999997</v>
      </c>
    </row>
    <row r="23" spans="1:198" x14ac:dyDescent="0.35">
      <c r="A23">
        <v>7</v>
      </c>
      <c r="B23">
        <v>1775481398.5</v>
      </c>
      <c r="C23">
        <v>360</v>
      </c>
      <c r="D23" t="s">
        <v>352</v>
      </c>
      <c r="E23" t="s">
        <v>353</v>
      </c>
      <c r="F23">
        <v>60</v>
      </c>
      <c r="G23">
        <v>1775481390.5</v>
      </c>
      <c r="H23">
        <f t="shared" si="0"/>
        <v>5.1805242187429818E-3</v>
      </c>
      <c r="I23">
        <f t="shared" si="1"/>
        <v>5.1805242187429821</v>
      </c>
      <c r="J23">
        <f t="shared" si="2"/>
        <v>2.7951203219914431</v>
      </c>
      <c r="K23">
        <f t="shared" si="3"/>
        <v>15.27708387096774</v>
      </c>
      <c r="L23">
        <f t="shared" si="4"/>
        <v>-16.282945444217575</v>
      </c>
      <c r="M23">
        <f t="shared" si="5"/>
        <v>-1.6336115904009427</v>
      </c>
      <c r="N23">
        <f t="shared" si="6"/>
        <v>1.5326969782363857</v>
      </c>
      <c r="O23">
        <f t="shared" si="7"/>
        <v>0.14565352106859117</v>
      </c>
      <c r="P23">
        <f t="shared" si="8"/>
        <v>2.3979909061047251</v>
      </c>
      <c r="Q23">
        <f t="shared" si="9"/>
        <v>0.14091106872132875</v>
      </c>
      <c r="R23">
        <f t="shared" si="10"/>
        <v>8.8482645215013936E-2</v>
      </c>
      <c r="S23">
        <f t="shared" si="11"/>
        <v>0</v>
      </c>
      <c r="T23">
        <f t="shared" si="12"/>
        <v>25.679017141776377</v>
      </c>
      <c r="U23">
        <f t="shared" si="13"/>
        <v>27.406183870967741</v>
      </c>
      <c r="V23">
        <f t="shared" si="14"/>
        <v>3.665439067550091</v>
      </c>
      <c r="W23">
        <f t="shared" si="15"/>
        <v>1.2406859882113281</v>
      </c>
      <c r="X23">
        <f t="shared" si="16"/>
        <v>4.5194284540444364E-2</v>
      </c>
      <c r="Y23">
        <f t="shared" si="17"/>
        <v>3.6426851733531747</v>
      </c>
      <c r="Z23">
        <f t="shared" si="18"/>
        <v>3.6202447830096465</v>
      </c>
      <c r="AA23">
        <f t="shared" si="19"/>
        <v>-228.4611180465655</v>
      </c>
      <c r="AB23">
        <f t="shared" si="20"/>
        <v>-13.742932666914948</v>
      </c>
      <c r="AC23">
        <f t="shared" si="21"/>
        <v>-1.2411925800554968</v>
      </c>
      <c r="AD23">
        <f t="shared" si="22"/>
        <v>-243.44524329353595</v>
      </c>
      <c r="AE23">
        <v>17</v>
      </c>
      <c r="AF23">
        <v>3</v>
      </c>
      <c r="AG23">
        <f t="shared" si="23"/>
        <v>1</v>
      </c>
      <c r="AH23">
        <f t="shared" si="24"/>
        <v>0</v>
      </c>
      <c r="AI23">
        <f t="shared" si="25"/>
        <v>25637.632816112757</v>
      </c>
      <c r="AJ23">
        <f t="shared" si="26"/>
        <v>0</v>
      </c>
      <c r="AK23">
        <f t="shared" si="27"/>
        <v>0</v>
      </c>
      <c r="AL23">
        <f t="shared" si="28"/>
        <v>0</v>
      </c>
      <c r="AM23">
        <f t="shared" si="29"/>
        <v>0</v>
      </c>
      <c r="AN23">
        <v>3</v>
      </c>
      <c r="AO23">
        <v>0.5</v>
      </c>
      <c r="AP23" t="s">
        <v>331</v>
      </c>
      <c r="AQ23">
        <v>2</v>
      </c>
      <c r="AR23">
        <v>1775481390.5</v>
      </c>
      <c r="AS23">
        <v>15.27708387096774</v>
      </c>
      <c r="AT23">
        <v>17.00164516129032</v>
      </c>
      <c r="AU23">
        <v>0.45047187096774199</v>
      </c>
      <c r="AV23">
        <v>-2.656448064516129</v>
      </c>
      <c r="AW23">
        <v>6.9550838709677416</v>
      </c>
      <c r="AX23">
        <v>1.4397425806451609</v>
      </c>
      <c r="AY23">
        <v>499.99909677419362</v>
      </c>
      <c r="AZ23">
        <v>100.2820322580645</v>
      </c>
      <c r="BA23">
        <v>4.4508538709677407E-2</v>
      </c>
      <c r="BB23">
        <v>27.299880645161291</v>
      </c>
      <c r="BC23">
        <v>27.406183870967741</v>
      </c>
      <c r="BD23">
        <v>999.90000000000032</v>
      </c>
      <c r="BE23">
        <v>0</v>
      </c>
      <c r="BF23">
        <v>0</v>
      </c>
      <c r="BG23">
        <v>5011.5483870967746</v>
      </c>
      <c r="BH23">
        <v>0.36792519354838721</v>
      </c>
      <c r="BI23">
        <v>0.23187496774193539</v>
      </c>
      <c r="BJ23">
        <v>-1.686493225806452</v>
      </c>
      <c r="BK23">
        <v>15.32206451612903</v>
      </c>
      <c r="BL23">
        <v>16.95660322580645</v>
      </c>
      <c r="BM23">
        <v>3.106920322580645</v>
      </c>
      <c r="BN23">
        <v>17.00164516129032</v>
      </c>
      <c r="BO23">
        <v>-2.656448064516129</v>
      </c>
      <c r="BP23">
        <v>4.5174161290322583E-2</v>
      </c>
      <c r="BQ23">
        <v>-0.26639364516129033</v>
      </c>
      <c r="BR23">
        <v>-31.262790322580639</v>
      </c>
      <c r="BS23">
        <v>-99.900000000000034</v>
      </c>
      <c r="BT23">
        <v>0</v>
      </c>
      <c r="BU23">
        <v>0</v>
      </c>
      <c r="BV23">
        <v>0</v>
      </c>
      <c r="BW23">
        <v>26</v>
      </c>
      <c r="BX23">
        <v>-1</v>
      </c>
      <c r="BY23">
        <v>1775481418.5</v>
      </c>
      <c r="BZ23" t="s">
        <v>354</v>
      </c>
      <c r="CA23">
        <v>1775481418.5</v>
      </c>
      <c r="CB23">
        <v>1775480969.5</v>
      </c>
      <c r="CC23">
        <v>8</v>
      </c>
      <c r="CD23">
        <v>-3.7999999999999999E-2</v>
      </c>
      <c r="CE23">
        <v>0.19500000000000001</v>
      </c>
      <c r="CF23">
        <v>8.3219999999999992</v>
      </c>
      <c r="CG23">
        <v>-0.98899999999999999</v>
      </c>
      <c r="CH23">
        <v>16</v>
      </c>
      <c r="CI23">
        <v>-3</v>
      </c>
      <c r="CJ23">
        <v>0.28000000000000003</v>
      </c>
      <c r="CK23">
        <v>0.06</v>
      </c>
      <c r="CL23">
        <v>17.056113333333329</v>
      </c>
      <c r="CM23">
        <v>-0.64735515420949974</v>
      </c>
      <c r="CN23">
        <v>0.21749926472417219</v>
      </c>
      <c r="CO23">
        <v>-1</v>
      </c>
      <c r="CP23">
        <v>500.42351666666673</v>
      </c>
      <c r="CQ23">
        <v>-4.4764001111416674</v>
      </c>
      <c r="CR23">
        <v>1.1394388895660701</v>
      </c>
      <c r="CS23">
        <v>-1</v>
      </c>
      <c r="CT23">
        <v>0</v>
      </c>
      <c r="CU23">
        <v>0</v>
      </c>
      <c r="CV23" t="s">
        <v>333</v>
      </c>
      <c r="CW23">
        <v>3.1675</v>
      </c>
      <c r="CX23">
        <v>2.6653699999999998</v>
      </c>
      <c r="CY23">
        <v>2.0172599999999999E-3</v>
      </c>
      <c r="CZ23">
        <v>4.9817000000000004E-3</v>
      </c>
      <c r="DA23">
        <v>1.12859E-2</v>
      </c>
      <c r="DB23">
        <v>-2.62002E-2</v>
      </c>
      <c r="DC23">
        <v>21570.799999999999</v>
      </c>
      <c r="DD23">
        <v>21869.3</v>
      </c>
      <c r="DE23">
        <v>23142</v>
      </c>
      <c r="DF23">
        <v>22330</v>
      </c>
      <c r="DG23">
        <v>29492</v>
      </c>
      <c r="DH23">
        <v>27327.8</v>
      </c>
      <c r="DI23">
        <v>40650.400000000001</v>
      </c>
      <c r="DJ23">
        <v>37010.400000000001</v>
      </c>
      <c r="DK23">
        <v>2.09246</v>
      </c>
      <c r="DL23">
        <v>1.82734</v>
      </c>
      <c r="DM23">
        <v>1.6301900000000001E-2</v>
      </c>
      <c r="DN23">
        <v>0</v>
      </c>
      <c r="DO23">
        <v>27.1327</v>
      </c>
      <c r="DP23">
        <v>999.9</v>
      </c>
      <c r="DQ23">
        <v>80.900000000000006</v>
      </c>
      <c r="DR23">
        <v>27</v>
      </c>
      <c r="DS23">
        <v>28.874099999999999</v>
      </c>
      <c r="DT23">
        <v>30.19</v>
      </c>
      <c r="DU23">
        <v>9.5232399999999995</v>
      </c>
      <c r="DV23">
        <v>1</v>
      </c>
      <c r="DW23">
        <v>0.15338199999999999</v>
      </c>
      <c r="DX23">
        <v>-0.14434900000000001</v>
      </c>
      <c r="DY23">
        <v>20.367000000000001</v>
      </c>
      <c r="DZ23">
        <v>5.2092599999999996</v>
      </c>
      <c r="EA23">
        <v>11.8483</v>
      </c>
      <c r="EB23">
        <v>4.9673999999999996</v>
      </c>
      <c r="EC23">
        <v>3.2915000000000001</v>
      </c>
      <c r="ED23">
        <v>894.7</v>
      </c>
      <c r="EE23">
        <v>0</v>
      </c>
      <c r="EF23">
        <v>4261.5</v>
      </c>
      <c r="EG23">
        <v>108.9</v>
      </c>
      <c r="EH23">
        <v>4.9716300000000002</v>
      </c>
      <c r="EI23">
        <v>1.8717900000000001</v>
      </c>
      <c r="EJ23">
        <v>1.86887</v>
      </c>
      <c r="EK23">
        <v>1.8713200000000001</v>
      </c>
      <c r="EL23">
        <v>1.8690500000000001</v>
      </c>
      <c r="EM23">
        <v>1.8680099999999999</v>
      </c>
      <c r="EN23">
        <v>1.86982</v>
      </c>
      <c r="EO23">
        <v>1.87164</v>
      </c>
      <c r="EP23">
        <v>0</v>
      </c>
      <c r="EQ23">
        <v>0</v>
      </c>
      <c r="ER23">
        <v>0</v>
      </c>
      <c r="ES23">
        <v>0</v>
      </c>
      <c r="ET23" t="s">
        <v>334</v>
      </c>
      <c r="EU23" t="s">
        <v>335</v>
      </c>
      <c r="EV23" t="s">
        <v>336</v>
      </c>
      <c r="EW23" t="s">
        <v>336</v>
      </c>
      <c r="EX23" t="s">
        <v>336</v>
      </c>
      <c r="EY23" t="s">
        <v>336</v>
      </c>
      <c r="EZ23">
        <v>0</v>
      </c>
      <c r="FA23">
        <v>100</v>
      </c>
      <c r="FB23">
        <v>100</v>
      </c>
      <c r="FC23">
        <v>8.3219999999999992</v>
      </c>
      <c r="FD23">
        <v>-0.98929999999999996</v>
      </c>
      <c r="FE23">
        <v>8.3600765000000035</v>
      </c>
      <c r="FF23">
        <v>0</v>
      </c>
      <c r="FG23">
        <v>0</v>
      </c>
      <c r="FH23">
        <v>0</v>
      </c>
      <c r="FI23">
        <v>-0.98927100000000023</v>
      </c>
      <c r="FJ23">
        <v>0</v>
      </c>
      <c r="FK23">
        <v>0</v>
      </c>
      <c r="FL23">
        <v>0</v>
      </c>
      <c r="FM23">
        <v>-1</v>
      </c>
      <c r="FN23">
        <v>-1</v>
      </c>
      <c r="FO23">
        <v>-1</v>
      </c>
      <c r="FP23">
        <v>-1</v>
      </c>
      <c r="FQ23">
        <v>0.6</v>
      </c>
      <c r="FR23">
        <v>7.2</v>
      </c>
      <c r="FS23">
        <v>0.144043</v>
      </c>
      <c r="FT23">
        <v>4.99756</v>
      </c>
      <c r="FU23">
        <v>1.5979000000000001</v>
      </c>
      <c r="FV23">
        <v>2.1740699999999999</v>
      </c>
      <c r="FW23">
        <v>1.5478499999999999</v>
      </c>
      <c r="FX23">
        <v>2.4084500000000002</v>
      </c>
      <c r="FY23">
        <v>31.520600000000002</v>
      </c>
      <c r="FZ23">
        <v>16.2422</v>
      </c>
      <c r="GA23">
        <v>3</v>
      </c>
      <c r="GB23">
        <v>493.36399999999998</v>
      </c>
      <c r="GC23">
        <v>414.21800000000002</v>
      </c>
      <c r="GD23">
        <v>27.794599999999999</v>
      </c>
      <c r="GE23">
        <v>29.123999999999999</v>
      </c>
      <c r="GF23">
        <v>30.000800000000002</v>
      </c>
      <c r="GG23">
        <v>29.160599999999999</v>
      </c>
      <c r="GH23">
        <v>29.101400000000002</v>
      </c>
      <c r="GI23">
        <v>-1</v>
      </c>
      <c r="GJ23">
        <v>0</v>
      </c>
      <c r="GK23">
        <v>100</v>
      </c>
      <c r="GL23">
        <v>27.8171</v>
      </c>
      <c r="GM23">
        <v>432.1</v>
      </c>
      <c r="GN23">
        <v>68.912800000000004</v>
      </c>
      <c r="GO23">
        <v>102.342</v>
      </c>
      <c r="GP23">
        <v>96.570099999999996</v>
      </c>
    </row>
    <row r="24" spans="1:198" x14ac:dyDescent="0.35">
      <c r="A24">
        <v>8</v>
      </c>
      <c r="B24">
        <v>1775481458.5</v>
      </c>
      <c r="C24">
        <v>420</v>
      </c>
      <c r="D24" t="s">
        <v>355</v>
      </c>
      <c r="E24" t="s">
        <v>356</v>
      </c>
      <c r="F24">
        <v>60</v>
      </c>
      <c r="G24">
        <v>1775481450.5</v>
      </c>
      <c r="H24">
        <f t="shared" si="0"/>
        <v>5.3089511702648284E-3</v>
      </c>
      <c r="I24">
        <f t="shared" si="1"/>
        <v>5.3089511702648284</v>
      </c>
      <c r="J24">
        <f t="shared" si="2"/>
        <v>3.2460107443945558</v>
      </c>
      <c r="K24">
        <f t="shared" si="3"/>
        <v>14.479880967741931</v>
      </c>
      <c r="L24">
        <f t="shared" si="4"/>
        <v>-21.041522538464143</v>
      </c>
      <c r="M24">
        <f t="shared" si="5"/>
        <v>-2.1109909053289444</v>
      </c>
      <c r="N24">
        <f t="shared" si="6"/>
        <v>1.4526941658937587</v>
      </c>
      <c r="O24">
        <f t="shared" si="7"/>
        <v>0.14973980604204032</v>
      </c>
      <c r="P24">
        <f t="shared" si="8"/>
        <v>2.3959363160999194</v>
      </c>
      <c r="Q24">
        <f t="shared" si="9"/>
        <v>0.14472830688181762</v>
      </c>
      <c r="R24">
        <f t="shared" si="10"/>
        <v>9.0891482553120531E-2</v>
      </c>
      <c r="S24">
        <f t="shared" si="11"/>
        <v>0</v>
      </c>
      <c r="T24">
        <f t="shared" si="12"/>
        <v>25.639425165664964</v>
      </c>
      <c r="U24">
        <f t="shared" si="13"/>
        <v>27.409993548387099</v>
      </c>
      <c r="V24">
        <f t="shared" si="14"/>
        <v>3.6662568149922041</v>
      </c>
      <c r="W24">
        <f t="shared" si="15"/>
        <v>1.4920303192201774</v>
      </c>
      <c r="X24">
        <f t="shared" si="16"/>
        <v>5.4355998417652651E-2</v>
      </c>
      <c r="Y24">
        <f t="shared" si="17"/>
        <v>3.6430894008951697</v>
      </c>
      <c r="Z24">
        <f t="shared" si="18"/>
        <v>3.6119008165745514</v>
      </c>
      <c r="AA24">
        <f t="shared" si="19"/>
        <v>-234.12474660867892</v>
      </c>
      <c r="AB24">
        <f t="shared" si="20"/>
        <v>-13.978663619553702</v>
      </c>
      <c r="AC24">
        <f t="shared" si="21"/>
        <v>-1.2636012240354777</v>
      </c>
      <c r="AD24">
        <f t="shared" si="22"/>
        <v>-249.36701145226812</v>
      </c>
      <c r="AE24">
        <v>17</v>
      </c>
      <c r="AF24">
        <v>3</v>
      </c>
      <c r="AG24">
        <f t="shared" si="23"/>
        <v>1</v>
      </c>
      <c r="AH24">
        <f t="shared" si="24"/>
        <v>0</v>
      </c>
      <c r="AI24">
        <f t="shared" si="25"/>
        <v>25606.296641223948</v>
      </c>
      <c r="AJ24">
        <f t="shared" si="26"/>
        <v>0</v>
      </c>
      <c r="AK24">
        <f t="shared" si="27"/>
        <v>0</v>
      </c>
      <c r="AL24">
        <f t="shared" si="28"/>
        <v>0</v>
      </c>
      <c r="AM24">
        <f t="shared" si="29"/>
        <v>0</v>
      </c>
      <c r="AN24">
        <v>3</v>
      </c>
      <c r="AO24">
        <v>0.5</v>
      </c>
      <c r="AP24" t="s">
        <v>331</v>
      </c>
      <c r="AQ24">
        <v>2</v>
      </c>
      <c r="AR24">
        <v>1775481450.5</v>
      </c>
      <c r="AS24">
        <v>14.479880967741931</v>
      </c>
      <c r="AT24">
        <v>16.473645161290321</v>
      </c>
      <c r="AU24">
        <v>0.54179909677419369</v>
      </c>
      <c r="AV24">
        <v>-2.6418999999999988</v>
      </c>
      <c r="AW24">
        <v>6.1618809677419346</v>
      </c>
      <c r="AX24">
        <v>1.5310706451612901</v>
      </c>
      <c r="AY24">
        <v>499.99148387096778</v>
      </c>
      <c r="AZ24">
        <v>100.2801612903226</v>
      </c>
      <c r="BA24">
        <v>4.484615483870967E-2</v>
      </c>
      <c r="BB24">
        <v>27.301774193548379</v>
      </c>
      <c r="BC24">
        <v>27.409993548387099</v>
      </c>
      <c r="BD24">
        <v>999.90000000000032</v>
      </c>
      <c r="BE24">
        <v>0</v>
      </c>
      <c r="BF24">
        <v>0</v>
      </c>
      <c r="BG24">
        <v>5006.3548387096771</v>
      </c>
      <c r="BH24">
        <v>0.39625151612903231</v>
      </c>
      <c r="BI24">
        <v>0.23331922580645159</v>
      </c>
      <c r="BJ24">
        <v>-1.989783870967742</v>
      </c>
      <c r="BK24">
        <v>14.491725806451621</v>
      </c>
      <c r="BL24">
        <v>16.43025161290322</v>
      </c>
      <c r="BM24">
        <v>3.1836996774193551</v>
      </c>
      <c r="BN24">
        <v>16.473645161290321</v>
      </c>
      <c r="BO24">
        <v>-2.6418999999999988</v>
      </c>
      <c r="BP24">
        <v>5.4331670967741927E-2</v>
      </c>
      <c r="BQ24">
        <v>-0.26493003225806461</v>
      </c>
      <c r="BR24">
        <v>-29.318000000000001</v>
      </c>
      <c r="BS24">
        <v>-99.900000000000034</v>
      </c>
      <c r="BT24">
        <v>0</v>
      </c>
      <c r="BU24">
        <v>0</v>
      </c>
      <c r="BV24">
        <v>0</v>
      </c>
      <c r="BW24">
        <v>26</v>
      </c>
      <c r="BX24">
        <v>-1</v>
      </c>
      <c r="BY24">
        <v>1775481485</v>
      </c>
      <c r="BZ24" t="s">
        <v>357</v>
      </c>
      <c r="CA24">
        <v>1775481485</v>
      </c>
      <c r="CB24">
        <v>1775480969.5</v>
      </c>
      <c r="CC24">
        <v>9</v>
      </c>
      <c r="CD24">
        <v>-4.0000000000000001E-3</v>
      </c>
      <c r="CE24">
        <v>0.19500000000000001</v>
      </c>
      <c r="CF24">
        <v>8.3179999999999996</v>
      </c>
      <c r="CG24">
        <v>-0.98899999999999999</v>
      </c>
      <c r="CH24">
        <v>17</v>
      </c>
      <c r="CI24">
        <v>-3</v>
      </c>
      <c r="CJ24">
        <v>0.22</v>
      </c>
      <c r="CK24">
        <v>0.06</v>
      </c>
      <c r="CL24">
        <v>16.318955737704918</v>
      </c>
      <c r="CM24">
        <v>1.193868006345864</v>
      </c>
      <c r="CN24">
        <v>0.18557819131037331</v>
      </c>
      <c r="CO24">
        <v>-1</v>
      </c>
      <c r="CP24">
        <v>499.99260655737697</v>
      </c>
      <c r="CQ24">
        <v>-5.7398202010542403E-2</v>
      </c>
      <c r="CR24">
        <v>5.9970560725427342E-2</v>
      </c>
      <c r="CS24">
        <v>-1</v>
      </c>
      <c r="CT24">
        <v>0</v>
      </c>
      <c r="CU24">
        <v>0</v>
      </c>
      <c r="CV24" t="s">
        <v>333</v>
      </c>
      <c r="CW24">
        <v>3.1674899999999999</v>
      </c>
      <c r="CX24">
        <v>2.6657899999999999</v>
      </c>
      <c r="CY24">
        <v>1.8841000000000001E-3</v>
      </c>
      <c r="CZ24">
        <v>4.9133199999999997E-3</v>
      </c>
      <c r="DA24">
        <v>1.1878E-2</v>
      </c>
      <c r="DB24">
        <v>-2.59987E-2</v>
      </c>
      <c r="DC24">
        <v>21569.200000000001</v>
      </c>
      <c r="DD24">
        <v>21868.5</v>
      </c>
      <c r="DE24">
        <v>23137.599999999999</v>
      </c>
      <c r="DF24">
        <v>22327.9</v>
      </c>
      <c r="DG24">
        <v>29469.5</v>
      </c>
      <c r="DH24">
        <v>27319.5</v>
      </c>
      <c r="DI24">
        <v>40644</v>
      </c>
      <c r="DJ24">
        <v>37006.199999999997</v>
      </c>
      <c r="DK24">
        <v>2.0919400000000001</v>
      </c>
      <c r="DL24">
        <v>1.8254999999999999</v>
      </c>
      <c r="DM24">
        <v>1.71363E-2</v>
      </c>
      <c r="DN24">
        <v>0</v>
      </c>
      <c r="DO24">
        <v>27.130500000000001</v>
      </c>
      <c r="DP24">
        <v>999.9</v>
      </c>
      <c r="DQ24">
        <v>81</v>
      </c>
      <c r="DR24">
        <v>27.1</v>
      </c>
      <c r="DS24">
        <v>29.081299999999999</v>
      </c>
      <c r="DT24">
        <v>30.37</v>
      </c>
      <c r="DU24">
        <v>9.6674699999999998</v>
      </c>
      <c r="DV24">
        <v>1</v>
      </c>
      <c r="DW24">
        <v>0.161852</v>
      </c>
      <c r="DX24">
        <v>-0.137769</v>
      </c>
      <c r="DY24">
        <v>20.3672</v>
      </c>
      <c r="DZ24">
        <v>5.2117800000000001</v>
      </c>
      <c r="EA24">
        <v>11.8482</v>
      </c>
      <c r="EB24">
        <v>4.9678000000000004</v>
      </c>
      <c r="EC24">
        <v>3.2920400000000001</v>
      </c>
      <c r="ED24">
        <v>894.7</v>
      </c>
      <c r="EE24">
        <v>0</v>
      </c>
      <c r="EF24">
        <v>4288.8999999999996</v>
      </c>
      <c r="EG24">
        <v>108.9</v>
      </c>
      <c r="EH24">
        <v>4.9716300000000002</v>
      </c>
      <c r="EI24">
        <v>1.8717999999999999</v>
      </c>
      <c r="EJ24">
        <v>1.86886</v>
      </c>
      <c r="EK24">
        <v>1.8713299999999999</v>
      </c>
      <c r="EL24">
        <v>1.8690500000000001</v>
      </c>
      <c r="EM24">
        <v>1.86799</v>
      </c>
      <c r="EN24">
        <v>1.86981</v>
      </c>
      <c r="EO24">
        <v>1.87164</v>
      </c>
      <c r="EP24">
        <v>0</v>
      </c>
      <c r="EQ24">
        <v>0</v>
      </c>
      <c r="ER24">
        <v>0</v>
      </c>
      <c r="ES24">
        <v>0</v>
      </c>
      <c r="ET24" t="s">
        <v>334</v>
      </c>
      <c r="EU24" t="s">
        <v>335</v>
      </c>
      <c r="EV24" t="s">
        <v>336</v>
      </c>
      <c r="EW24" t="s">
        <v>336</v>
      </c>
      <c r="EX24" t="s">
        <v>336</v>
      </c>
      <c r="EY24" t="s">
        <v>336</v>
      </c>
      <c r="EZ24">
        <v>0</v>
      </c>
      <c r="FA24">
        <v>100</v>
      </c>
      <c r="FB24">
        <v>100</v>
      </c>
      <c r="FC24">
        <v>8.3179999999999996</v>
      </c>
      <c r="FD24">
        <v>-0.98929999999999996</v>
      </c>
      <c r="FE24">
        <v>8.3219969999999996</v>
      </c>
      <c r="FF24">
        <v>0</v>
      </c>
      <c r="FG24">
        <v>0</v>
      </c>
      <c r="FH24">
        <v>0</v>
      </c>
      <c r="FI24">
        <v>-0.98927100000000023</v>
      </c>
      <c r="FJ24">
        <v>0</v>
      </c>
      <c r="FK24">
        <v>0</v>
      </c>
      <c r="FL24">
        <v>0</v>
      </c>
      <c r="FM24">
        <v>-1</v>
      </c>
      <c r="FN24">
        <v>-1</v>
      </c>
      <c r="FO24">
        <v>-1</v>
      </c>
      <c r="FP24">
        <v>-1</v>
      </c>
      <c r="FQ24">
        <v>0.7</v>
      </c>
      <c r="FR24">
        <v>8.1999999999999993</v>
      </c>
      <c r="FS24">
        <v>0.144043</v>
      </c>
      <c r="FT24">
        <v>4.99756</v>
      </c>
      <c r="FU24">
        <v>1.5979000000000001</v>
      </c>
      <c r="FV24">
        <v>2.1740699999999999</v>
      </c>
      <c r="FW24">
        <v>1.5478499999999999</v>
      </c>
      <c r="FX24">
        <v>2.3877000000000002</v>
      </c>
      <c r="FY24">
        <v>31.651700000000002</v>
      </c>
      <c r="FZ24">
        <v>16.233499999999999</v>
      </c>
      <c r="GA24">
        <v>3</v>
      </c>
      <c r="GB24">
        <v>493.99700000000001</v>
      </c>
      <c r="GC24">
        <v>414.06700000000001</v>
      </c>
      <c r="GD24">
        <v>27.825299999999999</v>
      </c>
      <c r="GE24">
        <v>29.232199999999999</v>
      </c>
      <c r="GF24">
        <v>30.000800000000002</v>
      </c>
      <c r="GG24">
        <v>29.2807</v>
      </c>
      <c r="GH24">
        <v>29.234999999999999</v>
      </c>
      <c r="GI24">
        <v>-1</v>
      </c>
      <c r="GJ24">
        <v>0</v>
      </c>
      <c r="GK24">
        <v>100</v>
      </c>
      <c r="GL24">
        <v>27.820900000000002</v>
      </c>
      <c r="GM24">
        <v>432.1</v>
      </c>
      <c r="GN24">
        <v>68.912800000000004</v>
      </c>
      <c r="GO24">
        <v>102.325</v>
      </c>
      <c r="GP24">
        <v>96.56</v>
      </c>
    </row>
    <row r="25" spans="1:198" x14ac:dyDescent="0.35">
      <c r="A25">
        <v>9</v>
      </c>
      <c r="B25">
        <v>1775481518.5</v>
      </c>
      <c r="C25">
        <v>480</v>
      </c>
      <c r="D25" t="s">
        <v>358</v>
      </c>
      <c r="E25" t="s">
        <v>359</v>
      </c>
      <c r="F25">
        <v>60</v>
      </c>
      <c r="G25">
        <v>1775481510.75</v>
      </c>
      <c r="H25">
        <f t="shared" si="0"/>
        <v>5.2506500720896502E-3</v>
      </c>
      <c r="I25">
        <f t="shared" si="1"/>
        <v>5.2506500720896501</v>
      </c>
      <c r="J25">
        <f t="shared" si="2"/>
        <v>2.5354719617777288</v>
      </c>
      <c r="K25">
        <f t="shared" si="3"/>
        <v>15.04392366666667</v>
      </c>
      <c r="L25">
        <f t="shared" si="4"/>
        <v>-13.232148470161899</v>
      </c>
      <c r="M25">
        <f t="shared" si="5"/>
        <v>-1.3275058875642871</v>
      </c>
      <c r="N25">
        <f t="shared" si="6"/>
        <v>1.5092709460297775</v>
      </c>
      <c r="O25">
        <f t="shared" si="7"/>
        <v>0.1479528144609932</v>
      </c>
      <c r="P25">
        <f t="shared" si="8"/>
        <v>2.3950736232803047</v>
      </c>
      <c r="Q25">
        <f t="shared" si="9"/>
        <v>0.14305641166964148</v>
      </c>
      <c r="R25">
        <f t="shared" si="10"/>
        <v>8.9836680578143008E-2</v>
      </c>
      <c r="S25">
        <f t="shared" si="11"/>
        <v>0</v>
      </c>
      <c r="T25">
        <f t="shared" si="12"/>
        <v>25.655100445795537</v>
      </c>
      <c r="U25">
        <f t="shared" si="13"/>
        <v>27.40870666666666</v>
      </c>
      <c r="V25">
        <f t="shared" si="14"/>
        <v>3.6659805679629236</v>
      </c>
      <c r="W25">
        <f t="shared" si="15"/>
        <v>1.4267997857519301</v>
      </c>
      <c r="X25">
        <f t="shared" si="16"/>
        <v>5.197339588327779E-2</v>
      </c>
      <c r="Y25">
        <f t="shared" si="17"/>
        <v>3.6426551505183729</v>
      </c>
      <c r="Z25">
        <f t="shared" si="18"/>
        <v>3.6140071720796456</v>
      </c>
      <c r="AA25">
        <f t="shared" si="19"/>
        <v>-231.55366817915356</v>
      </c>
      <c r="AB25">
        <f t="shared" si="20"/>
        <v>-14.070125693461303</v>
      </c>
      <c r="AC25">
        <f t="shared" si="21"/>
        <v>-1.2723059564241583</v>
      </c>
      <c r="AD25">
        <f t="shared" si="22"/>
        <v>-246.89609982903903</v>
      </c>
      <c r="AE25">
        <v>17</v>
      </c>
      <c r="AF25">
        <v>3</v>
      </c>
      <c r="AG25">
        <f t="shared" si="23"/>
        <v>1</v>
      </c>
      <c r="AH25">
        <f t="shared" si="24"/>
        <v>0</v>
      </c>
      <c r="AI25">
        <f t="shared" si="25"/>
        <v>25593.375160164331</v>
      </c>
      <c r="AJ25">
        <f t="shared" si="26"/>
        <v>0</v>
      </c>
      <c r="AK25">
        <f t="shared" si="27"/>
        <v>0</v>
      </c>
      <c r="AL25">
        <f t="shared" si="28"/>
        <v>0</v>
      </c>
      <c r="AM25">
        <f t="shared" si="29"/>
        <v>0</v>
      </c>
      <c r="AN25">
        <v>3</v>
      </c>
      <c r="AO25">
        <v>0.5</v>
      </c>
      <c r="AP25" t="s">
        <v>331</v>
      </c>
      <c r="AQ25">
        <v>2</v>
      </c>
      <c r="AR25">
        <v>1775481510.75</v>
      </c>
      <c r="AS25">
        <v>15.04392366666667</v>
      </c>
      <c r="AT25">
        <v>16.61262</v>
      </c>
      <c r="AU25">
        <v>0.5180539666666667</v>
      </c>
      <c r="AV25">
        <v>-2.6307419999999988</v>
      </c>
      <c r="AW25">
        <v>6.7499236666666667</v>
      </c>
      <c r="AX25">
        <v>1.507324333333333</v>
      </c>
      <c r="AY25">
        <v>499.99396666666672</v>
      </c>
      <c r="AZ25">
        <v>100.2795333333333</v>
      </c>
      <c r="BA25">
        <v>4.4755693333333318E-2</v>
      </c>
      <c r="BB25">
        <v>27.299739999999989</v>
      </c>
      <c r="BC25">
        <v>27.40870666666666</v>
      </c>
      <c r="BD25">
        <v>999.9000000000002</v>
      </c>
      <c r="BE25">
        <v>0</v>
      </c>
      <c r="BF25">
        <v>0</v>
      </c>
      <c r="BG25">
        <v>5004.166666666667</v>
      </c>
      <c r="BH25">
        <v>0.39901606666666672</v>
      </c>
      <c r="BI25">
        <v>0.22961599999999999</v>
      </c>
      <c r="BJ25">
        <v>-1.5448733333333331</v>
      </c>
      <c r="BK25">
        <v>15.075559999999999</v>
      </c>
      <c r="BL25">
        <v>16.569026666666669</v>
      </c>
      <c r="BM25">
        <v>3.1487966666666658</v>
      </c>
      <c r="BN25">
        <v>16.61262</v>
      </c>
      <c r="BO25">
        <v>-2.6307419999999988</v>
      </c>
      <c r="BP25">
        <v>5.195019666666667E-2</v>
      </c>
      <c r="BQ25">
        <v>-0.26380949999999997</v>
      </c>
      <c r="BR25">
        <v>-29.818259999999999</v>
      </c>
      <c r="BS25">
        <v>-99.900000000000034</v>
      </c>
      <c r="BT25">
        <v>0</v>
      </c>
      <c r="BU25">
        <v>0</v>
      </c>
      <c r="BV25">
        <v>0</v>
      </c>
      <c r="BW25">
        <v>26</v>
      </c>
      <c r="BX25">
        <v>-0.98888900000000024</v>
      </c>
      <c r="BY25">
        <v>1775481539</v>
      </c>
      <c r="BZ25" t="s">
        <v>360</v>
      </c>
      <c r="CA25">
        <v>1775481539</v>
      </c>
      <c r="CB25">
        <v>1775480969.5</v>
      </c>
      <c r="CC25">
        <v>10</v>
      </c>
      <c r="CD25">
        <v>-2.3E-2</v>
      </c>
      <c r="CE25">
        <v>0.19500000000000001</v>
      </c>
      <c r="CF25">
        <v>8.2940000000000005</v>
      </c>
      <c r="CG25">
        <v>-0.98899999999999999</v>
      </c>
      <c r="CH25">
        <v>15</v>
      </c>
      <c r="CI25">
        <v>-3</v>
      </c>
      <c r="CJ25">
        <v>0.25</v>
      </c>
      <c r="CK25">
        <v>0.06</v>
      </c>
      <c r="CL25">
        <v>16.765256666666669</v>
      </c>
      <c r="CM25">
        <v>-0.86939283134199719</v>
      </c>
      <c r="CN25">
        <v>0.23260380361368899</v>
      </c>
      <c r="CO25">
        <v>-1</v>
      </c>
      <c r="CP25">
        <v>500.62883333333332</v>
      </c>
      <c r="CQ25">
        <v>-6.322482911919205</v>
      </c>
      <c r="CR25">
        <v>1.3918797381798309</v>
      </c>
      <c r="CS25">
        <v>-1</v>
      </c>
      <c r="CT25">
        <v>0</v>
      </c>
      <c r="CU25">
        <v>0</v>
      </c>
      <c r="CV25" t="s">
        <v>333</v>
      </c>
      <c r="CW25">
        <v>3.1672899999999999</v>
      </c>
      <c r="CX25">
        <v>2.6661299999999999</v>
      </c>
      <c r="CY25">
        <v>1.9955400000000001E-3</v>
      </c>
      <c r="CZ25">
        <v>4.9000700000000003E-3</v>
      </c>
      <c r="DA25">
        <v>1.09269E-2</v>
      </c>
      <c r="DB25">
        <v>-2.5859699999999999E-2</v>
      </c>
      <c r="DC25">
        <v>21571.9</v>
      </c>
      <c r="DD25">
        <v>21866.799999999999</v>
      </c>
      <c r="DE25">
        <v>23143.4</v>
      </c>
      <c r="DF25">
        <v>22326.2</v>
      </c>
      <c r="DG25">
        <v>29508.7</v>
      </c>
      <c r="DH25">
        <v>27313.5</v>
      </c>
      <c r="DI25">
        <v>40659.1</v>
      </c>
      <c r="DJ25">
        <v>37003</v>
      </c>
      <c r="DK25">
        <v>2.09036</v>
      </c>
      <c r="DL25">
        <v>1.8232200000000001</v>
      </c>
      <c r="DM25">
        <v>1.5616400000000001E-2</v>
      </c>
      <c r="DN25">
        <v>0</v>
      </c>
      <c r="DO25">
        <v>27.148800000000001</v>
      </c>
      <c r="DP25">
        <v>999.9</v>
      </c>
      <c r="DQ25">
        <v>81</v>
      </c>
      <c r="DR25">
        <v>27.1</v>
      </c>
      <c r="DS25">
        <v>29.081900000000001</v>
      </c>
      <c r="DT25">
        <v>30.76</v>
      </c>
      <c r="DU25">
        <v>9.8477599999999992</v>
      </c>
      <c r="DV25">
        <v>1</v>
      </c>
      <c r="DW25">
        <v>0.16975000000000001</v>
      </c>
      <c r="DX25">
        <v>-0.22557099999999999</v>
      </c>
      <c r="DY25">
        <v>20.366700000000002</v>
      </c>
      <c r="DZ25">
        <v>5.2092599999999996</v>
      </c>
      <c r="EA25">
        <v>11.8483</v>
      </c>
      <c r="EB25">
        <v>4.9675599999999998</v>
      </c>
      <c r="EC25">
        <v>3.2915800000000002</v>
      </c>
      <c r="ED25">
        <v>894.7</v>
      </c>
      <c r="EE25">
        <v>0</v>
      </c>
      <c r="EF25">
        <v>4315.3999999999996</v>
      </c>
      <c r="EG25">
        <v>109</v>
      </c>
      <c r="EH25">
        <v>4.9716399999999998</v>
      </c>
      <c r="EI25">
        <v>1.8717900000000001</v>
      </c>
      <c r="EJ25">
        <v>1.8688800000000001</v>
      </c>
      <c r="EK25">
        <v>1.87134</v>
      </c>
      <c r="EL25">
        <v>1.8690500000000001</v>
      </c>
      <c r="EM25">
        <v>1.8680000000000001</v>
      </c>
      <c r="EN25">
        <v>1.86981</v>
      </c>
      <c r="EO25">
        <v>1.87164</v>
      </c>
      <c r="EP25">
        <v>0</v>
      </c>
      <c r="EQ25">
        <v>0</v>
      </c>
      <c r="ER25">
        <v>0</v>
      </c>
      <c r="ES25">
        <v>0</v>
      </c>
      <c r="ET25" t="s">
        <v>334</v>
      </c>
      <c r="EU25" t="s">
        <v>335</v>
      </c>
      <c r="EV25" t="s">
        <v>336</v>
      </c>
      <c r="EW25" t="s">
        <v>336</v>
      </c>
      <c r="EX25" t="s">
        <v>336</v>
      </c>
      <c r="EY25" t="s">
        <v>336</v>
      </c>
      <c r="EZ25">
        <v>0</v>
      </c>
      <c r="FA25">
        <v>100</v>
      </c>
      <c r="FB25">
        <v>100</v>
      </c>
      <c r="FC25">
        <v>8.2940000000000005</v>
      </c>
      <c r="FD25">
        <v>-0.98929999999999996</v>
      </c>
      <c r="FE25">
        <v>8.3178233333333349</v>
      </c>
      <c r="FF25">
        <v>0</v>
      </c>
      <c r="FG25">
        <v>0</v>
      </c>
      <c r="FH25">
        <v>0</v>
      </c>
      <c r="FI25">
        <v>-0.98927100000000023</v>
      </c>
      <c r="FJ25">
        <v>0</v>
      </c>
      <c r="FK25">
        <v>0</v>
      </c>
      <c r="FL25">
        <v>0</v>
      </c>
      <c r="FM25">
        <v>-1</v>
      </c>
      <c r="FN25">
        <v>-1</v>
      </c>
      <c r="FO25">
        <v>-1</v>
      </c>
      <c r="FP25">
        <v>-1</v>
      </c>
      <c r="FQ25">
        <v>0.6</v>
      </c>
      <c r="FR25">
        <v>9.1999999999999993</v>
      </c>
      <c r="FS25">
        <v>0.144043</v>
      </c>
      <c r="FT25">
        <v>4.99756</v>
      </c>
      <c r="FU25">
        <v>1.5979000000000001</v>
      </c>
      <c r="FV25">
        <v>2.1728499999999999</v>
      </c>
      <c r="FW25">
        <v>1.5478499999999999</v>
      </c>
      <c r="FX25">
        <v>2.3083499999999999</v>
      </c>
      <c r="FY25">
        <v>31.783000000000001</v>
      </c>
      <c r="FZ25">
        <v>16.224699999999999</v>
      </c>
      <c r="GA25">
        <v>3</v>
      </c>
      <c r="GB25">
        <v>493.738</v>
      </c>
      <c r="GC25">
        <v>413.56400000000002</v>
      </c>
      <c r="GD25">
        <v>27.782</v>
      </c>
      <c r="GE25">
        <v>29.333300000000001</v>
      </c>
      <c r="GF25">
        <v>30.000599999999999</v>
      </c>
      <c r="GG25">
        <v>29.364000000000001</v>
      </c>
      <c r="GH25">
        <v>29.354900000000001</v>
      </c>
      <c r="GI25">
        <v>-1</v>
      </c>
      <c r="GJ25">
        <v>0</v>
      </c>
      <c r="GK25">
        <v>100</v>
      </c>
      <c r="GL25">
        <v>27.798200000000001</v>
      </c>
      <c r="GM25">
        <v>432.1</v>
      </c>
      <c r="GN25">
        <v>68.912800000000004</v>
      </c>
      <c r="GO25">
        <v>102.35899999999999</v>
      </c>
      <c r="GP25">
        <v>96.5518</v>
      </c>
    </row>
    <row r="26" spans="1:198" x14ac:dyDescent="0.35">
      <c r="A26">
        <v>10</v>
      </c>
      <c r="B26">
        <v>1775481578.5</v>
      </c>
      <c r="C26">
        <v>540</v>
      </c>
      <c r="D26" t="s">
        <v>361</v>
      </c>
      <c r="E26" t="s">
        <v>362</v>
      </c>
      <c r="F26">
        <v>60</v>
      </c>
      <c r="G26">
        <v>1775481570.75</v>
      </c>
      <c r="H26">
        <f t="shared" si="0"/>
        <v>3.7414856210965042E-3</v>
      </c>
      <c r="I26">
        <f t="shared" si="1"/>
        <v>3.7414856210965044</v>
      </c>
      <c r="J26">
        <f t="shared" si="2"/>
        <v>1.9452943034287091</v>
      </c>
      <c r="K26">
        <f t="shared" si="3"/>
        <v>14.259674666666671</v>
      </c>
      <c r="L26">
        <f t="shared" si="4"/>
        <v>-16.838922361371758</v>
      </c>
      <c r="M26">
        <f t="shared" si="5"/>
        <v>-1.6893774665441659</v>
      </c>
      <c r="N26">
        <f t="shared" si="6"/>
        <v>1.4306125145739379</v>
      </c>
      <c r="O26">
        <f t="shared" si="7"/>
        <v>0.10185545760234847</v>
      </c>
      <c r="P26">
        <f t="shared" si="8"/>
        <v>2.3911633735362865</v>
      </c>
      <c r="Q26">
        <f t="shared" si="9"/>
        <v>9.9505066836383285E-2</v>
      </c>
      <c r="R26">
        <f t="shared" si="10"/>
        <v>6.2397322702297267E-2</v>
      </c>
      <c r="S26">
        <f t="shared" si="11"/>
        <v>0</v>
      </c>
      <c r="T26">
        <f t="shared" si="12"/>
        <v>26.12934233020087</v>
      </c>
      <c r="U26">
        <f t="shared" si="13"/>
        <v>27.41305666666667</v>
      </c>
      <c r="V26">
        <f t="shared" si="14"/>
        <v>3.6669144289479463</v>
      </c>
      <c r="W26">
        <f t="shared" si="15"/>
        <v>-1.0207340131840048</v>
      </c>
      <c r="X26">
        <f t="shared" si="16"/>
        <v>-3.7188982034615931E-2</v>
      </c>
      <c r="Y26">
        <f t="shared" si="17"/>
        <v>3.6433567956270285</v>
      </c>
      <c r="Z26">
        <f t="shared" si="18"/>
        <v>3.7041034109825621</v>
      </c>
      <c r="AA26">
        <f t="shared" si="19"/>
        <v>-164.99951589035584</v>
      </c>
      <c r="AB26">
        <f t="shared" si="20"/>
        <v>-14.184231349344689</v>
      </c>
      <c r="AC26">
        <f t="shared" si="21"/>
        <v>-1.2847705438412056</v>
      </c>
      <c r="AD26">
        <f t="shared" si="22"/>
        <v>-180.46851778354173</v>
      </c>
      <c r="AE26">
        <v>17</v>
      </c>
      <c r="AF26">
        <v>3</v>
      </c>
      <c r="AG26">
        <f t="shared" si="23"/>
        <v>1</v>
      </c>
      <c r="AH26">
        <f t="shared" si="24"/>
        <v>0</v>
      </c>
      <c r="AI26">
        <f t="shared" si="25"/>
        <v>25533.58865549662</v>
      </c>
      <c r="AJ26">
        <f t="shared" si="26"/>
        <v>0</v>
      </c>
      <c r="AK26">
        <f t="shared" si="27"/>
        <v>0</v>
      </c>
      <c r="AL26">
        <f t="shared" si="28"/>
        <v>0</v>
      </c>
      <c r="AM26">
        <f t="shared" si="29"/>
        <v>0</v>
      </c>
      <c r="AN26">
        <v>3</v>
      </c>
      <c r="AO26">
        <v>0.5</v>
      </c>
      <c r="AP26" t="s">
        <v>331</v>
      </c>
      <c r="AQ26">
        <v>2</v>
      </c>
      <c r="AR26">
        <v>1775481570.75</v>
      </c>
      <c r="AS26">
        <v>14.259674666666671</v>
      </c>
      <c r="AT26">
        <v>15.458866666666671</v>
      </c>
      <c r="AU26">
        <v>-0.37068233333333339</v>
      </c>
      <c r="AV26">
        <v>-2.616413333333333</v>
      </c>
      <c r="AW26">
        <v>5.9796746666666669</v>
      </c>
      <c r="AX26">
        <v>0.61858866666666679</v>
      </c>
      <c r="AY26">
        <v>499.99833333333328</v>
      </c>
      <c r="AZ26">
        <v>100.2807333333333</v>
      </c>
      <c r="BA26">
        <v>4.5013783333333321E-2</v>
      </c>
      <c r="BB26">
        <v>27.303026666666661</v>
      </c>
      <c r="BC26">
        <v>27.41305666666667</v>
      </c>
      <c r="BD26">
        <v>999.9000000000002</v>
      </c>
      <c r="BE26">
        <v>0</v>
      </c>
      <c r="BF26">
        <v>0</v>
      </c>
      <c r="BG26">
        <v>4994.05</v>
      </c>
      <c r="BH26">
        <v>0.38134176666666669</v>
      </c>
      <c r="BI26">
        <v>0.2357769333333333</v>
      </c>
      <c r="BJ26">
        <v>-1.1847436666666671</v>
      </c>
      <c r="BK26">
        <v>14.268840000000001</v>
      </c>
      <c r="BL26">
        <v>15.41852666666667</v>
      </c>
      <c r="BM26">
        <v>2.24573</v>
      </c>
      <c r="BN26">
        <v>15.458866666666671</v>
      </c>
      <c r="BO26">
        <v>-2.616413333333333</v>
      </c>
      <c r="BP26">
        <v>-3.7172280000000002E-2</v>
      </c>
      <c r="BQ26">
        <v>-0.26237573333333342</v>
      </c>
      <c r="BR26">
        <v>-99.900000000000034</v>
      </c>
      <c r="BS26">
        <v>-99.900000000000034</v>
      </c>
      <c r="BT26">
        <v>0</v>
      </c>
      <c r="BU26">
        <v>0</v>
      </c>
      <c r="BV26">
        <v>0</v>
      </c>
      <c r="BW26">
        <v>26</v>
      </c>
      <c r="BX26">
        <v>-1</v>
      </c>
      <c r="BY26">
        <v>1775481597</v>
      </c>
      <c r="BZ26" t="s">
        <v>363</v>
      </c>
      <c r="CA26">
        <v>1775481597</v>
      </c>
      <c r="CB26">
        <v>1775480969.5</v>
      </c>
      <c r="CC26">
        <v>11</v>
      </c>
      <c r="CD26">
        <v>-1.4E-2</v>
      </c>
      <c r="CE26">
        <v>0.19500000000000001</v>
      </c>
      <c r="CF26">
        <v>8.2799999999999994</v>
      </c>
      <c r="CG26">
        <v>-0.98899999999999999</v>
      </c>
      <c r="CH26">
        <v>16</v>
      </c>
      <c r="CI26">
        <v>-3</v>
      </c>
      <c r="CJ26">
        <v>0.28999999999999998</v>
      </c>
      <c r="CK26">
        <v>0.06</v>
      </c>
      <c r="CL26">
        <v>15.374446666666669</v>
      </c>
      <c r="CM26">
        <v>0.55870052792448366</v>
      </c>
      <c r="CN26">
        <v>0.1221450128149142</v>
      </c>
      <c r="CO26">
        <v>-1</v>
      </c>
      <c r="CP26">
        <v>500.00040000000001</v>
      </c>
      <c r="CQ26">
        <v>-0.1711808835784551</v>
      </c>
      <c r="CR26">
        <v>8.4314727855416965E-2</v>
      </c>
      <c r="CS26">
        <v>-1</v>
      </c>
      <c r="CT26">
        <v>0</v>
      </c>
      <c r="CU26">
        <v>0</v>
      </c>
      <c r="CV26" t="s">
        <v>333</v>
      </c>
      <c r="CW26">
        <v>3.1673200000000001</v>
      </c>
      <c r="CX26">
        <v>2.6657999999999999</v>
      </c>
      <c r="CY26">
        <v>1.8223600000000001E-3</v>
      </c>
      <c r="CZ26">
        <v>4.6245000000000001E-3</v>
      </c>
      <c r="DA26">
        <v>4.8812300000000003E-3</v>
      </c>
      <c r="DB26">
        <v>-2.56703E-2</v>
      </c>
      <c r="DC26">
        <v>21584.2</v>
      </c>
      <c r="DD26">
        <v>21870.799999999999</v>
      </c>
      <c r="DE26">
        <v>23153</v>
      </c>
      <c r="DF26">
        <v>22324.3</v>
      </c>
      <c r="DG26">
        <v>29706.2</v>
      </c>
      <c r="DH26">
        <v>27305.8</v>
      </c>
      <c r="DI26">
        <v>40683.4</v>
      </c>
      <c r="DJ26">
        <v>36999.199999999997</v>
      </c>
      <c r="DK26">
        <v>2.0880000000000001</v>
      </c>
      <c r="DL26">
        <v>1.8218399999999999</v>
      </c>
      <c r="DM26">
        <v>1.5228999999999999E-2</v>
      </c>
      <c r="DN26">
        <v>0</v>
      </c>
      <c r="DO26">
        <v>27.169499999999999</v>
      </c>
      <c r="DP26">
        <v>999.9</v>
      </c>
      <c r="DQ26">
        <v>81</v>
      </c>
      <c r="DR26">
        <v>27.2</v>
      </c>
      <c r="DS26">
        <v>29.252500000000001</v>
      </c>
      <c r="DT26">
        <v>30.73</v>
      </c>
      <c r="DU26">
        <v>9.5913500000000003</v>
      </c>
      <c r="DV26">
        <v>1</v>
      </c>
      <c r="DW26">
        <v>0.17727799999999999</v>
      </c>
      <c r="DX26">
        <v>-7.0429199999999997E-2</v>
      </c>
      <c r="DY26">
        <v>20.366900000000001</v>
      </c>
      <c r="DZ26">
        <v>5.2090199999999998</v>
      </c>
      <c r="EA26">
        <v>11.848800000000001</v>
      </c>
      <c r="EB26">
        <v>4.9674399999999999</v>
      </c>
      <c r="EC26">
        <v>3.29148</v>
      </c>
      <c r="ED26">
        <v>894.7</v>
      </c>
      <c r="EE26">
        <v>0</v>
      </c>
      <c r="EF26">
        <v>4342.8999999999996</v>
      </c>
      <c r="EG26">
        <v>109</v>
      </c>
      <c r="EH26">
        <v>4.97166</v>
      </c>
      <c r="EI26">
        <v>1.8717999999999999</v>
      </c>
      <c r="EJ26">
        <v>1.8689</v>
      </c>
      <c r="EK26">
        <v>1.87134</v>
      </c>
      <c r="EL26">
        <v>1.8690500000000001</v>
      </c>
      <c r="EM26">
        <v>1.8680399999999999</v>
      </c>
      <c r="EN26">
        <v>1.86982</v>
      </c>
      <c r="EO26">
        <v>1.87165</v>
      </c>
      <c r="EP26">
        <v>0</v>
      </c>
      <c r="EQ26">
        <v>0</v>
      </c>
      <c r="ER26">
        <v>0</v>
      </c>
      <c r="ES26">
        <v>0</v>
      </c>
      <c r="ET26" t="s">
        <v>334</v>
      </c>
      <c r="EU26" t="s">
        <v>335</v>
      </c>
      <c r="EV26" t="s">
        <v>336</v>
      </c>
      <c r="EW26" t="s">
        <v>336</v>
      </c>
      <c r="EX26" t="s">
        <v>336</v>
      </c>
      <c r="EY26" t="s">
        <v>336</v>
      </c>
      <c r="EZ26">
        <v>0</v>
      </c>
      <c r="FA26">
        <v>100</v>
      </c>
      <c r="FB26">
        <v>100</v>
      </c>
      <c r="FC26">
        <v>8.2799999999999994</v>
      </c>
      <c r="FD26">
        <v>-0.98929999999999996</v>
      </c>
      <c r="FE26">
        <v>8.2944514285714241</v>
      </c>
      <c r="FF26">
        <v>0</v>
      </c>
      <c r="FG26">
        <v>0</v>
      </c>
      <c r="FH26">
        <v>0</v>
      </c>
      <c r="FI26">
        <v>-0.98927100000000023</v>
      </c>
      <c r="FJ26">
        <v>0</v>
      </c>
      <c r="FK26">
        <v>0</v>
      </c>
      <c r="FL26">
        <v>0</v>
      </c>
      <c r="FM26">
        <v>-1</v>
      </c>
      <c r="FN26">
        <v>-1</v>
      </c>
      <c r="FO26">
        <v>-1</v>
      </c>
      <c r="FP26">
        <v>-1</v>
      </c>
      <c r="FQ26">
        <v>0.7</v>
      </c>
      <c r="FR26">
        <v>10.199999999999999</v>
      </c>
      <c r="FS26">
        <v>0.144043</v>
      </c>
      <c r="FT26">
        <v>4.99756</v>
      </c>
      <c r="FU26">
        <v>1.5979000000000001</v>
      </c>
      <c r="FV26">
        <v>2.1728499999999999</v>
      </c>
      <c r="FW26">
        <v>1.5478499999999999</v>
      </c>
      <c r="FX26">
        <v>2.4206500000000002</v>
      </c>
      <c r="FY26">
        <v>31.892700000000001</v>
      </c>
      <c r="FZ26">
        <v>16.215900000000001</v>
      </c>
      <c r="GA26">
        <v>3</v>
      </c>
      <c r="GB26">
        <v>493.34</v>
      </c>
      <c r="GC26">
        <v>413.63799999999998</v>
      </c>
      <c r="GD26">
        <v>27.7758</v>
      </c>
      <c r="GE26">
        <v>29.4268</v>
      </c>
      <c r="GF26">
        <v>30.000599999999999</v>
      </c>
      <c r="GG26">
        <v>29.488499999999998</v>
      </c>
      <c r="GH26">
        <v>29.4833</v>
      </c>
      <c r="GI26">
        <v>-1</v>
      </c>
      <c r="GJ26">
        <v>0</v>
      </c>
      <c r="GK26">
        <v>100</v>
      </c>
      <c r="GL26">
        <v>27.771799999999999</v>
      </c>
      <c r="GM26">
        <v>432.1</v>
      </c>
      <c r="GN26">
        <v>68.912800000000004</v>
      </c>
      <c r="GO26">
        <v>102.413</v>
      </c>
      <c r="GP26">
        <v>96.542599999999993</v>
      </c>
    </row>
    <row r="27" spans="1:198" x14ac:dyDescent="0.35">
      <c r="A27">
        <v>11</v>
      </c>
      <c r="B27">
        <v>1775481638.5</v>
      </c>
      <c r="C27">
        <v>600</v>
      </c>
      <c r="D27" t="s">
        <v>364</v>
      </c>
      <c r="E27" t="s">
        <v>365</v>
      </c>
      <c r="F27">
        <v>60</v>
      </c>
      <c r="G27">
        <v>1775481630.75</v>
      </c>
      <c r="H27">
        <f t="shared" si="0"/>
        <v>3.6064906359757794E-3</v>
      </c>
      <c r="I27">
        <f t="shared" si="1"/>
        <v>3.6064906359757796</v>
      </c>
      <c r="J27">
        <f t="shared" si="2"/>
        <v>1.9752198451854197</v>
      </c>
      <c r="K27">
        <f t="shared" si="3"/>
        <v>15.460323000000001</v>
      </c>
      <c r="L27">
        <f t="shared" si="4"/>
        <v>-17.38739902347147</v>
      </c>
      <c r="M27">
        <f t="shared" si="5"/>
        <v>-1.7444115184358275</v>
      </c>
      <c r="N27">
        <f t="shared" si="6"/>
        <v>1.5510753208994819</v>
      </c>
      <c r="O27">
        <f t="shared" si="7"/>
        <v>9.791017539111109E-2</v>
      </c>
      <c r="P27">
        <f t="shared" si="8"/>
        <v>2.3919683700038168</v>
      </c>
      <c r="Q27">
        <f t="shared" si="9"/>
        <v>9.5736959565809465E-2</v>
      </c>
      <c r="R27">
        <f t="shared" si="10"/>
        <v>6.0026836958732482E-2</v>
      </c>
      <c r="S27">
        <f t="shared" si="11"/>
        <v>0</v>
      </c>
      <c r="T27">
        <f t="shared" si="12"/>
        <v>26.1704338546615</v>
      </c>
      <c r="U27">
        <f t="shared" si="13"/>
        <v>27.412973333333341</v>
      </c>
      <c r="V27">
        <f t="shared" si="14"/>
        <v>3.6668965369404241</v>
      </c>
      <c r="W27">
        <f t="shared" si="15"/>
        <v>-1.2143794986247893</v>
      </c>
      <c r="X27">
        <f t="shared" si="16"/>
        <v>-4.4240021191143536E-2</v>
      </c>
      <c r="Y27">
        <f t="shared" si="17"/>
        <v>3.6430144976296668</v>
      </c>
      <c r="Z27">
        <f t="shared" si="18"/>
        <v>3.7111365581315674</v>
      </c>
      <c r="AA27">
        <f t="shared" si="19"/>
        <v>-159.04623704653187</v>
      </c>
      <c r="AB27">
        <f t="shared" si="20"/>
        <v>-14.385019352086207</v>
      </c>
      <c r="AC27">
        <f t="shared" si="21"/>
        <v>-1.3025079261159092</v>
      </c>
      <c r="AD27">
        <f t="shared" si="22"/>
        <v>-174.73376432473398</v>
      </c>
      <c r="AE27">
        <v>17</v>
      </c>
      <c r="AF27">
        <v>3</v>
      </c>
      <c r="AG27">
        <f t="shared" si="23"/>
        <v>1</v>
      </c>
      <c r="AH27">
        <f t="shared" si="24"/>
        <v>0</v>
      </c>
      <c r="AI27">
        <f t="shared" si="25"/>
        <v>25545.94867569979</v>
      </c>
      <c r="AJ27">
        <f t="shared" si="26"/>
        <v>0</v>
      </c>
      <c r="AK27">
        <f t="shared" si="27"/>
        <v>0</v>
      </c>
      <c r="AL27">
        <f t="shared" si="28"/>
        <v>0</v>
      </c>
      <c r="AM27">
        <f t="shared" si="29"/>
        <v>0</v>
      </c>
      <c r="AN27">
        <v>3</v>
      </c>
      <c r="AO27">
        <v>0.5</v>
      </c>
      <c r="AP27" t="s">
        <v>331</v>
      </c>
      <c r="AQ27">
        <v>2</v>
      </c>
      <c r="AR27">
        <v>1775481630.75</v>
      </c>
      <c r="AS27">
        <v>15.460323000000001</v>
      </c>
      <c r="AT27">
        <v>16.678886666666671</v>
      </c>
      <c r="AU27">
        <v>-0.44096183333333328</v>
      </c>
      <c r="AV27">
        <v>-2.6057700000000001</v>
      </c>
      <c r="AW27">
        <v>7.1993230000000006</v>
      </c>
      <c r="AX27">
        <v>0.54830916666666663</v>
      </c>
      <c r="AY27">
        <v>500.0093333333333</v>
      </c>
      <c r="AZ27">
        <v>100.2811333333333</v>
      </c>
      <c r="BA27">
        <v>4.5057839999999988E-2</v>
      </c>
      <c r="BB27">
        <v>27.301423333333329</v>
      </c>
      <c r="BC27">
        <v>27.412973333333341</v>
      </c>
      <c r="BD27">
        <v>999.9000000000002</v>
      </c>
      <c r="BE27">
        <v>0</v>
      </c>
      <c r="BF27">
        <v>0</v>
      </c>
      <c r="BG27">
        <v>4996.1000000000004</v>
      </c>
      <c r="BH27">
        <v>0.38248700000000008</v>
      </c>
      <c r="BI27">
        <v>0.23344266666666669</v>
      </c>
      <c r="BJ27">
        <v>-1.1991164000000001</v>
      </c>
      <c r="BK27">
        <v>15.47296</v>
      </c>
      <c r="BL27">
        <v>16.635543333333331</v>
      </c>
      <c r="BM27">
        <v>2.164807333333334</v>
      </c>
      <c r="BN27">
        <v>16.678886666666671</v>
      </c>
      <c r="BO27">
        <v>-2.6057700000000001</v>
      </c>
      <c r="BP27">
        <v>-4.4220130000000003E-2</v>
      </c>
      <c r="BQ27">
        <v>-0.26130933333333328</v>
      </c>
      <c r="BR27">
        <v>-99.900000000000034</v>
      </c>
      <c r="BS27">
        <v>-99.900000000000034</v>
      </c>
      <c r="BT27">
        <v>0</v>
      </c>
      <c r="BU27">
        <v>0</v>
      </c>
      <c r="BV27">
        <v>0</v>
      </c>
      <c r="BW27">
        <v>26</v>
      </c>
      <c r="BX27">
        <v>-1</v>
      </c>
      <c r="BY27">
        <v>1775481655.5</v>
      </c>
      <c r="BZ27" t="s">
        <v>366</v>
      </c>
      <c r="CA27">
        <v>1775481655.5</v>
      </c>
      <c r="CB27">
        <v>1775480969.5</v>
      </c>
      <c r="CC27">
        <v>12</v>
      </c>
      <c r="CD27">
        <v>-0.02</v>
      </c>
      <c r="CE27">
        <v>0.19500000000000001</v>
      </c>
      <c r="CF27">
        <v>8.2609999999999992</v>
      </c>
      <c r="CG27">
        <v>-0.98899999999999999</v>
      </c>
      <c r="CH27">
        <v>17</v>
      </c>
      <c r="CI27">
        <v>-3</v>
      </c>
      <c r="CJ27">
        <v>0.21</v>
      </c>
      <c r="CK27">
        <v>0.06</v>
      </c>
      <c r="CL27">
        <v>16.619985</v>
      </c>
      <c r="CM27">
        <v>0.53124856904699302</v>
      </c>
      <c r="CN27">
        <v>0.22274462494450151</v>
      </c>
      <c r="CO27">
        <v>-1</v>
      </c>
      <c r="CP27">
        <v>500.01338333333342</v>
      </c>
      <c r="CQ27">
        <v>3.304251181164751E-3</v>
      </c>
      <c r="CR27">
        <v>3.7465135644872263E-2</v>
      </c>
      <c r="CS27">
        <v>-1</v>
      </c>
      <c r="CT27">
        <v>0</v>
      </c>
      <c r="CU27">
        <v>0</v>
      </c>
      <c r="CV27" t="s">
        <v>333</v>
      </c>
      <c r="CW27">
        <v>3.1674099999999998</v>
      </c>
      <c r="CX27">
        <v>2.6663999999999999</v>
      </c>
      <c r="CY27">
        <v>2.2219100000000001E-3</v>
      </c>
      <c r="CZ27">
        <v>5.1287199999999998E-3</v>
      </c>
      <c r="DA27">
        <v>4.45058E-3</v>
      </c>
      <c r="DB27">
        <v>-2.55185E-2</v>
      </c>
      <c r="DC27">
        <v>21572.1</v>
      </c>
      <c r="DD27">
        <v>21857.9</v>
      </c>
      <c r="DE27">
        <v>23149.7</v>
      </c>
      <c r="DF27">
        <v>22322.7</v>
      </c>
      <c r="DG27">
        <v>29715.5</v>
      </c>
      <c r="DH27">
        <v>27299.599999999999</v>
      </c>
      <c r="DI27">
        <v>40678.800000000003</v>
      </c>
      <c r="DJ27">
        <v>36996.300000000003</v>
      </c>
      <c r="DK27">
        <v>2.0872600000000001</v>
      </c>
      <c r="DL27">
        <v>1.8204800000000001</v>
      </c>
      <c r="DM27">
        <v>1.42157E-2</v>
      </c>
      <c r="DN27">
        <v>0</v>
      </c>
      <c r="DO27">
        <v>27.1769</v>
      </c>
      <c r="DP27">
        <v>999.9</v>
      </c>
      <c r="DQ27">
        <v>81.099999999999994</v>
      </c>
      <c r="DR27">
        <v>27.3</v>
      </c>
      <c r="DS27">
        <v>29.46</v>
      </c>
      <c r="DT27">
        <v>30.52</v>
      </c>
      <c r="DU27">
        <v>9.7996800000000004</v>
      </c>
      <c r="DV27">
        <v>1</v>
      </c>
      <c r="DW27">
        <v>0.18426200000000001</v>
      </c>
      <c r="DX27">
        <v>-8.0115500000000006E-2</v>
      </c>
      <c r="DY27">
        <v>20.3675</v>
      </c>
      <c r="DZ27">
        <v>5.2112999999999996</v>
      </c>
      <c r="EA27">
        <v>11.848800000000001</v>
      </c>
      <c r="EB27">
        <v>4.9678000000000004</v>
      </c>
      <c r="EC27">
        <v>3.2921800000000001</v>
      </c>
      <c r="ED27">
        <v>894.7</v>
      </c>
      <c r="EE27">
        <v>0</v>
      </c>
      <c r="EF27">
        <v>4365.6000000000004</v>
      </c>
      <c r="EG27">
        <v>109</v>
      </c>
      <c r="EH27">
        <v>4.9716300000000002</v>
      </c>
      <c r="EI27">
        <v>1.8717999999999999</v>
      </c>
      <c r="EJ27">
        <v>1.8688899999999999</v>
      </c>
      <c r="EK27">
        <v>1.87134</v>
      </c>
      <c r="EL27">
        <v>1.8690500000000001</v>
      </c>
      <c r="EM27">
        <v>1.8680399999999999</v>
      </c>
      <c r="EN27">
        <v>1.86981</v>
      </c>
      <c r="EO27">
        <v>1.87164</v>
      </c>
      <c r="EP27">
        <v>0</v>
      </c>
      <c r="EQ27">
        <v>0</v>
      </c>
      <c r="ER27">
        <v>0</v>
      </c>
      <c r="ES27">
        <v>0</v>
      </c>
      <c r="ET27" t="s">
        <v>334</v>
      </c>
      <c r="EU27" t="s">
        <v>335</v>
      </c>
      <c r="EV27" t="s">
        <v>336</v>
      </c>
      <c r="EW27" t="s">
        <v>336</v>
      </c>
      <c r="EX27" t="s">
        <v>336</v>
      </c>
      <c r="EY27" t="s">
        <v>336</v>
      </c>
      <c r="EZ27">
        <v>0</v>
      </c>
      <c r="FA27">
        <v>100</v>
      </c>
      <c r="FB27">
        <v>100</v>
      </c>
      <c r="FC27">
        <v>8.2609999999999992</v>
      </c>
      <c r="FD27">
        <v>-0.98929999999999996</v>
      </c>
      <c r="FE27">
        <v>8.2804542857142813</v>
      </c>
      <c r="FF27">
        <v>0</v>
      </c>
      <c r="FG27">
        <v>0</v>
      </c>
      <c r="FH27">
        <v>0</v>
      </c>
      <c r="FI27">
        <v>-0.98927100000000023</v>
      </c>
      <c r="FJ27">
        <v>0</v>
      </c>
      <c r="FK27">
        <v>0</v>
      </c>
      <c r="FL27">
        <v>0</v>
      </c>
      <c r="FM27">
        <v>-1</v>
      </c>
      <c r="FN27">
        <v>-1</v>
      </c>
      <c r="FO27">
        <v>-1</v>
      </c>
      <c r="FP27">
        <v>-1</v>
      </c>
      <c r="FQ27">
        <v>0.7</v>
      </c>
      <c r="FR27">
        <v>11.2</v>
      </c>
      <c r="FS27">
        <v>0.144043</v>
      </c>
      <c r="FT27">
        <v>4.99756</v>
      </c>
      <c r="FU27">
        <v>1.5979000000000001</v>
      </c>
      <c r="FV27">
        <v>2.1716299999999999</v>
      </c>
      <c r="FW27">
        <v>1.5478499999999999</v>
      </c>
      <c r="FX27">
        <v>2.32422</v>
      </c>
      <c r="FY27">
        <v>32.0244</v>
      </c>
      <c r="FZ27">
        <v>16.2072</v>
      </c>
      <c r="GA27">
        <v>3</v>
      </c>
      <c r="GB27">
        <v>493.82499999999999</v>
      </c>
      <c r="GC27">
        <v>413.67200000000003</v>
      </c>
      <c r="GD27">
        <v>27.783300000000001</v>
      </c>
      <c r="GE27">
        <v>29.515999999999998</v>
      </c>
      <c r="GF27">
        <v>30.000599999999999</v>
      </c>
      <c r="GG27">
        <v>29.6067</v>
      </c>
      <c r="GH27">
        <v>29.604500000000002</v>
      </c>
      <c r="GI27">
        <v>-1</v>
      </c>
      <c r="GJ27">
        <v>0</v>
      </c>
      <c r="GK27">
        <v>100</v>
      </c>
      <c r="GL27">
        <v>27.780999999999999</v>
      </c>
      <c r="GM27">
        <v>432.1</v>
      </c>
      <c r="GN27">
        <v>68.912800000000004</v>
      </c>
      <c r="GO27">
        <v>102.4</v>
      </c>
      <c r="GP27">
        <v>96.535200000000003</v>
      </c>
    </row>
    <row r="28" spans="1:198" x14ac:dyDescent="0.35">
      <c r="A28">
        <v>12</v>
      </c>
      <c r="B28">
        <v>1775481698.5</v>
      </c>
      <c r="C28">
        <v>660</v>
      </c>
      <c r="D28" t="s">
        <v>367</v>
      </c>
      <c r="E28" t="s">
        <v>368</v>
      </c>
      <c r="F28">
        <v>60</v>
      </c>
      <c r="G28">
        <v>1775481690.5</v>
      </c>
      <c r="H28">
        <f t="shared" si="0"/>
        <v>3.5365343315031336E-3</v>
      </c>
      <c r="I28">
        <f t="shared" si="1"/>
        <v>3.5365343315031335</v>
      </c>
      <c r="J28">
        <f t="shared" si="2"/>
        <v>1.8778615246580346</v>
      </c>
      <c r="K28">
        <f t="shared" si="3"/>
        <v>15.980414516129031</v>
      </c>
      <c r="L28">
        <f t="shared" si="4"/>
        <v>-15.947542394159615</v>
      </c>
      <c r="M28">
        <f t="shared" si="5"/>
        <v>-1.599953487281861</v>
      </c>
      <c r="N28">
        <f t="shared" si="6"/>
        <v>1.60325141651004</v>
      </c>
      <c r="O28">
        <f t="shared" si="7"/>
        <v>9.5897916930349075E-2</v>
      </c>
      <c r="P28">
        <f t="shared" si="8"/>
        <v>2.3946491873937998</v>
      </c>
      <c r="Q28">
        <f t="shared" si="9"/>
        <v>9.3814366620237316E-2</v>
      </c>
      <c r="R28">
        <f t="shared" si="10"/>
        <v>5.8817407472346914E-2</v>
      </c>
      <c r="S28">
        <f t="shared" si="11"/>
        <v>0</v>
      </c>
      <c r="T28">
        <f t="shared" si="12"/>
        <v>26.18701689154722</v>
      </c>
      <c r="U28">
        <f t="shared" si="13"/>
        <v>27.40931290322581</v>
      </c>
      <c r="V28">
        <f t="shared" si="14"/>
        <v>3.6661107027945641</v>
      </c>
      <c r="W28">
        <f t="shared" si="15"/>
        <v>-1.3096458024143378</v>
      </c>
      <c r="X28">
        <f t="shared" si="16"/>
        <v>-4.769245029134575E-2</v>
      </c>
      <c r="Y28">
        <f t="shared" si="17"/>
        <v>3.6416296836461055</v>
      </c>
      <c r="Z28">
        <f t="shared" si="18"/>
        <v>3.7138031530859097</v>
      </c>
      <c r="AA28">
        <f t="shared" si="19"/>
        <v>-155.96116401928819</v>
      </c>
      <c r="AB28">
        <f t="shared" si="20"/>
        <v>-14.76616223907101</v>
      </c>
      <c r="AC28">
        <f t="shared" si="21"/>
        <v>-1.3354544628710443</v>
      </c>
      <c r="AD28">
        <f t="shared" si="22"/>
        <v>-172.06278072123024</v>
      </c>
      <c r="AE28">
        <v>16</v>
      </c>
      <c r="AF28">
        <v>3</v>
      </c>
      <c r="AG28">
        <f t="shared" si="23"/>
        <v>1</v>
      </c>
      <c r="AH28">
        <f t="shared" si="24"/>
        <v>0</v>
      </c>
      <c r="AI28">
        <f t="shared" si="25"/>
        <v>25587.270293884558</v>
      </c>
      <c r="AJ28">
        <f t="shared" si="26"/>
        <v>0</v>
      </c>
      <c r="AK28">
        <f t="shared" si="27"/>
        <v>0</v>
      </c>
      <c r="AL28">
        <f t="shared" si="28"/>
        <v>0</v>
      </c>
      <c r="AM28">
        <f t="shared" si="29"/>
        <v>0</v>
      </c>
      <c r="AN28">
        <v>3</v>
      </c>
      <c r="AO28">
        <v>0.5</v>
      </c>
      <c r="AP28" t="s">
        <v>331</v>
      </c>
      <c r="AQ28">
        <v>2</v>
      </c>
      <c r="AR28">
        <v>1775481690.5</v>
      </c>
      <c r="AS28">
        <v>15.980414516129031</v>
      </c>
      <c r="AT28">
        <v>17.141009677419351</v>
      </c>
      <c r="AU28">
        <v>-0.4753746774193548</v>
      </c>
      <c r="AV28">
        <v>-2.598247419354839</v>
      </c>
      <c r="AW28">
        <v>7.7294145161290331</v>
      </c>
      <c r="AX28">
        <v>0.51389629032258055</v>
      </c>
      <c r="AY28">
        <v>500.01332258064519</v>
      </c>
      <c r="AZ28">
        <v>100.2810322580645</v>
      </c>
      <c r="BA28">
        <v>4.4989629032258067E-2</v>
      </c>
      <c r="BB28">
        <v>27.294935483870969</v>
      </c>
      <c r="BC28">
        <v>27.40931290322581</v>
      </c>
      <c r="BD28">
        <v>999.90000000000032</v>
      </c>
      <c r="BE28">
        <v>0</v>
      </c>
      <c r="BF28">
        <v>0</v>
      </c>
      <c r="BG28">
        <v>5003</v>
      </c>
      <c r="BH28">
        <v>0.40244648387096782</v>
      </c>
      <c r="BI28">
        <v>0.23331922580645159</v>
      </c>
      <c r="BJ28">
        <v>-1.1509117096774191</v>
      </c>
      <c r="BK28">
        <v>15.9825</v>
      </c>
      <c r="BL28">
        <v>17.09659677419355</v>
      </c>
      <c r="BM28">
        <v>2.1228725806451609</v>
      </c>
      <c r="BN28">
        <v>17.141009677419351</v>
      </c>
      <c r="BO28">
        <v>-2.598247419354839</v>
      </c>
      <c r="BP28">
        <v>-4.7671119354838712E-2</v>
      </c>
      <c r="BQ28">
        <v>-0.26055532258064518</v>
      </c>
      <c r="BR28">
        <v>-99.900000000000034</v>
      </c>
      <c r="BS28">
        <v>-99.900000000000034</v>
      </c>
      <c r="BT28">
        <v>0</v>
      </c>
      <c r="BU28">
        <v>0</v>
      </c>
      <c r="BV28">
        <v>0</v>
      </c>
      <c r="BW28">
        <v>26</v>
      </c>
      <c r="BX28">
        <v>-1</v>
      </c>
      <c r="BY28">
        <v>1775481715.5</v>
      </c>
      <c r="BZ28" t="s">
        <v>369</v>
      </c>
      <c r="CA28">
        <v>1775481715.5</v>
      </c>
      <c r="CB28">
        <v>1775480969.5</v>
      </c>
      <c r="CC28">
        <v>13</v>
      </c>
      <c r="CD28">
        <v>-0.01</v>
      </c>
      <c r="CE28">
        <v>0.19500000000000001</v>
      </c>
      <c r="CF28">
        <v>8.2509999999999994</v>
      </c>
      <c r="CG28">
        <v>-0.98899999999999999</v>
      </c>
      <c r="CH28">
        <v>16</v>
      </c>
      <c r="CI28">
        <v>-3</v>
      </c>
      <c r="CJ28">
        <v>0.12</v>
      </c>
      <c r="CK28">
        <v>0.06</v>
      </c>
      <c r="CL28">
        <v>17.053724590163931</v>
      </c>
      <c r="CM28">
        <v>0.69727615018506517</v>
      </c>
      <c r="CN28">
        <v>0.2366998581282779</v>
      </c>
      <c r="CO28">
        <v>-1</v>
      </c>
      <c r="CP28">
        <v>499.99377049180339</v>
      </c>
      <c r="CQ28">
        <v>0.1083744050761877</v>
      </c>
      <c r="CR28">
        <v>4.0790304795772683E-2</v>
      </c>
      <c r="CS28">
        <v>-1</v>
      </c>
      <c r="CT28">
        <v>0</v>
      </c>
      <c r="CU28">
        <v>0</v>
      </c>
      <c r="CV28" t="s">
        <v>333</v>
      </c>
      <c r="CW28">
        <v>3.1673800000000001</v>
      </c>
      <c r="CX28">
        <v>2.6661999999999999</v>
      </c>
      <c r="CY28">
        <v>2.37243E-3</v>
      </c>
      <c r="CZ28">
        <v>5.0138200000000004E-3</v>
      </c>
      <c r="DA28">
        <v>4.08107E-3</v>
      </c>
      <c r="DB28">
        <v>-2.5421699999999998E-2</v>
      </c>
      <c r="DC28">
        <v>21565.7</v>
      </c>
      <c r="DD28">
        <v>21858.9</v>
      </c>
      <c r="DE28">
        <v>23146.6</v>
      </c>
      <c r="DF28">
        <v>22321.4</v>
      </c>
      <c r="DG28">
        <v>29723.200000000001</v>
      </c>
      <c r="DH28">
        <v>27295.200000000001</v>
      </c>
      <c r="DI28">
        <v>40674.400000000001</v>
      </c>
      <c r="DJ28">
        <v>36993.599999999999</v>
      </c>
      <c r="DK28">
        <v>2.08636</v>
      </c>
      <c r="DL28">
        <v>1.81836</v>
      </c>
      <c r="DM28">
        <v>1.4334899999999999E-2</v>
      </c>
      <c r="DN28">
        <v>0</v>
      </c>
      <c r="DO28">
        <v>27.176500000000001</v>
      </c>
      <c r="DP28">
        <v>999.9</v>
      </c>
      <c r="DQ28">
        <v>81</v>
      </c>
      <c r="DR28">
        <v>27.3</v>
      </c>
      <c r="DS28">
        <v>29.4239</v>
      </c>
      <c r="DT28">
        <v>30.61</v>
      </c>
      <c r="DU28">
        <v>9.6354100000000003</v>
      </c>
      <c r="DV28">
        <v>1</v>
      </c>
      <c r="DW28">
        <v>0.19068299999999999</v>
      </c>
      <c r="DX28">
        <v>-0.107795</v>
      </c>
      <c r="DY28">
        <v>20.3674</v>
      </c>
      <c r="DZ28">
        <v>5.2120199999999999</v>
      </c>
      <c r="EA28">
        <v>11.8482</v>
      </c>
      <c r="EB28">
        <v>4.9676799999999997</v>
      </c>
      <c r="EC28">
        <v>3.2920600000000002</v>
      </c>
      <c r="ED28">
        <v>894.7</v>
      </c>
      <c r="EE28">
        <v>0</v>
      </c>
      <c r="EF28">
        <v>4394</v>
      </c>
      <c r="EG28">
        <v>109</v>
      </c>
      <c r="EH28">
        <v>4.9716300000000002</v>
      </c>
      <c r="EI28">
        <v>1.8717900000000001</v>
      </c>
      <c r="EJ28">
        <v>1.8689</v>
      </c>
      <c r="EK28">
        <v>1.87134</v>
      </c>
      <c r="EL28">
        <v>1.8690500000000001</v>
      </c>
      <c r="EM28">
        <v>1.8680600000000001</v>
      </c>
      <c r="EN28">
        <v>1.86982</v>
      </c>
      <c r="EO28">
        <v>1.87164</v>
      </c>
      <c r="EP28">
        <v>0</v>
      </c>
      <c r="EQ28">
        <v>0</v>
      </c>
      <c r="ER28">
        <v>0</v>
      </c>
      <c r="ES28">
        <v>0</v>
      </c>
      <c r="ET28" t="s">
        <v>334</v>
      </c>
      <c r="EU28" t="s">
        <v>335</v>
      </c>
      <c r="EV28" t="s">
        <v>336</v>
      </c>
      <c r="EW28" t="s">
        <v>336</v>
      </c>
      <c r="EX28" t="s">
        <v>336</v>
      </c>
      <c r="EY28" t="s">
        <v>336</v>
      </c>
      <c r="EZ28">
        <v>0</v>
      </c>
      <c r="FA28">
        <v>100</v>
      </c>
      <c r="FB28">
        <v>100</v>
      </c>
      <c r="FC28">
        <v>8.2509999999999994</v>
      </c>
      <c r="FD28">
        <v>-0.98929999999999996</v>
      </c>
      <c r="FE28">
        <v>8.2606864999999985</v>
      </c>
      <c r="FF28">
        <v>0</v>
      </c>
      <c r="FG28">
        <v>0</v>
      </c>
      <c r="FH28">
        <v>0</v>
      </c>
      <c r="FI28">
        <v>-0.98927100000000023</v>
      </c>
      <c r="FJ28">
        <v>0</v>
      </c>
      <c r="FK28">
        <v>0</v>
      </c>
      <c r="FL28">
        <v>0</v>
      </c>
      <c r="FM28">
        <v>-1</v>
      </c>
      <c r="FN28">
        <v>-1</v>
      </c>
      <c r="FO28">
        <v>-1</v>
      </c>
      <c r="FP28">
        <v>-1</v>
      </c>
      <c r="FQ28">
        <v>0.7</v>
      </c>
      <c r="FR28">
        <v>12.2</v>
      </c>
      <c r="FS28">
        <v>0.144043</v>
      </c>
      <c r="FT28">
        <v>4.99756</v>
      </c>
      <c r="FU28">
        <v>1.5979000000000001</v>
      </c>
      <c r="FV28">
        <v>2.1728499999999999</v>
      </c>
      <c r="FW28">
        <v>1.5478499999999999</v>
      </c>
      <c r="FX28">
        <v>2.4108900000000002</v>
      </c>
      <c r="FY28">
        <v>32.112400000000001</v>
      </c>
      <c r="FZ28">
        <v>16.2072</v>
      </c>
      <c r="GA28">
        <v>3</v>
      </c>
      <c r="GB28">
        <v>494.10599999999999</v>
      </c>
      <c r="GC28">
        <v>413.18900000000002</v>
      </c>
      <c r="GD28">
        <v>27.7818</v>
      </c>
      <c r="GE28">
        <v>29.5974</v>
      </c>
      <c r="GF28">
        <v>30.000599999999999</v>
      </c>
      <c r="GG28">
        <v>29.7103</v>
      </c>
      <c r="GH28">
        <v>29.7148</v>
      </c>
      <c r="GI28">
        <v>-1</v>
      </c>
      <c r="GJ28">
        <v>0</v>
      </c>
      <c r="GK28">
        <v>100</v>
      </c>
      <c r="GL28">
        <v>27.7883</v>
      </c>
      <c r="GM28">
        <v>432.1</v>
      </c>
      <c r="GN28">
        <v>68.912800000000004</v>
      </c>
      <c r="GO28">
        <v>102.38800000000001</v>
      </c>
      <c r="GP28">
        <v>96.528700000000001</v>
      </c>
    </row>
    <row r="29" spans="1:198" x14ac:dyDescent="0.35">
      <c r="A29">
        <v>13</v>
      </c>
      <c r="B29">
        <v>1775481758.5</v>
      </c>
      <c r="C29">
        <v>720</v>
      </c>
      <c r="D29" t="s">
        <v>370</v>
      </c>
      <c r="E29" t="s">
        <v>371</v>
      </c>
      <c r="F29">
        <v>60</v>
      </c>
      <c r="G29">
        <v>1775481750.5</v>
      </c>
      <c r="H29">
        <f t="shared" si="0"/>
        <v>3.5202011158322073E-3</v>
      </c>
      <c r="I29">
        <f t="shared" si="1"/>
        <v>3.5202011158322071</v>
      </c>
      <c r="J29">
        <f t="shared" si="2"/>
        <v>2.4732656050883333</v>
      </c>
      <c r="K29">
        <f t="shared" si="3"/>
        <v>14.89629516129032</v>
      </c>
      <c r="L29">
        <f t="shared" si="4"/>
        <v>-26.997399963197473</v>
      </c>
      <c r="M29">
        <f t="shared" si="5"/>
        <v>-2.7084697212512245</v>
      </c>
      <c r="N29">
        <f t="shared" si="6"/>
        <v>1.4944462969832411</v>
      </c>
      <c r="O29">
        <f t="shared" si="7"/>
        <v>9.542119300515893E-2</v>
      </c>
      <c r="P29">
        <f t="shared" si="8"/>
        <v>2.3899216478457861</v>
      </c>
      <c r="Q29">
        <f t="shared" si="9"/>
        <v>9.3354080588209473E-2</v>
      </c>
      <c r="R29">
        <f t="shared" si="10"/>
        <v>5.8528292538746876E-2</v>
      </c>
      <c r="S29">
        <f t="shared" si="11"/>
        <v>0</v>
      </c>
      <c r="T29">
        <f t="shared" si="12"/>
        <v>26.195189666642793</v>
      </c>
      <c r="U29">
        <f t="shared" si="13"/>
        <v>27.414261290322582</v>
      </c>
      <c r="V29">
        <f t="shared" si="14"/>
        <v>3.6671730750853127</v>
      </c>
      <c r="W29">
        <f t="shared" si="15"/>
        <v>-1.3062244993348149</v>
      </c>
      <c r="X29">
        <f t="shared" si="16"/>
        <v>-4.7581942992456605E-2</v>
      </c>
      <c r="Y29">
        <f t="shared" si="17"/>
        <v>3.6427078972020013</v>
      </c>
      <c r="Z29">
        <f t="shared" si="18"/>
        <v>3.7147550180777693</v>
      </c>
      <c r="AA29">
        <f t="shared" si="19"/>
        <v>-155.24086920820034</v>
      </c>
      <c r="AB29">
        <f t="shared" si="20"/>
        <v>-14.723710562909197</v>
      </c>
      <c r="AC29">
        <f t="shared" si="21"/>
        <v>-1.3343158483223732</v>
      </c>
      <c r="AD29">
        <f t="shared" si="22"/>
        <v>-171.2988956194319</v>
      </c>
      <c r="AE29">
        <v>16</v>
      </c>
      <c r="AF29">
        <v>3</v>
      </c>
      <c r="AG29">
        <f t="shared" si="23"/>
        <v>1</v>
      </c>
      <c r="AH29">
        <f t="shared" si="24"/>
        <v>0</v>
      </c>
      <c r="AI29">
        <f t="shared" si="25"/>
        <v>25515.082386312464</v>
      </c>
      <c r="AJ29">
        <f t="shared" si="26"/>
        <v>0</v>
      </c>
      <c r="AK29">
        <f t="shared" si="27"/>
        <v>0</v>
      </c>
      <c r="AL29">
        <f t="shared" si="28"/>
        <v>0</v>
      </c>
      <c r="AM29">
        <f t="shared" si="29"/>
        <v>0</v>
      </c>
      <c r="AN29">
        <v>3</v>
      </c>
      <c r="AO29">
        <v>0.5</v>
      </c>
      <c r="AP29" t="s">
        <v>331</v>
      </c>
      <c r="AQ29">
        <v>2</v>
      </c>
      <c r="AR29">
        <v>1775481750.5</v>
      </c>
      <c r="AS29">
        <v>14.89629516129032</v>
      </c>
      <c r="AT29">
        <v>16.411741935483871</v>
      </c>
      <c r="AU29">
        <v>-0.47428580645161289</v>
      </c>
      <c r="AV29">
        <v>-2.5874425806451611</v>
      </c>
      <c r="AW29">
        <v>6.6852951612903233</v>
      </c>
      <c r="AX29">
        <v>0.51498516129032257</v>
      </c>
      <c r="AY29">
        <v>499.99187096774187</v>
      </c>
      <c r="AZ29">
        <v>100.2778709677419</v>
      </c>
      <c r="BA29">
        <v>4.5483316129032253E-2</v>
      </c>
      <c r="BB29">
        <v>27.299987096774188</v>
      </c>
      <c r="BC29">
        <v>27.414261290322582</v>
      </c>
      <c r="BD29">
        <v>999.90000000000032</v>
      </c>
      <c r="BE29">
        <v>0</v>
      </c>
      <c r="BF29">
        <v>0</v>
      </c>
      <c r="BG29">
        <v>4991</v>
      </c>
      <c r="BH29">
        <v>0.37328861290322579</v>
      </c>
      <c r="BI29">
        <v>0.23331922580645159</v>
      </c>
      <c r="BJ29">
        <v>-1.475920967741936</v>
      </c>
      <c r="BK29">
        <v>14.92873870967742</v>
      </c>
      <c r="BL29">
        <v>16.369393548387102</v>
      </c>
      <c r="BM29">
        <v>2.113156774193548</v>
      </c>
      <c r="BN29">
        <v>16.411741935483871</v>
      </c>
      <c r="BO29">
        <v>-2.5874425806451611</v>
      </c>
      <c r="BP29">
        <v>-4.7560364516129043E-2</v>
      </c>
      <c r="BQ29">
        <v>-0.25946319354838709</v>
      </c>
      <c r="BR29">
        <v>-99.900000000000034</v>
      </c>
      <c r="BS29">
        <v>-99.900000000000034</v>
      </c>
      <c r="BT29">
        <v>0</v>
      </c>
      <c r="BU29">
        <v>0</v>
      </c>
      <c r="BV29">
        <v>0</v>
      </c>
      <c r="BW29">
        <v>26</v>
      </c>
      <c r="BX29">
        <v>-1</v>
      </c>
      <c r="BY29">
        <v>1775481778.5</v>
      </c>
      <c r="BZ29" t="s">
        <v>372</v>
      </c>
      <c r="CA29">
        <v>1775481778.5</v>
      </c>
      <c r="CB29">
        <v>1775480969.5</v>
      </c>
      <c r="CC29">
        <v>14</v>
      </c>
      <c r="CD29">
        <v>-0.04</v>
      </c>
      <c r="CE29">
        <v>0.19500000000000001</v>
      </c>
      <c r="CF29">
        <v>8.2110000000000003</v>
      </c>
      <c r="CG29">
        <v>-0.98899999999999999</v>
      </c>
      <c r="CH29">
        <v>15</v>
      </c>
      <c r="CI29">
        <v>-3</v>
      </c>
      <c r="CJ29">
        <v>0.22</v>
      </c>
      <c r="CK29">
        <v>0.06</v>
      </c>
      <c r="CL29">
        <v>15.802804918032789</v>
      </c>
      <c r="CM29">
        <v>4.7833503966155559</v>
      </c>
      <c r="CN29">
        <v>0.72730685688653696</v>
      </c>
      <c r="CO29">
        <v>-1</v>
      </c>
      <c r="CP29">
        <v>499.99919672131148</v>
      </c>
      <c r="CQ29">
        <v>-1.649920676887387E-2</v>
      </c>
      <c r="CR29">
        <v>4.9157765316269503E-2</v>
      </c>
      <c r="CS29">
        <v>-1</v>
      </c>
      <c r="CT29">
        <v>0</v>
      </c>
      <c r="CU29">
        <v>0</v>
      </c>
      <c r="CV29" t="s">
        <v>333</v>
      </c>
      <c r="CW29">
        <v>3.1674500000000001</v>
      </c>
      <c r="CX29">
        <v>2.66675</v>
      </c>
      <c r="CY29">
        <v>2.1191299999999999E-3</v>
      </c>
      <c r="CZ29">
        <v>4.9204899999999996E-3</v>
      </c>
      <c r="DA29">
        <v>4.1950700000000004E-3</v>
      </c>
      <c r="DB29">
        <v>-2.52854E-2</v>
      </c>
      <c r="DC29">
        <v>21568</v>
      </c>
      <c r="DD29">
        <v>21859.8</v>
      </c>
      <c r="DE29">
        <v>23143.4</v>
      </c>
      <c r="DF29">
        <v>22320.400000000001</v>
      </c>
      <c r="DG29">
        <v>29716.1</v>
      </c>
      <c r="DH29">
        <v>27290.3</v>
      </c>
      <c r="DI29">
        <v>40669.4</v>
      </c>
      <c r="DJ29">
        <v>36991.800000000003</v>
      </c>
      <c r="DK29">
        <v>2.0859200000000002</v>
      </c>
      <c r="DL29">
        <v>1.8170200000000001</v>
      </c>
      <c r="DM29">
        <v>1.6480700000000001E-2</v>
      </c>
      <c r="DN29">
        <v>0</v>
      </c>
      <c r="DO29">
        <v>27.153500000000001</v>
      </c>
      <c r="DP29">
        <v>999.9</v>
      </c>
      <c r="DQ29">
        <v>81</v>
      </c>
      <c r="DR29">
        <v>27.4</v>
      </c>
      <c r="DS29">
        <v>29.596399999999999</v>
      </c>
      <c r="DT29">
        <v>30.88</v>
      </c>
      <c r="DU29">
        <v>9.4791600000000003</v>
      </c>
      <c r="DV29">
        <v>1</v>
      </c>
      <c r="DW29">
        <v>0.19600400000000001</v>
      </c>
      <c r="DX29">
        <v>-0.111137</v>
      </c>
      <c r="DY29">
        <v>20.367799999999999</v>
      </c>
      <c r="DZ29">
        <v>5.2121399999999998</v>
      </c>
      <c r="EA29">
        <v>11.8483</v>
      </c>
      <c r="EB29">
        <v>4.9678399999999998</v>
      </c>
      <c r="EC29">
        <v>3.2920799999999999</v>
      </c>
      <c r="ED29">
        <v>894.7</v>
      </c>
      <c r="EE29">
        <v>0</v>
      </c>
      <c r="EF29">
        <v>4421.8</v>
      </c>
      <c r="EG29">
        <v>109</v>
      </c>
      <c r="EH29">
        <v>4.9716399999999998</v>
      </c>
      <c r="EI29">
        <v>1.8717999999999999</v>
      </c>
      <c r="EJ29">
        <v>1.8689</v>
      </c>
      <c r="EK29">
        <v>1.87134</v>
      </c>
      <c r="EL29">
        <v>1.8690500000000001</v>
      </c>
      <c r="EM29">
        <v>1.86805</v>
      </c>
      <c r="EN29">
        <v>1.86981</v>
      </c>
      <c r="EO29">
        <v>1.87165</v>
      </c>
      <c r="EP29">
        <v>0</v>
      </c>
      <c r="EQ29">
        <v>0</v>
      </c>
      <c r="ER29">
        <v>0</v>
      </c>
      <c r="ES29">
        <v>0</v>
      </c>
      <c r="ET29" t="s">
        <v>334</v>
      </c>
      <c r="EU29" t="s">
        <v>335</v>
      </c>
      <c r="EV29" t="s">
        <v>336</v>
      </c>
      <c r="EW29" t="s">
        <v>336</v>
      </c>
      <c r="EX29" t="s">
        <v>336</v>
      </c>
      <c r="EY29" t="s">
        <v>336</v>
      </c>
      <c r="EZ29">
        <v>0</v>
      </c>
      <c r="FA29">
        <v>100</v>
      </c>
      <c r="FB29">
        <v>100</v>
      </c>
      <c r="FC29">
        <v>8.2110000000000003</v>
      </c>
      <c r="FD29">
        <v>-0.98929999999999996</v>
      </c>
      <c r="FE29">
        <v>8.250529499999999</v>
      </c>
      <c r="FF29">
        <v>0</v>
      </c>
      <c r="FG29">
        <v>0</v>
      </c>
      <c r="FH29">
        <v>0</v>
      </c>
      <c r="FI29">
        <v>-0.98927100000000023</v>
      </c>
      <c r="FJ29">
        <v>0</v>
      </c>
      <c r="FK29">
        <v>0</v>
      </c>
      <c r="FL29">
        <v>0</v>
      </c>
      <c r="FM29">
        <v>-1</v>
      </c>
      <c r="FN29">
        <v>-1</v>
      </c>
      <c r="FO29">
        <v>-1</v>
      </c>
      <c r="FP29">
        <v>-1</v>
      </c>
      <c r="FQ29">
        <v>0.7</v>
      </c>
      <c r="FR29">
        <v>13.2</v>
      </c>
      <c r="FS29">
        <v>0.144043</v>
      </c>
      <c r="FT29">
        <v>4.99756</v>
      </c>
      <c r="FU29">
        <v>1.5979000000000001</v>
      </c>
      <c r="FV29">
        <v>2.17041</v>
      </c>
      <c r="FW29">
        <v>1.5478499999999999</v>
      </c>
      <c r="FX29">
        <v>2.4377399999999998</v>
      </c>
      <c r="FY29">
        <v>32.222499999999997</v>
      </c>
      <c r="FZ29">
        <v>16.2072</v>
      </c>
      <c r="GA29">
        <v>3</v>
      </c>
      <c r="GB29">
        <v>494.56400000000002</v>
      </c>
      <c r="GC29">
        <v>413.05799999999999</v>
      </c>
      <c r="GD29">
        <v>27.828700000000001</v>
      </c>
      <c r="GE29">
        <v>29.6663</v>
      </c>
      <c r="GF29">
        <v>30.000499999999999</v>
      </c>
      <c r="GG29">
        <v>29.802800000000001</v>
      </c>
      <c r="GH29">
        <v>29.810600000000001</v>
      </c>
      <c r="GI29">
        <v>-1</v>
      </c>
      <c r="GJ29">
        <v>0</v>
      </c>
      <c r="GK29">
        <v>100</v>
      </c>
      <c r="GL29">
        <v>27.802</v>
      </c>
      <c r="GM29">
        <v>432.1</v>
      </c>
      <c r="GN29">
        <v>68.912800000000004</v>
      </c>
      <c r="GO29">
        <v>102.375</v>
      </c>
      <c r="GP29">
        <v>96.524199999999993</v>
      </c>
    </row>
    <row r="30" spans="1:198" x14ac:dyDescent="0.35">
      <c r="A30">
        <v>14</v>
      </c>
      <c r="B30">
        <v>1775481818.5</v>
      </c>
      <c r="C30">
        <v>780</v>
      </c>
      <c r="D30" t="s">
        <v>373</v>
      </c>
      <c r="E30" t="s">
        <v>374</v>
      </c>
      <c r="F30">
        <v>60</v>
      </c>
      <c r="G30">
        <v>1775481810.5</v>
      </c>
      <c r="H30">
        <f t="shared" si="0"/>
        <v>3.514644746581815E-3</v>
      </c>
      <c r="I30">
        <f t="shared" si="1"/>
        <v>3.5146447465818151</v>
      </c>
      <c r="J30">
        <f t="shared" si="2"/>
        <v>1.7629884884822407</v>
      </c>
      <c r="K30">
        <f t="shared" si="3"/>
        <v>14.036763870967739</v>
      </c>
      <c r="L30">
        <f t="shared" si="4"/>
        <v>-16.067930163187651</v>
      </c>
      <c r="M30">
        <f t="shared" si="5"/>
        <v>-1.6119879911183459</v>
      </c>
      <c r="N30">
        <f t="shared" si="6"/>
        <v>1.4082146589112985</v>
      </c>
      <c r="O30">
        <f t="shared" si="7"/>
        <v>9.5279542016433863E-2</v>
      </c>
      <c r="P30">
        <f t="shared" si="8"/>
        <v>2.3906405781388598</v>
      </c>
      <c r="Q30">
        <f t="shared" si="9"/>
        <v>9.32190961783355E-2</v>
      </c>
      <c r="R30">
        <f t="shared" si="10"/>
        <v>5.8443346825478214E-2</v>
      </c>
      <c r="S30">
        <f t="shared" si="11"/>
        <v>0</v>
      </c>
      <c r="T30">
        <f t="shared" si="12"/>
        <v>26.199459066522312</v>
      </c>
      <c r="U30">
        <f t="shared" si="13"/>
        <v>27.41512580645162</v>
      </c>
      <c r="V30">
        <f t="shared" si="14"/>
        <v>3.6673587061557833</v>
      </c>
      <c r="W30">
        <f t="shared" si="15"/>
        <v>-1.286932118310439</v>
      </c>
      <c r="X30">
        <f t="shared" si="16"/>
        <v>-4.6885275209491442E-2</v>
      </c>
      <c r="Y30">
        <f t="shared" si="17"/>
        <v>3.6431816831990504</v>
      </c>
      <c r="Z30">
        <f t="shared" si="18"/>
        <v>3.7142439813652746</v>
      </c>
      <c r="AA30">
        <f t="shared" si="19"/>
        <v>-154.99583332425803</v>
      </c>
      <c r="AB30">
        <f t="shared" si="20"/>
        <v>-14.55352238960139</v>
      </c>
      <c r="AC30">
        <f t="shared" si="21"/>
        <v>-1.3185164595916661</v>
      </c>
      <c r="AD30">
        <f t="shared" si="22"/>
        <v>-170.8678721734511</v>
      </c>
      <c r="AE30">
        <v>16</v>
      </c>
      <c r="AF30">
        <v>3</v>
      </c>
      <c r="AG30">
        <f t="shared" si="23"/>
        <v>1</v>
      </c>
      <c r="AH30">
        <f t="shared" si="24"/>
        <v>0</v>
      </c>
      <c r="AI30">
        <f t="shared" si="25"/>
        <v>25525.816251332017</v>
      </c>
      <c r="AJ30">
        <f t="shared" si="26"/>
        <v>0</v>
      </c>
      <c r="AK30">
        <f t="shared" si="27"/>
        <v>0</v>
      </c>
      <c r="AL30">
        <f t="shared" si="28"/>
        <v>0</v>
      </c>
      <c r="AM30">
        <f t="shared" si="29"/>
        <v>0</v>
      </c>
      <c r="AN30">
        <v>3</v>
      </c>
      <c r="AO30">
        <v>0.5</v>
      </c>
      <c r="AP30" t="s">
        <v>331</v>
      </c>
      <c r="AQ30">
        <v>2</v>
      </c>
      <c r="AR30">
        <v>1775481810.5</v>
      </c>
      <c r="AS30">
        <v>14.036763870967739</v>
      </c>
      <c r="AT30">
        <v>15.124148387096779</v>
      </c>
      <c r="AU30">
        <v>-0.46734177419354839</v>
      </c>
      <c r="AV30">
        <v>-2.577096451612904</v>
      </c>
      <c r="AW30">
        <v>5.8377638709677404</v>
      </c>
      <c r="AX30">
        <v>0.52192919354838718</v>
      </c>
      <c r="AY30">
        <v>500.00419354838721</v>
      </c>
      <c r="AZ30">
        <v>100.27806451612901</v>
      </c>
      <c r="BA30">
        <v>4.5248738709677418E-2</v>
      </c>
      <c r="BB30">
        <v>27.3022064516129</v>
      </c>
      <c r="BC30">
        <v>27.41512580645162</v>
      </c>
      <c r="BD30">
        <v>999.90000000000032</v>
      </c>
      <c r="BE30">
        <v>0</v>
      </c>
      <c r="BF30">
        <v>0</v>
      </c>
      <c r="BG30">
        <v>4992.8387096774204</v>
      </c>
      <c r="BH30">
        <v>0.37723051612903219</v>
      </c>
      <c r="BI30">
        <v>0.23331922580645159</v>
      </c>
      <c r="BJ30">
        <v>-1.075660612903226</v>
      </c>
      <c r="BK30">
        <v>14.04192258064516</v>
      </c>
      <c r="BL30">
        <v>15.085283870967739</v>
      </c>
      <c r="BM30">
        <v>2.1097535483870971</v>
      </c>
      <c r="BN30">
        <v>15.124148387096779</v>
      </c>
      <c r="BO30">
        <v>-2.577096451612904</v>
      </c>
      <c r="BP30">
        <v>-4.6864109677419351E-2</v>
      </c>
      <c r="BQ30">
        <v>-0.25842603225806449</v>
      </c>
      <c r="BR30">
        <v>-99.900000000000034</v>
      </c>
      <c r="BS30">
        <v>-99.900000000000034</v>
      </c>
      <c r="BT30">
        <v>0</v>
      </c>
      <c r="BU30">
        <v>0</v>
      </c>
      <c r="BV30">
        <v>0</v>
      </c>
      <c r="BW30">
        <v>26</v>
      </c>
      <c r="BX30">
        <v>-1</v>
      </c>
      <c r="BY30">
        <v>1775481835.5</v>
      </c>
      <c r="BZ30" t="s">
        <v>375</v>
      </c>
      <c r="CA30">
        <v>1775481835.5</v>
      </c>
      <c r="CB30">
        <v>1775480969.5</v>
      </c>
      <c r="CC30">
        <v>15</v>
      </c>
      <c r="CD30">
        <v>-1.0999999999999999E-2</v>
      </c>
      <c r="CE30">
        <v>0.19500000000000001</v>
      </c>
      <c r="CF30">
        <v>8.1989999999999998</v>
      </c>
      <c r="CG30">
        <v>-0.98899999999999999</v>
      </c>
      <c r="CH30">
        <v>15</v>
      </c>
      <c r="CI30">
        <v>-3</v>
      </c>
      <c r="CJ30">
        <v>0.16</v>
      </c>
      <c r="CK30">
        <v>0.06</v>
      </c>
      <c r="CL30">
        <v>15.05738333333333</v>
      </c>
      <c r="CM30">
        <v>0.28888424562379872</v>
      </c>
      <c r="CN30">
        <v>0.19469739269497721</v>
      </c>
      <c r="CO30">
        <v>-1</v>
      </c>
      <c r="CP30">
        <v>499.99966666666671</v>
      </c>
      <c r="CQ30">
        <v>5.2501250347510221E-2</v>
      </c>
      <c r="CR30">
        <v>5.9987683921139352E-2</v>
      </c>
      <c r="CS30">
        <v>-1</v>
      </c>
      <c r="CT30">
        <v>0</v>
      </c>
      <c r="CU30">
        <v>0</v>
      </c>
      <c r="CV30" t="s">
        <v>333</v>
      </c>
      <c r="CW30">
        <v>3.1674199999999999</v>
      </c>
      <c r="CX30">
        <v>2.66723</v>
      </c>
      <c r="CY30">
        <v>1.7830999999999999E-3</v>
      </c>
      <c r="CZ30">
        <v>4.5169800000000003E-3</v>
      </c>
      <c r="DA30">
        <v>4.1604500000000004E-3</v>
      </c>
      <c r="DB30">
        <v>-2.5131500000000001E-2</v>
      </c>
      <c r="DC30">
        <v>21572.400000000001</v>
      </c>
      <c r="DD30">
        <v>21867.599999999999</v>
      </c>
      <c r="DE30">
        <v>23140.7</v>
      </c>
      <c r="DF30">
        <v>22319.5</v>
      </c>
      <c r="DG30">
        <v>29713.9</v>
      </c>
      <c r="DH30">
        <v>27285</v>
      </c>
      <c r="DI30">
        <v>40665.1</v>
      </c>
      <c r="DJ30">
        <v>36990</v>
      </c>
      <c r="DK30">
        <v>2.0851199999999999</v>
      </c>
      <c r="DL30">
        <v>1.8155600000000001</v>
      </c>
      <c r="DM30">
        <v>1.5646199999999999E-2</v>
      </c>
      <c r="DN30">
        <v>0</v>
      </c>
      <c r="DO30">
        <v>27.164899999999999</v>
      </c>
      <c r="DP30">
        <v>999.9</v>
      </c>
      <c r="DQ30">
        <v>81</v>
      </c>
      <c r="DR30">
        <v>27.4</v>
      </c>
      <c r="DS30">
        <v>29.595300000000002</v>
      </c>
      <c r="DT30">
        <v>30.43</v>
      </c>
      <c r="DU30">
        <v>9.7636199999999995</v>
      </c>
      <c r="DV30">
        <v>1</v>
      </c>
      <c r="DW30">
        <v>0.201016</v>
      </c>
      <c r="DX30">
        <v>-3.7860600000000001E-2</v>
      </c>
      <c r="DY30">
        <v>20.3674</v>
      </c>
      <c r="DZ30">
        <v>5.2135800000000003</v>
      </c>
      <c r="EA30">
        <v>11.8483</v>
      </c>
      <c r="EB30">
        <v>4.968</v>
      </c>
      <c r="EC30">
        <v>3.29216</v>
      </c>
      <c r="ED30">
        <v>894.7</v>
      </c>
      <c r="EE30">
        <v>0</v>
      </c>
      <c r="EF30">
        <v>4444.5</v>
      </c>
      <c r="EG30">
        <v>109</v>
      </c>
      <c r="EH30">
        <v>4.9716199999999997</v>
      </c>
      <c r="EI30">
        <v>1.8717999999999999</v>
      </c>
      <c r="EJ30">
        <v>1.8689</v>
      </c>
      <c r="EK30">
        <v>1.87134</v>
      </c>
      <c r="EL30">
        <v>1.8690500000000001</v>
      </c>
      <c r="EM30">
        <v>1.86808</v>
      </c>
      <c r="EN30">
        <v>1.8698300000000001</v>
      </c>
      <c r="EO30">
        <v>1.87165</v>
      </c>
      <c r="EP30">
        <v>0</v>
      </c>
      <c r="EQ30">
        <v>0</v>
      </c>
      <c r="ER30">
        <v>0</v>
      </c>
      <c r="ES30">
        <v>0</v>
      </c>
      <c r="ET30" t="s">
        <v>334</v>
      </c>
      <c r="EU30" t="s">
        <v>335</v>
      </c>
      <c r="EV30" t="s">
        <v>336</v>
      </c>
      <c r="EW30" t="s">
        <v>336</v>
      </c>
      <c r="EX30" t="s">
        <v>336</v>
      </c>
      <c r="EY30" t="s">
        <v>336</v>
      </c>
      <c r="EZ30">
        <v>0</v>
      </c>
      <c r="FA30">
        <v>100</v>
      </c>
      <c r="FB30">
        <v>100</v>
      </c>
      <c r="FC30">
        <v>8.1989999999999998</v>
      </c>
      <c r="FD30">
        <v>-0.98929999999999996</v>
      </c>
      <c r="FE30">
        <v>8.2107234999999985</v>
      </c>
      <c r="FF30">
        <v>0</v>
      </c>
      <c r="FG30">
        <v>0</v>
      </c>
      <c r="FH30">
        <v>0</v>
      </c>
      <c r="FI30">
        <v>-0.98927100000000023</v>
      </c>
      <c r="FJ30">
        <v>0</v>
      </c>
      <c r="FK30">
        <v>0</v>
      </c>
      <c r="FL30">
        <v>0</v>
      </c>
      <c r="FM30">
        <v>-1</v>
      </c>
      <c r="FN30">
        <v>-1</v>
      </c>
      <c r="FO30">
        <v>-1</v>
      </c>
      <c r="FP30">
        <v>-1</v>
      </c>
      <c r="FQ30">
        <v>0.7</v>
      </c>
      <c r="FR30">
        <v>14.2</v>
      </c>
      <c r="FS30">
        <v>0.144043</v>
      </c>
      <c r="FT30">
        <v>4.99756</v>
      </c>
      <c r="FU30">
        <v>1.5979000000000001</v>
      </c>
      <c r="FV30">
        <v>2.16919</v>
      </c>
      <c r="FW30">
        <v>1.5478499999999999</v>
      </c>
      <c r="FX30">
        <v>2.2778299999999998</v>
      </c>
      <c r="FY30">
        <v>32.310699999999997</v>
      </c>
      <c r="FZ30">
        <v>16.189699999999998</v>
      </c>
      <c r="GA30">
        <v>3</v>
      </c>
      <c r="GB30">
        <v>494.74599999999998</v>
      </c>
      <c r="GC30">
        <v>412.80799999999999</v>
      </c>
      <c r="GD30">
        <v>27.748999999999999</v>
      </c>
      <c r="GE30">
        <v>29.731300000000001</v>
      </c>
      <c r="GF30">
        <v>30.000599999999999</v>
      </c>
      <c r="GG30">
        <v>29.886399999999998</v>
      </c>
      <c r="GH30">
        <v>29.8992</v>
      </c>
      <c r="GI30">
        <v>-1</v>
      </c>
      <c r="GJ30">
        <v>0</v>
      </c>
      <c r="GK30">
        <v>100</v>
      </c>
      <c r="GL30">
        <v>27.775600000000001</v>
      </c>
      <c r="GM30">
        <v>432.1</v>
      </c>
      <c r="GN30">
        <v>68.912800000000004</v>
      </c>
      <c r="GO30">
        <v>102.364</v>
      </c>
      <c r="GP30">
        <v>96.519800000000004</v>
      </c>
    </row>
    <row r="31" spans="1:198" x14ac:dyDescent="0.35">
      <c r="A31">
        <v>15</v>
      </c>
      <c r="B31">
        <v>1775481878.5</v>
      </c>
      <c r="C31">
        <v>840</v>
      </c>
      <c r="D31" t="s">
        <v>376</v>
      </c>
      <c r="E31" t="s">
        <v>377</v>
      </c>
      <c r="F31">
        <v>60</v>
      </c>
      <c r="G31">
        <v>1775481870.5</v>
      </c>
      <c r="H31">
        <f t="shared" si="0"/>
        <v>3.4983521454231311E-3</v>
      </c>
      <c r="I31">
        <f t="shared" si="1"/>
        <v>3.498352145423131</v>
      </c>
      <c r="J31">
        <f t="shared" si="2"/>
        <v>1.7066754339116934</v>
      </c>
      <c r="K31">
        <f t="shared" si="3"/>
        <v>13.9879764516129</v>
      </c>
      <c r="L31">
        <f t="shared" si="4"/>
        <v>-15.311437398222745</v>
      </c>
      <c r="M31">
        <f t="shared" si="5"/>
        <v>-1.5361066305436779</v>
      </c>
      <c r="N31">
        <f t="shared" si="6"/>
        <v>1.4033315629599534</v>
      </c>
      <c r="O31">
        <f t="shared" si="7"/>
        <v>9.4821877810288946E-2</v>
      </c>
      <c r="P31">
        <f t="shared" si="8"/>
        <v>2.3965726081750955</v>
      </c>
      <c r="Q31">
        <f t="shared" si="9"/>
        <v>9.2785885077284705E-2</v>
      </c>
      <c r="R31">
        <f t="shared" si="10"/>
        <v>5.8170462945977192E-2</v>
      </c>
      <c r="S31">
        <f t="shared" si="11"/>
        <v>0</v>
      </c>
      <c r="T31">
        <f t="shared" si="12"/>
        <v>26.206956265466921</v>
      </c>
      <c r="U31">
        <f t="shared" si="13"/>
        <v>27.417748387096779</v>
      </c>
      <c r="V31">
        <f t="shared" si="14"/>
        <v>3.6679218834197629</v>
      </c>
      <c r="W31">
        <f t="shared" si="15"/>
        <v>-1.2729600583669456</v>
      </c>
      <c r="X31">
        <f t="shared" si="16"/>
        <v>-4.6375958382508714E-2</v>
      </c>
      <c r="Y31">
        <f t="shared" si="17"/>
        <v>3.643158956770685</v>
      </c>
      <c r="Z31">
        <f t="shared" si="18"/>
        <v>3.7142978418022716</v>
      </c>
      <c r="AA31">
        <f t="shared" si="19"/>
        <v>-154.27732961316008</v>
      </c>
      <c r="AB31">
        <f t="shared" si="20"/>
        <v>-14.942236802982482</v>
      </c>
      <c r="AC31">
        <f t="shared" si="21"/>
        <v>-1.3503993045463965</v>
      </c>
      <c r="AD31">
        <f t="shared" si="22"/>
        <v>-170.56996572068894</v>
      </c>
      <c r="AE31">
        <v>16</v>
      </c>
      <c r="AF31">
        <v>3</v>
      </c>
      <c r="AG31">
        <f t="shared" si="23"/>
        <v>1</v>
      </c>
      <c r="AH31">
        <f t="shared" si="24"/>
        <v>0</v>
      </c>
      <c r="AI31">
        <f t="shared" si="25"/>
        <v>25616.016479164195</v>
      </c>
      <c r="AJ31">
        <f t="shared" si="26"/>
        <v>0</v>
      </c>
      <c r="AK31">
        <f t="shared" si="27"/>
        <v>0</v>
      </c>
      <c r="AL31">
        <f t="shared" si="28"/>
        <v>0</v>
      </c>
      <c r="AM31">
        <f t="shared" si="29"/>
        <v>0</v>
      </c>
      <c r="AN31">
        <v>3</v>
      </c>
      <c r="AO31">
        <v>0.5</v>
      </c>
      <c r="AP31" t="s">
        <v>331</v>
      </c>
      <c r="AQ31">
        <v>2</v>
      </c>
      <c r="AR31">
        <v>1775481870.5</v>
      </c>
      <c r="AS31">
        <v>13.9879764516129</v>
      </c>
      <c r="AT31">
        <v>15.041316129032261</v>
      </c>
      <c r="AU31">
        <v>-0.46226125806451612</v>
      </c>
      <c r="AV31">
        <v>-2.5621900000000002</v>
      </c>
      <c r="AW31">
        <v>5.8019764516129033</v>
      </c>
      <c r="AX31">
        <v>0.52700970967741934</v>
      </c>
      <c r="AY31">
        <v>500.01258064516128</v>
      </c>
      <c r="AZ31">
        <v>100.2783870967742</v>
      </c>
      <c r="BA31">
        <v>4.5742545161290317E-2</v>
      </c>
      <c r="BB31">
        <v>27.302099999999999</v>
      </c>
      <c r="BC31">
        <v>27.417748387096779</v>
      </c>
      <c r="BD31">
        <v>999.90000000000032</v>
      </c>
      <c r="BE31">
        <v>0</v>
      </c>
      <c r="BF31">
        <v>0</v>
      </c>
      <c r="BG31">
        <v>5008.0806451612907</v>
      </c>
      <c r="BH31">
        <v>0.38197919354838711</v>
      </c>
      <c r="BI31">
        <v>0.23331922580645159</v>
      </c>
      <c r="BJ31">
        <v>-1.040074161290323</v>
      </c>
      <c r="BK31">
        <v>13.994764516129029</v>
      </c>
      <c r="BL31">
        <v>15.00287096774194</v>
      </c>
      <c r="BM31">
        <v>2.099928387096774</v>
      </c>
      <c r="BN31">
        <v>15.041316129032261</v>
      </c>
      <c r="BO31">
        <v>-2.5621900000000002</v>
      </c>
      <c r="BP31">
        <v>-4.6354777419354842E-2</v>
      </c>
      <c r="BQ31">
        <v>-0.25693199999999999</v>
      </c>
      <c r="BR31">
        <v>-99.900000000000034</v>
      </c>
      <c r="BS31">
        <v>-99.900000000000034</v>
      </c>
      <c r="BT31">
        <v>0</v>
      </c>
      <c r="BU31">
        <v>0</v>
      </c>
      <c r="BV31">
        <v>0</v>
      </c>
      <c r="BW31">
        <v>26</v>
      </c>
      <c r="BX31">
        <v>-1</v>
      </c>
      <c r="BY31">
        <v>1775481899.5</v>
      </c>
      <c r="BZ31" t="s">
        <v>378</v>
      </c>
      <c r="CA31">
        <v>1775481899.5</v>
      </c>
      <c r="CB31">
        <v>1775480969.5</v>
      </c>
      <c r="CC31">
        <v>16</v>
      </c>
      <c r="CD31">
        <v>-1.2999999999999999E-2</v>
      </c>
      <c r="CE31">
        <v>0.19500000000000001</v>
      </c>
      <c r="CF31">
        <v>8.1859999999999999</v>
      </c>
      <c r="CG31">
        <v>-0.98899999999999999</v>
      </c>
      <c r="CH31">
        <v>15</v>
      </c>
      <c r="CI31">
        <v>-3</v>
      </c>
      <c r="CJ31">
        <v>0.39</v>
      </c>
      <c r="CK31">
        <v>0.06</v>
      </c>
      <c r="CL31">
        <v>14.99218524590164</v>
      </c>
      <c r="CM31">
        <v>0.39111242728716927</v>
      </c>
      <c r="CN31">
        <v>7.5450576236684441E-2</v>
      </c>
      <c r="CO31">
        <v>-1</v>
      </c>
      <c r="CP31">
        <v>499.99934426229498</v>
      </c>
      <c r="CQ31">
        <v>5.8667371760402813E-2</v>
      </c>
      <c r="CR31">
        <v>6.1195436786355022E-2</v>
      </c>
      <c r="CS31">
        <v>-1</v>
      </c>
      <c r="CT31">
        <v>0</v>
      </c>
      <c r="CU31">
        <v>0</v>
      </c>
      <c r="CV31" t="s">
        <v>333</v>
      </c>
      <c r="CW31">
        <v>3.16751</v>
      </c>
      <c r="CX31">
        <v>2.6662300000000001</v>
      </c>
      <c r="CY31">
        <v>1.7520299999999999E-3</v>
      </c>
      <c r="CZ31">
        <v>4.4760900000000003E-3</v>
      </c>
      <c r="DA31">
        <v>4.2652699999999998E-3</v>
      </c>
      <c r="DB31">
        <v>-2.4959100000000001E-2</v>
      </c>
      <c r="DC31">
        <v>21569.8</v>
      </c>
      <c r="DD31">
        <v>21867.1</v>
      </c>
      <c r="DE31">
        <v>23137.3</v>
      </c>
      <c r="DF31">
        <v>22318.2</v>
      </c>
      <c r="DG31">
        <v>29707</v>
      </c>
      <c r="DH31">
        <v>27278.6</v>
      </c>
      <c r="DI31">
        <v>40660.199999999997</v>
      </c>
      <c r="DJ31">
        <v>36987.5</v>
      </c>
      <c r="DK31">
        <v>2.0847000000000002</v>
      </c>
      <c r="DL31">
        <v>1.8142199999999999</v>
      </c>
      <c r="DM31">
        <v>1.4722300000000001E-2</v>
      </c>
      <c r="DN31">
        <v>0</v>
      </c>
      <c r="DO31">
        <v>27.177399999999999</v>
      </c>
      <c r="DP31">
        <v>999.9</v>
      </c>
      <c r="DQ31">
        <v>80.900000000000006</v>
      </c>
      <c r="DR31">
        <v>27.5</v>
      </c>
      <c r="DS31">
        <v>29.735600000000002</v>
      </c>
      <c r="DT31">
        <v>30.46</v>
      </c>
      <c r="DU31">
        <v>9.3870199999999997</v>
      </c>
      <c r="DV31">
        <v>1</v>
      </c>
      <c r="DW31">
        <v>0.20585800000000001</v>
      </c>
      <c r="DX31">
        <v>-2.8954199999999999E-2</v>
      </c>
      <c r="DY31">
        <v>20.3673</v>
      </c>
      <c r="DZ31">
        <v>5.2133399999999996</v>
      </c>
      <c r="EA31">
        <v>11.8482</v>
      </c>
      <c r="EB31">
        <v>4.9679599999999997</v>
      </c>
      <c r="EC31">
        <v>3.2921</v>
      </c>
      <c r="ED31">
        <v>894.7</v>
      </c>
      <c r="EE31">
        <v>0</v>
      </c>
      <c r="EF31">
        <v>4473.3</v>
      </c>
      <c r="EG31">
        <v>109.1</v>
      </c>
      <c r="EH31">
        <v>4.9716500000000003</v>
      </c>
      <c r="EI31">
        <v>1.8717999999999999</v>
      </c>
      <c r="EJ31">
        <v>1.8689</v>
      </c>
      <c r="EK31">
        <v>1.87134</v>
      </c>
      <c r="EL31">
        <v>1.8690500000000001</v>
      </c>
      <c r="EM31">
        <v>1.86808</v>
      </c>
      <c r="EN31">
        <v>1.8698399999999999</v>
      </c>
      <c r="EO31">
        <v>1.8716699999999999</v>
      </c>
      <c r="EP31">
        <v>0</v>
      </c>
      <c r="EQ31">
        <v>0</v>
      </c>
      <c r="ER31">
        <v>0</v>
      </c>
      <c r="ES31">
        <v>0</v>
      </c>
      <c r="ET31" t="s">
        <v>334</v>
      </c>
      <c r="EU31" t="s">
        <v>335</v>
      </c>
      <c r="EV31" t="s">
        <v>336</v>
      </c>
      <c r="EW31" t="s">
        <v>336</v>
      </c>
      <c r="EX31" t="s">
        <v>336</v>
      </c>
      <c r="EY31" t="s">
        <v>336</v>
      </c>
      <c r="EZ31">
        <v>0</v>
      </c>
      <c r="FA31">
        <v>100</v>
      </c>
      <c r="FB31">
        <v>100</v>
      </c>
      <c r="FC31">
        <v>8.1859999999999999</v>
      </c>
      <c r="FD31">
        <v>-0.98929999999999996</v>
      </c>
      <c r="FE31">
        <v>8.199264000000003</v>
      </c>
      <c r="FF31">
        <v>0</v>
      </c>
      <c r="FG31">
        <v>0</v>
      </c>
      <c r="FH31">
        <v>0</v>
      </c>
      <c r="FI31">
        <v>-0.98927100000000023</v>
      </c>
      <c r="FJ31">
        <v>0</v>
      </c>
      <c r="FK31">
        <v>0</v>
      </c>
      <c r="FL31">
        <v>0</v>
      </c>
      <c r="FM31">
        <v>-1</v>
      </c>
      <c r="FN31">
        <v>-1</v>
      </c>
      <c r="FO31">
        <v>-1</v>
      </c>
      <c r="FP31">
        <v>-1</v>
      </c>
      <c r="FQ31">
        <v>0.7</v>
      </c>
      <c r="FR31">
        <v>15.2</v>
      </c>
      <c r="FS31">
        <v>0.144043</v>
      </c>
      <c r="FT31">
        <v>4.99756</v>
      </c>
      <c r="FU31">
        <v>1.5979000000000001</v>
      </c>
      <c r="FV31">
        <v>2.16919</v>
      </c>
      <c r="FW31">
        <v>1.5478499999999999</v>
      </c>
      <c r="FX31">
        <v>2.4426299999999999</v>
      </c>
      <c r="FY31">
        <v>32.399099999999997</v>
      </c>
      <c r="FZ31">
        <v>16.198399999999999</v>
      </c>
      <c r="GA31">
        <v>3</v>
      </c>
      <c r="GB31">
        <v>495.089</v>
      </c>
      <c r="GC31">
        <v>412.57299999999998</v>
      </c>
      <c r="GD31">
        <v>27.769500000000001</v>
      </c>
      <c r="GE31">
        <v>29.790900000000001</v>
      </c>
      <c r="GF31">
        <v>30.000499999999999</v>
      </c>
      <c r="GG31">
        <v>29.962700000000002</v>
      </c>
      <c r="GH31">
        <v>29.98</v>
      </c>
      <c r="GI31">
        <v>-1</v>
      </c>
      <c r="GJ31">
        <v>0</v>
      </c>
      <c r="GK31">
        <v>100</v>
      </c>
      <c r="GL31">
        <v>27.765699999999999</v>
      </c>
      <c r="GM31">
        <v>432.1</v>
      </c>
      <c r="GN31">
        <v>68.912800000000004</v>
      </c>
      <c r="GO31">
        <v>102.35</v>
      </c>
      <c r="GP31">
        <v>96.513800000000003</v>
      </c>
    </row>
    <row r="32" spans="1:198" x14ac:dyDescent="0.35">
      <c r="A32">
        <v>16</v>
      </c>
      <c r="B32">
        <v>1775481938.5</v>
      </c>
      <c r="C32">
        <v>900</v>
      </c>
      <c r="D32" t="s">
        <v>379</v>
      </c>
      <c r="E32" t="s">
        <v>380</v>
      </c>
      <c r="F32">
        <v>60</v>
      </c>
      <c r="G32">
        <v>1775481930.5</v>
      </c>
      <c r="H32">
        <f t="shared" si="0"/>
        <v>3.4546216862970593E-3</v>
      </c>
      <c r="I32">
        <f t="shared" si="1"/>
        <v>3.4546216862970591</v>
      </c>
      <c r="J32">
        <f t="shared" si="2"/>
        <v>1.4247845998159636</v>
      </c>
      <c r="K32">
        <f t="shared" si="3"/>
        <v>14.30398129032258</v>
      </c>
      <c r="L32">
        <f t="shared" si="4"/>
        <v>-10.612679062269173</v>
      </c>
      <c r="M32">
        <f t="shared" si="5"/>
        <v>-1.0647197908061274</v>
      </c>
      <c r="N32">
        <f t="shared" si="6"/>
        <v>1.4350506481697605</v>
      </c>
      <c r="O32">
        <f t="shared" si="7"/>
        <v>9.3605782791264386E-2</v>
      </c>
      <c r="P32">
        <f t="shared" si="8"/>
        <v>2.396357571182012</v>
      </c>
      <c r="Q32">
        <f t="shared" si="9"/>
        <v>9.1620915634353081E-2</v>
      </c>
      <c r="R32">
        <f t="shared" si="10"/>
        <v>5.7437899217940486E-2</v>
      </c>
      <c r="S32">
        <f t="shared" si="11"/>
        <v>0</v>
      </c>
      <c r="T32">
        <f t="shared" si="12"/>
        <v>26.213744344608532</v>
      </c>
      <c r="U32">
        <f t="shared" si="13"/>
        <v>27.412561290322579</v>
      </c>
      <c r="V32">
        <f t="shared" si="14"/>
        <v>3.6668080707403465</v>
      </c>
      <c r="W32">
        <f t="shared" si="15"/>
        <v>-1.3122282000458074</v>
      </c>
      <c r="X32">
        <f t="shared" si="16"/>
        <v>-4.7787494401369819E-2</v>
      </c>
      <c r="Y32">
        <f t="shared" si="17"/>
        <v>3.6417060995718309</v>
      </c>
      <c r="Z32">
        <f t="shared" si="18"/>
        <v>3.7145955651417162</v>
      </c>
      <c r="AA32">
        <f t="shared" si="19"/>
        <v>-152.34881636570032</v>
      </c>
      <c r="AB32">
        <f t="shared" si="20"/>
        <v>-15.15010446826577</v>
      </c>
      <c r="AC32">
        <f t="shared" si="21"/>
        <v>-1.3692261213233723</v>
      </c>
      <c r="AD32">
        <f t="shared" si="22"/>
        <v>-168.86814695528946</v>
      </c>
      <c r="AE32">
        <v>16</v>
      </c>
      <c r="AF32">
        <v>3</v>
      </c>
      <c r="AG32">
        <f t="shared" si="23"/>
        <v>1</v>
      </c>
      <c r="AH32">
        <f t="shared" si="24"/>
        <v>0</v>
      </c>
      <c r="AI32">
        <f t="shared" si="25"/>
        <v>25613.266318867511</v>
      </c>
      <c r="AJ32">
        <f t="shared" si="26"/>
        <v>0</v>
      </c>
      <c r="AK32">
        <f t="shared" si="27"/>
        <v>0</v>
      </c>
      <c r="AL32">
        <f t="shared" si="28"/>
        <v>0</v>
      </c>
      <c r="AM32">
        <f t="shared" si="29"/>
        <v>0</v>
      </c>
      <c r="AN32">
        <v>3</v>
      </c>
      <c r="AO32">
        <v>0.5</v>
      </c>
      <c r="AP32" t="s">
        <v>331</v>
      </c>
      <c r="AQ32">
        <v>2</v>
      </c>
      <c r="AR32">
        <v>1775481930.5</v>
      </c>
      <c r="AS32">
        <v>14.30398129032258</v>
      </c>
      <c r="AT32">
        <v>15.188474193548389</v>
      </c>
      <c r="AU32">
        <v>-0.47632564516129028</v>
      </c>
      <c r="AV32">
        <v>-2.5500232258064521</v>
      </c>
      <c r="AW32">
        <v>6.0969812903225797</v>
      </c>
      <c r="AX32">
        <v>0.51294535483870962</v>
      </c>
      <c r="AY32">
        <v>500.01512903225807</v>
      </c>
      <c r="AZ32">
        <v>100.27990322580651</v>
      </c>
      <c r="BA32">
        <v>4.5357206451612897E-2</v>
      </c>
      <c r="BB32">
        <v>27.2952935483871</v>
      </c>
      <c r="BC32">
        <v>27.412561290322579</v>
      </c>
      <c r="BD32">
        <v>999.90000000000032</v>
      </c>
      <c r="BE32">
        <v>0</v>
      </c>
      <c r="BF32">
        <v>0</v>
      </c>
      <c r="BG32">
        <v>5007.4516129032254</v>
      </c>
      <c r="BH32">
        <v>0.40238541935483879</v>
      </c>
      <c r="BI32">
        <v>0.23331922580645159</v>
      </c>
      <c r="BJ32">
        <v>-0.90505619354838707</v>
      </c>
      <c r="BK32">
        <v>14.27662258064516</v>
      </c>
      <c r="BL32">
        <v>15.14982903225807</v>
      </c>
      <c r="BM32">
        <v>2.073697419354839</v>
      </c>
      <c r="BN32">
        <v>15.188474193548389</v>
      </c>
      <c r="BO32">
        <v>-2.5500232258064521</v>
      </c>
      <c r="BP32">
        <v>-4.7765896774193552E-2</v>
      </c>
      <c r="BQ32">
        <v>-0.2557161612903226</v>
      </c>
      <c r="BR32">
        <v>-99.900000000000034</v>
      </c>
      <c r="BS32">
        <v>-99.900000000000034</v>
      </c>
      <c r="BT32">
        <v>0</v>
      </c>
      <c r="BU32">
        <v>0</v>
      </c>
      <c r="BV32">
        <v>0</v>
      </c>
      <c r="BW32">
        <v>26</v>
      </c>
      <c r="BX32">
        <v>-1</v>
      </c>
      <c r="BY32">
        <v>1775481955</v>
      </c>
      <c r="BZ32" t="s">
        <v>381</v>
      </c>
      <c r="CA32">
        <v>1775481955</v>
      </c>
      <c r="CB32">
        <v>1775480969.5</v>
      </c>
      <c r="CC32">
        <v>17</v>
      </c>
      <c r="CD32">
        <v>2.1000000000000001E-2</v>
      </c>
      <c r="CE32">
        <v>0.19500000000000001</v>
      </c>
      <c r="CF32">
        <v>8.2070000000000007</v>
      </c>
      <c r="CG32">
        <v>-0.98899999999999999</v>
      </c>
      <c r="CH32">
        <v>15</v>
      </c>
      <c r="CI32">
        <v>-3</v>
      </c>
      <c r="CJ32">
        <v>0.3</v>
      </c>
      <c r="CK32">
        <v>0.06</v>
      </c>
      <c r="CL32">
        <v>15.25867166666667</v>
      </c>
      <c r="CM32">
        <v>-0.22077432620171511</v>
      </c>
      <c r="CN32">
        <v>0.27157039179045678</v>
      </c>
      <c r="CO32">
        <v>-1</v>
      </c>
      <c r="CP32">
        <v>500.01805000000002</v>
      </c>
      <c r="CQ32">
        <v>-8.8441233675075115E-2</v>
      </c>
      <c r="CR32">
        <v>9.7583882719774792E-2</v>
      </c>
      <c r="CS32">
        <v>-1</v>
      </c>
      <c r="CT32">
        <v>0</v>
      </c>
      <c r="CU32">
        <v>0</v>
      </c>
      <c r="CV32" t="s">
        <v>333</v>
      </c>
      <c r="CW32">
        <v>3.1675399999999998</v>
      </c>
      <c r="CX32">
        <v>2.6669</v>
      </c>
      <c r="CY32">
        <v>1.81504E-3</v>
      </c>
      <c r="CZ32">
        <v>4.6660399999999998E-3</v>
      </c>
      <c r="DA32">
        <v>4.0830099999999998E-3</v>
      </c>
      <c r="DB32">
        <v>-2.4801799999999999E-2</v>
      </c>
      <c r="DC32">
        <v>21566.1</v>
      </c>
      <c r="DD32">
        <v>21862</v>
      </c>
      <c r="DE32">
        <v>23135</v>
      </c>
      <c r="DF32">
        <v>22317.5</v>
      </c>
      <c r="DG32">
        <v>29709.599999999999</v>
      </c>
      <c r="DH32">
        <v>27273.3</v>
      </c>
      <c r="DI32">
        <v>40656.400000000001</v>
      </c>
      <c r="DJ32">
        <v>36985.800000000003</v>
      </c>
      <c r="DK32">
        <v>2.08412</v>
      </c>
      <c r="DL32">
        <v>1.8130200000000001</v>
      </c>
      <c r="DM32">
        <v>1.37985E-2</v>
      </c>
      <c r="DN32">
        <v>0</v>
      </c>
      <c r="DO32">
        <v>27.1904</v>
      </c>
      <c r="DP32">
        <v>999.9</v>
      </c>
      <c r="DQ32">
        <v>80.900000000000006</v>
      </c>
      <c r="DR32">
        <v>27.6</v>
      </c>
      <c r="DS32">
        <v>29.9053</v>
      </c>
      <c r="DT32">
        <v>30.34</v>
      </c>
      <c r="DU32">
        <v>9.6234000000000002</v>
      </c>
      <c r="DV32">
        <v>1</v>
      </c>
      <c r="DW32">
        <v>0.210289</v>
      </c>
      <c r="DX32">
        <v>-4.9718999999999999E-2</v>
      </c>
      <c r="DY32">
        <v>20.3673</v>
      </c>
      <c r="DZ32">
        <v>5.2135800000000003</v>
      </c>
      <c r="EA32">
        <v>11.8489</v>
      </c>
      <c r="EB32">
        <v>4.9679599999999997</v>
      </c>
      <c r="EC32">
        <v>3.2921800000000001</v>
      </c>
      <c r="ED32">
        <v>894.7</v>
      </c>
      <c r="EE32">
        <v>0</v>
      </c>
      <c r="EF32">
        <v>4501.1000000000004</v>
      </c>
      <c r="EG32">
        <v>109.1</v>
      </c>
      <c r="EH32">
        <v>4.9716199999999997</v>
      </c>
      <c r="EI32">
        <v>1.8717999999999999</v>
      </c>
      <c r="EJ32">
        <v>1.8689</v>
      </c>
      <c r="EK32">
        <v>1.87134</v>
      </c>
      <c r="EL32">
        <v>1.8690500000000001</v>
      </c>
      <c r="EM32">
        <v>1.8681099999999999</v>
      </c>
      <c r="EN32">
        <v>1.86992</v>
      </c>
      <c r="EO32">
        <v>1.8716699999999999</v>
      </c>
      <c r="EP32">
        <v>0</v>
      </c>
      <c r="EQ32">
        <v>0</v>
      </c>
      <c r="ER32">
        <v>0</v>
      </c>
      <c r="ES32">
        <v>0</v>
      </c>
      <c r="ET32" t="s">
        <v>334</v>
      </c>
      <c r="EU32" t="s">
        <v>335</v>
      </c>
      <c r="EV32" t="s">
        <v>336</v>
      </c>
      <c r="EW32" t="s">
        <v>336</v>
      </c>
      <c r="EX32" t="s">
        <v>336</v>
      </c>
      <c r="EY32" t="s">
        <v>336</v>
      </c>
      <c r="EZ32">
        <v>0</v>
      </c>
      <c r="FA32">
        <v>100</v>
      </c>
      <c r="FB32">
        <v>100</v>
      </c>
      <c r="FC32">
        <v>8.2070000000000007</v>
      </c>
      <c r="FD32">
        <v>-0.98929999999999996</v>
      </c>
      <c r="FE32">
        <v>8.1864284999999981</v>
      </c>
      <c r="FF32">
        <v>0</v>
      </c>
      <c r="FG32">
        <v>0</v>
      </c>
      <c r="FH32">
        <v>0</v>
      </c>
      <c r="FI32">
        <v>-0.98927100000000023</v>
      </c>
      <c r="FJ32">
        <v>0</v>
      </c>
      <c r="FK32">
        <v>0</v>
      </c>
      <c r="FL32">
        <v>0</v>
      </c>
      <c r="FM32">
        <v>-1</v>
      </c>
      <c r="FN32">
        <v>-1</v>
      </c>
      <c r="FO32">
        <v>-1</v>
      </c>
      <c r="FP32">
        <v>-1</v>
      </c>
      <c r="FQ32">
        <v>0.7</v>
      </c>
      <c r="FR32">
        <v>16.100000000000001</v>
      </c>
      <c r="FS32">
        <v>0.144043</v>
      </c>
      <c r="FT32">
        <v>4.99756</v>
      </c>
      <c r="FU32">
        <v>1.5979000000000001</v>
      </c>
      <c r="FV32">
        <v>2.16919</v>
      </c>
      <c r="FW32">
        <v>1.5478499999999999</v>
      </c>
      <c r="FX32">
        <v>2.4133300000000002</v>
      </c>
      <c r="FY32">
        <v>32.487499999999997</v>
      </c>
      <c r="FZ32">
        <v>16.189699999999998</v>
      </c>
      <c r="GA32">
        <v>3</v>
      </c>
      <c r="GB32">
        <v>495.28699999999998</v>
      </c>
      <c r="GC32">
        <v>412.35700000000003</v>
      </c>
      <c r="GD32">
        <v>27.7697</v>
      </c>
      <c r="GE32">
        <v>29.846900000000002</v>
      </c>
      <c r="GF32">
        <v>30.000399999999999</v>
      </c>
      <c r="GG32">
        <v>30.0321</v>
      </c>
      <c r="GH32">
        <v>30.051500000000001</v>
      </c>
      <c r="GI32">
        <v>-1</v>
      </c>
      <c r="GJ32">
        <v>0</v>
      </c>
      <c r="GK32">
        <v>100</v>
      </c>
      <c r="GL32">
        <v>27.773399999999999</v>
      </c>
      <c r="GM32">
        <v>432.1</v>
      </c>
      <c r="GN32">
        <v>68.912800000000004</v>
      </c>
      <c r="GO32">
        <v>102.34099999999999</v>
      </c>
      <c r="GP32">
        <v>96.509699999999995</v>
      </c>
    </row>
    <row r="33" spans="1:198" x14ac:dyDescent="0.35">
      <c r="A33">
        <v>17</v>
      </c>
      <c r="B33">
        <v>1775481998.5</v>
      </c>
      <c r="C33">
        <v>960</v>
      </c>
      <c r="D33" t="s">
        <v>382</v>
      </c>
      <c r="E33" t="s">
        <v>383</v>
      </c>
      <c r="F33">
        <v>60</v>
      </c>
      <c r="G33">
        <v>1775481990.75</v>
      </c>
      <c r="H33">
        <f t="shared" si="0"/>
        <v>3.4349213481267436E-3</v>
      </c>
      <c r="I33">
        <f t="shared" si="1"/>
        <v>3.4349213481267435</v>
      </c>
      <c r="J33">
        <f t="shared" si="2"/>
        <v>1.7201675215062149</v>
      </c>
      <c r="K33">
        <f t="shared" si="3"/>
        <v>14.268458000000001</v>
      </c>
      <c r="L33">
        <f t="shared" si="4"/>
        <v>-15.813507628777749</v>
      </c>
      <c r="M33">
        <f t="shared" si="5"/>
        <v>-1.5865098647633684</v>
      </c>
      <c r="N33">
        <f t="shared" si="6"/>
        <v>1.4315008348158271</v>
      </c>
      <c r="O33">
        <f t="shared" si="7"/>
        <v>9.303719868833478E-2</v>
      </c>
      <c r="P33">
        <f t="shared" si="8"/>
        <v>2.3944010654332342</v>
      </c>
      <c r="Q33">
        <f t="shared" si="9"/>
        <v>9.1074533214980935E-2</v>
      </c>
      <c r="R33">
        <f t="shared" si="10"/>
        <v>5.7094472506353189E-2</v>
      </c>
      <c r="S33">
        <f t="shared" si="11"/>
        <v>0</v>
      </c>
      <c r="T33">
        <f t="shared" si="12"/>
        <v>26.227149741998328</v>
      </c>
      <c r="U33">
        <f t="shared" si="13"/>
        <v>27.41775333333333</v>
      </c>
      <c r="V33">
        <f t="shared" si="14"/>
        <v>3.6679229456540083</v>
      </c>
      <c r="W33">
        <f t="shared" si="15"/>
        <v>-1.308149237347525</v>
      </c>
      <c r="X33">
        <f t="shared" si="16"/>
        <v>-4.7661391322569031E-2</v>
      </c>
      <c r="Y33">
        <f t="shared" si="17"/>
        <v>3.6434215578652083</v>
      </c>
      <c r="Z33">
        <f t="shared" si="18"/>
        <v>3.7155843369765775</v>
      </c>
      <c r="AA33">
        <f t="shared" si="19"/>
        <v>-151.4800314523894</v>
      </c>
      <c r="AB33">
        <f t="shared" si="20"/>
        <v>-14.770559136253057</v>
      </c>
      <c r="AC33">
        <f t="shared" si="21"/>
        <v>-1.3361028759353435</v>
      </c>
      <c r="AD33">
        <f t="shared" si="22"/>
        <v>-167.58669346457782</v>
      </c>
      <c r="AE33">
        <v>15</v>
      </c>
      <c r="AF33">
        <v>3</v>
      </c>
      <c r="AG33">
        <f t="shared" si="23"/>
        <v>1</v>
      </c>
      <c r="AH33">
        <f t="shared" si="24"/>
        <v>0</v>
      </c>
      <c r="AI33">
        <f t="shared" si="25"/>
        <v>25582.785768750487</v>
      </c>
      <c r="AJ33">
        <f t="shared" si="26"/>
        <v>0</v>
      </c>
      <c r="AK33">
        <f t="shared" si="27"/>
        <v>0</v>
      </c>
      <c r="AL33">
        <f t="shared" si="28"/>
        <v>0</v>
      </c>
      <c r="AM33">
        <f t="shared" si="29"/>
        <v>0</v>
      </c>
      <c r="AN33">
        <v>3</v>
      </c>
      <c r="AO33">
        <v>0.5</v>
      </c>
      <c r="AP33" t="s">
        <v>331</v>
      </c>
      <c r="AQ33">
        <v>2</v>
      </c>
      <c r="AR33">
        <v>1775481990.75</v>
      </c>
      <c r="AS33">
        <v>14.268458000000001</v>
      </c>
      <c r="AT33">
        <v>15.329976666666671</v>
      </c>
      <c r="AU33">
        <v>-0.47506403333333341</v>
      </c>
      <c r="AV33">
        <v>-2.537018333333334</v>
      </c>
      <c r="AW33">
        <v>6.0974579999999996</v>
      </c>
      <c r="AX33">
        <v>0.51420696666666676</v>
      </c>
      <c r="AY33">
        <v>499.99456666666663</v>
      </c>
      <c r="AZ33">
        <v>100.28093333333329</v>
      </c>
      <c r="BA33">
        <v>4.5313190000000003E-2</v>
      </c>
      <c r="BB33">
        <v>27.303329999999999</v>
      </c>
      <c r="BC33">
        <v>27.41775333333333</v>
      </c>
      <c r="BD33">
        <v>999.9000000000002</v>
      </c>
      <c r="BE33">
        <v>0</v>
      </c>
      <c r="BF33">
        <v>0</v>
      </c>
      <c r="BG33">
        <v>5002.3666666666668</v>
      </c>
      <c r="BH33">
        <v>0.3920732666666667</v>
      </c>
      <c r="BI33">
        <v>0.22961599999999999</v>
      </c>
      <c r="BJ33">
        <v>-1.0254796333333329</v>
      </c>
      <c r="BK33">
        <v>14.29770666666667</v>
      </c>
      <c r="BL33">
        <v>15.291180000000001</v>
      </c>
      <c r="BM33">
        <v>2.061955666666667</v>
      </c>
      <c r="BN33">
        <v>15.329976666666671</v>
      </c>
      <c r="BO33">
        <v>-2.537018333333334</v>
      </c>
      <c r="BP33">
        <v>-4.7639893333333343E-2</v>
      </c>
      <c r="BQ33">
        <v>-0.25441469999999999</v>
      </c>
      <c r="BR33">
        <v>-99.900000000000034</v>
      </c>
      <c r="BS33">
        <v>-99.900000000000034</v>
      </c>
      <c r="BT33">
        <v>0</v>
      </c>
      <c r="BU33">
        <v>0</v>
      </c>
      <c r="BV33">
        <v>0</v>
      </c>
      <c r="BW33">
        <v>26</v>
      </c>
      <c r="BX33">
        <v>-1</v>
      </c>
      <c r="BY33">
        <v>1775482015.5</v>
      </c>
      <c r="BZ33" t="s">
        <v>384</v>
      </c>
      <c r="CA33">
        <v>1775482015.5</v>
      </c>
      <c r="CB33">
        <v>1775480969.5</v>
      </c>
      <c r="CC33">
        <v>18</v>
      </c>
      <c r="CD33">
        <v>-3.5999999999999997E-2</v>
      </c>
      <c r="CE33">
        <v>0.19500000000000001</v>
      </c>
      <c r="CF33">
        <v>8.1709999999999994</v>
      </c>
      <c r="CG33">
        <v>-0.98899999999999999</v>
      </c>
      <c r="CH33">
        <v>16</v>
      </c>
      <c r="CI33">
        <v>-3</v>
      </c>
      <c r="CJ33">
        <v>0.24</v>
      </c>
      <c r="CK33">
        <v>0.06</v>
      </c>
      <c r="CL33">
        <v>15.222381666666671</v>
      </c>
      <c r="CM33">
        <v>0.90414948596831657</v>
      </c>
      <c r="CN33">
        <v>0.1624592610386438</v>
      </c>
      <c r="CO33">
        <v>-1</v>
      </c>
      <c r="CP33">
        <v>499.99734999999993</v>
      </c>
      <c r="CQ33">
        <v>-4.887691025162233E-2</v>
      </c>
      <c r="CR33">
        <v>5.7713899250239932E-2</v>
      </c>
      <c r="CS33">
        <v>-1</v>
      </c>
      <c r="CT33">
        <v>0</v>
      </c>
      <c r="CU33">
        <v>0</v>
      </c>
      <c r="CV33" t="s">
        <v>333</v>
      </c>
      <c r="CW33">
        <v>3.1675300000000002</v>
      </c>
      <c r="CX33">
        <v>2.6663600000000001</v>
      </c>
      <c r="CY33">
        <v>1.8344100000000001E-3</v>
      </c>
      <c r="CZ33">
        <v>4.5148699999999998E-3</v>
      </c>
      <c r="DA33">
        <v>4.13014E-3</v>
      </c>
      <c r="DB33">
        <v>-2.4644699999999999E-2</v>
      </c>
      <c r="DC33">
        <v>21563.4</v>
      </c>
      <c r="DD33">
        <v>21864.9</v>
      </c>
      <c r="DE33">
        <v>23132.799999999999</v>
      </c>
      <c r="DF33">
        <v>22317.200000000001</v>
      </c>
      <c r="DG33">
        <v>29705.599999999999</v>
      </c>
      <c r="DH33">
        <v>27268.6</v>
      </c>
      <c r="DI33">
        <v>40652.9</v>
      </c>
      <c r="DJ33">
        <v>36985.1</v>
      </c>
      <c r="DK33">
        <v>2.0836600000000001</v>
      </c>
      <c r="DL33">
        <v>1.8120000000000001</v>
      </c>
      <c r="DM33">
        <v>1.4510800000000001E-2</v>
      </c>
      <c r="DN33">
        <v>0</v>
      </c>
      <c r="DO33">
        <v>27.176500000000001</v>
      </c>
      <c r="DP33">
        <v>999.9</v>
      </c>
      <c r="DQ33">
        <v>80.900000000000006</v>
      </c>
      <c r="DR33">
        <v>27.6</v>
      </c>
      <c r="DS33">
        <v>29.908200000000001</v>
      </c>
      <c r="DT33">
        <v>30.22</v>
      </c>
      <c r="DU33">
        <v>9.7395899999999997</v>
      </c>
      <c r="DV33">
        <v>1</v>
      </c>
      <c r="DW33">
        <v>0.21371699999999999</v>
      </c>
      <c r="DX33">
        <v>-2.5433600000000001E-2</v>
      </c>
      <c r="DY33">
        <v>20.3674</v>
      </c>
      <c r="DZ33">
        <v>5.2135800000000003</v>
      </c>
      <c r="EA33">
        <v>11.8485</v>
      </c>
      <c r="EB33">
        <v>4.9678399999999998</v>
      </c>
      <c r="EC33">
        <v>3.2921</v>
      </c>
      <c r="ED33">
        <v>894.7</v>
      </c>
      <c r="EE33">
        <v>0</v>
      </c>
      <c r="EF33">
        <v>4529.3</v>
      </c>
      <c r="EG33">
        <v>109.1</v>
      </c>
      <c r="EH33">
        <v>4.9716100000000001</v>
      </c>
      <c r="EI33">
        <v>1.8717999999999999</v>
      </c>
      <c r="EJ33">
        <v>1.8689</v>
      </c>
      <c r="EK33">
        <v>1.87134</v>
      </c>
      <c r="EL33">
        <v>1.8690599999999999</v>
      </c>
      <c r="EM33">
        <v>1.8681000000000001</v>
      </c>
      <c r="EN33">
        <v>1.8698999999999999</v>
      </c>
      <c r="EO33">
        <v>1.87168</v>
      </c>
      <c r="EP33">
        <v>0</v>
      </c>
      <c r="EQ33">
        <v>0</v>
      </c>
      <c r="ER33">
        <v>0</v>
      </c>
      <c r="ES33">
        <v>0</v>
      </c>
      <c r="ET33" t="s">
        <v>334</v>
      </c>
      <c r="EU33" t="s">
        <v>335</v>
      </c>
      <c r="EV33" t="s">
        <v>336</v>
      </c>
      <c r="EW33" t="s">
        <v>336</v>
      </c>
      <c r="EX33" t="s">
        <v>336</v>
      </c>
      <c r="EY33" t="s">
        <v>336</v>
      </c>
      <c r="EZ33">
        <v>0</v>
      </c>
      <c r="FA33">
        <v>100</v>
      </c>
      <c r="FB33">
        <v>100</v>
      </c>
      <c r="FC33">
        <v>8.1709999999999994</v>
      </c>
      <c r="FD33">
        <v>-0.98929999999999996</v>
      </c>
      <c r="FE33">
        <v>8.2070319047619016</v>
      </c>
      <c r="FF33">
        <v>0</v>
      </c>
      <c r="FG33">
        <v>0</v>
      </c>
      <c r="FH33">
        <v>0</v>
      </c>
      <c r="FI33">
        <v>-0.98927100000000023</v>
      </c>
      <c r="FJ33">
        <v>0</v>
      </c>
      <c r="FK33">
        <v>0</v>
      </c>
      <c r="FL33">
        <v>0</v>
      </c>
      <c r="FM33">
        <v>-1</v>
      </c>
      <c r="FN33">
        <v>-1</v>
      </c>
      <c r="FO33">
        <v>-1</v>
      </c>
      <c r="FP33">
        <v>-1</v>
      </c>
      <c r="FQ33">
        <v>0.7</v>
      </c>
      <c r="FR33">
        <v>17.100000000000001</v>
      </c>
      <c r="FS33">
        <v>0.144043</v>
      </c>
      <c r="FT33">
        <v>4.99756</v>
      </c>
      <c r="FU33">
        <v>1.5979000000000001</v>
      </c>
      <c r="FV33">
        <v>2.16919</v>
      </c>
      <c r="FW33">
        <v>1.5478499999999999</v>
      </c>
      <c r="FX33">
        <v>2.3986800000000001</v>
      </c>
      <c r="FY33">
        <v>32.553899999999999</v>
      </c>
      <c r="FZ33">
        <v>16.180900000000001</v>
      </c>
      <c r="GA33">
        <v>3</v>
      </c>
      <c r="GB33">
        <v>495.471</v>
      </c>
      <c r="GC33">
        <v>412.17899999999997</v>
      </c>
      <c r="GD33">
        <v>27.776299999999999</v>
      </c>
      <c r="GE33">
        <v>29.893799999999999</v>
      </c>
      <c r="GF33">
        <v>30.000299999999999</v>
      </c>
      <c r="GG33">
        <v>30.090800000000002</v>
      </c>
      <c r="GH33">
        <v>30.113399999999999</v>
      </c>
      <c r="GI33">
        <v>-1</v>
      </c>
      <c r="GJ33">
        <v>0</v>
      </c>
      <c r="GK33">
        <v>100</v>
      </c>
      <c r="GL33">
        <v>27.774999999999999</v>
      </c>
      <c r="GM33">
        <v>432.1</v>
      </c>
      <c r="GN33">
        <v>68.912800000000004</v>
      </c>
      <c r="GO33">
        <v>102.33199999999999</v>
      </c>
      <c r="GP33">
        <v>96.508099999999999</v>
      </c>
    </row>
    <row r="34" spans="1:198" x14ac:dyDescent="0.35">
      <c r="A34">
        <v>18</v>
      </c>
      <c r="B34">
        <v>1775482058.5</v>
      </c>
      <c r="C34">
        <v>1020</v>
      </c>
      <c r="D34" t="s">
        <v>385</v>
      </c>
      <c r="E34" t="s">
        <v>386</v>
      </c>
      <c r="F34">
        <v>60</v>
      </c>
      <c r="G34">
        <v>1775482050.5</v>
      </c>
      <c r="H34">
        <f t="shared" si="0"/>
        <v>3.4333127605747798E-3</v>
      </c>
      <c r="I34">
        <f t="shared" si="1"/>
        <v>3.43331276057478</v>
      </c>
      <c r="J34">
        <f t="shared" si="2"/>
        <v>1.1472332799644527</v>
      </c>
      <c r="K34">
        <f t="shared" si="3"/>
        <v>12.953524516129031</v>
      </c>
      <c r="L34">
        <f t="shared" si="4"/>
        <v>-7.3154949861441265</v>
      </c>
      <c r="M34">
        <f t="shared" si="5"/>
        <v>-0.7339363745549321</v>
      </c>
      <c r="N34">
        <f t="shared" si="6"/>
        <v>1.2995788855139636</v>
      </c>
      <c r="O34">
        <f t="shared" si="7"/>
        <v>9.3008009760175883E-2</v>
      </c>
      <c r="P34">
        <f t="shared" si="8"/>
        <v>2.3966183044009508</v>
      </c>
      <c r="Q34">
        <f t="shared" si="9"/>
        <v>9.1048335054284169E-2</v>
      </c>
      <c r="R34">
        <f t="shared" si="10"/>
        <v>5.7077839369566105E-2</v>
      </c>
      <c r="S34">
        <f t="shared" si="11"/>
        <v>0</v>
      </c>
      <c r="T34">
        <f t="shared" si="12"/>
        <v>26.230686719014052</v>
      </c>
      <c r="U34">
        <f t="shared" si="13"/>
        <v>27.41993225806452</v>
      </c>
      <c r="V34">
        <f t="shared" si="14"/>
        <v>3.6683909090415772</v>
      </c>
      <c r="W34">
        <f t="shared" si="15"/>
        <v>-1.2759030283524908</v>
      </c>
      <c r="X34">
        <f t="shared" si="16"/>
        <v>-4.6492296999410175E-2</v>
      </c>
      <c r="Y34">
        <f t="shared" si="17"/>
        <v>3.6438738655118117</v>
      </c>
      <c r="Z34">
        <f t="shared" si="18"/>
        <v>3.7148832060409873</v>
      </c>
      <c r="AA34">
        <f t="shared" si="19"/>
        <v>-151.40909274134779</v>
      </c>
      <c r="AB34">
        <f t="shared" si="20"/>
        <v>-14.792058674494442</v>
      </c>
      <c r="AC34">
        <f t="shared" si="21"/>
        <v>-1.3368384533841904</v>
      </c>
      <c r="AD34">
        <f t="shared" si="22"/>
        <v>-167.53798986922641</v>
      </c>
      <c r="AE34">
        <v>15</v>
      </c>
      <c r="AF34">
        <v>3</v>
      </c>
      <c r="AG34">
        <f t="shared" si="23"/>
        <v>1</v>
      </c>
      <c r="AH34">
        <f t="shared" si="24"/>
        <v>0</v>
      </c>
      <c r="AI34">
        <f t="shared" si="25"/>
        <v>25616.319466580368</v>
      </c>
      <c r="AJ34">
        <f t="shared" si="26"/>
        <v>0</v>
      </c>
      <c r="AK34">
        <f t="shared" si="27"/>
        <v>0</v>
      </c>
      <c r="AL34">
        <f t="shared" si="28"/>
        <v>0</v>
      </c>
      <c r="AM34">
        <f t="shared" si="29"/>
        <v>0</v>
      </c>
      <c r="AN34">
        <v>3</v>
      </c>
      <c r="AO34">
        <v>0.5</v>
      </c>
      <c r="AP34" t="s">
        <v>331</v>
      </c>
      <c r="AQ34">
        <v>2</v>
      </c>
      <c r="AR34">
        <v>1775482050.5</v>
      </c>
      <c r="AS34">
        <v>12.953524516129031</v>
      </c>
      <c r="AT34">
        <v>13.66853548387097</v>
      </c>
      <c r="AU34">
        <v>-0.46341096774193552</v>
      </c>
      <c r="AV34">
        <v>-2.5243154838709678</v>
      </c>
      <c r="AW34">
        <v>4.7515245161290318</v>
      </c>
      <c r="AX34">
        <v>0.52586003225806455</v>
      </c>
      <c r="AY34">
        <v>500.0091612903226</v>
      </c>
      <c r="AZ34">
        <v>100.28106451612901</v>
      </c>
      <c r="BA34">
        <v>4.5212235483870961E-2</v>
      </c>
      <c r="BB34">
        <v>27.305448387096781</v>
      </c>
      <c r="BC34">
        <v>27.41993225806452</v>
      </c>
      <c r="BD34">
        <v>999.90000000000032</v>
      </c>
      <c r="BE34">
        <v>0</v>
      </c>
      <c r="BF34">
        <v>0</v>
      </c>
      <c r="BG34">
        <v>5008.0645161290322</v>
      </c>
      <c r="BH34">
        <v>0.4184143225806452</v>
      </c>
      <c r="BI34">
        <v>0.23331922580645159</v>
      </c>
      <c r="BJ34">
        <v>-0.74632654838709689</v>
      </c>
      <c r="BK34">
        <v>12.91622258064516</v>
      </c>
      <c r="BL34">
        <v>13.63412258064516</v>
      </c>
      <c r="BM34">
        <v>2.0609041935483869</v>
      </c>
      <c r="BN34">
        <v>13.66853548387097</v>
      </c>
      <c r="BO34">
        <v>-2.5243154838709678</v>
      </c>
      <c r="BP34">
        <v>-4.6471374193548388E-2</v>
      </c>
      <c r="BQ34">
        <v>-0.25314125806451621</v>
      </c>
      <c r="BR34">
        <v>-99.900000000000034</v>
      </c>
      <c r="BS34">
        <v>-99.900000000000034</v>
      </c>
      <c r="BT34">
        <v>0</v>
      </c>
      <c r="BU34">
        <v>0</v>
      </c>
      <c r="BV34">
        <v>0</v>
      </c>
      <c r="BW34">
        <v>26</v>
      </c>
      <c r="BX34">
        <v>-0.99139793548387123</v>
      </c>
      <c r="BY34">
        <v>1775482075.5</v>
      </c>
      <c r="BZ34" t="s">
        <v>387</v>
      </c>
      <c r="CA34">
        <v>1775482075.5</v>
      </c>
      <c r="CB34">
        <v>1775480969.5</v>
      </c>
      <c r="CC34">
        <v>19</v>
      </c>
      <c r="CD34">
        <v>3.1E-2</v>
      </c>
      <c r="CE34">
        <v>0.19500000000000001</v>
      </c>
      <c r="CF34">
        <v>8.202</v>
      </c>
      <c r="CG34">
        <v>-0.98899999999999999</v>
      </c>
      <c r="CH34">
        <v>16</v>
      </c>
      <c r="CI34">
        <v>-3</v>
      </c>
      <c r="CJ34">
        <v>0.22</v>
      </c>
      <c r="CK34">
        <v>0.06</v>
      </c>
      <c r="CL34">
        <v>13.964777049180331</v>
      </c>
      <c r="CM34">
        <v>-2.2733749338974252</v>
      </c>
      <c r="CN34">
        <v>0.46708213740178223</v>
      </c>
      <c r="CO34">
        <v>-1</v>
      </c>
      <c r="CP34">
        <v>499.99011475409827</v>
      </c>
      <c r="CQ34">
        <v>0.1158878900049584</v>
      </c>
      <c r="CR34">
        <v>5.1734219376032217E-2</v>
      </c>
      <c r="CS34">
        <v>-1</v>
      </c>
      <c r="CT34">
        <v>0</v>
      </c>
      <c r="CU34">
        <v>0</v>
      </c>
      <c r="CV34" t="s">
        <v>333</v>
      </c>
      <c r="CW34">
        <v>3.1674799999999999</v>
      </c>
      <c r="CX34">
        <v>2.6665000000000001</v>
      </c>
      <c r="CY34">
        <v>1.4012899999999999E-3</v>
      </c>
      <c r="CZ34">
        <v>4.2684200000000002E-3</v>
      </c>
      <c r="DA34">
        <v>4.2187500000000003E-3</v>
      </c>
      <c r="DB34">
        <v>-2.4485699999999999E-2</v>
      </c>
      <c r="DC34">
        <v>21570.5</v>
      </c>
      <c r="DD34">
        <v>21869.5</v>
      </c>
      <c r="DE34">
        <v>23130.6</v>
      </c>
      <c r="DF34">
        <v>22316.400000000001</v>
      </c>
      <c r="DG34">
        <v>29700.3</v>
      </c>
      <c r="DH34">
        <v>27263.3</v>
      </c>
      <c r="DI34">
        <v>40649.4</v>
      </c>
      <c r="DJ34">
        <v>36983.599999999999</v>
      </c>
      <c r="DK34">
        <v>2.08304</v>
      </c>
      <c r="DL34">
        <v>1.81108</v>
      </c>
      <c r="DM34">
        <v>1.4498799999999999E-2</v>
      </c>
      <c r="DN34">
        <v>0</v>
      </c>
      <c r="DO34">
        <v>27.1829</v>
      </c>
      <c r="DP34">
        <v>999.9</v>
      </c>
      <c r="DQ34">
        <v>80.8</v>
      </c>
      <c r="DR34">
        <v>27.7</v>
      </c>
      <c r="DS34">
        <v>30.044699999999999</v>
      </c>
      <c r="DT34">
        <v>30.34</v>
      </c>
      <c r="DU34">
        <v>9.6834900000000008</v>
      </c>
      <c r="DV34">
        <v>1</v>
      </c>
      <c r="DW34">
        <v>0.217142</v>
      </c>
      <c r="DX34">
        <v>1.9727700000000001E-2</v>
      </c>
      <c r="DY34">
        <v>20.3675</v>
      </c>
      <c r="DZ34">
        <v>5.21394</v>
      </c>
      <c r="EA34">
        <v>11.8482</v>
      </c>
      <c r="EB34">
        <v>4.968</v>
      </c>
      <c r="EC34">
        <v>3.2921399999999998</v>
      </c>
      <c r="ED34">
        <v>894.7</v>
      </c>
      <c r="EE34">
        <v>0</v>
      </c>
      <c r="EF34">
        <v>4552.8999999999996</v>
      </c>
      <c r="EG34">
        <v>109.1</v>
      </c>
      <c r="EH34">
        <v>4.97166</v>
      </c>
      <c r="EI34">
        <v>1.8717999999999999</v>
      </c>
      <c r="EJ34">
        <v>1.8689</v>
      </c>
      <c r="EK34">
        <v>1.87134</v>
      </c>
      <c r="EL34">
        <v>1.8690500000000001</v>
      </c>
      <c r="EM34">
        <v>1.86812</v>
      </c>
      <c r="EN34">
        <v>1.8698999999999999</v>
      </c>
      <c r="EO34">
        <v>1.8716900000000001</v>
      </c>
      <c r="EP34">
        <v>0</v>
      </c>
      <c r="EQ34">
        <v>0</v>
      </c>
      <c r="ER34">
        <v>0</v>
      </c>
      <c r="ES34">
        <v>0</v>
      </c>
      <c r="ET34" t="s">
        <v>334</v>
      </c>
      <c r="EU34" t="s">
        <v>335</v>
      </c>
      <c r="EV34" t="s">
        <v>336</v>
      </c>
      <c r="EW34" t="s">
        <v>336</v>
      </c>
      <c r="EX34" t="s">
        <v>336</v>
      </c>
      <c r="EY34" t="s">
        <v>336</v>
      </c>
      <c r="EZ34">
        <v>0</v>
      </c>
      <c r="FA34">
        <v>100</v>
      </c>
      <c r="FB34">
        <v>100</v>
      </c>
      <c r="FC34">
        <v>8.202</v>
      </c>
      <c r="FD34">
        <v>-0.98929999999999996</v>
      </c>
      <c r="FE34">
        <v>8.1706879999999984</v>
      </c>
      <c r="FF34">
        <v>0</v>
      </c>
      <c r="FG34">
        <v>0</v>
      </c>
      <c r="FH34">
        <v>0</v>
      </c>
      <c r="FI34">
        <v>-0.98927100000000023</v>
      </c>
      <c r="FJ34">
        <v>0</v>
      </c>
      <c r="FK34">
        <v>0</v>
      </c>
      <c r="FL34">
        <v>0</v>
      </c>
      <c r="FM34">
        <v>-1</v>
      </c>
      <c r="FN34">
        <v>-1</v>
      </c>
      <c r="FO34">
        <v>-1</v>
      </c>
      <c r="FP34">
        <v>-1</v>
      </c>
      <c r="FQ34">
        <v>0.7</v>
      </c>
      <c r="FR34">
        <v>18.100000000000001</v>
      </c>
      <c r="FS34">
        <v>0.144043</v>
      </c>
      <c r="FT34">
        <v>4.99756</v>
      </c>
      <c r="FU34">
        <v>1.5979000000000001</v>
      </c>
      <c r="FV34">
        <v>2.16675</v>
      </c>
      <c r="FW34">
        <v>1.5478499999999999</v>
      </c>
      <c r="FX34">
        <v>2.4182100000000002</v>
      </c>
      <c r="FY34">
        <v>32.620399999999997</v>
      </c>
      <c r="FZ34">
        <v>16.180900000000001</v>
      </c>
      <c r="GA34">
        <v>3</v>
      </c>
      <c r="GB34">
        <v>495.53</v>
      </c>
      <c r="GC34">
        <v>412.03699999999998</v>
      </c>
      <c r="GD34">
        <v>27.755199999999999</v>
      </c>
      <c r="GE34">
        <v>29.936199999999999</v>
      </c>
      <c r="GF34">
        <v>30.000399999999999</v>
      </c>
      <c r="GG34">
        <v>30.145199999999999</v>
      </c>
      <c r="GH34">
        <v>30.171900000000001</v>
      </c>
      <c r="GI34">
        <v>-1</v>
      </c>
      <c r="GJ34">
        <v>0</v>
      </c>
      <c r="GK34">
        <v>100</v>
      </c>
      <c r="GL34">
        <v>27.749500000000001</v>
      </c>
      <c r="GM34">
        <v>432.1</v>
      </c>
      <c r="GN34">
        <v>68.912800000000004</v>
      </c>
      <c r="GO34">
        <v>102.322</v>
      </c>
      <c r="GP34">
        <v>96.504400000000004</v>
      </c>
    </row>
    <row r="35" spans="1:198" x14ac:dyDescent="0.35">
      <c r="A35">
        <v>19</v>
      </c>
      <c r="B35">
        <v>1775482118.5</v>
      </c>
      <c r="C35">
        <v>1080</v>
      </c>
      <c r="D35" t="s">
        <v>388</v>
      </c>
      <c r="E35" t="s">
        <v>389</v>
      </c>
      <c r="F35">
        <v>60</v>
      </c>
      <c r="G35">
        <v>1775482110.5</v>
      </c>
      <c r="H35">
        <f t="shared" si="0"/>
        <v>3.3882333589997436E-3</v>
      </c>
      <c r="I35">
        <f t="shared" si="1"/>
        <v>3.3882333589997438</v>
      </c>
      <c r="J35">
        <f t="shared" si="2"/>
        <v>1.891104418335479</v>
      </c>
      <c r="K35">
        <f t="shared" si="3"/>
        <v>14.48055580645161</v>
      </c>
      <c r="L35">
        <f t="shared" si="4"/>
        <v>-18.966416248786704</v>
      </c>
      <c r="M35">
        <f t="shared" si="5"/>
        <v>-1.9028166570855292</v>
      </c>
      <c r="N35">
        <f t="shared" si="6"/>
        <v>1.4527701190853777</v>
      </c>
      <c r="O35">
        <f t="shared" si="7"/>
        <v>9.1741573225307738E-2</v>
      </c>
      <c r="P35">
        <f t="shared" si="8"/>
        <v>2.3934290012403929</v>
      </c>
      <c r="Q35">
        <f t="shared" si="9"/>
        <v>8.983182860217101E-2</v>
      </c>
      <c r="R35">
        <f t="shared" si="10"/>
        <v>5.6313164738128349E-2</v>
      </c>
      <c r="S35">
        <f t="shared" si="11"/>
        <v>0</v>
      </c>
      <c r="T35">
        <f t="shared" si="12"/>
        <v>26.235882623278179</v>
      </c>
      <c r="U35">
        <f t="shared" si="13"/>
        <v>27.416219354838709</v>
      </c>
      <c r="V35">
        <f t="shared" si="14"/>
        <v>3.6675935273540961</v>
      </c>
      <c r="W35">
        <f t="shared" si="15"/>
        <v>-1.3228178886107498</v>
      </c>
      <c r="X35">
        <f t="shared" si="16"/>
        <v>-4.8180316346427415E-2</v>
      </c>
      <c r="Y35">
        <f t="shared" si="17"/>
        <v>3.6422486240360237</v>
      </c>
      <c r="Z35">
        <f t="shared" si="18"/>
        <v>3.7157738437005237</v>
      </c>
      <c r="AA35">
        <f t="shared" si="19"/>
        <v>-149.42109113188869</v>
      </c>
      <c r="AB35">
        <f t="shared" si="20"/>
        <v>-15.275608844552981</v>
      </c>
      <c r="AC35">
        <f t="shared" si="21"/>
        <v>-1.3823009206840067</v>
      </c>
      <c r="AD35">
        <f t="shared" si="22"/>
        <v>-166.07900089712567</v>
      </c>
      <c r="AE35">
        <v>15</v>
      </c>
      <c r="AF35">
        <v>3</v>
      </c>
      <c r="AG35">
        <f t="shared" si="23"/>
        <v>1</v>
      </c>
      <c r="AH35">
        <f t="shared" si="24"/>
        <v>0</v>
      </c>
      <c r="AI35">
        <f t="shared" si="25"/>
        <v>25568.501304663281</v>
      </c>
      <c r="AJ35">
        <f t="shared" si="26"/>
        <v>0</v>
      </c>
      <c r="AK35">
        <f t="shared" si="27"/>
        <v>0</v>
      </c>
      <c r="AL35">
        <f t="shared" si="28"/>
        <v>0</v>
      </c>
      <c r="AM35">
        <f t="shared" si="29"/>
        <v>0</v>
      </c>
      <c r="AN35">
        <v>3</v>
      </c>
      <c r="AO35">
        <v>0.5</v>
      </c>
      <c r="AP35" t="s">
        <v>331</v>
      </c>
      <c r="AQ35">
        <v>2</v>
      </c>
      <c r="AR35">
        <v>1775482110.5</v>
      </c>
      <c r="AS35">
        <v>14.48055580645161</v>
      </c>
      <c r="AT35">
        <v>15.644661290322579</v>
      </c>
      <c r="AU35">
        <v>-0.48023961290322581</v>
      </c>
      <c r="AV35">
        <v>-2.5141641935483872</v>
      </c>
      <c r="AW35">
        <v>6.3305558064516116</v>
      </c>
      <c r="AX35">
        <v>0.50903135483870965</v>
      </c>
      <c r="AY35">
        <v>499.99796774193538</v>
      </c>
      <c r="AZ35">
        <v>100.2801935483871</v>
      </c>
      <c r="BA35">
        <v>4.5383625806451597E-2</v>
      </c>
      <c r="BB35">
        <v>27.297835483870969</v>
      </c>
      <c r="BC35">
        <v>27.416219354838709</v>
      </c>
      <c r="BD35">
        <v>999.90000000000032</v>
      </c>
      <c r="BE35">
        <v>0</v>
      </c>
      <c r="BF35">
        <v>0</v>
      </c>
      <c r="BG35">
        <v>4999.9032258064517</v>
      </c>
      <c r="BH35">
        <v>0.35932622580645163</v>
      </c>
      <c r="BI35">
        <v>0.23331922580645159</v>
      </c>
      <c r="BJ35">
        <v>-1.1123393870967739</v>
      </c>
      <c r="BK35">
        <v>14.525341935483871</v>
      </c>
      <c r="BL35">
        <v>15.60542580645161</v>
      </c>
      <c r="BM35">
        <v>2.0339251612903229</v>
      </c>
      <c r="BN35">
        <v>15.644661290322579</v>
      </c>
      <c r="BO35">
        <v>-2.5141641935483872</v>
      </c>
      <c r="BP35">
        <v>-4.8158496774193559E-2</v>
      </c>
      <c r="BQ35">
        <v>-0.25212077419354839</v>
      </c>
      <c r="BR35">
        <v>-99.900000000000034</v>
      </c>
      <c r="BS35">
        <v>-99.900000000000034</v>
      </c>
      <c r="BT35">
        <v>0</v>
      </c>
      <c r="BU35">
        <v>0</v>
      </c>
      <c r="BV35">
        <v>0</v>
      </c>
      <c r="BW35">
        <v>26</v>
      </c>
      <c r="BX35">
        <v>-1</v>
      </c>
      <c r="BY35">
        <v>1775482141.5</v>
      </c>
      <c r="BZ35" t="s">
        <v>390</v>
      </c>
      <c r="CA35">
        <v>1775482141.5</v>
      </c>
      <c r="CB35">
        <v>1775480969.5</v>
      </c>
      <c r="CC35">
        <v>20</v>
      </c>
      <c r="CD35">
        <v>-5.0999999999999997E-2</v>
      </c>
      <c r="CE35">
        <v>0.19500000000000001</v>
      </c>
      <c r="CF35">
        <v>8.15</v>
      </c>
      <c r="CG35">
        <v>-0.98899999999999999</v>
      </c>
      <c r="CH35">
        <v>16</v>
      </c>
      <c r="CI35">
        <v>-3</v>
      </c>
      <c r="CJ35">
        <v>0.23</v>
      </c>
      <c r="CK35">
        <v>0.06</v>
      </c>
      <c r="CL35">
        <v>15.444825</v>
      </c>
      <c r="CM35">
        <v>1.78690202834125</v>
      </c>
      <c r="CN35">
        <v>0.33209071934488021</v>
      </c>
      <c r="CO35">
        <v>-1</v>
      </c>
      <c r="CP35">
        <v>499.99013333333329</v>
      </c>
      <c r="CQ35">
        <v>-2.5740483466542591E-2</v>
      </c>
      <c r="CR35">
        <v>4.9390777366718347E-2</v>
      </c>
      <c r="CS35">
        <v>-1</v>
      </c>
      <c r="CT35">
        <v>0</v>
      </c>
      <c r="CU35">
        <v>0</v>
      </c>
      <c r="CV35" t="s">
        <v>333</v>
      </c>
      <c r="CW35">
        <v>3.1674199999999999</v>
      </c>
      <c r="CX35">
        <v>2.6666400000000001</v>
      </c>
      <c r="CY35">
        <v>1.9661700000000002E-3</v>
      </c>
      <c r="CZ35">
        <v>4.7918300000000004E-3</v>
      </c>
      <c r="DA35">
        <v>4.04573E-3</v>
      </c>
      <c r="DB35">
        <v>-2.4362399999999999E-2</v>
      </c>
      <c r="DC35">
        <v>21556.5</v>
      </c>
      <c r="DD35">
        <v>21857.3</v>
      </c>
      <c r="DE35">
        <v>23128.799999999999</v>
      </c>
      <c r="DF35">
        <v>22315.9</v>
      </c>
      <c r="DG35">
        <v>29703.599999999999</v>
      </c>
      <c r="DH35">
        <v>27259.200000000001</v>
      </c>
      <c r="DI35">
        <v>40647</v>
      </c>
      <c r="DJ35">
        <v>36982.400000000001</v>
      </c>
      <c r="DK35">
        <v>2.0826600000000002</v>
      </c>
      <c r="DL35">
        <v>1.8098399999999999</v>
      </c>
      <c r="DM35">
        <v>1.44362E-2</v>
      </c>
      <c r="DN35">
        <v>0</v>
      </c>
      <c r="DO35">
        <v>27.179400000000001</v>
      </c>
      <c r="DP35">
        <v>999.9</v>
      </c>
      <c r="DQ35">
        <v>80.7</v>
      </c>
      <c r="DR35">
        <v>27.7</v>
      </c>
      <c r="DS35">
        <v>30.009599999999999</v>
      </c>
      <c r="DT35">
        <v>30.46</v>
      </c>
      <c r="DU35">
        <v>9.6674699999999998</v>
      </c>
      <c r="DV35">
        <v>1</v>
      </c>
      <c r="DW35">
        <v>0.22038199999999999</v>
      </c>
      <c r="DX35">
        <v>-2.5444399999999999E-2</v>
      </c>
      <c r="DY35">
        <v>20.3674</v>
      </c>
      <c r="DZ35">
        <v>5.2123799999999996</v>
      </c>
      <c r="EA35">
        <v>11.8485</v>
      </c>
      <c r="EB35">
        <v>4.9679200000000003</v>
      </c>
      <c r="EC35">
        <v>3.2920799999999999</v>
      </c>
      <c r="ED35">
        <v>894.7</v>
      </c>
      <c r="EE35">
        <v>0</v>
      </c>
      <c r="EF35">
        <v>4582</v>
      </c>
      <c r="EG35">
        <v>109.1</v>
      </c>
      <c r="EH35">
        <v>4.9716399999999998</v>
      </c>
      <c r="EI35">
        <v>1.8717999999999999</v>
      </c>
      <c r="EJ35">
        <v>1.8689100000000001</v>
      </c>
      <c r="EK35">
        <v>1.87134</v>
      </c>
      <c r="EL35">
        <v>1.8690500000000001</v>
      </c>
      <c r="EM35">
        <v>1.86812</v>
      </c>
      <c r="EN35">
        <v>1.86991</v>
      </c>
      <c r="EO35">
        <v>1.8716999999999999</v>
      </c>
      <c r="EP35">
        <v>0</v>
      </c>
      <c r="EQ35">
        <v>0</v>
      </c>
      <c r="ER35">
        <v>0</v>
      </c>
      <c r="ES35">
        <v>0</v>
      </c>
      <c r="ET35" t="s">
        <v>334</v>
      </c>
      <c r="EU35" t="s">
        <v>335</v>
      </c>
      <c r="EV35" t="s">
        <v>336</v>
      </c>
      <c r="EW35" t="s">
        <v>336</v>
      </c>
      <c r="EX35" t="s">
        <v>336</v>
      </c>
      <c r="EY35" t="s">
        <v>336</v>
      </c>
      <c r="EZ35">
        <v>0</v>
      </c>
      <c r="FA35">
        <v>100</v>
      </c>
      <c r="FB35">
        <v>100</v>
      </c>
      <c r="FC35">
        <v>8.15</v>
      </c>
      <c r="FD35">
        <v>-0.98929999999999996</v>
      </c>
      <c r="FE35">
        <v>8.201762500000001</v>
      </c>
      <c r="FF35">
        <v>0</v>
      </c>
      <c r="FG35">
        <v>0</v>
      </c>
      <c r="FH35">
        <v>0</v>
      </c>
      <c r="FI35">
        <v>-0.98927100000000023</v>
      </c>
      <c r="FJ35">
        <v>0</v>
      </c>
      <c r="FK35">
        <v>0</v>
      </c>
      <c r="FL35">
        <v>0</v>
      </c>
      <c r="FM35">
        <v>-1</v>
      </c>
      <c r="FN35">
        <v>-1</v>
      </c>
      <c r="FO35">
        <v>-1</v>
      </c>
      <c r="FP35">
        <v>-1</v>
      </c>
      <c r="FQ35">
        <v>0.7</v>
      </c>
      <c r="FR35">
        <v>19.100000000000001</v>
      </c>
      <c r="FS35">
        <v>0.144043</v>
      </c>
      <c r="FT35">
        <v>4.99756</v>
      </c>
      <c r="FU35">
        <v>1.5979000000000001</v>
      </c>
      <c r="FV35">
        <v>2.16675</v>
      </c>
      <c r="FW35">
        <v>1.5478499999999999</v>
      </c>
      <c r="FX35">
        <v>2.3596200000000001</v>
      </c>
      <c r="FY35">
        <v>32.686900000000001</v>
      </c>
      <c r="FZ35">
        <v>16.189699999999998</v>
      </c>
      <c r="GA35">
        <v>3</v>
      </c>
      <c r="GB35">
        <v>495.7</v>
      </c>
      <c r="GC35">
        <v>411.66800000000001</v>
      </c>
      <c r="GD35">
        <v>27.7639</v>
      </c>
      <c r="GE35">
        <v>29.9786</v>
      </c>
      <c r="GF35">
        <v>30.000299999999999</v>
      </c>
      <c r="GG35">
        <v>30.196100000000001</v>
      </c>
      <c r="GH35">
        <v>30.224499999999999</v>
      </c>
      <c r="GI35">
        <v>-1</v>
      </c>
      <c r="GJ35">
        <v>0</v>
      </c>
      <c r="GK35">
        <v>100</v>
      </c>
      <c r="GL35">
        <v>27.767600000000002</v>
      </c>
      <c r="GM35">
        <v>432.1</v>
      </c>
      <c r="GN35">
        <v>68.912800000000004</v>
      </c>
      <c r="GO35">
        <v>102.316</v>
      </c>
      <c r="GP35">
        <v>96.501599999999996</v>
      </c>
    </row>
    <row r="36" spans="1:198" x14ac:dyDescent="0.35">
      <c r="A36">
        <v>20</v>
      </c>
      <c r="B36">
        <v>1775482178.5</v>
      </c>
      <c r="C36">
        <v>1140</v>
      </c>
      <c r="D36" t="s">
        <v>391</v>
      </c>
      <c r="E36" t="s">
        <v>392</v>
      </c>
      <c r="F36">
        <v>60</v>
      </c>
      <c r="G36">
        <v>1775482170.5</v>
      </c>
      <c r="H36">
        <f t="shared" si="0"/>
        <v>3.3496603182930143E-3</v>
      </c>
      <c r="I36">
        <f t="shared" si="1"/>
        <v>3.3496603182930142</v>
      </c>
      <c r="J36">
        <f t="shared" si="2"/>
        <v>1.0699834819080609</v>
      </c>
      <c r="K36">
        <f t="shared" si="3"/>
        <v>13.98408548387097</v>
      </c>
      <c r="L36">
        <f t="shared" si="4"/>
        <v>-5.4883941723462817</v>
      </c>
      <c r="M36">
        <f t="shared" si="5"/>
        <v>-0.55060669869473244</v>
      </c>
      <c r="N36">
        <f t="shared" si="6"/>
        <v>1.4029114711430246</v>
      </c>
      <c r="O36">
        <f t="shared" si="7"/>
        <v>9.0689122977666681E-2</v>
      </c>
      <c r="P36">
        <f t="shared" si="8"/>
        <v>2.395038060748961</v>
      </c>
      <c r="Q36">
        <f t="shared" si="9"/>
        <v>8.8823689739136583E-2</v>
      </c>
      <c r="R36">
        <f t="shared" si="10"/>
        <v>5.5679211948398658E-2</v>
      </c>
      <c r="S36">
        <f t="shared" si="11"/>
        <v>0</v>
      </c>
      <c r="T36">
        <f t="shared" si="12"/>
        <v>26.247234126081239</v>
      </c>
      <c r="U36">
        <f t="shared" si="13"/>
        <v>27.408522580645151</v>
      </c>
      <c r="V36">
        <f t="shared" si="14"/>
        <v>3.665941052827606</v>
      </c>
      <c r="W36">
        <f t="shared" si="15"/>
        <v>-1.3492442991343387</v>
      </c>
      <c r="X36">
        <f t="shared" si="16"/>
        <v>-4.9138846685846428E-2</v>
      </c>
      <c r="Y36">
        <f t="shared" si="17"/>
        <v>3.6419532561577919</v>
      </c>
      <c r="Z36">
        <f t="shared" si="18"/>
        <v>3.7150798995134524</v>
      </c>
      <c r="AA36">
        <f t="shared" si="19"/>
        <v>-147.72002003672193</v>
      </c>
      <c r="AB36">
        <f t="shared" si="20"/>
        <v>-14.47074814280667</v>
      </c>
      <c r="AC36">
        <f t="shared" si="21"/>
        <v>-1.3085294034630031</v>
      </c>
      <c r="AD36">
        <f t="shared" si="22"/>
        <v>-163.49929758299163</v>
      </c>
      <c r="AE36">
        <v>15</v>
      </c>
      <c r="AF36">
        <v>3</v>
      </c>
      <c r="AG36">
        <f t="shared" si="23"/>
        <v>1</v>
      </c>
      <c r="AH36">
        <f t="shared" si="24"/>
        <v>0</v>
      </c>
      <c r="AI36">
        <f t="shared" si="25"/>
        <v>25593.20892435922</v>
      </c>
      <c r="AJ36">
        <f t="shared" si="26"/>
        <v>0</v>
      </c>
      <c r="AK36">
        <f t="shared" si="27"/>
        <v>0</v>
      </c>
      <c r="AL36">
        <f t="shared" si="28"/>
        <v>0</v>
      </c>
      <c r="AM36">
        <f t="shared" si="29"/>
        <v>0</v>
      </c>
      <c r="AN36">
        <v>3</v>
      </c>
      <c r="AO36">
        <v>0.5</v>
      </c>
      <c r="AP36" t="s">
        <v>331</v>
      </c>
      <c r="AQ36">
        <v>2</v>
      </c>
      <c r="AR36">
        <v>1775482170.5</v>
      </c>
      <c r="AS36">
        <v>13.98408548387097</v>
      </c>
      <c r="AT36">
        <v>14.654196774193551</v>
      </c>
      <c r="AU36">
        <v>-0.48981125806451631</v>
      </c>
      <c r="AV36">
        <v>-2.5006400000000002</v>
      </c>
      <c r="AW36">
        <v>5.8580854838709682</v>
      </c>
      <c r="AX36">
        <v>0.49945970967741932</v>
      </c>
      <c r="AY36">
        <v>499.98803225806449</v>
      </c>
      <c r="AZ36">
        <v>100.2771612903226</v>
      </c>
      <c r="BA36">
        <v>4.4842087096774182E-2</v>
      </c>
      <c r="BB36">
        <v>27.296451612903219</v>
      </c>
      <c r="BC36">
        <v>27.408522580645151</v>
      </c>
      <c r="BD36">
        <v>999.90000000000032</v>
      </c>
      <c r="BE36">
        <v>0</v>
      </c>
      <c r="BF36">
        <v>0</v>
      </c>
      <c r="BG36">
        <v>5004.1935483870966</v>
      </c>
      <c r="BH36">
        <v>0.3688479354838709</v>
      </c>
      <c r="BI36">
        <v>0.22961599999999999</v>
      </c>
      <c r="BJ36">
        <v>-0.64579009032258061</v>
      </c>
      <c r="BK36">
        <v>14.00155483870968</v>
      </c>
      <c r="BL36">
        <v>14.617632258064519</v>
      </c>
      <c r="BM36">
        <v>2.0108283870967738</v>
      </c>
      <c r="BN36">
        <v>14.654196774193551</v>
      </c>
      <c r="BO36">
        <v>-2.5006400000000002</v>
      </c>
      <c r="BP36">
        <v>-4.9116916129032261E-2</v>
      </c>
      <c r="BQ36">
        <v>-0.25075725806451621</v>
      </c>
      <c r="BR36">
        <v>-99.900000000000034</v>
      </c>
      <c r="BS36">
        <v>-99.900000000000034</v>
      </c>
      <c r="BT36">
        <v>0</v>
      </c>
      <c r="BU36">
        <v>0</v>
      </c>
      <c r="BV36">
        <v>0</v>
      </c>
      <c r="BW36">
        <v>26</v>
      </c>
      <c r="BX36">
        <v>-1</v>
      </c>
      <c r="BY36">
        <v>1775482198.0999999</v>
      </c>
      <c r="BZ36" t="s">
        <v>393</v>
      </c>
      <c r="CA36">
        <v>1775482198.0999999</v>
      </c>
      <c r="CB36">
        <v>1775480969.5</v>
      </c>
      <c r="CC36">
        <v>21</v>
      </c>
      <c r="CD36">
        <v>-2.4E-2</v>
      </c>
      <c r="CE36">
        <v>0.19500000000000001</v>
      </c>
      <c r="CF36">
        <v>8.1259999999999994</v>
      </c>
      <c r="CG36">
        <v>-0.98899999999999999</v>
      </c>
      <c r="CH36">
        <v>12</v>
      </c>
      <c r="CI36">
        <v>-3</v>
      </c>
      <c r="CJ36">
        <v>0.18</v>
      </c>
      <c r="CK36">
        <v>0.06</v>
      </c>
      <c r="CL36">
        <v>14.868783606557381</v>
      </c>
      <c r="CM36">
        <v>-1.5377520888418601</v>
      </c>
      <c r="CN36">
        <v>0.36928816203136128</v>
      </c>
      <c r="CO36">
        <v>-1</v>
      </c>
      <c r="CP36">
        <v>500.12700000000012</v>
      </c>
      <c r="CQ36">
        <v>-1.492143839239028</v>
      </c>
      <c r="CR36">
        <v>0.51483455881556972</v>
      </c>
      <c r="CS36">
        <v>-1</v>
      </c>
      <c r="CT36">
        <v>0</v>
      </c>
      <c r="CU36">
        <v>0</v>
      </c>
      <c r="CV36" t="s">
        <v>333</v>
      </c>
      <c r="CW36">
        <v>3.16723</v>
      </c>
      <c r="CX36">
        <v>2.6671</v>
      </c>
      <c r="CY36">
        <v>1.6852600000000001E-3</v>
      </c>
      <c r="CZ36">
        <v>4.1079799999999998E-3</v>
      </c>
      <c r="DA36">
        <v>4.0392800000000001E-3</v>
      </c>
      <c r="DB36">
        <v>-2.4190900000000001E-2</v>
      </c>
      <c r="DC36">
        <v>21560.9</v>
      </c>
      <c r="DD36">
        <v>21871.9</v>
      </c>
      <c r="DE36">
        <v>23127.1</v>
      </c>
      <c r="DF36">
        <v>22315.5</v>
      </c>
      <c r="DG36">
        <v>29701.9</v>
      </c>
      <c r="DH36">
        <v>27254.2</v>
      </c>
      <c r="DI36">
        <v>40644.5</v>
      </c>
      <c r="DJ36">
        <v>36981.800000000003</v>
      </c>
      <c r="DK36">
        <v>2.0815999999999999</v>
      </c>
      <c r="DL36">
        <v>1.8093999999999999</v>
      </c>
      <c r="DM36">
        <v>1.4966699999999999E-2</v>
      </c>
      <c r="DN36">
        <v>0</v>
      </c>
      <c r="DO36">
        <v>27.160399999999999</v>
      </c>
      <c r="DP36">
        <v>999.9</v>
      </c>
      <c r="DQ36">
        <v>80.7</v>
      </c>
      <c r="DR36">
        <v>27.8</v>
      </c>
      <c r="DS36">
        <v>30.186599999999999</v>
      </c>
      <c r="DT36">
        <v>30.46</v>
      </c>
      <c r="DU36">
        <v>9.8878199999999996</v>
      </c>
      <c r="DV36">
        <v>1</v>
      </c>
      <c r="DW36">
        <v>0.22297</v>
      </c>
      <c r="DX36">
        <v>-6.8590399999999996E-2</v>
      </c>
      <c r="DY36">
        <v>20.3675</v>
      </c>
      <c r="DZ36">
        <v>5.2110599999999998</v>
      </c>
      <c r="EA36">
        <v>11.8482</v>
      </c>
      <c r="EB36">
        <v>4.9676799999999997</v>
      </c>
      <c r="EC36">
        <v>3.2922600000000002</v>
      </c>
      <c r="ED36">
        <v>894.7</v>
      </c>
      <c r="EE36">
        <v>0</v>
      </c>
      <c r="EF36">
        <v>4609.8</v>
      </c>
      <c r="EG36">
        <v>109.1</v>
      </c>
      <c r="EH36">
        <v>4.97166</v>
      </c>
      <c r="EI36">
        <v>1.8717999999999999</v>
      </c>
      <c r="EJ36">
        <v>1.8689</v>
      </c>
      <c r="EK36">
        <v>1.87134</v>
      </c>
      <c r="EL36">
        <v>1.8690500000000001</v>
      </c>
      <c r="EM36">
        <v>1.8680399999999999</v>
      </c>
      <c r="EN36">
        <v>1.8698600000000001</v>
      </c>
      <c r="EO36">
        <v>1.8716699999999999</v>
      </c>
      <c r="EP36">
        <v>0</v>
      </c>
      <c r="EQ36">
        <v>0</v>
      </c>
      <c r="ER36">
        <v>0</v>
      </c>
      <c r="ES36">
        <v>0</v>
      </c>
      <c r="ET36" t="s">
        <v>334</v>
      </c>
      <c r="EU36" t="s">
        <v>335</v>
      </c>
      <c r="EV36" t="s">
        <v>336</v>
      </c>
      <c r="EW36" t="s">
        <v>336</v>
      </c>
      <c r="EX36" t="s">
        <v>336</v>
      </c>
      <c r="EY36" t="s">
        <v>336</v>
      </c>
      <c r="EZ36">
        <v>0</v>
      </c>
      <c r="FA36">
        <v>100</v>
      </c>
      <c r="FB36">
        <v>100</v>
      </c>
      <c r="FC36">
        <v>8.1259999999999994</v>
      </c>
      <c r="FD36">
        <v>-0.98929999999999996</v>
      </c>
      <c r="FE36">
        <v>8.1503205000000047</v>
      </c>
      <c r="FF36">
        <v>0</v>
      </c>
      <c r="FG36">
        <v>0</v>
      </c>
      <c r="FH36">
        <v>0</v>
      </c>
      <c r="FI36">
        <v>-0.98927100000000023</v>
      </c>
      <c r="FJ36">
        <v>0</v>
      </c>
      <c r="FK36">
        <v>0</v>
      </c>
      <c r="FL36">
        <v>0</v>
      </c>
      <c r="FM36">
        <v>-1</v>
      </c>
      <c r="FN36">
        <v>-1</v>
      </c>
      <c r="FO36">
        <v>-1</v>
      </c>
      <c r="FP36">
        <v>-1</v>
      </c>
      <c r="FQ36">
        <v>0.6</v>
      </c>
      <c r="FR36">
        <v>20.100000000000001</v>
      </c>
      <c r="FS36">
        <v>0.144043</v>
      </c>
      <c r="FT36">
        <v>4.99756</v>
      </c>
      <c r="FU36">
        <v>1.5979000000000001</v>
      </c>
      <c r="FV36">
        <v>2.16553</v>
      </c>
      <c r="FW36">
        <v>1.5478499999999999</v>
      </c>
      <c r="FX36">
        <v>2.3144499999999999</v>
      </c>
      <c r="FY36">
        <v>32.753500000000003</v>
      </c>
      <c r="FZ36">
        <v>16.1722</v>
      </c>
      <c r="GA36">
        <v>3</v>
      </c>
      <c r="GB36">
        <v>495.42200000000003</v>
      </c>
      <c r="GC36">
        <v>411.71100000000001</v>
      </c>
      <c r="GD36">
        <v>27.809100000000001</v>
      </c>
      <c r="GE36">
        <v>30.011800000000001</v>
      </c>
      <c r="GF36">
        <v>30.000299999999999</v>
      </c>
      <c r="GG36">
        <v>30.239899999999999</v>
      </c>
      <c r="GH36">
        <v>30.269200000000001</v>
      </c>
      <c r="GI36">
        <v>-1</v>
      </c>
      <c r="GJ36">
        <v>0</v>
      </c>
      <c r="GK36">
        <v>100</v>
      </c>
      <c r="GL36">
        <v>27.810099999999998</v>
      </c>
      <c r="GM36">
        <v>432.1</v>
      </c>
      <c r="GN36">
        <v>68.912800000000004</v>
      </c>
      <c r="GO36">
        <v>102.309</v>
      </c>
      <c r="GP36">
        <v>96.5</v>
      </c>
    </row>
    <row r="37" spans="1:198" x14ac:dyDescent="0.35">
      <c r="A37">
        <v>21</v>
      </c>
      <c r="B37">
        <v>1775482238.5999999</v>
      </c>
      <c r="C37">
        <v>1200.099999904633</v>
      </c>
      <c r="D37" t="s">
        <v>394</v>
      </c>
      <c r="E37" t="s">
        <v>395</v>
      </c>
      <c r="F37">
        <v>60</v>
      </c>
      <c r="G37">
        <v>1775482230.849999</v>
      </c>
      <c r="H37">
        <f t="shared" si="0"/>
        <v>3.3385656301616628E-3</v>
      </c>
      <c r="I37">
        <f t="shared" si="1"/>
        <v>3.3385656301616629</v>
      </c>
      <c r="J37">
        <f t="shared" si="2"/>
        <v>1.3276129948422377</v>
      </c>
      <c r="K37">
        <f t="shared" si="3"/>
        <v>12.34682466666667</v>
      </c>
      <c r="L37">
        <f t="shared" si="4"/>
        <v>-11.599148452307078</v>
      </c>
      <c r="M37">
        <f t="shared" si="5"/>
        <v>-1.1636483532684347</v>
      </c>
      <c r="N37">
        <f t="shared" si="6"/>
        <v>1.2386566350569539</v>
      </c>
      <c r="O37">
        <f t="shared" si="7"/>
        <v>9.0383250551214142E-2</v>
      </c>
      <c r="P37">
        <f t="shared" si="8"/>
        <v>2.3935997896546097</v>
      </c>
      <c r="Q37">
        <f t="shared" si="9"/>
        <v>8.8529152039770326E-2</v>
      </c>
      <c r="R37">
        <f t="shared" si="10"/>
        <v>5.5494135539857478E-2</v>
      </c>
      <c r="S37">
        <f t="shared" si="11"/>
        <v>0</v>
      </c>
      <c r="T37">
        <f t="shared" si="12"/>
        <v>26.257871492228098</v>
      </c>
      <c r="U37">
        <f t="shared" si="13"/>
        <v>27.41200666666666</v>
      </c>
      <c r="V37">
        <f t="shared" si="14"/>
        <v>3.6666889952210182</v>
      </c>
      <c r="W37">
        <f t="shared" si="15"/>
        <v>-1.327580101645389</v>
      </c>
      <c r="X37">
        <f t="shared" si="16"/>
        <v>-4.8371758388098693E-2</v>
      </c>
      <c r="Y37">
        <f t="shared" si="17"/>
        <v>3.6436037515286075</v>
      </c>
      <c r="Z37">
        <f t="shared" si="18"/>
        <v>3.7150607536091167</v>
      </c>
      <c r="AA37">
        <f t="shared" si="19"/>
        <v>-147.23074429012934</v>
      </c>
      <c r="AB37">
        <f t="shared" si="20"/>
        <v>-13.913927471370345</v>
      </c>
      <c r="AC37">
        <f t="shared" si="21"/>
        <v>-1.2590049642334733</v>
      </c>
      <c r="AD37">
        <f t="shared" si="22"/>
        <v>-162.40367672573316</v>
      </c>
      <c r="AE37">
        <v>15</v>
      </c>
      <c r="AF37">
        <v>3</v>
      </c>
      <c r="AG37">
        <f t="shared" si="23"/>
        <v>1</v>
      </c>
      <c r="AH37">
        <f t="shared" si="24"/>
        <v>0</v>
      </c>
      <c r="AI37">
        <f t="shared" si="25"/>
        <v>25570.710185431391</v>
      </c>
      <c r="AJ37">
        <f t="shared" si="26"/>
        <v>0</v>
      </c>
      <c r="AK37">
        <f t="shared" si="27"/>
        <v>0</v>
      </c>
      <c r="AL37">
        <f t="shared" si="28"/>
        <v>0</v>
      </c>
      <c r="AM37">
        <f t="shared" si="29"/>
        <v>0</v>
      </c>
      <c r="AN37">
        <v>3</v>
      </c>
      <c r="AO37">
        <v>0.5</v>
      </c>
      <c r="AP37" t="s">
        <v>331</v>
      </c>
      <c r="AQ37">
        <v>2</v>
      </c>
      <c r="AR37">
        <v>1775482230.849999</v>
      </c>
      <c r="AS37">
        <v>12.34682466666667</v>
      </c>
      <c r="AT37">
        <v>13.16814666666667</v>
      </c>
      <c r="AU37">
        <v>-0.48216560000000003</v>
      </c>
      <c r="AV37">
        <v>-2.4863240000000011</v>
      </c>
      <c r="AW37">
        <v>4.2018246666666679</v>
      </c>
      <c r="AX37">
        <v>0.50710536666666661</v>
      </c>
      <c r="AY37">
        <v>499.98673333333352</v>
      </c>
      <c r="AZ37">
        <v>100.2763666666666</v>
      </c>
      <c r="BA37">
        <v>4.551110333333333E-2</v>
      </c>
      <c r="BB37">
        <v>27.30418333333332</v>
      </c>
      <c r="BC37">
        <v>27.41200666666666</v>
      </c>
      <c r="BD37">
        <v>999.9000000000002</v>
      </c>
      <c r="BE37">
        <v>0</v>
      </c>
      <c r="BF37">
        <v>0</v>
      </c>
      <c r="BG37">
        <v>5000.5333333333338</v>
      </c>
      <c r="BH37">
        <v>0.3797172333333334</v>
      </c>
      <c r="BI37">
        <v>0.23344266666666669</v>
      </c>
      <c r="BJ37">
        <v>-0.84047246666666664</v>
      </c>
      <c r="BK37">
        <v>12.321736666666659</v>
      </c>
      <c r="BL37">
        <v>13.135479999999999</v>
      </c>
      <c r="BM37">
        <v>2.0041576666666669</v>
      </c>
      <c r="BN37">
        <v>13.16814666666667</v>
      </c>
      <c r="BO37">
        <v>-2.4863240000000011</v>
      </c>
      <c r="BP37">
        <v>-4.8349789999999997E-2</v>
      </c>
      <c r="BQ37">
        <v>-0.24931943333333331</v>
      </c>
      <c r="BR37">
        <v>-99.900000000000034</v>
      </c>
      <c r="BS37">
        <v>-99.900000000000034</v>
      </c>
      <c r="BT37">
        <v>0</v>
      </c>
      <c r="BU37">
        <v>0</v>
      </c>
      <c r="BV37">
        <v>0</v>
      </c>
      <c r="BW37">
        <v>26</v>
      </c>
      <c r="BX37">
        <v>-1</v>
      </c>
      <c r="BY37">
        <v>1775482255.5999999</v>
      </c>
      <c r="BZ37" t="s">
        <v>396</v>
      </c>
      <c r="CA37">
        <v>1775482255.5999999</v>
      </c>
      <c r="CB37">
        <v>1775480969.5</v>
      </c>
      <c r="CC37">
        <v>22</v>
      </c>
      <c r="CD37">
        <v>1.9E-2</v>
      </c>
      <c r="CE37">
        <v>0.19500000000000001</v>
      </c>
      <c r="CF37">
        <v>8.1449999999999996</v>
      </c>
      <c r="CG37">
        <v>-0.98899999999999999</v>
      </c>
      <c r="CH37">
        <v>13</v>
      </c>
      <c r="CI37">
        <v>-3</v>
      </c>
      <c r="CJ37">
        <v>0.19</v>
      </c>
      <c r="CK37">
        <v>0.06</v>
      </c>
      <c r="CL37">
        <v>13.156840000000001</v>
      </c>
      <c r="CM37">
        <v>1.117221005834947</v>
      </c>
      <c r="CN37">
        <v>0.5130934847244375</v>
      </c>
      <c r="CO37">
        <v>-1</v>
      </c>
      <c r="CP37">
        <v>500.00734999999997</v>
      </c>
      <c r="CQ37">
        <v>-9.6903584328264139E-2</v>
      </c>
      <c r="CR37">
        <v>9.1170686992406394E-2</v>
      </c>
      <c r="CS37">
        <v>-1</v>
      </c>
      <c r="CT37">
        <v>0</v>
      </c>
      <c r="CU37">
        <v>0</v>
      </c>
      <c r="CV37" t="s">
        <v>333</v>
      </c>
      <c r="CW37">
        <v>3.16736</v>
      </c>
      <c r="CX37">
        <v>2.6671</v>
      </c>
      <c r="CY37">
        <v>1.2131799999999999E-3</v>
      </c>
      <c r="CZ37">
        <v>3.8534699999999999E-3</v>
      </c>
      <c r="DA37">
        <v>4.1072599999999997E-3</v>
      </c>
      <c r="DB37">
        <v>-2.4012800000000001E-2</v>
      </c>
      <c r="DC37">
        <v>21569.3</v>
      </c>
      <c r="DD37">
        <v>21877.200000000001</v>
      </c>
      <c r="DE37">
        <v>23125.3</v>
      </c>
      <c r="DF37">
        <v>22315.3</v>
      </c>
      <c r="DG37">
        <v>29697.599999999999</v>
      </c>
      <c r="DH37">
        <v>27249.1</v>
      </c>
      <c r="DI37">
        <v>40641.4</v>
      </c>
      <c r="DJ37">
        <v>36981.199999999997</v>
      </c>
      <c r="DK37">
        <v>2.0818400000000001</v>
      </c>
      <c r="DL37">
        <v>1.8086800000000001</v>
      </c>
      <c r="DM37">
        <v>1.5586600000000001E-2</v>
      </c>
      <c r="DN37">
        <v>0</v>
      </c>
      <c r="DO37">
        <v>27.160699999999999</v>
      </c>
      <c r="DP37">
        <v>999.9</v>
      </c>
      <c r="DQ37">
        <v>80.599999999999994</v>
      </c>
      <c r="DR37">
        <v>27.9</v>
      </c>
      <c r="DS37">
        <v>30.322700000000001</v>
      </c>
      <c r="DT37">
        <v>30.3155</v>
      </c>
      <c r="DU37">
        <v>9.4431100000000008</v>
      </c>
      <c r="DV37">
        <v>1</v>
      </c>
      <c r="DW37">
        <v>0.224888</v>
      </c>
      <c r="DX37">
        <v>-1.0675400000000001E-3</v>
      </c>
      <c r="DY37">
        <v>20.3672</v>
      </c>
      <c r="DZ37">
        <v>5.2121399999999998</v>
      </c>
      <c r="EA37">
        <v>11.8482</v>
      </c>
      <c r="EB37">
        <v>4.9678000000000004</v>
      </c>
      <c r="EC37">
        <v>3.2921</v>
      </c>
      <c r="ED37">
        <v>894.7</v>
      </c>
      <c r="EE37">
        <v>0</v>
      </c>
      <c r="EF37">
        <v>4632.8999999999996</v>
      </c>
      <c r="EG37">
        <v>109.2</v>
      </c>
      <c r="EH37">
        <v>4.9716399999999998</v>
      </c>
      <c r="EI37">
        <v>1.8717999999999999</v>
      </c>
      <c r="EJ37">
        <v>1.8689</v>
      </c>
      <c r="EK37">
        <v>1.87134</v>
      </c>
      <c r="EL37">
        <v>1.8690599999999999</v>
      </c>
      <c r="EM37">
        <v>1.8680699999999999</v>
      </c>
      <c r="EN37">
        <v>1.8698999999999999</v>
      </c>
      <c r="EO37">
        <v>1.8716600000000001</v>
      </c>
      <c r="EP37">
        <v>0</v>
      </c>
      <c r="EQ37">
        <v>0</v>
      </c>
      <c r="ER37">
        <v>0</v>
      </c>
      <c r="ES37">
        <v>0</v>
      </c>
      <c r="ET37" t="s">
        <v>334</v>
      </c>
      <c r="EU37" t="s">
        <v>335</v>
      </c>
      <c r="EV37" t="s">
        <v>336</v>
      </c>
      <c r="EW37" t="s">
        <v>336</v>
      </c>
      <c r="EX37" t="s">
        <v>336</v>
      </c>
      <c r="EY37" t="s">
        <v>336</v>
      </c>
      <c r="EZ37">
        <v>0</v>
      </c>
      <c r="FA37">
        <v>100</v>
      </c>
      <c r="FB37">
        <v>100</v>
      </c>
      <c r="FC37">
        <v>8.1449999999999996</v>
      </c>
      <c r="FD37">
        <v>-0.98929999999999996</v>
      </c>
      <c r="FE37">
        <v>8.125845</v>
      </c>
      <c r="FF37">
        <v>0</v>
      </c>
      <c r="FG37">
        <v>0</v>
      </c>
      <c r="FH37">
        <v>0</v>
      </c>
      <c r="FI37">
        <v>-0.98927100000000023</v>
      </c>
      <c r="FJ37">
        <v>0</v>
      </c>
      <c r="FK37">
        <v>0</v>
      </c>
      <c r="FL37">
        <v>0</v>
      </c>
      <c r="FM37">
        <v>-1</v>
      </c>
      <c r="FN37">
        <v>-1</v>
      </c>
      <c r="FO37">
        <v>-1</v>
      </c>
      <c r="FP37">
        <v>-1</v>
      </c>
      <c r="FQ37">
        <v>0.7</v>
      </c>
      <c r="FR37">
        <v>21.2</v>
      </c>
      <c r="FS37">
        <v>0.144043</v>
      </c>
      <c r="FT37">
        <v>4.99756</v>
      </c>
      <c r="FU37">
        <v>1.5979000000000001</v>
      </c>
      <c r="FV37">
        <v>2.16675</v>
      </c>
      <c r="FW37">
        <v>1.5478499999999999</v>
      </c>
      <c r="FX37">
        <v>2.32178</v>
      </c>
      <c r="FY37">
        <v>32.8202</v>
      </c>
      <c r="FZ37">
        <v>16.1722</v>
      </c>
      <c r="GA37">
        <v>3</v>
      </c>
      <c r="GB37">
        <v>495.83699999999999</v>
      </c>
      <c r="GC37">
        <v>411.553</v>
      </c>
      <c r="GD37">
        <v>27.7697</v>
      </c>
      <c r="GE37">
        <v>30.037299999999998</v>
      </c>
      <c r="GF37">
        <v>30.000399999999999</v>
      </c>
      <c r="GG37">
        <v>30.2761</v>
      </c>
      <c r="GH37">
        <v>30.308199999999999</v>
      </c>
      <c r="GI37">
        <v>-1</v>
      </c>
      <c r="GJ37">
        <v>0</v>
      </c>
      <c r="GK37">
        <v>100</v>
      </c>
      <c r="GL37">
        <v>27.764700000000001</v>
      </c>
      <c r="GM37">
        <v>432.1</v>
      </c>
      <c r="GN37">
        <v>68.912800000000004</v>
      </c>
      <c r="GO37">
        <v>102.301</v>
      </c>
      <c r="GP37">
        <v>96.498599999999996</v>
      </c>
    </row>
    <row r="38" spans="1:198" x14ac:dyDescent="0.35">
      <c r="A38">
        <v>22</v>
      </c>
      <c r="B38">
        <v>1775482298.5999999</v>
      </c>
      <c r="C38">
        <v>1260.099999904633</v>
      </c>
      <c r="D38" t="s">
        <v>397</v>
      </c>
      <c r="E38" t="s">
        <v>398</v>
      </c>
      <c r="F38">
        <v>60</v>
      </c>
      <c r="G38">
        <v>1775482290.599999</v>
      </c>
      <c r="H38">
        <f t="shared" si="0"/>
        <v>3.2814200583522984E-3</v>
      </c>
      <c r="I38">
        <f t="shared" si="1"/>
        <v>3.2814200583522983</v>
      </c>
      <c r="J38">
        <f t="shared" si="2"/>
        <v>1.9677275905655818</v>
      </c>
      <c r="K38">
        <f t="shared" si="3"/>
        <v>12.956723225806449</v>
      </c>
      <c r="L38">
        <f t="shared" si="4"/>
        <v>-22.822086796710249</v>
      </c>
      <c r="M38">
        <f t="shared" si="5"/>
        <v>-2.2895701352519744</v>
      </c>
      <c r="N38">
        <f t="shared" si="6"/>
        <v>1.2998516223682166</v>
      </c>
      <c r="O38">
        <f t="shared" si="7"/>
        <v>8.880984281368387E-2</v>
      </c>
      <c r="P38">
        <f t="shared" si="8"/>
        <v>2.3931482193049929</v>
      </c>
      <c r="Q38">
        <f t="shared" si="9"/>
        <v>8.7018715648066292E-2</v>
      </c>
      <c r="R38">
        <f t="shared" si="10"/>
        <v>5.4544614211181591E-2</v>
      </c>
      <c r="S38">
        <f t="shared" si="11"/>
        <v>0</v>
      </c>
      <c r="T38">
        <f t="shared" si="12"/>
        <v>26.263725731801298</v>
      </c>
      <c r="U38">
        <f t="shared" si="13"/>
        <v>27.40155161290323</v>
      </c>
      <c r="V38">
        <f t="shared" si="14"/>
        <v>3.6644449675853874</v>
      </c>
      <c r="W38">
        <f t="shared" si="15"/>
        <v>-1.3873663692984883</v>
      </c>
      <c r="X38">
        <f t="shared" si="16"/>
        <v>-5.0514990646353085E-2</v>
      </c>
      <c r="Y38">
        <f t="shared" si="17"/>
        <v>3.641070719617892</v>
      </c>
      <c r="Z38">
        <f t="shared" si="18"/>
        <v>3.7149599582317405</v>
      </c>
      <c r="AA38">
        <f t="shared" si="19"/>
        <v>-144.71062457333636</v>
      </c>
      <c r="AB38">
        <f t="shared" si="20"/>
        <v>-14.093497330453157</v>
      </c>
      <c r="AC38">
        <f t="shared" si="21"/>
        <v>-1.2753518326745388</v>
      </c>
      <c r="AD38">
        <f t="shared" si="22"/>
        <v>-160.07947373646405</v>
      </c>
      <c r="AE38">
        <v>15</v>
      </c>
      <c r="AF38">
        <v>3</v>
      </c>
      <c r="AG38">
        <f t="shared" si="23"/>
        <v>1</v>
      </c>
      <c r="AH38">
        <f t="shared" si="24"/>
        <v>0</v>
      </c>
      <c r="AI38">
        <f t="shared" si="25"/>
        <v>25564.814557045251</v>
      </c>
      <c r="AJ38">
        <f t="shared" si="26"/>
        <v>0</v>
      </c>
      <c r="AK38">
        <f t="shared" si="27"/>
        <v>0</v>
      </c>
      <c r="AL38">
        <f t="shared" si="28"/>
        <v>0</v>
      </c>
      <c r="AM38">
        <f t="shared" si="29"/>
        <v>0</v>
      </c>
      <c r="AN38">
        <v>3</v>
      </c>
      <c r="AO38">
        <v>0.5</v>
      </c>
      <c r="AP38" t="s">
        <v>331</v>
      </c>
      <c r="AQ38">
        <v>2</v>
      </c>
      <c r="AR38">
        <v>1775482290.599999</v>
      </c>
      <c r="AS38">
        <v>12.956723225806449</v>
      </c>
      <c r="AT38">
        <v>14.1629</v>
      </c>
      <c r="AU38">
        <v>-0.50352574193548383</v>
      </c>
      <c r="AV38">
        <v>-2.4734187096774192</v>
      </c>
      <c r="AW38">
        <v>4.8167232258064514</v>
      </c>
      <c r="AX38">
        <v>0.48574525806451618</v>
      </c>
      <c r="AY38">
        <v>499.98741935483872</v>
      </c>
      <c r="AZ38">
        <v>100.2773548387097</v>
      </c>
      <c r="BA38">
        <v>4.520355161290323E-2</v>
      </c>
      <c r="BB38">
        <v>27.292316129032258</v>
      </c>
      <c r="BC38">
        <v>27.40155161290323</v>
      </c>
      <c r="BD38">
        <v>999.90000000000032</v>
      </c>
      <c r="BE38">
        <v>0</v>
      </c>
      <c r="BF38">
        <v>0</v>
      </c>
      <c r="BG38">
        <v>4999.322580645161</v>
      </c>
      <c r="BH38">
        <v>0.35994032258064518</v>
      </c>
      <c r="BI38">
        <v>0.23331922580645159</v>
      </c>
      <c r="BJ38">
        <v>-1.201257129032258</v>
      </c>
      <c r="BK38">
        <v>12.95513225806452</v>
      </c>
      <c r="BL38">
        <v>14.127970967741939</v>
      </c>
      <c r="BM38">
        <v>1.9698941935483869</v>
      </c>
      <c r="BN38">
        <v>14.1629</v>
      </c>
      <c r="BO38">
        <v>-2.4734187096774192</v>
      </c>
      <c r="BP38">
        <v>-5.0492177419354828E-2</v>
      </c>
      <c r="BQ38">
        <v>-0.2480277096774193</v>
      </c>
      <c r="BR38">
        <v>-99.900000000000034</v>
      </c>
      <c r="BS38">
        <v>-99.900000000000034</v>
      </c>
      <c r="BT38">
        <v>0</v>
      </c>
      <c r="BU38">
        <v>0</v>
      </c>
      <c r="BV38">
        <v>0</v>
      </c>
      <c r="BW38">
        <v>26</v>
      </c>
      <c r="BX38">
        <v>-1</v>
      </c>
      <c r="BY38">
        <v>1775482315.5999999</v>
      </c>
      <c r="BZ38" t="s">
        <v>399</v>
      </c>
      <c r="CA38">
        <v>1775482315.5999999</v>
      </c>
      <c r="CB38">
        <v>1775480969.5</v>
      </c>
      <c r="CC38">
        <v>23</v>
      </c>
      <c r="CD38">
        <v>-5.0000000000000001E-3</v>
      </c>
      <c r="CE38">
        <v>0.19500000000000001</v>
      </c>
      <c r="CF38">
        <v>8.14</v>
      </c>
      <c r="CG38">
        <v>-0.98899999999999999</v>
      </c>
      <c r="CH38">
        <v>15</v>
      </c>
      <c r="CI38">
        <v>-3</v>
      </c>
      <c r="CJ38">
        <v>0.21</v>
      </c>
      <c r="CK38">
        <v>0.06</v>
      </c>
      <c r="CL38">
        <v>13.903563934426231</v>
      </c>
      <c r="CM38">
        <v>1.6838728714965461</v>
      </c>
      <c r="CN38">
        <v>0.32898426293160499</v>
      </c>
      <c r="CO38">
        <v>-1</v>
      </c>
      <c r="CP38">
        <v>499.9882131147541</v>
      </c>
      <c r="CQ38">
        <v>-2.0173453199664421E-2</v>
      </c>
      <c r="CR38">
        <v>5.1914846656934757E-2</v>
      </c>
      <c r="CS38">
        <v>-1</v>
      </c>
      <c r="CT38">
        <v>0</v>
      </c>
      <c r="CU38">
        <v>0</v>
      </c>
      <c r="CV38" t="s">
        <v>333</v>
      </c>
      <c r="CW38">
        <v>3.16751</v>
      </c>
      <c r="CX38">
        <v>2.6661100000000002</v>
      </c>
      <c r="CY38">
        <v>1.54196E-3</v>
      </c>
      <c r="CZ38">
        <v>4.3355800000000003E-3</v>
      </c>
      <c r="DA38">
        <v>3.9187299999999996E-3</v>
      </c>
      <c r="DB38">
        <v>-2.38657E-2</v>
      </c>
      <c r="DC38">
        <v>21560.5</v>
      </c>
      <c r="DD38">
        <v>21866.3</v>
      </c>
      <c r="DE38">
        <v>23123.599999999999</v>
      </c>
      <c r="DF38">
        <v>22315</v>
      </c>
      <c r="DG38">
        <v>29701.4</v>
      </c>
      <c r="DH38">
        <v>27244.799999999999</v>
      </c>
      <c r="DI38">
        <v>40638.9</v>
      </c>
      <c r="DJ38">
        <v>36980.5</v>
      </c>
      <c r="DK38">
        <v>2.0818599999999998</v>
      </c>
      <c r="DL38">
        <v>1.80816</v>
      </c>
      <c r="DM38">
        <v>1.4513699999999999E-2</v>
      </c>
      <c r="DN38">
        <v>0</v>
      </c>
      <c r="DO38">
        <v>27.164999999999999</v>
      </c>
      <c r="DP38">
        <v>999.9</v>
      </c>
      <c r="DQ38">
        <v>80.599999999999994</v>
      </c>
      <c r="DR38">
        <v>27.9</v>
      </c>
      <c r="DS38">
        <v>30.3247</v>
      </c>
      <c r="DT38">
        <v>30.645499999999998</v>
      </c>
      <c r="DU38">
        <v>9.4310899999999993</v>
      </c>
      <c r="DV38">
        <v>1</v>
      </c>
      <c r="DW38">
        <v>0.22704299999999999</v>
      </c>
      <c r="DX38">
        <v>-7.0642700000000003E-2</v>
      </c>
      <c r="DY38">
        <v>20.3673</v>
      </c>
      <c r="DZ38">
        <v>5.2116600000000002</v>
      </c>
      <c r="EA38">
        <v>11.8498</v>
      </c>
      <c r="EB38">
        <v>4.9676799999999997</v>
      </c>
      <c r="EC38">
        <v>3.2921999999999998</v>
      </c>
      <c r="ED38">
        <v>894.7</v>
      </c>
      <c r="EE38">
        <v>0</v>
      </c>
      <c r="EF38">
        <v>4662.3</v>
      </c>
      <c r="EG38">
        <v>109.2</v>
      </c>
      <c r="EH38">
        <v>4.9716100000000001</v>
      </c>
      <c r="EI38">
        <v>1.8717999999999999</v>
      </c>
      <c r="EJ38">
        <v>1.8689</v>
      </c>
      <c r="EK38">
        <v>1.87134</v>
      </c>
      <c r="EL38">
        <v>1.8690500000000001</v>
      </c>
      <c r="EM38">
        <v>1.8680399999999999</v>
      </c>
      <c r="EN38">
        <v>1.86988</v>
      </c>
      <c r="EO38">
        <v>1.8716699999999999</v>
      </c>
      <c r="EP38">
        <v>0</v>
      </c>
      <c r="EQ38">
        <v>0</v>
      </c>
      <c r="ER38">
        <v>0</v>
      </c>
      <c r="ES38">
        <v>0</v>
      </c>
      <c r="ET38" t="s">
        <v>334</v>
      </c>
      <c r="EU38" t="s">
        <v>335</v>
      </c>
      <c r="EV38" t="s">
        <v>336</v>
      </c>
      <c r="EW38" t="s">
        <v>336</v>
      </c>
      <c r="EX38" t="s">
        <v>336</v>
      </c>
      <c r="EY38" t="s">
        <v>336</v>
      </c>
      <c r="EZ38">
        <v>0</v>
      </c>
      <c r="FA38">
        <v>100</v>
      </c>
      <c r="FB38">
        <v>100</v>
      </c>
      <c r="FC38">
        <v>8.14</v>
      </c>
      <c r="FD38">
        <v>-0.98929999999999996</v>
      </c>
      <c r="FE38">
        <v>8.1449274999999979</v>
      </c>
      <c r="FF38">
        <v>0</v>
      </c>
      <c r="FG38">
        <v>0</v>
      </c>
      <c r="FH38">
        <v>0</v>
      </c>
      <c r="FI38">
        <v>-0.98927100000000023</v>
      </c>
      <c r="FJ38">
        <v>0</v>
      </c>
      <c r="FK38">
        <v>0</v>
      </c>
      <c r="FL38">
        <v>0</v>
      </c>
      <c r="FM38">
        <v>-1</v>
      </c>
      <c r="FN38">
        <v>-1</v>
      </c>
      <c r="FO38">
        <v>-1</v>
      </c>
      <c r="FP38">
        <v>-1</v>
      </c>
      <c r="FQ38">
        <v>0.7</v>
      </c>
      <c r="FR38">
        <v>22.2</v>
      </c>
      <c r="FS38">
        <v>0.144043</v>
      </c>
      <c r="FT38">
        <v>4.99756</v>
      </c>
      <c r="FU38">
        <v>1.5979000000000001</v>
      </c>
      <c r="FV38">
        <v>2.16553</v>
      </c>
      <c r="FW38">
        <v>1.5478499999999999</v>
      </c>
      <c r="FX38">
        <v>2.32178</v>
      </c>
      <c r="FY38">
        <v>32.864699999999999</v>
      </c>
      <c r="FZ38">
        <v>16.1722</v>
      </c>
      <c r="GA38">
        <v>3</v>
      </c>
      <c r="GB38">
        <v>496.09399999999999</v>
      </c>
      <c r="GC38">
        <v>411.47899999999998</v>
      </c>
      <c r="GD38">
        <v>27.792100000000001</v>
      </c>
      <c r="GE38">
        <v>30.061199999999999</v>
      </c>
      <c r="GF38">
        <v>30.0002</v>
      </c>
      <c r="GG38">
        <v>30.3081</v>
      </c>
      <c r="GH38">
        <v>30.342600000000001</v>
      </c>
      <c r="GI38">
        <v>-1</v>
      </c>
      <c r="GJ38">
        <v>0</v>
      </c>
      <c r="GK38">
        <v>100</v>
      </c>
      <c r="GL38">
        <v>27.798300000000001</v>
      </c>
      <c r="GM38">
        <v>432.1</v>
      </c>
      <c r="GN38">
        <v>68.912800000000004</v>
      </c>
      <c r="GO38">
        <v>102.294</v>
      </c>
      <c r="GP38">
        <v>96.497100000000003</v>
      </c>
    </row>
    <row r="39" spans="1:198" x14ac:dyDescent="0.35">
      <c r="A39">
        <v>23</v>
      </c>
      <c r="B39">
        <v>1775482358.5999999</v>
      </c>
      <c r="C39">
        <v>1320.099999904633</v>
      </c>
      <c r="D39" t="s">
        <v>400</v>
      </c>
      <c r="E39" t="s">
        <v>401</v>
      </c>
      <c r="F39">
        <v>60</v>
      </c>
      <c r="G39">
        <v>1775482350.599999</v>
      </c>
      <c r="H39">
        <f t="shared" si="0"/>
        <v>3.2410958959547512E-3</v>
      </c>
      <c r="I39">
        <f t="shared" si="1"/>
        <v>3.2410958959547513</v>
      </c>
      <c r="J39">
        <f t="shared" si="2"/>
        <v>1.5305445388351735</v>
      </c>
      <c r="K39">
        <f t="shared" si="3"/>
        <v>13.545834193548391</v>
      </c>
      <c r="L39">
        <f t="shared" si="4"/>
        <v>-14.852759933859057</v>
      </c>
      <c r="M39">
        <f t="shared" si="5"/>
        <v>-1.4900578080162559</v>
      </c>
      <c r="N39">
        <f t="shared" si="6"/>
        <v>1.3589444720087196</v>
      </c>
      <c r="O39">
        <f t="shared" si="7"/>
        <v>8.7610671206898388E-2</v>
      </c>
      <c r="P39">
        <f t="shared" si="8"/>
        <v>2.3926666057412804</v>
      </c>
      <c r="Q39">
        <f t="shared" si="9"/>
        <v>8.5866732394058398E-2</v>
      </c>
      <c r="R39">
        <f t="shared" si="10"/>
        <v>5.3820502386541437E-2</v>
      </c>
      <c r="S39">
        <f t="shared" si="11"/>
        <v>0</v>
      </c>
      <c r="T39">
        <f t="shared" si="12"/>
        <v>26.282444730058415</v>
      </c>
      <c r="U39">
        <f t="shared" si="13"/>
        <v>27.413874193548391</v>
      </c>
      <c r="V39">
        <f t="shared" si="14"/>
        <v>3.6670899593534925</v>
      </c>
      <c r="W39">
        <f t="shared" si="15"/>
        <v>-1.4108524714654631</v>
      </c>
      <c r="X39">
        <f t="shared" si="16"/>
        <v>-5.1388989016447034E-2</v>
      </c>
      <c r="Y39">
        <f t="shared" si="17"/>
        <v>3.6424069883840442</v>
      </c>
      <c r="Z39">
        <f t="shared" si="18"/>
        <v>3.7184789483699396</v>
      </c>
      <c r="AA39">
        <f t="shared" si="19"/>
        <v>-142.93232901160454</v>
      </c>
      <c r="AB39">
        <f t="shared" si="20"/>
        <v>-14.872527760340843</v>
      </c>
      <c r="AC39">
        <f t="shared" si="21"/>
        <v>-1.346243871323348</v>
      </c>
      <c r="AD39">
        <f t="shared" si="22"/>
        <v>-159.15110064326871</v>
      </c>
      <c r="AE39">
        <v>15</v>
      </c>
      <c r="AF39">
        <v>3</v>
      </c>
      <c r="AG39">
        <f t="shared" si="23"/>
        <v>1</v>
      </c>
      <c r="AH39">
        <f t="shared" si="24"/>
        <v>0</v>
      </c>
      <c r="AI39">
        <f t="shared" si="25"/>
        <v>25556.968477534923</v>
      </c>
      <c r="AJ39">
        <f t="shared" si="26"/>
        <v>0</v>
      </c>
      <c r="AK39">
        <f t="shared" si="27"/>
        <v>0</v>
      </c>
      <c r="AL39">
        <f t="shared" si="28"/>
        <v>0</v>
      </c>
      <c r="AM39">
        <f t="shared" si="29"/>
        <v>0</v>
      </c>
      <c r="AN39">
        <v>3</v>
      </c>
      <c r="AO39">
        <v>0.5</v>
      </c>
      <c r="AP39" t="s">
        <v>331</v>
      </c>
      <c r="AQ39">
        <v>2</v>
      </c>
      <c r="AR39">
        <v>1775482350.599999</v>
      </c>
      <c r="AS39">
        <v>13.545834193548391</v>
      </c>
      <c r="AT39">
        <v>14.490500000000001</v>
      </c>
      <c r="AU39">
        <v>-0.51224074193548386</v>
      </c>
      <c r="AV39">
        <v>-2.4578883870967738</v>
      </c>
      <c r="AW39">
        <v>5.4448341935483846</v>
      </c>
      <c r="AX39">
        <v>0.4770302580645161</v>
      </c>
      <c r="AY39">
        <v>500.00154838709682</v>
      </c>
      <c r="AZ39">
        <v>100.27709677419359</v>
      </c>
      <c r="BA39">
        <v>4.4851109677419357E-2</v>
      </c>
      <c r="BB39">
        <v>27.298577419354839</v>
      </c>
      <c r="BC39">
        <v>27.413874193548391</v>
      </c>
      <c r="BD39">
        <v>999.90000000000032</v>
      </c>
      <c r="BE39">
        <v>0</v>
      </c>
      <c r="BF39">
        <v>0</v>
      </c>
      <c r="BG39">
        <v>4998.0967741935483</v>
      </c>
      <c r="BH39">
        <v>0.37476654838709672</v>
      </c>
      <c r="BI39">
        <v>0.23331922580645159</v>
      </c>
      <c r="BJ39">
        <v>-0.905677741935484</v>
      </c>
      <c r="BK39">
        <v>13.577864516129029</v>
      </c>
      <c r="BL39">
        <v>14.454980645161291</v>
      </c>
      <c r="BM39">
        <v>1.945647096774193</v>
      </c>
      <c r="BN39">
        <v>14.490500000000001</v>
      </c>
      <c r="BO39">
        <v>-2.4578883870967738</v>
      </c>
      <c r="BP39">
        <v>-5.136602580645161E-2</v>
      </c>
      <c r="BQ39">
        <v>-0.246469935483871</v>
      </c>
      <c r="BR39">
        <v>-99.900000000000034</v>
      </c>
      <c r="BS39">
        <v>-99.900000000000034</v>
      </c>
      <c r="BT39">
        <v>0</v>
      </c>
      <c r="BU39">
        <v>0</v>
      </c>
      <c r="BV39">
        <v>0</v>
      </c>
      <c r="BW39">
        <v>26</v>
      </c>
      <c r="BX39">
        <v>-1</v>
      </c>
      <c r="BY39">
        <v>1775482375.5999999</v>
      </c>
      <c r="BZ39" t="s">
        <v>402</v>
      </c>
      <c r="CA39">
        <v>1775482375.5999999</v>
      </c>
      <c r="CB39">
        <v>1775480969.5</v>
      </c>
      <c r="CC39">
        <v>24</v>
      </c>
      <c r="CD39">
        <v>-3.9E-2</v>
      </c>
      <c r="CE39">
        <v>0.19500000000000001</v>
      </c>
      <c r="CF39">
        <v>8.1010000000000009</v>
      </c>
      <c r="CG39">
        <v>-0.98899999999999999</v>
      </c>
      <c r="CH39">
        <v>14</v>
      </c>
      <c r="CI39">
        <v>-3</v>
      </c>
      <c r="CJ39">
        <v>0.37</v>
      </c>
      <c r="CK39">
        <v>0.06</v>
      </c>
      <c r="CL39">
        <v>14.393118333333341</v>
      </c>
      <c r="CM39">
        <v>0.54028774659631118</v>
      </c>
      <c r="CN39">
        <v>0.14795830098563431</v>
      </c>
      <c r="CO39">
        <v>-1</v>
      </c>
      <c r="CP39">
        <v>499.99416666666667</v>
      </c>
      <c r="CQ39">
        <v>-8.1756043327777233E-3</v>
      </c>
      <c r="CR39">
        <v>6.3125844328789052E-2</v>
      </c>
      <c r="CS39">
        <v>-1</v>
      </c>
      <c r="CT39">
        <v>0</v>
      </c>
      <c r="CU39">
        <v>0</v>
      </c>
      <c r="CV39" t="s">
        <v>333</v>
      </c>
      <c r="CW39">
        <v>3.1675599999999999</v>
      </c>
      <c r="CX39">
        <v>2.6658599999999999</v>
      </c>
      <c r="CY39">
        <v>1.6332E-3</v>
      </c>
      <c r="CZ39">
        <v>4.3552199999999999E-3</v>
      </c>
      <c r="DA39">
        <v>3.7873799999999999E-3</v>
      </c>
      <c r="DB39">
        <v>-2.3678299999999999E-2</v>
      </c>
      <c r="DC39">
        <v>21557.8</v>
      </c>
      <c r="DD39">
        <v>21866</v>
      </c>
      <c r="DE39">
        <v>23122.799999999999</v>
      </c>
      <c r="DF39">
        <v>22315.200000000001</v>
      </c>
      <c r="DG39">
        <v>29704.3</v>
      </c>
      <c r="DH39">
        <v>27240</v>
      </c>
      <c r="DI39">
        <v>40637.5</v>
      </c>
      <c r="DJ39">
        <v>36980.800000000003</v>
      </c>
      <c r="DK39">
        <v>2.0819200000000002</v>
      </c>
      <c r="DL39">
        <v>1.80714</v>
      </c>
      <c r="DM39">
        <v>1.6093300000000001E-2</v>
      </c>
      <c r="DN39">
        <v>0</v>
      </c>
      <c r="DO39">
        <v>27.153600000000001</v>
      </c>
      <c r="DP39">
        <v>999.9</v>
      </c>
      <c r="DQ39">
        <v>80.5</v>
      </c>
      <c r="DR39">
        <v>27.9</v>
      </c>
      <c r="DS39">
        <v>30.285699999999999</v>
      </c>
      <c r="DT39">
        <v>30.645499999999998</v>
      </c>
      <c r="DU39">
        <v>9.6634600000000006</v>
      </c>
      <c r="DV39">
        <v>1</v>
      </c>
      <c r="DW39">
        <v>0.228325</v>
      </c>
      <c r="DX39">
        <v>-5.47734E-2</v>
      </c>
      <c r="DY39">
        <v>20.3674</v>
      </c>
      <c r="DZ39">
        <v>5.2109399999999999</v>
      </c>
      <c r="EA39">
        <v>11.8491</v>
      </c>
      <c r="EB39">
        <v>4.9677600000000002</v>
      </c>
      <c r="EC39">
        <v>3.2921800000000001</v>
      </c>
      <c r="ED39">
        <v>894.7</v>
      </c>
      <c r="EE39">
        <v>0</v>
      </c>
      <c r="EF39">
        <v>4691.3999999999996</v>
      </c>
      <c r="EG39">
        <v>109.2</v>
      </c>
      <c r="EH39">
        <v>4.9716399999999998</v>
      </c>
      <c r="EI39">
        <v>1.8717999999999999</v>
      </c>
      <c r="EJ39">
        <v>1.8689</v>
      </c>
      <c r="EK39">
        <v>1.8713500000000001</v>
      </c>
      <c r="EL39">
        <v>1.8690500000000001</v>
      </c>
      <c r="EM39">
        <v>1.8680699999999999</v>
      </c>
      <c r="EN39">
        <v>1.86985</v>
      </c>
      <c r="EO39">
        <v>1.87165</v>
      </c>
      <c r="EP39">
        <v>0</v>
      </c>
      <c r="EQ39">
        <v>0</v>
      </c>
      <c r="ER39">
        <v>0</v>
      </c>
      <c r="ES39">
        <v>0</v>
      </c>
      <c r="ET39" t="s">
        <v>334</v>
      </c>
      <c r="EU39" t="s">
        <v>335</v>
      </c>
      <c r="EV39" t="s">
        <v>336</v>
      </c>
      <c r="EW39" t="s">
        <v>336</v>
      </c>
      <c r="EX39" t="s">
        <v>336</v>
      </c>
      <c r="EY39" t="s">
        <v>336</v>
      </c>
      <c r="EZ39">
        <v>0</v>
      </c>
      <c r="FA39">
        <v>100</v>
      </c>
      <c r="FB39">
        <v>100</v>
      </c>
      <c r="FC39">
        <v>8.1010000000000009</v>
      </c>
      <c r="FD39">
        <v>-0.98929999999999996</v>
      </c>
      <c r="FE39">
        <v>8.1399924999999982</v>
      </c>
      <c r="FF39">
        <v>0</v>
      </c>
      <c r="FG39">
        <v>0</v>
      </c>
      <c r="FH39">
        <v>0</v>
      </c>
      <c r="FI39">
        <v>-0.98927100000000023</v>
      </c>
      <c r="FJ39">
        <v>0</v>
      </c>
      <c r="FK39">
        <v>0</v>
      </c>
      <c r="FL39">
        <v>0</v>
      </c>
      <c r="FM39">
        <v>-1</v>
      </c>
      <c r="FN39">
        <v>-1</v>
      </c>
      <c r="FO39">
        <v>-1</v>
      </c>
      <c r="FP39">
        <v>-1</v>
      </c>
      <c r="FQ39">
        <v>0.7</v>
      </c>
      <c r="FR39">
        <v>23.2</v>
      </c>
      <c r="FS39">
        <v>0.144043</v>
      </c>
      <c r="FT39">
        <v>4.99756</v>
      </c>
      <c r="FU39">
        <v>1.5979000000000001</v>
      </c>
      <c r="FV39">
        <v>2.16675</v>
      </c>
      <c r="FW39">
        <v>1.5478499999999999</v>
      </c>
      <c r="FX39">
        <v>2.3754900000000001</v>
      </c>
      <c r="FY39">
        <v>32.909199999999998</v>
      </c>
      <c r="FZ39">
        <v>16.163399999999999</v>
      </c>
      <c r="GA39">
        <v>3</v>
      </c>
      <c r="GB39">
        <v>496.33</v>
      </c>
      <c r="GC39">
        <v>411.07600000000002</v>
      </c>
      <c r="GD39">
        <v>27.785799999999998</v>
      </c>
      <c r="GE39">
        <v>30.081399999999999</v>
      </c>
      <c r="GF39">
        <v>30.0002</v>
      </c>
      <c r="GG39">
        <v>30.334499999999998</v>
      </c>
      <c r="GH39">
        <v>30.370799999999999</v>
      </c>
      <c r="GI39">
        <v>-1</v>
      </c>
      <c r="GJ39">
        <v>0</v>
      </c>
      <c r="GK39">
        <v>100</v>
      </c>
      <c r="GL39">
        <v>27.7898</v>
      </c>
      <c r="GM39">
        <v>432.1</v>
      </c>
      <c r="GN39">
        <v>68.912800000000004</v>
      </c>
      <c r="GO39">
        <v>102.291</v>
      </c>
      <c r="GP39">
        <v>96.497799999999998</v>
      </c>
    </row>
    <row r="40" spans="1:198" x14ac:dyDescent="0.35">
      <c r="A40">
        <v>24</v>
      </c>
      <c r="B40">
        <v>1775482418.5999999</v>
      </c>
      <c r="C40">
        <v>1380.099999904633</v>
      </c>
      <c r="D40" t="s">
        <v>403</v>
      </c>
      <c r="E40" t="s">
        <v>404</v>
      </c>
      <c r="F40">
        <v>60</v>
      </c>
      <c r="G40">
        <v>1775482410.599999</v>
      </c>
      <c r="H40">
        <f t="shared" si="0"/>
        <v>3.2266032819133149E-3</v>
      </c>
      <c r="I40">
        <f t="shared" si="1"/>
        <v>3.2266032819133148</v>
      </c>
      <c r="J40">
        <f t="shared" si="2"/>
        <v>0.98371126118778918</v>
      </c>
      <c r="K40">
        <f t="shared" si="3"/>
        <v>14.042896129032259</v>
      </c>
      <c r="L40">
        <f t="shared" si="4"/>
        <v>-4.5899096879161521</v>
      </c>
      <c r="M40">
        <f t="shared" si="5"/>
        <v>-0.46046406410489021</v>
      </c>
      <c r="N40">
        <f t="shared" si="6"/>
        <v>1.4087965696581586</v>
      </c>
      <c r="O40">
        <f t="shared" si="7"/>
        <v>8.7265121495085543E-2</v>
      </c>
      <c r="P40">
        <f t="shared" si="8"/>
        <v>2.3958875499658174</v>
      </c>
      <c r="Q40">
        <f t="shared" si="9"/>
        <v>8.5537042442299635E-2</v>
      </c>
      <c r="R40">
        <f t="shared" si="10"/>
        <v>5.3613062334204473E-2</v>
      </c>
      <c r="S40">
        <f t="shared" si="11"/>
        <v>0</v>
      </c>
      <c r="T40">
        <f t="shared" si="12"/>
        <v>26.290169518062058</v>
      </c>
      <c r="U40">
        <f t="shared" si="13"/>
        <v>27.40504838709677</v>
      </c>
      <c r="V40">
        <f t="shared" si="14"/>
        <v>3.6651953666773069</v>
      </c>
      <c r="W40">
        <f t="shared" si="15"/>
        <v>-1.3976374486085104</v>
      </c>
      <c r="X40">
        <f t="shared" si="16"/>
        <v>-5.0913408852443789E-2</v>
      </c>
      <c r="Y40">
        <f t="shared" si="17"/>
        <v>3.6428194524361985</v>
      </c>
      <c r="Z40">
        <f t="shared" si="18"/>
        <v>3.7161087755297508</v>
      </c>
      <c r="AA40">
        <f t="shared" si="19"/>
        <v>-142.29320473237718</v>
      </c>
      <c r="AB40">
        <f t="shared" si="20"/>
        <v>-13.502960878919156</v>
      </c>
      <c r="AC40">
        <f t="shared" si="21"/>
        <v>-1.2205870657379863</v>
      </c>
      <c r="AD40">
        <f t="shared" si="22"/>
        <v>-157.01675267703433</v>
      </c>
      <c r="AE40">
        <v>15</v>
      </c>
      <c r="AF40">
        <v>3</v>
      </c>
      <c r="AG40">
        <f t="shared" si="23"/>
        <v>1</v>
      </c>
      <c r="AH40">
        <f t="shared" si="24"/>
        <v>0</v>
      </c>
      <c r="AI40">
        <f t="shared" si="25"/>
        <v>25605.83975350282</v>
      </c>
      <c r="AJ40">
        <f t="shared" si="26"/>
        <v>0</v>
      </c>
      <c r="AK40">
        <f t="shared" si="27"/>
        <v>0</v>
      </c>
      <c r="AL40">
        <f t="shared" si="28"/>
        <v>0</v>
      </c>
      <c r="AM40">
        <f t="shared" si="29"/>
        <v>0</v>
      </c>
      <c r="AN40">
        <v>3</v>
      </c>
      <c r="AO40">
        <v>0.5</v>
      </c>
      <c r="AP40" t="s">
        <v>331</v>
      </c>
      <c r="AQ40">
        <v>2</v>
      </c>
      <c r="AR40">
        <v>1775482410.599999</v>
      </c>
      <c r="AS40">
        <v>14.042896129032259</v>
      </c>
      <c r="AT40">
        <v>14.66030967741936</v>
      </c>
      <c r="AU40">
        <v>-0.50750529032258074</v>
      </c>
      <c r="AV40">
        <v>-2.4444506451612908</v>
      </c>
      <c r="AW40">
        <v>5.9688961290322577</v>
      </c>
      <c r="AX40">
        <v>0.48176570967741927</v>
      </c>
      <c r="AY40">
        <v>499.99977419354838</v>
      </c>
      <c r="AZ40">
        <v>100.2757096774194</v>
      </c>
      <c r="BA40">
        <v>4.5232435483870972E-2</v>
      </c>
      <c r="BB40">
        <v>27.300509677419349</v>
      </c>
      <c r="BC40">
        <v>27.40504838709677</v>
      </c>
      <c r="BD40">
        <v>999.90000000000032</v>
      </c>
      <c r="BE40">
        <v>0</v>
      </c>
      <c r="BF40">
        <v>0</v>
      </c>
      <c r="BG40">
        <v>5006.4516129032254</v>
      </c>
      <c r="BH40">
        <v>0.38416899999999998</v>
      </c>
      <c r="BI40">
        <v>0.23331922580645159</v>
      </c>
      <c r="BJ40">
        <v>-0.59066736451612878</v>
      </c>
      <c r="BK40">
        <v>14.06251290322581</v>
      </c>
      <c r="BL40">
        <v>14.62456129032258</v>
      </c>
      <c r="BM40">
        <v>1.9369441935483871</v>
      </c>
      <c r="BN40">
        <v>14.66030967741936</v>
      </c>
      <c r="BO40">
        <v>-2.4444506451612908</v>
      </c>
      <c r="BP40">
        <v>-5.0890441935483872E-2</v>
      </c>
      <c r="BQ40">
        <v>-0.2451189032258064</v>
      </c>
      <c r="BR40">
        <v>-99.900000000000034</v>
      </c>
      <c r="BS40">
        <v>-99.900000000000034</v>
      </c>
      <c r="BT40">
        <v>0</v>
      </c>
      <c r="BU40">
        <v>0</v>
      </c>
      <c r="BV40">
        <v>0</v>
      </c>
      <c r="BW40">
        <v>26</v>
      </c>
      <c r="BX40">
        <v>-1</v>
      </c>
      <c r="BY40">
        <v>1775482438.0999999</v>
      </c>
      <c r="BZ40" t="s">
        <v>405</v>
      </c>
      <c r="CA40">
        <v>1775482438.0999999</v>
      </c>
      <c r="CB40">
        <v>1775480969.5</v>
      </c>
      <c r="CC40">
        <v>25</v>
      </c>
      <c r="CD40">
        <v>-2.7E-2</v>
      </c>
      <c r="CE40">
        <v>0.19500000000000001</v>
      </c>
      <c r="CF40">
        <v>8.0739999999999998</v>
      </c>
      <c r="CG40">
        <v>-0.98899999999999999</v>
      </c>
      <c r="CH40">
        <v>13</v>
      </c>
      <c r="CI40">
        <v>-3</v>
      </c>
      <c r="CJ40">
        <v>0.43</v>
      </c>
      <c r="CK40">
        <v>0.06</v>
      </c>
      <c r="CL40">
        <v>14.7610737704918</v>
      </c>
      <c r="CM40">
        <v>-1.694327657324177</v>
      </c>
      <c r="CN40">
        <v>0.67154941785656275</v>
      </c>
      <c r="CO40">
        <v>-1</v>
      </c>
      <c r="CP40">
        <v>499.99868852459019</v>
      </c>
      <c r="CQ40">
        <v>7.1010047603447604E-3</v>
      </c>
      <c r="CR40">
        <v>5.7990259494015838E-2</v>
      </c>
      <c r="CS40">
        <v>-1</v>
      </c>
      <c r="CT40">
        <v>0</v>
      </c>
      <c r="CU40">
        <v>0</v>
      </c>
      <c r="CV40" t="s">
        <v>333</v>
      </c>
      <c r="CW40">
        <v>3.16743</v>
      </c>
      <c r="CX40">
        <v>2.6659999999999999</v>
      </c>
      <c r="CY40">
        <v>1.5917500000000001E-3</v>
      </c>
      <c r="CZ40">
        <v>3.7563100000000001E-3</v>
      </c>
      <c r="DA40">
        <v>3.8944399999999999E-3</v>
      </c>
      <c r="DB40">
        <v>-2.3519399999999999E-2</v>
      </c>
      <c r="DC40">
        <v>21557.599999999999</v>
      </c>
      <c r="DD40">
        <v>21879.4</v>
      </c>
      <c r="DE40">
        <v>23121.7</v>
      </c>
      <c r="DF40">
        <v>22315.5</v>
      </c>
      <c r="DG40">
        <v>29699.9</v>
      </c>
      <c r="DH40">
        <v>27236.3</v>
      </c>
      <c r="DI40">
        <v>40635.9</v>
      </c>
      <c r="DJ40">
        <v>36981.4</v>
      </c>
      <c r="DK40">
        <v>2.0815800000000002</v>
      </c>
      <c r="DL40">
        <v>1.80684</v>
      </c>
      <c r="DM40">
        <v>1.6361500000000001E-2</v>
      </c>
      <c r="DN40">
        <v>0</v>
      </c>
      <c r="DO40">
        <v>27.1328</v>
      </c>
      <c r="DP40">
        <v>999.9</v>
      </c>
      <c r="DQ40">
        <v>80.400000000000006</v>
      </c>
      <c r="DR40">
        <v>28</v>
      </c>
      <c r="DS40">
        <v>30.423100000000002</v>
      </c>
      <c r="DT40">
        <v>30.5855</v>
      </c>
      <c r="DU40">
        <v>9.7996800000000004</v>
      </c>
      <c r="DV40">
        <v>1</v>
      </c>
      <c r="DW40">
        <v>0.22898399999999999</v>
      </c>
      <c r="DX40">
        <v>-5.3823500000000003E-2</v>
      </c>
      <c r="DY40">
        <v>20.3675</v>
      </c>
      <c r="DZ40">
        <v>5.2112999999999996</v>
      </c>
      <c r="EA40">
        <v>11.8483</v>
      </c>
      <c r="EB40">
        <v>4.9677600000000002</v>
      </c>
      <c r="EC40">
        <v>3.2920600000000002</v>
      </c>
      <c r="ED40">
        <v>894.7</v>
      </c>
      <c r="EE40">
        <v>0</v>
      </c>
      <c r="EF40">
        <v>4720.2</v>
      </c>
      <c r="EG40">
        <v>109.2</v>
      </c>
      <c r="EH40">
        <v>4.9716300000000002</v>
      </c>
      <c r="EI40">
        <v>1.8717999999999999</v>
      </c>
      <c r="EJ40">
        <v>1.8689</v>
      </c>
      <c r="EK40">
        <v>1.87134</v>
      </c>
      <c r="EL40">
        <v>1.8690500000000001</v>
      </c>
      <c r="EM40">
        <v>1.8680399999999999</v>
      </c>
      <c r="EN40">
        <v>1.86988</v>
      </c>
      <c r="EO40">
        <v>1.8716600000000001</v>
      </c>
      <c r="EP40">
        <v>0</v>
      </c>
      <c r="EQ40">
        <v>0</v>
      </c>
      <c r="ER40">
        <v>0</v>
      </c>
      <c r="ES40">
        <v>0</v>
      </c>
      <c r="ET40" t="s">
        <v>334</v>
      </c>
      <c r="EU40" t="s">
        <v>335</v>
      </c>
      <c r="EV40" t="s">
        <v>336</v>
      </c>
      <c r="EW40" t="s">
        <v>336</v>
      </c>
      <c r="EX40" t="s">
        <v>336</v>
      </c>
      <c r="EY40" t="s">
        <v>336</v>
      </c>
      <c r="EZ40">
        <v>0</v>
      </c>
      <c r="FA40">
        <v>100</v>
      </c>
      <c r="FB40">
        <v>100</v>
      </c>
      <c r="FC40">
        <v>8.0739999999999998</v>
      </c>
      <c r="FD40">
        <v>-0.98929999999999996</v>
      </c>
      <c r="FE40">
        <v>8.1007505000000002</v>
      </c>
      <c r="FF40">
        <v>0</v>
      </c>
      <c r="FG40">
        <v>0</v>
      </c>
      <c r="FH40">
        <v>0</v>
      </c>
      <c r="FI40">
        <v>-0.98927100000000023</v>
      </c>
      <c r="FJ40">
        <v>0</v>
      </c>
      <c r="FK40">
        <v>0</v>
      </c>
      <c r="FL40">
        <v>0</v>
      </c>
      <c r="FM40">
        <v>-1</v>
      </c>
      <c r="FN40">
        <v>-1</v>
      </c>
      <c r="FO40">
        <v>-1</v>
      </c>
      <c r="FP40">
        <v>-1</v>
      </c>
      <c r="FQ40">
        <v>0.7</v>
      </c>
      <c r="FR40">
        <v>24.2</v>
      </c>
      <c r="FS40">
        <v>0.144043</v>
      </c>
      <c r="FT40">
        <v>4.99756</v>
      </c>
      <c r="FU40">
        <v>1.5979000000000001</v>
      </c>
      <c r="FV40">
        <v>2.16553</v>
      </c>
      <c r="FW40">
        <v>1.5478499999999999</v>
      </c>
      <c r="FX40">
        <v>2.3925800000000002</v>
      </c>
      <c r="FY40">
        <v>32.9315</v>
      </c>
      <c r="FZ40">
        <v>16.1722</v>
      </c>
      <c r="GA40">
        <v>3</v>
      </c>
      <c r="GB40">
        <v>496.291</v>
      </c>
      <c r="GC40">
        <v>411.04500000000002</v>
      </c>
      <c r="GD40">
        <v>27.798200000000001</v>
      </c>
      <c r="GE40">
        <v>30.093399999999999</v>
      </c>
      <c r="GF40">
        <v>30.0002</v>
      </c>
      <c r="GG40">
        <v>30.3552</v>
      </c>
      <c r="GH40">
        <v>30.392399999999999</v>
      </c>
      <c r="GI40">
        <v>-1</v>
      </c>
      <c r="GJ40">
        <v>0</v>
      </c>
      <c r="GK40">
        <v>100</v>
      </c>
      <c r="GL40">
        <v>27.8005</v>
      </c>
      <c r="GM40">
        <v>432.1</v>
      </c>
      <c r="GN40">
        <v>68.912800000000004</v>
      </c>
      <c r="GO40">
        <v>102.28700000000001</v>
      </c>
      <c r="GP40">
        <v>96.499300000000005</v>
      </c>
    </row>
    <row r="41" spans="1:198" x14ac:dyDescent="0.35">
      <c r="A41">
        <v>25</v>
      </c>
      <c r="B41">
        <v>1775482478.5999999</v>
      </c>
      <c r="C41">
        <v>1440.099999904633</v>
      </c>
      <c r="D41" t="s">
        <v>406</v>
      </c>
      <c r="E41" t="s">
        <v>407</v>
      </c>
      <c r="F41">
        <v>60</v>
      </c>
      <c r="G41">
        <v>1775482470.849999</v>
      </c>
      <c r="H41">
        <f t="shared" si="0"/>
        <v>3.21140616448937E-3</v>
      </c>
      <c r="I41">
        <f t="shared" si="1"/>
        <v>3.2114061644893699</v>
      </c>
      <c r="J41">
        <f t="shared" si="2"/>
        <v>1.1129210400164924</v>
      </c>
      <c r="K41">
        <f t="shared" si="3"/>
        <v>11.631746</v>
      </c>
      <c r="L41">
        <f t="shared" si="4"/>
        <v>-9.2930874576240612</v>
      </c>
      <c r="M41">
        <f t="shared" si="5"/>
        <v>-0.9322996744149834</v>
      </c>
      <c r="N41">
        <f t="shared" si="6"/>
        <v>1.1669182129326814</v>
      </c>
      <c r="O41">
        <f t="shared" si="7"/>
        <v>8.6857522932279094E-2</v>
      </c>
      <c r="P41">
        <f t="shared" si="8"/>
        <v>2.3937520329326407</v>
      </c>
      <c r="Q41">
        <f t="shared" si="9"/>
        <v>8.5143883592456365E-2</v>
      </c>
      <c r="R41">
        <f t="shared" si="10"/>
        <v>5.3366074980130226E-2</v>
      </c>
      <c r="S41">
        <f t="shared" si="11"/>
        <v>0</v>
      </c>
      <c r="T41">
        <f t="shared" si="12"/>
        <v>26.294619541291635</v>
      </c>
      <c r="U41">
        <f t="shared" si="13"/>
        <v>27.40303333333333</v>
      </c>
      <c r="V41">
        <f t="shared" si="14"/>
        <v>3.6647629247524387</v>
      </c>
      <c r="W41">
        <f t="shared" si="15"/>
        <v>-1.399010710738041</v>
      </c>
      <c r="X41">
        <f t="shared" si="16"/>
        <v>-5.0964968369345276E-2</v>
      </c>
      <c r="Y41">
        <f t="shared" si="17"/>
        <v>3.6429291054147086</v>
      </c>
      <c r="Z41">
        <f t="shared" si="18"/>
        <v>3.7157278931217839</v>
      </c>
      <c r="AA41">
        <f t="shared" si="19"/>
        <v>-141.62301185398121</v>
      </c>
      <c r="AB41">
        <f t="shared" si="20"/>
        <v>-13.164590398741369</v>
      </c>
      <c r="AC41">
        <f t="shared" si="21"/>
        <v>-1.1910530861656481</v>
      </c>
      <c r="AD41">
        <f t="shared" si="22"/>
        <v>-155.97865533888825</v>
      </c>
      <c r="AE41">
        <v>15</v>
      </c>
      <c r="AF41">
        <v>3</v>
      </c>
      <c r="AG41">
        <f t="shared" si="23"/>
        <v>1</v>
      </c>
      <c r="AH41">
        <f t="shared" si="24"/>
        <v>0</v>
      </c>
      <c r="AI41">
        <f t="shared" si="25"/>
        <v>25573.274423219584</v>
      </c>
      <c r="AJ41">
        <f t="shared" si="26"/>
        <v>0</v>
      </c>
      <c r="AK41">
        <f t="shared" si="27"/>
        <v>0</v>
      </c>
      <c r="AL41">
        <f t="shared" si="28"/>
        <v>0</v>
      </c>
      <c r="AM41">
        <f t="shared" si="29"/>
        <v>0</v>
      </c>
      <c r="AN41">
        <v>3</v>
      </c>
      <c r="AO41">
        <v>0.5</v>
      </c>
      <c r="AP41" t="s">
        <v>331</v>
      </c>
      <c r="AQ41">
        <v>2</v>
      </c>
      <c r="AR41">
        <v>1775482470.849999</v>
      </c>
      <c r="AS41">
        <v>11.631746</v>
      </c>
      <c r="AT41">
        <v>12.321899999999999</v>
      </c>
      <c r="AU41">
        <v>-0.50801466666666661</v>
      </c>
      <c r="AV41">
        <v>-2.435805999999999</v>
      </c>
      <c r="AW41">
        <v>3.5137460000000011</v>
      </c>
      <c r="AX41">
        <v>0.48125630000000003</v>
      </c>
      <c r="AY41">
        <v>500.00810000000001</v>
      </c>
      <c r="AZ41">
        <v>100.27686666666661</v>
      </c>
      <c r="BA41">
        <v>4.4977786666666672E-2</v>
      </c>
      <c r="BB41">
        <v>27.30102333333333</v>
      </c>
      <c r="BC41">
        <v>27.40303333333333</v>
      </c>
      <c r="BD41">
        <v>999.9000000000002</v>
      </c>
      <c r="BE41">
        <v>0</v>
      </c>
      <c r="BF41">
        <v>0</v>
      </c>
      <c r="BG41">
        <v>5000.8999999999996</v>
      </c>
      <c r="BH41">
        <v>0.38277066666666659</v>
      </c>
      <c r="BI41">
        <v>0.23344266666666669</v>
      </c>
      <c r="BJ41">
        <v>-0.7342734666666666</v>
      </c>
      <c r="BK41">
        <v>11.58174</v>
      </c>
      <c r="BL41">
        <v>12.29196</v>
      </c>
      <c r="BM41">
        <v>1.927791333333333</v>
      </c>
      <c r="BN41">
        <v>12.321899999999999</v>
      </c>
      <c r="BO41">
        <v>-2.435805999999999</v>
      </c>
      <c r="BP41">
        <v>-5.0942110000000013E-2</v>
      </c>
      <c r="BQ41">
        <v>-0.24425506666666669</v>
      </c>
      <c r="BR41">
        <v>-99.900000000000034</v>
      </c>
      <c r="BS41">
        <v>-99.900000000000034</v>
      </c>
      <c r="BT41">
        <v>0</v>
      </c>
      <c r="BU41">
        <v>0</v>
      </c>
      <c r="BV41">
        <v>0</v>
      </c>
      <c r="BW41">
        <v>26</v>
      </c>
      <c r="BX41">
        <v>-1</v>
      </c>
      <c r="BY41">
        <v>1775482495.5999999</v>
      </c>
      <c r="BZ41" t="s">
        <v>408</v>
      </c>
      <c r="CA41">
        <v>1775482495.5999999</v>
      </c>
      <c r="CB41">
        <v>1775480969.5</v>
      </c>
      <c r="CC41">
        <v>26</v>
      </c>
      <c r="CD41">
        <v>4.3999999999999997E-2</v>
      </c>
      <c r="CE41">
        <v>0.19500000000000001</v>
      </c>
      <c r="CF41">
        <v>8.1180000000000003</v>
      </c>
      <c r="CG41">
        <v>-0.98899999999999999</v>
      </c>
      <c r="CH41">
        <v>13</v>
      </c>
      <c r="CI41">
        <v>-3</v>
      </c>
      <c r="CJ41">
        <v>0.22</v>
      </c>
      <c r="CK41">
        <v>0.06</v>
      </c>
      <c r="CL41">
        <v>12.566054098360659</v>
      </c>
      <c r="CM41">
        <v>-1.5708590163934619</v>
      </c>
      <c r="CN41">
        <v>0.32276717771141727</v>
      </c>
      <c r="CO41">
        <v>-1</v>
      </c>
      <c r="CP41">
        <v>500.00177049180331</v>
      </c>
      <c r="CQ41">
        <v>3.052353251895683E-3</v>
      </c>
      <c r="CR41">
        <v>6.2860343109337996E-2</v>
      </c>
      <c r="CS41">
        <v>-1</v>
      </c>
      <c r="CT41">
        <v>0</v>
      </c>
      <c r="CU41">
        <v>0</v>
      </c>
      <c r="CV41" t="s">
        <v>333</v>
      </c>
      <c r="CW41">
        <v>3.1675200000000001</v>
      </c>
      <c r="CX41">
        <v>2.6665100000000002</v>
      </c>
      <c r="CY41">
        <v>1.0479899999999999E-3</v>
      </c>
      <c r="CZ41">
        <v>3.7713299999999998E-3</v>
      </c>
      <c r="DA41">
        <v>3.8708700000000002E-3</v>
      </c>
      <c r="DB41">
        <v>-2.3414999999999998E-2</v>
      </c>
      <c r="DC41">
        <v>21568.6</v>
      </c>
      <c r="DD41">
        <v>21879</v>
      </c>
      <c r="DE41">
        <v>23121</v>
      </c>
      <c r="DF41">
        <v>22315.4</v>
      </c>
      <c r="DG41">
        <v>29699.8</v>
      </c>
      <c r="DH41">
        <v>27233.200000000001</v>
      </c>
      <c r="DI41">
        <v>40634.9</v>
      </c>
      <c r="DJ41">
        <v>36980.9</v>
      </c>
      <c r="DK41">
        <v>2.0813799999999998</v>
      </c>
      <c r="DL41">
        <v>1.8067200000000001</v>
      </c>
      <c r="DM41">
        <v>1.6689300000000001E-2</v>
      </c>
      <c r="DN41">
        <v>0</v>
      </c>
      <c r="DO41">
        <v>27.131799999999998</v>
      </c>
      <c r="DP41">
        <v>999.9</v>
      </c>
      <c r="DQ41">
        <v>80.3</v>
      </c>
      <c r="DR41">
        <v>28</v>
      </c>
      <c r="DS41">
        <v>30.391200000000001</v>
      </c>
      <c r="DT41">
        <v>30.735499999999998</v>
      </c>
      <c r="DU41">
        <v>9.4871800000000004</v>
      </c>
      <c r="DV41">
        <v>1</v>
      </c>
      <c r="DW41">
        <v>0.23006099999999999</v>
      </c>
      <c r="DX41">
        <v>-5.3899799999999998E-2</v>
      </c>
      <c r="DY41">
        <v>20.3674</v>
      </c>
      <c r="DZ41">
        <v>5.2117800000000001</v>
      </c>
      <c r="EA41">
        <v>11.849399999999999</v>
      </c>
      <c r="EB41">
        <v>4.9677199999999999</v>
      </c>
      <c r="EC41">
        <v>3.2921800000000001</v>
      </c>
      <c r="ED41">
        <v>894.7</v>
      </c>
      <c r="EE41">
        <v>0</v>
      </c>
      <c r="EF41">
        <v>4743.7</v>
      </c>
      <c r="EG41">
        <v>109.2</v>
      </c>
      <c r="EH41">
        <v>4.9716300000000002</v>
      </c>
      <c r="EI41">
        <v>1.8717999999999999</v>
      </c>
      <c r="EJ41">
        <v>1.8689</v>
      </c>
      <c r="EK41">
        <v>1.87134</v>
      </c>
      <c r="EL41">
        <v>1.8690500000000001</v>
      </c>
      <c r="EM41">
        <v>1.86802</v>
      </c>
      <c r="EN41">
        <v>1.8699300000000001</v>
      </c>
      <c r="EO41">
        <v>1.87165</v>
      </c>
      <c r="EP41">
        <v>0</v>
      </c>
      <c r="EQ41">
        <v>0</v>
      </c>
      <c r="ER41">
        <v>0</v>
      </c>
      <c r="ES41">
        <v>0</v>
      </c>
      <c r="ET41" t="s">
        <v>334</v>
      </c>
      <c r="EU41" t="s">
        <v>335</v>
      </c>
      <c r="EV41" t="s">
        <v>336</v>
      </c>
      <c r="EW41" t="s">
        <v>336</v>
      </c>
      <c r="EX41" t="s">
        <v>336</v>
      </c>
      <c r="EY41" t="s">
        <v>336</v>
      </c>
      <c r="EZ41">
        <v>0</v>
      </c>
      <c r="FA41">
        <v>100</v>
      </c>
      <c r="FB41">
        <v>100</v>
      </c>
      <c r="FC41">
        <v>8.1180000000000003</v>
      </c>
      <c r="FD41">
        <v>-0.98929999999999996</v>
      </c>
      <c r="FE41">
        <v>8.073878571428569</v>
      </c>
      <c r="FF41">
        <v>0</v>
      </c>
      <c r="FG41">
        <v>0</v>
      </c>
      <c r="FH41">
        <v>0</v>
      </c>
      <c r="FI41">
        <v>-0.98927100000000023</v>
      </c>
      <c r="FJ41">
        <v>0</v>
      </c>
      <c r="FK41">
        <v>0</v>
      </c>
      <c r="FL41">
        <v>0</v>
      </c>
      <c r="FM41">
        <v>-1</v>
      </c>
      <c r="FN41">
        <v>-1</v>
      </c>
      <c r="FO41">
        <v>-1</v>
      </c>
      <c r="FP41">
        <v>-1</v>
      </c>
      <c r="FQ41">
        <v>0.7</v>
      </c>
      <c r="FR41">
        <v>25.2</v>
      </c>
      <c r="FS41">
        <v>0.144043</v>
      </c>
      <c r="FT41">
        <v>4.99756</v>
      </c>
      <c r="FU41">
        <v>1.5979000000000001</v>
      </c>
      <c r="FV41">
        <v>2.16553</v>
      </c>
      <c r="FW41">
        <v>1.5478499999999999</v>
      </c>
      <c r="FX41">
        <v>2.31812</v>
      </c>
      <c r="FY41">
        <v>32.975999999999999</v>
      </c>
      <c r="FZ41">
        <v>16.163399999999999</v>
      </c>
      <c r="GA41">
        <v>3</v>
      </c>
      <c r="GB41">
        <v>496.31400000000002</v>
      </c>
      <c r="GC41">
        <v>411.10599999999999</v>
      </c>
      <c r="GD41">
        <v>27.800799999999999</v>
      </c>
      <c r="GE41">
        <v>30.1053</v>
      </c>
      <c r="GF41">
        <v>30.0001</v>
      </c>
      <c r="GG41">
        <v>30.3733</v>
      </c>
      <c r="GH41">
        <v>30.412099999999999</v>
      </c>
      <c r="GI41">
        <v>-1</v>
      </c>
      <c r="GJ41">
        <v>0</v>
      </c>
      <c r="GK41">
        <v>100</v>
      </c>
      <c r="GL41">
        <v>27.7989</v>
      </c>
      <c r="GM41">
        <v>432.1</v>
      </c>
      <c r="GN41">
        <v>68.912800000000004</v>
      </c>
      <c r="GO41">
        <v>102.28400000000001</v>
      </c>
      <c r="GP41">
        <v>96.498500000000007</v>
      </c>
    </row>
    <row r="42" spans="1:198" x14ac:dyDescent="0.35">
      <c r="A42">
        <v>26</v>
      </c>
      <c r="B42">
        <v>1775482538.5999999</v>
      </c>
      <c r="C42">
        <v>1500.099999904633</v>
      </c>
      <c r="D42" t="s">
        <v>409</v>
      </c>
      <c r="E42" t="s">
        <v>410</v>
      </c>
      <c r="F42">
        <v>60</v>
      </c>
      <c r="G42">
        <v>1775482530.599999</v>
      </c>
      <c r="H42">
        <f t="shared" si="0"/>
        <v>3.1954460328222673E-3</v>
      </c>
      <c r="I42">
        <f t="shared" si="1"/>
        <v>3.1954460328222671</v>
      </c>
      <c r="J42">
        <f t="shared" si="2"/>
        <v>0.97408978083529008</v>
      </c>
      <c r="K42">
        <f t="shared" si="3"/>
        <v>12.528160645161289</v>
      </c>
      <c r="L42">
        <f t="shared" si="4"/>
        <v>-6.0110844711948319</v>
      </c>
      <c r="M42">
        <f t="shared" si="5"/>
        <v>-0.60303953071224148</v>
      </c>
      <c r="N42">
        <f t="shared" si="6"/>
        <v>1.2568407834475037</v>
      </c>
      <c r="O42">
        <f t="shared" si="7"/>
        <v>8.6423531087489777E-2</v>
      </c>
      <c r="P42">
        <f t="shared" si="8"/>
        <v>2.3931369642303673</v>
      </c>
      <c r="Q42">
        <f t="shared" si="9"/>
        <v>8.4726366567345113E-2</v>
      </c>
      <c r="R42">
        <f t="shared" si="10"/>
        <v>5.3103686652784504E-2</v>
      </c>
      <c r="S42">
        <f t="shared" si="11"/>
        <v>0</v>
      </c>
      <c r="T42">
        <f t="shared" si="12"/>
        <v>26.298803287977854</v>
      </c>
      <c r="U42">
        <f t="shared" si="13"/>
        <v>27.402209677419361</v>
      </c>
      <c r="V42">
        <f t="shared" si="14"/>
        <v>3.6645861763596104</v>
      </c>
      <c r="W42">
        <f t="shared" si="15"/>
        <v>-1.3965613029527006</v>
      </c>
      <c r="X42">
        <f t="shared" si="16"/>
        <v>-5.0874004851981965E-2</v>
      </c>
      <c r="Y42">
        <f t="shared" si="17"/>
        <v>3.6428049914043044</v>
      </c>
      <c r="Z42">
        <f t="shared" si="18"/>
        <v>3.7154601812115922</v>
      </c>
      <c r="AA42">
        <f t="shared" si="19"/>
        <v>-140.91917004746199</v>
      </c>
      <c r="AB42">
        <f t="shared" si="20"/>
        <v>-13.129951944812865</v>
      </c>
      <c r="AC42">
        <f t="shared" si="21"/>
        <v>-1.1882161802714966</v>
      </c>
      <c r="AD42">
        <f t="shared" si="22"/>
        <v>-155.23733817254634</v>
      </c>
      <c r="AE42">
        <v>15</v>
      </c>
      <c r="AF42">
        <v>3</v>
      </c>
      <c r="AG42">
        <f t="shared" si="23"/>
        <v>1</v>
      </c>
      <c r="AH42">
        <f t="shared" si="24"/>
        <v>0</v>
      </c>
      <c r="AI42">
        <f t="shared" si="25"/>
        <v>25563.974774419745</v>
      </c>
      <c r="AJ42">
        <f t="shared" si="26"/>
        <v>0</v>
      </c>
      <c r="AK42">
        <f t="shared" si="27"/>
        <v>0</v>
      </c>
      <c r="AL42">
        <f t="shared" si="28"/>
        <v>0</v>
      </c>
      <c r="AM42">
        <f t="shared" si="29"/>
        <v>0</v>
      </c>
      <c r="AN42">
        <v>3</v>
      </c>
      <c r="AO42">
        <v>0.5</v>
      </c>
      <c r="AP42" t="s">
        <v>331</v>
      </c>
      <c r="AQ42">
        <v>2</v>
      </c>
      <c r="AR42">
        <v>1775482530.599999</v>
      </c>
      <c r="AS42">
        <v>12.528160645161289</v>
      </c>
      <c r="AT42">
        <v>13.136619354838709</v>
      </c>
      <c r="AU42">
        <v>-0.50711093548387098</v>
      </c>
      <c r="AV42">
        <v>-2.4253035483870962</v>
      </c>
      <c r="AW42">
        <v>4.4491606451612906</v>
      </c>
      <c r="AX42">
        <v>0.48216003225806459</v>
      </c>
      <c r="AY42">
        <v>500.01232258064522</v>
      </c>
      <c r="AZ42">
        <v>100.27677419354841</v>
      </c>
      <c r="BA42">
        <v>4.4479583870967739E-2</v>
      </c>
      <c r="BB42">
        <v>27.300441935483871</v>
      </c>
      <c r="BC42">
        <v>27.402209677419361</v>
      </c>
      <c r="BD42">
        <v>999.90000000000032</v>
      </c>
      <c r="BE42">
        <v>0</v>
      </c>
      <c r="BF42">
        <v>0</v>
      </c>
      <c r="BG42">
        <v>4999.322580645161</v>
      </c>
      <c r="BH42">
        <v>0.38388996774193551</v>
      </c>
      <c r="BI42">
        <v>0.23331922580645159</v>
      </c>
      <c r="BJ42">
        <v>-0.56970332258064504</v>
      </c>
      <c r="BK42">
        <v>12.56054838709677</v>
      </c>
      <c r="BL42">
        <v>13.10484193548387</v>
      </c>
      <c r="BM42">
        <v>1.918191935483871</v>
      </c>
      <c r="BN42">
        <v>13.136619354838709</v>
      </c>
      <c r="BO42">
        <v>-2.4253035483870962</v>
      </c>
      <c r="BP42">
        <v>-5.0851432258064509E-2</v>
      </c>
      <c r="BQ42">
        <v>-0.24320154838709679</v>
      </c>
      <c r="BR42">
        <v>-99.900000000000034</v>
      </c>
      <c r="BS42">
        <v>-99.900000000000034</v>
      </c>
      <c r="BT42">
        <v>0</v>
      </c>
      <c r="BU42">
        <v>0</v>
      </c>
      <c r="BV42">
        <v>0</v>
      </c>
      <c r="BW42">
        <v>26</v>
      </c>
      <c r="BX42">
        <v>-1</v>
      </c>
      <c r="BY42">
        <v>1775482554.0999999</v>
      </c>
      <c r="BZ42" t="s">
        <v>411</v>
      </c>
      <c r="CA42">
        <v>1775482554.0999999</v>
      </c>
      <c r="CB42">
        <v>1775480969.5</v>
      </c>
      <c r="CC42">
        <v>27</v>
      </c>
      <c r="CD42">
        <v>-3.9E-2</v>
      </c>
      <c r="CE42">
        <v>0.19500000000000001</v>
      </c>
      <c r="CF42">
        <v>8.0790000000000006</v>
      </c>
      <c r="CG42">
        <v>-0.98899999999999999</v>
      </c>
      <c r="CH42">
        <v>12</v>
      </c>
      <c r="CI42">
        <v>-3</v>
      </c>
      <c r="CJ42">
        <v>0.16</v>
      </c>
      <c r="CK42">
        <v>0.06</v>
      </c>
      <c r="CL42">
        <v>13.415826229508189</v>
      </c>
      <c r="CM42">
        <v>-1.887655843469076</v>
      </c>
      <c r="CN42">
        <v>0.30666560252338271</v>
      </c>
      <c r="CO42">
        <v>-1</v>
      </c>
      <c r="CP42">
        <v>500.00344262295067</v>
      </c>
      <c r="CQ42">
        <v>8.2388154415239015E-2</v>
      </c>
      <c r="CR42">
        <v>5.8842809382889029E-2</v>
      </c>
      <c r="CS42">
        <v>-1</v>
      </c>
      <c r="CT42">
        <v>0</v>
      </c>
      <c r="CU42">
        <v>0</v>
      </c>
      <c r="CV42" t="s">
        <v>333</v>
      </c>
      <c r="CW42">
        <v>3.1674699999999998</v>
      </c>
      <c r="CX42">
        <v>2.6654300000000002</v>
      </c>
      <c r="CY42">
        <v>1.2812800000000001E-3</v>
      </c>
      <c r="CZ42">
        <v>3.8306600000000001E-3</v>
      </c>
      <c r="DA42">
        <v>3.86792E-3</v>
      </c>
      <c r="DB42">
        <v>-2.3289600000000001E-2</v>
      </c>
      <c r="DC42">
        <v>21562.9</v>
      </c>
      <c r="DD42">
        <v>21877.599999999999</v>
      </c>
      <c r="DE42">
        <v>23120.3</v>
      </c>
      <c r="DF42">
        <v>22315.4</v>
      </c>
      <c r="DG42">
        <v>29699.1</v>
      </c>
      <c r="DH42">
        <v>27230.1</v>
      </c>
      <c r="DI42">
        <v>40633.800000000003</v>
      </c>
      <c r="DJ42">
        <v>36981.199999999997</v>
      </c>
      <c r="DK42">
        <v>2.0812400000000002</v>
      </c>
      <c r="DL42">
        <v>1.8064</v>
      </c>
      <c r="DM42">
        <v>1.6361500000000001E-2</v>
      </c>
      <c r="DN42">
        <v>0</v>
      </c>
      <c r="DO42">
        <v>27.136099999999999</v>
      </c>
      <c r="DP42">
        <v>999.9</v>
      </c>
      <c r="DQ42">
        <v>80.2</v>
      </c>
      <c r="DR42">
        <v>28.1</v>
      </c>
      <c r="DS42">
        <v>30.526599999999998</v>
      </c>
      <c r="DT42">
        <v>30.6755</v>
      </c>
      <c r="DU42">
        <v>9.4431100000000008</v>
      </c>
      <c r="DV42">
        <v>1</v>
      </c>
      <c r="DW42">
        <v>0.23061400000000001</v>
      </c>
      <c r="DX42">
        <v>-5.1871500000000001E-2</v>
      </c>
      <c r="DY42">
        <v>20.3672</v>
      </c>
      <c r="DZ42">
        <v>5.2104600000000003</v>
      </c>
      <c r="EA42">
        <v>11.8491</v>
      </c>
      <c r="EB42">
        <v>4.9660000000000002</v>
      </c>
      <c r="EC42">
        <v>3.2922199999999999</v>
      </c>
      <c r="ED42">
        <v>894.7</v>
      </c>
      <c r="EE42">
        <v>0</v>
      </c>
      <c r="EF42">
        <v>4773.5</v>
      </c>
      <c r="EG42">
        <v>109.2</v>
      </c>
      <c r="EH42">
        <v>4.9716300000000002</v>
      </c>
      <c r="EI42">
        <v>1.8717999999999999</v>
      </c>
      <c r="EJ42">
        <v>1.8689</v>
      </c>
      <c r="EK42">
        <v>1.87134</v>
      </c>
      <c r="EL42">
        <v>1.8690500000000001</v>
      </c>
      <c r="EM42">
        <v>1.86808</v>
      </c>
      <c r="EN42">
        <v>1.8698900000000001</v>
      </c>
      <c r="EO42">
        <v>1.8716699999999999</v>
      </c>
      <c r="EP42">
        <v>0</v>
      </c>
      <c r="EQ42">
        <v>0</v>
      </c>
      <c r="ER42">
        <v>0</v>
      </c>
      <c r="ES42">
        <v>0</v>
      </c>
      <c r="ET42" t="s">
        <v>334</v>
      </c>
      <c r="EU42" t="s">
        <v>335</v>
      </c>
      <c r="EV42" t="s">
        <v>336</v>
      </c>
      <c r="EW42" t="s">
        <v>336</v>
      </c>
      <c r="EX42" t="s">
        <v>336</v>
      </c>
      <c r="EY42" t="s">
        <v>336</v>
      </c>
      <c r="EZ42">
        <v>0</v>
      </c>
      <c r="FA42">
        <v>100</v>
      </c>
      <c r="FB42">
        <v>100</v>
      </c>
      <c r="FC42">
        <v>8.0790000000000006</v>
      </c>
      <c r="FD42">
        <v>-0.98929999999999996</v>
      </c>
      <c r="FE42">
        <v>8.1177590000000013</v>
      </c>
      <c r="FF42">
        <v>0</v>
      </c>
      <c r="FG42">
        <v>0</v>
      </c>
      <c r="FH42">
        <v>0</v>
      </c>
      <c r="FI42">
        <v>-0.98927100000000023</v>
      </c>
      <c r="FJ42">
        <v>0</v>
      </c>
      <c r="FK42">
        <v>0</v>
      </c>
      <c r="FL42">
        <v>0</v>
      </c>
      <c r="FM42">
        <v>-1</v>
      </c>
      <c r="FN42">
        <v>-1</v>
      </c>
      <c r="FO42">
        <v>-1</v>
      </c>
      <c r="FP42">
        <v>-1</v>
      </c>
      <c r="FQ42">
        <v>0.7</v>
      </c>
      <c r="FR42">
        <v>26.2</v>
      </c>
      <c r="FS42">
        <v>0.144043</v>
      </c>
      <c r="FT42">
        <v>4.99756</v>
      </c>
      <c r="FU42">
        <v>1.5979000000000001</v>
      </c>
      <c r="FV42">
        <v>2.16431</v>
      </c>
      <c r="FW42">
        <v>1.5478499999999999</v>
      </c>
      <c r="FX42">
        <v>2.35229</v>
      </c>
      <c r="FY42">
        <v>33.020600000000002</v>
      </c>
      <c r="FZ42">
        <v>16.154599999999999</v>
      </c>
      <c r="GA42">
        <v>3</v>
      </c>
      <c r="GB42">
        <v>496.34399999999999</v>
      </c>
      <c r="GC42">
        <v>411.03199999999998</v>
      </c>
      <c r="GD42">
        <v>27.789000000000001</v>
      </c>
      <c r="GE42">
        <v>30.1142</v>
      </c>
      <c r="GF42">
        <v>30.0001</v>
      </c>
      <c r="GG42">
        <v>30.387899999999998</v>
      </c>
      <c r="GH42">
        <v>30.428999999999998</v>
      </c>
      <c r="GI42">
        <v>-1</v>
      </c>
      <c r="GJ42">
        <v>0</v>
      </c>
      <c r="GK42">
        <v>100</v>
      </c>
      <c r="GL42">
        <v>27.795200000000001</v>
      </c>
      <c r="GM42">
        <v>432.1</v>
      </c>
      <c r="GN42">
        <v>68.912800000000004</v>
      </c>
      <c r="GO42">
        <v>102.28100000000001</v>
      </c>
      <c r="GP42">
        <v>96.498800000000003</v>
      </c>
    </row>
    <row r="43" spans="1:198" x14ac:dyDescent="0.35">
      <c r="A43">
        <v>27</v>
      </c>
      <c r="B43">
        <v>1775482598.5999999</v>
      </c>
      <c r="C43">
        <v>1560.099999904633</v>
      </c>
      <c r="D43" t="s">
        <v>412</v>
      </c>
      <c r="E43" t="s">
        <v>413</v>
      </c>
      <c r="F43">
        <v>60</v>
      </c>
      <c r="G43">
        <v>1775482590.849999</v>
      </c>
      <c r="H43">
        <f t="shared" si="0"/>
        <v>3.1792935151554228E-3</v>
      </c>
      <c r="I43">
        <f t="shared" si="1"/>
        <v>3.1792935151554227</v>
      </c>
      <c r="J43">
        <f t="shared" si="2"/>
        <v>1.7738743625141133</v>
      </c>
      <c r="K43">
        <f t="shared" si="3"/>
        <v>11.54036966666667</v>
      </c>
      <c r="L43">
        <f t="shared" si="4"/>
        <v>-21.731112198992484</v>
      </c>
      <c r="M43">
        <f t="shared" si="5"/>
        <v>-2.1801223389140691</v>
      </c>
      <c r="N43">
        <f t="shared" si="6"/>
        <v>1.1577602415946653</v>
      </c>
      <c r="O43">
        <f t="shared" si="7"/>
        <v>8.5968391821651641E-2</v>
      </c>
      <c r="P43">
        <f t="shared" si="8"/>
        <v>2.3919400692179171</v>
      </c>
      <c r="Q43">
        <f t="shared" si="9"/>
        <v>8.4288046154952001E-2</v>
      </c>
      <c r="R43">
        <f t="shared" si="10"/>
        <v>5.2828265623613826E-2</v>
      </c>
      <c r="S43">
        <f t="shared" si="11"/>
        <v>0</v>
      </c>
      <c r="T43">
        <f t="shared" si="12"/>
        <v>26.302022722428877</v>
      </c>
      <c r="U43">
        <f t="shared" si="13"/>
        <v>27.405053333333331</v>
      </c>
      <c r="V43">
        <f t="shared" si="14"/>
        <v>3.6651964282224134</v>
      </c>
      <c r="W43">
        <f t="shared" si="15"/>
        <v>-1.3931147331255767</v>
      </c>
      <c r="X43">
        <f t="shared" si="16"/>
        <v>-5.0744333515487072E-2</v>
      </c>
      <c r="Y43">
        <f t="shared" si="17"/>
        <v>3.6425092857669847</v>
      </c>
      <c r="Z43">
        <f t="shared" si="18"/>
        <v>3.7159407617379006</v>
      </c>
      <c r="AA43">
        <f t="shared" si="19"/>
        <v>-140.20684401835413</v>
      </c>
      <c r="AB43">
        <f t="shared" si="20"/>
        <v>-13.668723091661368</v>
      </c>
      <c r="AC43">
        <f t="shared" si="21"/>
        <v>-1.2376011260984956</v>
      </c>
      <c r="AD43">
        <f t="shared" si="22"/>
        <v>-155.11316823611401</v>
      </c>
      <c r="AE43">
        <v>14</v>
      </c>
      <c r="AF43">
        <v>3</v>
      </c>
      <c r="AG43">
        <f t="shared" si="23"/>
        <v>1</v>
      </c>
      <c r="AH43">
        <f t="shared" si="24"/>
        <v>0</v>
      </c>
      <c r="AI43">
        <f t="shared" si="25"/>
        <v>25545.84453201</v>
      </c>
      <c r="AJ43">
        <f t="shared" si="26"/>
        <v>0</v>
      </c>
      <c r="AK43">
        <f t="shared" si="27"/>
        <v>0</v>
      </c>
      <c r="AL43">
        <f t="shared" si="28"/>
        <v>0</v>
      </c>
      <c r="AM43">
        <f t="shared" si="29"/>
        <v>0</v>
      </c>
      <c r="AN43">
        <v>3</v>
      </c>
      <c r="AO43">
        <v>0.5</v>
      </c>
      <c r="AP43" t="s">
        <v>331</v>
      </c>
      <c r="AQ43">
        <v>2</v>
      </c>
      <c r="AR43">
        <v>1775482590.849999</v>
      </c>
      <c r="AS43">
        <v>11.54036966666667</v>
      </c>
      <c r="AT43">
        <v>12.62673</v>
      </c>
      <c r="AU43">
        <v>-0.50581143333333323</v>
      </c>
      <c r="AV43">
        <v>-2.414390333333333</v>
      </c>
      <c r="AW43">
        <v>3.463369666666666</v>
      </c>
      <c r="AX43">
        <v>0.48345953333333341</v>
      </c>
      <c r="AY43">
        <v>499.99006666666668</v>
      </c>
      <c r="AZ43">
        <v>100.27800000000001</v>
      </c>
      <c r="BA43">
        <v>4.463047333333333E-2</v>
      </c>
      <c r="BB43">
        <v>27.299056666666662</v>
      </c>
      <c r="BC43">
        <v>27.405053333333331</v>
      </c>
      <c r="BD43">
        <v>999.9000000000002</v>
      </c>
      <c r="BE43">
        <v>0</v>
      </c>
      <c r="BF43">
        <v>0</v>
      </c>
      <c r="BG43">
        <v>4996.1833333333334</v>
      </c>
      <c r="BH43">
        <v>0.37191039999999997</v>
      </c>
      <c r="BI43">
        <v>0.23344266666666669</v>
      </c>
      <c r="BJ43">
        <v>-1.0845628</v>
      </c>
      <c r="BK43">
        <v>11.536336666666671</v>
      </c>
      <c r="BL43">
        <v>12.596310000000001</v>
      </c>
      <c r="BM43">
        <v>1.9085776666666669</v>
      </c>
      <c r="BN43">
        <v>12.62673</v>
      </c>
      <c r="BO43">
        <v>-2.414390333333333</v>
      </c>
      <c r="BP43">
        <v>-5.072173666666667E-2</v>
      </c>
      <c r="BQ43">
        <v>-0.24211009999999999</v>
      </c>
      <c r="BR43">
        <v>-99.900000000000034</v>
      </c>
      <c r="BS43">
        <v>-99.900000000000034</v>
      </c>
      <c r="BT43">
        <v>0</v>
      </c>
      <c r="BU43">
        <v>0</v>
      </c>
      <c r="BV43">
        <v>0</v>
      </c>
      <c r="BW43">
        <v>26</v>
      </c>
      <c r="BX43">
        <v>-1</v>
      </c>
      <c r="BY43">
        <v>1775482615.5999999</v>
      </c>
      <c r="BZ43" t="s">
        <v>414</v>
      </c>
      <c r="CA43">
        <v>1775482615.5999999</v>
      </c>
      <c r="CB43">
        <v>1775480969.5</v>
      </c>
      <c r="CC43">
        <v>28</v>
      </c>
      <c r="CD43">
        <v>-2E-3</v>
      </c>
      <c r="CE43">
        <v>0.19500000000000001</v>
      </c>
      <c r="CF43">
        <v>8.077</v>
      </c>
      <c r="CG43">
        <v>-0.98899999999999999</v>
      </c>
      <c r="CH43">
        <v>13</v>
      </c>
      <c r="CI43">
        <v>-3</v>
      </c>
      <c r="CJ43">
        <v>0.21</v>
      </c>
      <c r="CK43">
        <v>0.06</v>
      </c>
      <c r="CL43">
        <v>12.388136666666661</v>
      </c>
      <c r="CM43">
        <v>1.7724890247290941</v>
      </c>
      <c r="CN43">
        <v>0.26547189930804771</v>
      </c>
      <c r="CO43">
        <v>-1</v>
      </c>
      <c r="CP43">
        <v>499.99436666666668</v>
      </c>
      <c r="CQ43">
        <v>6.1050291748546162E-2</v>
      </c>
      <c r="CR43">
        <v>7.9053561308493767E-2</v>
      </c>
      <c r="CS43">
        <v>-1</v>
      </c>
      <c r="CT43">
        <v>0</v>
      </c>
      <c r="CU43">
        <v>0</v>
      </c>
      <c r="CV43" t="s">
        <v>333</v>
      </c>
      <c r="CW43">
        <v>3.1674899999999999</v>
      </c>
      <c r="CX43">
        <v>2.6657899999999999</v>
      </c>
      <c r="CY43">
        <v>1.10888E-3</v>
      </c>
      <c r="CZ43">
        <v>3.8748799999999998E-3</v>
      </c>
      <c r="DA43">
        <v>3.8642699999999999E-3</v>
      </c>
      <c r="DB43">
        <v>-2.3163900000000001E-2</v>
      </c>
      <c r="DC43">
        <v>21565.599999999999</v>
      </c>
      <c r="DD43">
        <v>21876.400000000001</v>
      </c>
      <c r="DE43">
        <v>23119.3</v>
      </c>
      <c r="DF43">
        <v>22315.200000000001</v>
      </c>
      <c r="DG43">
        <v>29698</v>
      </c>
      <c r="DH43">
        <v>27226.400000000001</v>
      </c>
      <c r="DI43">
        <v>40632.300000000003</v>
      </c>
      <c r="DJ43">
        <v>36980.699999999997</v>
      </c>
      <c r="DK43">
        <v>2.08148</v>
      </c>
      <c r="DL43">
        <v>1.80576</v>
      </c>
      <c r="DM43">
        <v>1.6748900000000001E-2</v>
      </c>
      <c r="DN43">
        <v>0</v>
      </c>
      <c r="DO43">
        <v>27.130500000000001</v>
      </c>
      <c r="DP43">
        <v>999.9</v>
      </c>
      <c r="DQ43">
        <v>80.2</v>
      </c>
      <c r="DR43">
        <v>28.1</v>
      </c>
      <c r="DS43">
        <v>30.529199999999999</v>
      </c>
      <c r="DT43">
        <v>30.105499999999999</v>
      </c>
      <c r="DU43">
        <v>9.6273999999999997</v>
      </c>
      <c r="DV43">
        <v>1</v>
      </c>
      <c r="DW43">
        <v>0.23145499999999999</v>
      </c>
      <c r="DX43">
        <v>-6.9498900000000002E-2</v>
      </c>
      <c r="DY43">
        <v>20.367699999999999</v>
      </c>
      <c r="DZ43">
        <v>5.2110599999999998</v>
      </c>
      <c r="EA43">
        <v>11.8489</v>
      </c>
      <c r="EB43">
        <v>4.9676799999999997</v>
      </c>
      <c r="EC43">
        <v>3.2923399999999998</v>
      </c>
      <c r="ED43">
        <v>894.7</v>
      </c>
      <c r="EE43">
        <v>0</v>
      </c>
      <c r="EF43">
        <v>4802.6000000000004</v>
      </c>
      <c r="EG43">
        <v>109.3</v>
      </c>
      <c r="EH43">
        <v>4.9716399999999998</v>
      </c>
      <c r="EI43">
        <v>1.8717999999999999</v>
      </c>
      <c r="EJ43">
        <v>1.8689</v>
      </c>
      <c r="EK43">
        <v>1.87134</v>
      </c>
      <c r="EL43">
        <v>1.8690500000000001</v>
      </c>
      <c r="EM43">
        <v>1.8680300000000001</v>
      </c>
      <c r="EN43">
        <v>1.8698399999999999</v>
      </c>
      <c r="EO43">
        <v>1.8716600000000001</v>
      </c>
      <c r="EP43">
        <v>0</v>
      </c>
      <c r="EQ43">
        <v>0</v>
      </c>
      <c r="ER43">
        <v>0</v>
      </c>
      <c r="ES43">
        <v>0</v>
      </c>
      <c r="ET43" t="s">
        <v>334</v>
      </c>
      <c r="EU43" t="s">
        <v>335</v>
      </c>
      <c r="EV43" t="s">
        <v>336</v>
      </c>
      <c r="EW43" t="s">
        <v>336</v>
      </c>
      <c r="EX43" t="s">
        <v>336</v>
      </c>
      <c r="EY43" t="s">
        <v>336</v>
      </c>
      <c r="EZ43">
        <v>0</v>
      </c>
      <c r="FA43">
        <v>100</v>
      </c>
      <c r="FB43">
        <v>100</v>
      </c>
      <c r="FC43">
        <v>8.077</v>
      </c>
      <c r="FD43">
        <v>-0.98929999999999996</v>
      </c>
      <c r="FE43">
        <v>8.0787976190476201</v>
      </c>
      <c r="FF43">
        <v>0</v>
      </c>
      <c r="FG43">
        <v>0</v>
      </c>
      <c r="FH43">
        <v>0</v>
      </c>
      <c r="FI43">
        <v>-0.98927100000000023</v>
      </c>
      <c r="FJ43">
        <v>0</v>
      </c>
      <c r="FK43">
        <v>0</v>
      </c>
      <c r="FL43">
        <v>0</v>
      </c>
      <c r="FM43">
        <v>-1</v>
      </c>
      <c r="FN43">
        <v>-1</v>
      </c>
      <c r="FO43">
        <v>-1</v>
      </c>
      <c r="FP43">
        <v>-1</v>
      </c>
      <c r="FQ43">
        <v>0.7</v>
      </c>
      <c r="FR43">
        <v>27.2</v>
      </c>
      <c r="FS43">
        <v>0.144043</v>
      </c>
      <c r="FT43">
        <v>4.99756</v>
      </c>
      <c r="FU43">
        <v>1.5979000000000001</v>
      </c>
      <c r="FV43">
        <v>2.16553</v>
      </c>
      <c r="FW43">
        <v>1.5478499999999999</v>
      </c>
      <c r="FX43">
        <v>2.3535200000000001</v>
      </c>
      <c r="FY43">
        <v>33.065199999999997</v>
      </c>
      <c r="FZ43">
        <v>16.154599999999999</v>
      </c>
      <c r="GA43">
        <v>3</v>
      </c>
      <c r="GB43">
        <v>496.58600000000001</v>
      </c>
      <c r="GC43">
        <v>410.75700000000001</v>
      </c>
      <c r="GD43">
        <v>27.809899999999999</v>
      </c>
      <c r="GE43">
        <v>30.1236</v>
      </c>
      <c r="GF43">
        <v>30.000299999999999</v>
      </c>
      <c r="GG43">
        <v>30.401399999999999</v>
      </c>
      <c r="GH43">
        <v>30.4434</v>
      </c>
      <c r="GI43">
        <v>-1</v>
      </c>
      <c r="GJ43">
        <v>0</v>
      </c>
      <c r="GK43">
        <v>100</v>
      </c>
      <c r="GL43">
        <v>27.8109</v>
      </c>
      <c r="GM43">
        <v>432.1</v>
      </c>
      <c r="GN43">
        <v>68.912800000000004</v>
      </c>
      <c r="GO43">
        <v>102.277</v>
      </c>
      <c r="GP43">
        <v>96.497699999999995</v>
      </c>
    </row>
    <row r="44" spans="1:198" x14ac:dyDescent="0.35">
      <c r="A44">
        <v>28</v>
      </c>
      <c r="B44">
        <v>1775482658.5999999</v>
      </c>
      <c r="C44">
        <v>1620.099999904633</v>
      </c>
      <c r="D44" t="s">
        <v>415</v>
      </c>
      <c r="E44" t="s">
        <v>416</v>
      </c>
      <c r="F44">
        <v>60</v>
      </c>
      <c r="G44">
        <v>1775482650.599999</v>
      </c>
      <c r="H44">
        <f t="shared" si="0"/>
        <v>3.115081666099018E-3</v>
      </c>
      <c r="I44">
        <f t="shared" si="1"/>
        <v>3.1150816660990182</v>
      </c>
      <c r="J44">
        <f t="shared" si="2"/>
        <v>1.3544693393113967</v>
      </c>
      <c r="K44">
        <f t="shared" si="3"/>
        <v>12.61376193548387</v>
      </c>
      <c r="L44">
        <f t="shared" si="4"/>
        <v>-13.548612018238538</v>
      </c>
      <c r="M44">
        <f t="shared" si="5"/>
        <v>-1.3592208804489267</v>
      </c>
      <c r="N44">
        <f t="shared" si="6"/>
        <v>1.265435055682594</v>
      </c>
      <c r="O44">
        <f t="shared" si="7"/>
        <v>8.4128458249183677E-2</v>
      </c>
      <c r="P44">
        <f t="shared" si="8"/>
        <v>2.3914592706272932</v>
      </c>
      <c r="Q44">
        <f t="shared" si="9"/>
        <v>8.2518227025859953E-2</v>
      </c>
      <c r="R44">
        <f t="shared" si="10"/>
        <v>5.1715997735068631E-2</v>
      </c>
      <c r="S44">
        <f t="shared" si="11"/>
        <v>0</v>
      </c>
      <c r="T44">
        <f t="shared" si="12"/>
        <v>26.324098850320723</v>
      </c>
      <c r="U44">
        <f t="shared" si="13"/>
        <v>27.40636774193549</v>
      </c>
      <c r="V44">
        <f t="shared" si="14"/>
        <v>3.6654785318058796</v>
      </c>
      <c r="W44">
        <f t="shared" si="15"/>
        <v>-1.4689991664567481</v>
      </c>
      <c r="X44">
        <f t="shared" si="16"/>
        <v>-5.3515071291893229E-2</v>
      </c>
      <c r="Y44">
        <f t="shared" si="17"/>
        <v>3.6429613109292993</v>
      </c>
      <c r="Z44">
        <f t="shared" si="18"/>
        <v>3.7189936030977728</v>
      </c>
      <c r="AA44">
        <f t="shared" si="19"/>
        <v>-137.3751014749667</v>
      </c>
      <c r="AB44">
        <f t="shared" si="20"/>
        <v>-13.562430855416819</v>
      </c>
      <c r="AC44">
        <f t="shared" si="21"/>
        <v>-1.2282450887132601</v>
      </c>
      <c r="AD44">
        <f t="shared" si="22"/>
        <v>-152.16577741909677</v>
      </c>
      <c r="AE44">
        <v>14</v>
      </c>
      <c r="AF44">
        <v>3</v>
      </c>
      <c r="AG44">
        <f t="shared" si="23"/>
        <v>1</v>
      </c>
      <c r="AH44">
        <f t="shared" si="24"/>
        <v>0</v>
      </c>
      <c r="AI44">
        <f t="shared" si="25"/>
        <v>25538.396453826517</v>
      </c>
      <c r="AJ44">
        <f t="shared" si="26"/>
        <v>0</v>
      </c>
      <c r="AK44">
        <f t="shared" si="27"/>
        <v>0</v>
      </c>
      <c r="AL44">
        <f t="shared" si="28"/>
        <v>0</v>
      </c>
      <c r="AM44">
        <f t="shared" si="29"/>
        <v>0</v>
      </c>
      <c r="AN44">
        <v>3</v>
      </c>
      <c r="AO44">
        <v>0.5</v>
      </c>
      <c r="AP44" t="s">
        <v>331</v>
      </c>
      <c r="AQ44">
        <v>2</v>
      </c>
      <c r="AR44">
        <v>1775482650.599999</v>
      </c>
      <c r="AS44">
        <v>12.61376193548387</v>
      </c>
      <c r="AT44">
        <v>13.45002580645161</v>
      </c>
      <c r="AU44">
        <v>-0.53343422580645161</v>
      </c>
      <c r="AV44">
        <v>-2.4034948387096779</v>
      </c>
      <c r="AW44">
        <v>4.5277619354838707</v>
      </c>
      <c r="AX44">
        <v>0.45583674193548368</v>
      </c>
      <c r="AY44">
        <v>499.99609677419352</v>
      </c>
      <c r="AZ44">
        <v>100.276935483871</v>
      </c>
      <c r="BA44">
        <v>4.4844977419354837E-2</v>
      </c>
      <c r="BB44">
        <v>27.30117419354838</v>
      </c>
      <c r="BC44">
        <v>27.40636774193549</v>
      </c>
      <c r="BD44">
        <v>999.90000000000032</v>
      </c>
      <c r="BE44">
        <v>0</v>
      </c>
      <c r="BF44">
        <v>0</v>
      </c>
      <c r="BG44">
        <v>4995</v>
      </c>
      <c r="BH44">
        <v>0.38524700000000012</v>
      </c>
      <c r="BI44">
        <v>0.23331922580645159</v>
      </c>
      <c r="BJ44">
        <v>-0.84499590322580653</v>
      </c>
      <c r="BK44">
        <v>12.598309677419349</v>
      </c>
      <c r="BL44">
        <v>13.41777741935484</v>
      </c>
      <c r="BM44">
        <v>1.87006064516129</v>
      </c>
      <c r="BN44">
        <v>13.45002580645161</v>
      </c>
      <c r="BO44">
        <v>-2.4034948387096779</v>
      </c>
      <c r="BP44">
        <v>-5.3491109677419338E-2</v>
      </c>
      <c r="BQ44">
        <v>-0.24101490322580649</v>
      </c>
      <c r="BR44">
        <v>-99.900000000000034</v>
      </c>
      <c r="BS44">
        <v>-99.900000000000034</v>
      </c>
      <c r="BT44">
        <v>0</v>
      </c>
      <c r="BU44">
        <v>0</v>
      </c>
      <c r="BV44">
        <v>0</v>
      </c>
      <c r="BW44">
        <v>26</v>
      </c>
      <c r="BX44">
        <v>-1</v>
      </c>
      <c r="BY44">
        <v>1775482676.0999999</v>
      </c>
      <c r="BZ44" t="s">
        <v>417</v>
      </c>
      <c r="CA44">
        <v>1775482676.0999999</v>
      </c>
      <c r="CB44">
        <v>1775480969.5</v>
      </c>
      <c r="CC44">
        <v>29</v>
      </c>
      <c r="CD44">
        <v>8.9999999999999993E-3</v>
      </c>
      <c r="CE44">
        <v>0.19500000000000001</v>
      </c>
      <c r="CF44">
        <v>8.0860000000000003</v>
      </c>
      <c r="CG44">
        <v>-0.98899999999999999</v>
      </c>
      <c r="CH44">
        <v>14</v>
      </c>
      <c r="CI44">
        <v>-3</v>
      </c>
      <c r="CJ44">
        <v>0.23</v>
      </c>
      <c r="CK44">
        <v>0.06</v>
      </c>
      <c r="CL44">
        <v>13.44973606557377</v>
      </c>
      <c r="CM44">
        <v>0.21392934955050591</v>
      </c>
      <c r="CN44">
        <v>0.1390918873461133</v>
      </c>
      <c r="CO44">
        <v>-1</v>
      </c>
      <c r="CP44">
        <v>500.00029508196718</v>
      </c>
      <c r="CQ44">
        <v>-4.2263352723067242E-2</v>
      </c>
      <c r="CR44">
        <v>6.1018767406534613E-2</v>
      </c>
      <c r="CS44">
        <v>-1</v>
      </c>
      <c r="CT44">
        <v>0</v>
      </c>
      <c r="CU44">
        <v>0</v>
      </c>
      <c r="CV44" t="s">
        <v>333</v>
      </c>
      <c r="CW44">
        <v>3.1673800000000001</v>
      </c>
      <c r="CX44">
        <v>2.6663100000000002</v>
      </c>
      <c r="CY44">
        <v>1.35797E-3</v>
      </c>
      <c r="CZ44">
        <v>4.06646E-3</v>
      </c>
      <c r="DA44">
        <v>3.6776600000000001E-3</v>
      </c>
      <c r="DB44">
        <v>-2.3033100000000001E-2</v>
      </c>
      <c r="DC44">
        <v>21559.7</v>
      </c>
      <c r="DD44">
        <v>21872.7</v>
      </c>
      <c r="DE44">
        <v>23118.7</v>
      </c>
      <c r="DF44">
        <v>22315.7</v>
      </c>
      <c r="DG44">
        <v>29702.9</v>
      </c>
      <c r="DH44">
        <v>27223.4</v>
      </c>
      <c r="DI44">
        <v>40631.300000000003</v>
      </c>
      <c r="DJ44">
        <v>36981.300000000003</v>
      </c>
      <c r="DK44">
        <v>2.0813600000000001</v>
      </c>
      <c r="DL44">
        <v>1.80522</v>
      </c>
      <c r="DM44">
        <v>1.70767E-2</v>
      </c>
      <c r="DN44">
        <v>0</v>
      </c>
      <c r="DO44">
        <v>27.1221</v>
      </c>
      <c r="DP44">
        <v>999.9</v>
      </c>
      <c r="DQ44">
        <v>80.099999999999994</v>
      </c>
      <c r="DR44">
        <v>28.2</v>
      </c>
      <c r="DS44">
        <v>30.6692</v>
      </c>
      <c r="DT44">
        <v>30.555499999999999</v>
      </c>
      <c r="DU44">
        <v>9.8718000000000004</v>
      </c>
      <c r="DV44">
        <v>1</v>
      </c>
      <c r="DW44">
        <v>0.23185600000000001</v>
      </c>
      <c r="DX44">
        <v>-6.32963E-2</v>
      </c>
      <c r="DY44">
        <v>20.367699999999999</v>
      </c>
      <c r="DZ44">
        <v>5.2116600000000002</v>
      </c>
      <c r="EA44">
        <v>11.8498</v>
      </c>
      <c r="EB44">
        <v>4.9677600000000002</v>
      </c>
      <c r="EC44">
        <v>3.2921800000000001</v>
      </c>
      <c r="ED44">
        <v>894.7</v>
      </c>
      <c r="EE44">
        <v>0</v>
      </c>
      <c r="EF44">
        <v>4826.5</v>
      </c>
      <c r="EG44">
        <v>109.3</v>
      </c>
      <c r="EH44">
        <v>4.9716199999999997</v>
      </c>
      <c r="EI44">
        <v>1.8717999999999999</v>
      </c>
      <c r="EJ44">
        <v>1.8689</v>
      </c>
      <c r="EK44">
        <v>1.87134</v>
      </c>
      <c r="EL44">
        <v>1.8690500000000001</v>
      </c>
      <c r="EM44">
        <v>1.8680300000000001</v>
      </c>
      <c r="EN44">
        <v>1.8698399999999999</v>
      </c>
      <c r="EO44">
        <v>1.87164</v>
      </c>
      <c r="EP44">
        <v>0</v>
      </c>
      <c r="EQ44">
        <v>0</v>
      </c>
      <c r="ER44">
        <v>0</v>
      </c>
      <c r="ES44">
        <v>0</v>
      </c>
      <c r="ET44" t="s">
        <v>334</v>
      </c>
      <c r="EU44" t="s">
        <v>335</v>
      </c>
      <c r="EV44" t="s">
        <v>336</v>
      </c>
      <c r="EW44" t="s">
        <v>336</v>
      </c>
      <c r="EX44" t="s">
        <v>336</v>
      </c>
      <c r="EY44" t="s">
        <v>336</v>
      </c>
      <c r="EZ44">
        <v>0</v>
      </c>
      <c r="FA44">
        <v>100</v>
      </c>
      <c r="FB44">
        <v>100</v>
      </c>
      <c r="FC44">
        <v>8.0860000000000003</v>
      </c>
      <c r="FD44">
        <v>-0.98929999999999996</v>
      </c>
      <c r="FE44">
        <v>8.0772685000000006</v>
      </c>
      <c r="FF44">
        <v>0</v>
      </c>
      <c r="FG44">
        <v>0</v>
      </c>
      <c r="FH44">
        <v>0</v>
      </c>
      <c r="FI44">
        <v>-0.98927100000000023</v>
      </c>
      <c r="FJ44">
        <v>0</v>
      </c>
      <c r="FK44">
        <v>0</v>
      </c>
      <c r="FL44">
        <v>0</v>
      </c>
      <c r="FM44">
        <v>-1</v>
      </c>
      <c r="FN44">
        <v>-1</v>
      </c>
      <c r="FO44">
        <v>-1</v>
      </c>
      <c r="FP44">
        <v>-1</v>
      </c>
      <c r="FQ44">
        <v>0.7</v>
      </c>
      <c r="FR44">
        <v>28.2</v>
      </c>
      <c r="FS44">
        <v>0.144043</v>
      </c>
      <c r="FT44">
        <v>4.99756</v>
      </c>
      <c r="FU44">
        <v>1.5979000000000001</v>
      </c>
      <c r="FV44">
        <v>2.16431</v>
      </c>
      <c r="FW44">
        <v>1.5478499999999999</v>
      </c>
      <c r="FX44">
        <v>2.3864700000000001</v>
      </c>
      <c r="FY44">
        <v>33.109900000000003</v>
      </c>
      <c r="FZ44">
        <v>16.154599999999999</v>
      </c>
      <c r="GA44">
        <v>3</v>
      </c>
      <c r="GB44">
        <v>496.584</v>
      </c>
      <c r="GC44">
        <v>410.51499999999999</v>
      </c>
      <c r="GD44">
        <v>27.802600000000002</v>
      </c>
      <c r="GE44">
        <v>30.130400000000002</v>
      </c>
      <c r="GF44">
        <v>30.0002</v>
      </c>
      <c r="GG44">
        <v>30.4102</v>
      </c>
      <c r="GH44">
        <v>30.4542</v>
      </c>
      <c r="GI44">
        <v>-1</v>
      </c>
      <c r="GJ44">
        <v>0</v>
      </c>
      <c r="GK44">
        <v>100</v>
      </c>
      <c r="GL44">
        <v>27.802900000000001</v>
      </c>
      <c r="GM44">
        <v>432.1</v>
      </c>
      <c r="GN44">
        <v>68.912800000000004</v>
      </c>
      <c r="GO44">
        <v>102.274</v>
      </c>
      <c r="GP44">
        <v>96.499399999999994</v>
      </c>
    </row>
    <row r="45" spans="1:198" x14ac:dyDescent="0.35">
      <c r="A45">
        <v>29</v>
      </c>
      <c r="B45">
        <v>1775482718.5999999</v>
      </c>
      <c r="C45">
        <v>1680.099999904633</v>
      </c>
      <c r="D45" t="s">
        <v>418</v>
      </c>
      <c r="E45" t="s">
        <v>419</v>
      </c>
      <c r="F45">
        <v>60</v>
      </c>
      <c r="G45">
        <v>1775482710.849999</v>
      </c>
      <c r="H45">
        <f t="shared" si="0"/>
        <v>3.1217470498617647E-3</v>
      </c>
      <c r="I45">
        <f t="shared" si="1"/>
        <v>3.1217470498617645</v>
      </c>
      <c r="J45">
        <f t="shared" si="2"/>
        <v>0.85810845459491303</v>
      </c>
      <c r="K45">
        <f t="shared" si="3"/>
        <v>12.145206333333331</v>
      </c>
      <c r="L45">
        <f t="shared" si="4"/>
        <v>-4.625843689874733</v>
      </c>
      <c r="M45">
        <f t="shared" si="5"/>
        <v>-0.46407365057432565</v>
      </c>
      <c r="N45">
        <f t="shared" si="6"/>
        <v>1.2184307594364581</v>
      </c>
      <c r="O45">
        <f t="shared" si="7"/>
        <v>8.4374417511365665E-2</v>
      </c>
      <c r="P45">
        <f t="shared" si="8"/>
        <v>2.3947446029548698</v>
      </c>
      <c r="Q45">
        <f t="shared" si="9"/>
        <v>8.2757030770595985E-2</v>
      </c>
      <c r="R45">
        <f t="shared" si="10"/>
        <v>5.1865877656183439E-2</v>
      </c>
      <c r="S45">
        <f t="shared" si="11"/>
        <v>0</v>
      </c>
      <c r="T45">
        <f t="shared" si="12"/>
        <v>26.319125952706006</v>
      </c>
      <c r="U45">
        <f t="shared" si="13"/>
        <v>27.39985999999999</v>
      </c>
      <c r="V45">
        <f t="shared" si="14"/>
        <v>3.6640819997646839</v>
      </c>
      <c r="W45">
        <f t="shared" si="15"/>
        <v>-1.4310781106253521</v>
      </c>
      <c r="X45">
        <f t="shared" si="16"/>
        <v>-5.2121064271977831E-2</v>
      </c>
      <c r="Y45">
        <f t="shared" si="17"/>
        <v>3.6420838167388352</v>
      </c>
      <c r="Z45">
        <f t="shared" si="18"/>
        <v>3.7162030640366619</v>
      </c>
      <c r="AA45">
        <f t="shared" si="19"/>
        <v>-137.66904489890382</v>
      </c>
      <c r="AB45">
        <f t="shared" si="20"/>
        <v>-13.27161207077584</v>
      </c>
      <c r="AC45">
        <f t="shared" si="21"/>
        <v>-1.2001953280210753</v>
      </c>
      <c r="AD45">
        <f t="shared" si="22"/>
        <v>-152.14085229770072</v>
      </c>
      <c r="AE45">
        <v>14</v>
      </c>
      <c r="AF45">
        <v>3</v>
      </c>
      <c r="AG45">
        <f t="shared" si="23"/>
        <v>1</v>
      </c>
      <c r="AH45">
        <f t="shared" si="24"/>
        <v>0</v>
      </c>
      <c r="AI45">
        <f t="shared" si="25"/>
        <v>25588.689805035337</v>
      </c>
      <c r="AJ45">
        <f t="shared" si="26"/>
        <v>0</v>
      </c>
      <c r="AK45">
        <f t="shared" si="27"/>
        <v>0</v>
      </c>
      <c r="AL45">
        <f t="shared" si="28"/>
        <v>0</v>
      </c>
      <c r="AM45">
        <f t="shared" si="29"/>
        <v>0</v>
      </c>
      <c r="AN45">
        <v>3</v>
      </c>
      <c r="AO45">
        <v>0.5</v>
      </c>
      <c r="AP45" t="s">
        <v>331</v>
      </c>
      <c r="AQ45">
        <v>2</v>
      </c>
      <c r="AR45">
        <v>1775482710.849999</v>
      </c>
      <c r="AS45">
        <v>12.145206333333331</v>
      </c>
      <c r="AT45">
        <v>12.682806666666661</v>
      </c>
      <c r="AU45">
        <v>-0.51953800000000006</v>
      </c>
      <c r="AV45">
        <v>-2.393513</v>
      </c>
      <c r="AW45">
        <v>4.0582063333333336</v>
      </c>
      <c r="AX45">
        <v>0.46973300000000001</v>
      </c>
      <c r="AY45">
        <v>500.01236666666671</v>
      </c>
      <c r="AZ45">
        <v>100.2772666666667</v>
      </c>
      <c r="BA45">
        <v>4.468143333333334E-2</v>
      </c>
      <c r="BB45">
        <v>27.29706333333333</v>
      </c>
      <c r="BC45">
        <v>27.39985999999999</v>
      </c>
      <c r="BD45">
        <v>999.9000000000002</v>
      </c>
      <c r="BE45">
        <v>0</v>
      </c>
      <c r="BF45">
        <v>0</v>
      </c>
      <c r="BG45">
        <v>5003.4333333333334</v>
      </c>
      <c r="BH45">
        <v>0.37490463333333329</v>
      </c>
      <c r="BI45">
        <v>0.23344266666666669</v>
      </c>
      <c r="BJ45">
        <v>-0.53881173333333343</v>
      </c>
      <c r="BK45">
        <v>12.13768333333334</v>
      </c>
      <c r="BL45">
        <v>12.65252666666667</v>
      </c>
      <c r="BM45">
        <v>1.873974</v>
      </c>
      <c r="BN45">
        <v>12.682806666666661</v>
      </c>
      <c r="BO45">
        <v>-2.393513</v>
      </c>
      <c r="BP45">
        <v>-5.2097856666666657E-2</v>
      </c>
      <c r="BQ45">
        <v>-0.24001503333333329</v>
      </c>
      <c r="BR45">
        <v>-99.900000000000034</v>
      </c>
      <c r="BS45">
        <v>-99.900000000000034</v>
      </c>
      <c r="BT45">
        <v>0</v>
      </c>
      <c r="BU45">
        <v>0</v>
      </c>
      <c r="BV45">
        <v>0</v>
      </c>
      <c r="BW45">
        <v>26</v>
      </c>
      <c r="BX45">
        <v>-1</v>
      </c>
      <c r="BY45">
        <v>1775482735.5999999</v>
      </c>
      <c r="BZ45" t="s">
        <v>420</v>
      </c>
      <c r="CA45">
        <v>1775482735.5999999</v>
      </c>
      <c r="CB45">
        <v>1775480969.5</v>
      </c>
      <c r="CC45">
        <v>30</v>
      </c>
      <c r="CD45">
        <v>1E-3</v>
      </c>
      <c r="CE45">
        <v>0.19500000000000001</v>
      </c>
      <c r="CF45">
        <v>8.0869999999999997</v>
      </c>
      <c r="CG45">
        <v>-0.98899999999999999</v>
      </c>
      <c r="CH45">
        <v>12</v>
      </c>
      <c r="CI45">
        <v>-3</v>
      </c>
      <c r="CJ45">
        <v>0.17</v>
      </c>
      <c r="CK45">
        <v>0.06</v>
      </c>
      <c r="CL45">
        <v>12.991686885245899</v>
      </c>
      <c r="CM45">
        <v>-2.063069698572205</v>
      </c>
      <c r="CN45">
        <v>0.33780333277112878</v>
      </c>
      <c r="CO45">
        <v>-1</v>
      </c>
      <c r="CP45">
        <v>499.99619672131149</v>
      </c>
      <c r="CQ45">
        <v>9.481332628188581E-2</v>
      </c>
      <c r="CR45">
        <v>6.0737494745326193E-2</v>
      </c>
      <c r="CS45">
        <v>-1</v>
      </c>
      <c r="CT45">
        <v>0</v>
      </c>
      <c r="CU45">
        <v>0</v>
      </c>
      <c r="CV45" t="s">
        <v>333</v>
      </c>
      <c r="CW45">
        <v>3.1673900000000001</v>
      </c>
      <c r="CX45">
        <v>2.6662300000000001</v>
      </c>
      <c r="CY45">
        <v>1.15963E-3</v>
      </c>
      <c r="CZ45">
        <v>3.77079E-3</v>
      </c>
      <c r="DA45">
        <v>3.8209899999999998E-3</v>
      </c>
      <c r="DB45">
        <v>-2.2925299999999999E-2</v>
      </c>
      <c r="DC45">
        <v>21563.3</v>
      </c>
      <c r="DD45">
        <v>21879</v>
      </c>
      <c r="DE45">
        <v>23118</v>
      </c>
      <c r="DF45">
        <v>22315.599999999999</v>
      </c>
      <c r="DG45">
        <v>29697.8</v>
      </c>
      <c r="DH45">
        <v>27220.3</v>
      </c>
      <c r="DI45">
        <v>40630.1</v>
      </c>
      <c r="DJ45">
        <v>36981</v>
      </c>
      <c r="DK45">
        <v>2.08114</v>
      </c>
      <c r="DL45">
        <v>1.80484</v>
      </c>
      <c r="DM45">
        <v>1.7118499999999998E-2</v>
      </c>
      <c r="DN45">
        <v>0</v>
      </c>
      <c r="DO45">
        <v>27.1236</v>
      </c>
      <c r="DP45">
        <v>999.9</v>
      </c>
      <c r="DQ45">
        <v>80</v>
      </c>
      <c r="DR45">
        <v>28.3</v>
      </c>
      <c r="DS45">
        <v>30.8108</v>
      </c>
      <c r="DT45">
        <v>30.3155</v>
      </c>
      <c r="DU45">
        <v>9.8597800000000007</v>
      </c>
      <c r="DV45">
        <v>1</v>
      </c>
      <c r="DW45">
        <v>0.23236999999999999</v>
      </c>
      <c r="DX45">
        <v>-7.8291899999999998E-2</v>
      </c>
      <c r="DY45">
        <v>20.3674</v>
      </c>
      <c r="DZ45">
        <v>5.2110599999999998</v>
      </c>
      <c r="EA45">
        <v>11.849399999999999</v>
      </c>
      <c r="EB45">
        <v>4.9677600000000002</v>
      </c>
      <c r="EC45">
        <v>3.2922199999999999</v>
      </c>
      <c r="ED45">
        <v>894.7</v>
      </c>
      <c r="EE45">
        <v>0</v>
      </c>
      <c r="EF45">
        <v>4856.2</v>
      </c>
      <c r="EG45">
        <v>109.3</v>
      </c>
      <c r="EH45">
        <v>4.9716300000000002</v>
      </c>
      <c r="EI45">
        <v>1.8717999999999999</v>
      </c>
      <c r="EJ45">
        <v>1.8689</v>
      </c>
      <c r="EK45">
        <v>1.87134</v>
      </c>
      <c r="EL45">
        <v>1.86907</v>
      </c>
      <c r="EM45">
        <v>1.8681000000000001</v>
      </c>
      <c r="EN45">
        <v>1.8698999999999999</v>
      </c>
      <c r="EO45">
        <v>1.87168</v>
      </c>
      <c r="EP45">
        <v>0</v>
      </c>
      <c r="EQ45">
        <v>0</v>
      </c>
      <c r="ER45">
        <v>0</v>
      </c>
      <c r="ES45">
        <v>0</v>
      </c>
      <c r="ET45" t="s">
        <v>334</v>
      </c>
      <c r="EU45" t="s">
        <v>335</v>
      </c>
      <c r="EV45" t="s">
        <v>336</v>
      </c>
      <c r="EW45" t="s">
        <v>336</v>
      </c>
      <c r="EX45" t="s">
        <v>336</v>
      </c>
      <c r="EY45" t="s">
        <v>336</v>
      </c>
      <c r="EZ45">
        <v>0</v>
      </c>
      <c r="FA45">
        <v>100</v>
      </c>
      <c r="FB45">
        <v>100</v>
      </c>
      <c r="FC45">
        <v>8.0869999999999997</v>
      </c>
      <c r="FD45">
        <v>-0.98929999999999996</v>
      </c>
      <c r="FE45">
        <v>8.0857866666666638</v>
      </c>
      <c r="FF45">
        <v>0</v>
      </c>
      <c r="FG45">
        <v>0</v>
      </c>
      <c r="FH45">
        <v>0</v>
      </c>
      <c r="FI45">
        <v>-0.98927100000000023</v>
      </c>
      <c r="FJ45">
        <v>0</v>
      </c>
      <c r="FK45">
        <v>0</v>
      </c>
      <c r="FL45">
        <v>0</v>
      </c>
      <c r="FM45">
        <v>-1</v>
      </c>
      <c r="FN45">
        <v>-1</v>
      </c>
      <c r="FO45">
        <v>-1</v>
      </c>
      <c r="FP45">
        <v>-1</v>
      </c>
      <c r="FQ45">
        <v>0.7</v>
      </c>
      <c r="FR45">
        <v>29.2</v>
      </c>
      <c r="FS45">
        <v>0.144043</v>
      </c>
      <c r="FT45">
        <v>4.99756</v>
      </c>
      <c r="FU45">
        <v>1.5979000000000001</v>
      </c>
      <c r="FV45">
        <v>2.16431</v>
      </c>
      <c r="FW45">
        <v>1.5478499999999999</v>
      </c>
      <c r="FX45">
        <v>2.4462899999999999</v>
      </c>
      <c r="FY45">
        <v>33.154499999999999</v>
      </c>
      <c r="FZ45">
        <v>16.154599999999999</v>
      </c>
      <c r="GA45">
        <v>3</v>
      </c>
      <c r="GB45">
        <v>496.53199999999998</v>
      </c>
      <c r="GC45">
        <v>410.35899999999998</v>
      </c>
      <c r="GD45">
        <v>27.803599999999999</v>
      </c>
      <c r="GE45">
        <v>30.136600000000001</v>
      </c>
      <c r="GF45">
        <v>30.0001</v>
      </c>
      <c r="GG45">
        <v>30.42</v>
      </c>
      <c r="GH45">
        <v>30.463999999999999</v>
      </c>
      <c r="GI45">
        <v>-1</v>
      </c>
      <c r="GJ45">
        <v>0</v>
      </c>
      <c r="GK45">
        <v>100</v>
      </c>
      <c r="GL45">
        <v>27.8064</v>
      </c>
      <c r="GM45">
        <v>432.1</v>
      </c>
      <c r="GN45">
        <v>68.912800000000004</v>
      </c>
      <c r="GO45">
        <v>102.271</v>
      </c>
      <c r="GP45">
        <v>96.498699999999999</v>
      </c>
    </row>
    <row r="46" spans="1:198" x14ac:dyDescent="0.35">
      <c r="A46">
        <v>30</v>
      </c>
      <c r="B46">
        <v>1775482778.5999999</v>
      </c>
      <c r="C46">
        <v>1740.099999904633</v>
      </c>
      <c r="D46" t="s">
        <v>421</v>
      </c>
      <c r="E46" t="s">
        <v>422</v>
      </c>
      <c r="F46">
        <v>60</v>
      </c>
      <c r="G46">
        <v>1775482770.599999</v>
      </c>
      <c r="H46">
        <f t="shared" si="0"/>
        <v>3.136709346984358E-3</v>
      </c>
      <c r="I46">
        <f t="shared" si="1"/>
        <v>3.1367093469843579</v>
      </c>
      <c r="J46">
        <f t="shared" si="2"/>
        <v>1.093687941453938</v>
      </c>
      <c r="K46">
        <f t="shared" si="3"/>
        <v>12.056726451612899</v>
      </c>
      <c r="L46">
        <f t="shared" si="4"/>
        <v>-9.0148858418446149</v>
      </c>
      <c r="M46">
        <f t="shared" si="5"/>
        <v>-0.90439713124912502</v>
      </c>
      <c r="N46">
        <f t="shared" si="6"/>
        <v>1.209562606381599</v>
      </c>
      <c r="O46">
        <f t="shared" si="7"/>
        <v>8.4811779826829206E-2</v>
      </c>
      <c r="P46">
        <f t="shared" si="8"/>
        <v>2.3933526406967207</v>
      </c>
      <c r="Q46">
        <f t="shared" si="9"/>
        <v>8.3176826290574782E-2</v>
      </c>
      <c r="R46">
        <f t="shared" si="10"/>
        <v>5.2129785376287735E-2</v>
      </c>
      <c r="S46">
        <f t="shared" si="11"/>
        <v>0</v>
      </c>
      <c r="T46">
        <f t="shared" si="12"/>
        <v>26.315394488386584</v>
      </c>
      <c r="U46">
        <f t="shared" si="13"/>
        <v>27.40375806451614</v>
      </c>
      <c r="V46">
        <f t="shared" si="14"/>
        <v>3.6649184510319377</v>
      </c>
      <c r="W46">
        <f t="shared" si="15"/>
        <v>-1.378896832591509</v>
      </c>
      <c r="X46">
        <f t="shared" si="16"/>
        <v>-5.0224930154116158E-2</v>
      </c>
      <c r="Y46">
        <f t="shared" si="17"/>
        <v>3.642399414300129</v>
      </c>
      <c r="Z46">
        <f t="shared" si="18"/>
        <v>3.7151433811860537</v>
      </c>
      <c r="AA46">
        <f t="shared" si="19"/>
        <v>-138.32888220201019</v>
      </c>
      <c r="AB46">
        <f t="shared" si="20"/>
        <v>-13.576082115793623</v>
      </c>
      <c r="AC46">
        <f t="shared" si="21"/>
        <v>-1.2284765808512117</v>
      </c>
      <c r="AD46">
        <f t="shared" si="22"/>
        <v>-153.13344089865501</v>
      </c>
      <c r="AE46">
        <v>14</v>
      </c>
      <c r="AF46">
        <v>3</v>
      </c>
      <c r="AG46">
        <f t="shared" si="23"/>
        <v>1</v>
      </c>
      <c r="AH46">
        <f t="shared" si="24"/>
        <v>0</v>
      </c>
      <c r="AI46">
        <f t="shared" si="25"/>
        <v>25567.385295612799</v>
      </c>
      <c r="AJ46">
        <f t="shared" si="26"/>
        <v>0</v>
      </c>
      <c r="AK46">
        <f t="shared" si="27"/>
        <v>0</v>
      </c>
      <c r="AL46">
        <f t="shared" si="28"/>
        <v>0</v>
      </c>
      <c r="AM46">
        <f t="shared" si="29"/>
        <v>0</v>
      </c>
      <c r="AN46">
        <v>3</v>
      </c>
      <c r="AO46">
        <v>0.5</v>
      </c>
      <c r="AP46" t="s">
        <v>331</v>
      </c>
      <c r="AQ46">
        <v>2</v>
      </c>
      <c r="AR46">
        <v>1775482770.599999</v>
      </c>
      <c r="AS46">
        <v>12.056726451612899</v>
      </c>
      <c r="AT46">
        <v>12.735641935483869</v>
      </c>
      <c r="AU46">
        <v>-0.50063406451612902</v>
      </c>
      <c r="AV46">
        <v>-2.3836341935483869</v>
      </c>
      <c r="AW46">
        <v>3.9617264516129032</v>
      </c>
      <c r="AX46">
        <v>0.48863690322580638</v>
      </c>
      <c r="AY46">
        <v>499.9914193548388</v>
      </c>
      <c r="AZ46">
        <v>100.2775483870968</v>
      </c>
      <c r="BA46">
        <v>4.5089870967741932E-2</v>
      </c>
      <c r="BB46">
        <v>27.298541935483868</v>
      </c>
      <c r="BC46">
        <v>27.40375806451614</v>
      </c>
      <c r="BD46">
        <v>999.90000000000032</v>
      </c>
      <c r="BE46">
        <v>0</v>
      </c>
      <c r="BF46">
        <v>0</v>
      </c>
      <c r="BG46">
        <v>4999.8387096774204</v>
      </c>
      <c r="BH46">
        <v>0.3869419354838709</v>
      </c>
      <c r="BI46">
        <v>0.23331922580645159</v>
      </c>
      <c r="BJ46">
        <v>-0.68713735483870986</v>
      </c>
      <c r="BK46">
        <v>12.04247419354839</v>
      </c>
      <c r="BL46">
        <v>12.705354838709679</v>
      </c>
      <c r="BM46">
        <v>1.8830016129032261</v>
      </c>
      <c r="BN46">
        <v>12.735641935483869</v>
      </c>
      <c r="BO46">
        <v>-2.3836341935483869</v>
      </c>
      <c r="BP46">
        <v>-5.0202390322580642E-2</v>
      </c>
      <c r="BQ46">
        <v>-0.23902525806451619</v>
      </c>
      <c r="BR46">
        <v>-99.900000000000034</v>
      </c>
      <c r="BS46">
        <v>-99.900000000000034</v>
      </c>
      <c r="BT46">
        <v>0</v>
      </c>
      <c r="BU46">
        <v>0</v>
      </c>
      <c r="BV46">
        <v>0</v>
      </c>
      <c r="BW46">
        <v>26</v>
      </c>
      <c r="BX46">
        <v>-1</v>
      </c>
      <c r="BY46">
        <v>1775482800.0999999</v>
      </c>
      <c r="BZ46" t="s">
        <v>423</v>
      </c>
      <c r="CA46">
        <v>1775482800.0999999</v>
      </c>
      <c r="CB46">
        <v>1775480969.5</v>
      </c>
      <c r="CC46">
        <v>31</v>
      </c>
      <c r="CD46">
        <v>8.0000000000000002E-3</v>
      </c>
      <c r="CE46">
        <v>0.19500000000000001</v>
      </c>
      <c r="CF46">
        <v>8.0950000000000006</v>
      </c>
      <c r="CG46">
        <v>-0.98899999999999999</v>
      </c>
      <c r="CH46">
        <v>13</v>
      </c>
      <c r="CI46">
        <v>-3</v>
      </c>
      <c r="CJ46">
        <v>0.44</v>
      </c>
      <c r="CK46">
        <v>0.06</v>
      </c>
      <c r="CL46">
        <v>12.83118032786885</v>
      </c>
      <c r="CM46">
        <v>-1.013209941829736</v>
      </c>
      <c r="CN46">
        <v>0.2654711974248572</v>
      </c>
      <c r="CO46">
        <v>-1</v>
      </c>
      <c r="CP46">
        <v>499.99614754098371</v>
      </c>
      <c r="CQ46">
        <v>-0.1143331570593784</v>
      </c>
      <c r="CR46">
        <v>6.185595007375691E-2</v>
      </c>
      <c r="CS46">
        <v>-1</v>
      </c>
      <c r="CT46">
        <v>0</v>
      </c>
      <c r="CU46">
        <v>0</v>
      </c>
      <c r="CV46" t="s">
        <v>333</v>
      </c>
      <c r="CW46">
        <v>3.1674000000000002</v>
      </c>
      <c r="CX46">
        <v>2.66655</v>
      </c>
      <c r="CY46">
        <v>1.1288800000000001E-3</v>
      </c>
      <c r="CZ46">
        <v>3.7133000000000001E-3</v>
      </c>
      <c r="DA46">
        <v>3.9352900000000001E-3</v>
      </c>
      <c r="DB46">
        <v>-2.2816099999999999E-2</v>
      </c>
      <c r="DC46">
        <v>21563.200000000001</v>
      </c>
      <c r="DD46">
        <v>21880.3</v>
      </c>
      <c r="DE46">
        <v>23117.3</v>
      </c>
      <c r="DF46">
        <v>22315.599999999999</v>
      </c>
      <c r="DG46">
        <v>29693.5</v>
      </c>
      <c r="DH46">
        <v>27217.4</v>
      </c>
      <c r="DI46">
        <v>40629</v>
      </c>
      <c r="DJ46">
        <v>36981</v>
      </c>
      <c r="DK46">
        <v>2.0813199999999998</v>
      </c>
      <c r="DL46">
        <v>1.8046</v>
      </c>
      <c r="DM46">
        <v>1.6295899999999999E-2</v>
      </c>
      <c r="DN46">
        <v>0</v>
      </c>
      <c r="DO46">
        <v>27.135100000000001</v>
      </c>
      <c r="DP46">
        <v>999.9</v>
      </c>
      <c r="DQ46">
        <v>79.900000000000006</v>
      </c>
      <c r="DR46">
        <v>28.3</v>
      </c>
      <c r="DS46">
        <v>30.768899999999999</v>
      </c>
      <c r="DT46">
        <v>30.4955</v>
      </c>
      <c r="DU46">
        <v>9.8757999999999999</v>
      </c>
      <c r="DV46">
        <v>1</v>
      </c>
      <c r="DW46">
        <v>0.23267299999999999</v>
      </c>
      <c r="DX46">
        <v>-6.0677599999999998E-2</v>
      </c>
      <c r="DY46">
        <v>20.367699999999999</v>
      </c>
      <c r="DZ46">
        <v>5.2114200000000004</v>
      </c>
      <c r="EA46">
        <v>11.8491</v>
      </c>
      <c r="EB46">
        <v>4.9677600000000002</v>
      </c>
      <c r="EC46">
        <v>3.29216</v>
      </c>
      <c r="ED46">
        <v>894.7</v>
      </c>
      <c r="EE46">
        <v>0</v>
      </c>
      <c r="EF46">
        <v>4886</v>
      </c>
      <c r="EG46">
        <v>109.3</v>
      </c>
      <c r="EH46">
        <v>4.9716399999999998</v>
      </c>
      <c r="EI46">
        <v>1.8717999999999999</v>
      </c>
      <c r="EJ46">
        <v>1.8689</v>
      </c>
      <c r="EK46">
        <v>1.87134</v>
      </c>
      <c r="EL46">
        <v>1.8690800000000001</v>
      </c>
      <c r="EM46">
        <v>1.8681099999999999</v>
      </c>
      <c r="EN46">
        <v>1.8698399999999999</v>
      </c>
      <c r="EO46">
        <v>1.87168</v>
      </c>
      <c r="EP46">
        <v>0</v>
      </c>
      <c r="EQ46">
        <v>0</v>
      </c>
      <c r="ER46">
        <v>0</v>
      </c>
      <c r="ES46">
        <v>0</v>
      </c>
      <c r="ET46" t="s">
        <v>334</v>
      </c>
      <c r="EU46" t="s">
        <v>335</v>
      </c>
      <c r="EV46" t="s">
        <v>336</v>
      </c>
      <c r="EW46" t="s">
        <v>336</v>
      </c>
      <c r="EX46" t="s">
        <v>336</v>
      </c>
      <c r="EY46" t="s">
        <v>336</v>
      </c>
      <c r="EZ46">
        <v>0</v>
      </c>
      <c r="FA46">
        <v>100</v>
      </c>
      <c r="FB46">
        <v>100</v>
      </c>
      <c r="FC46">
        <v>8.0950000000000006</v>
      </c>
      <c r="FD46">
        <v>-0.98929999999999996</v>
      </c>
      <c r="FE46">
        <v>8.0867770000000014</v>
      </c>
      <c r="FF46">
        <v>0</v>
      </c>
      <c r="FG46">
        <v>0</v>
      </c>
      <c r="FH46">
        <v>0</v>
      </c>
      <c r="FI46">
        <v>-0.98927100000000023</v>
      </c>
      <c r="FJ46">
        <v>0</v>
      </c>
      <c r="FK46">
        <v>0</v>
      </c>
      <c r="FL46">
        <v>0</v>
      </c>
      <c r="FM46">
        <v>-1</v>
      </c>
      <c r="FN46">
        <v>-1</v>
      </c>
      <c r="FO46">
        <v>-1</v>
      </c>
      <c r="FP46">
        <v>-1</v>
      </c>
      <c r="FQ46">
        <v>0.7</v>
      </c>
      <c r="FR46">
        <v>30.2</v>
      </c>
      <c r="FS46">
        <v>0.144043</v>
      </c>
      <c r="FT46">
        <v>4.99756</v>
      </c>
      <c r="FU46">
        <v>1.5979000000000001</v>
      </c>
      <c r="FV46">
        <v>2.16309</v>
      </c>
      <c r="FW46">
        <v>1.5478499999999999</v>
      </c>
      <c r="FX46">
        <v>2.4121100000000002</v>
      </c>
      <c r="FY46">
        <v>33.199199999999998</v>
      </c>
      <c r="FZ46">
        <v>16.154599999999999</v>
      </c>
      <c r="GA46">
        <v>3</v>
      </c>
      <c r="GB46">
        <v>496.70800000000003</v>
      </c>
      <c r="GC46">
        <v>410.286</v>
      </c>
      <c r="GD46">
        <v>27.802700000000002</v>
      </c>
      <c r="GE46">
        <v>30.1418</v>
      </c>
      <c r="GF46">
        <v>30.0002</v>
      </c>
      <c r="GG46">
        <v>30.429300000000001</v>
      </c>
      <c r="GH46">
        <v>30.4739</v>
      </c>
      <c r="GI46">
        <v>-1</v>
      </c>
      <c r="GJ46">
        <v>0</v>
      </c>
      <c r="GK46">
        <v>100</v>
      </c>
      <c r="GL46">
        <v>27.804099999999998</v>
      </c>
      <c r="GM46">
        <v>432.1</v>
      </c>
      <c r="GN46">
        <v>68.912800000000004</v>
      </c>
      <c r="GO46">
        <v>102.268</v>
      </c>
      <c r="GP46">
        <v>96.498800000000003</v>
      </c>
    </row>
    <row r="47" spans="1:198" x14ac:dyDescent="0.35">
      <c r="A47">
        <v>31</v>
      </c>
      <c r="B47">
        <v>1775482838.5999999</v>
      </c>
      <c r="C47">
        <v>1800.099999904633</v>
      </c>
      <c r="D47" t="s">
        <v>424</v>
      </c>
      <c r="E47" t="s">
        <v>425</v>
      </c>
      <c r="F47">
        <v>60</v>
      </c>
      <c r="G47">
        <v>1775482830.849999</v>
      </c>
      <c r="H47">
        <f t="shared" si="0"/>
        <v>3.1109378106348156E-3</v>
      </c>
      <c r="I47">
        <f t="shared" si="1"/>
        <v>3.1109378106348156</v>
      </c>
      <c r="J47">
        <f t="shared" si="2"/>
        <v>1.7717546040499035</v>
      </c>
      <c r="K47">
        <f t="shared" si="3"/>
        <v>12.068996666666671</v>
      </c>
      <c r="L47">
        <f t="shared" si="4"/>
        <v>-21.897747924752217</v>
      </c>
      <c r="M47">
        <f t="shared" si="5"/>
        <v>-2.1968750303058209</v>
      </c>
      <c r="N47">
        <f t="shared" si="6"/>
        <v>1.2108129798989005</v>
      </c>
      <c r="O47">
        <f t="shared" si="7"/>
        <v>8.4120440565241497E-2</v>
      </c>
      <c r="P47">
        <f t="shared" si="8"/>
        <v>2.3920287539089742</v>
      </c>
      <c r="Q47">
        <f t="shared" si="9"/>
        <v>8.2510888461405432E-2</v>
      </c>
      <c r="R47">
        <f t="shared" si="10"/>
        <v>5.1711352036179326E-2</v>
      </c>
      <c r="S47">
        <f t="shared" si="11"/>
        <v>0</v>
      </c>
      <c r="T47">
        <f t="shared" si="12"/>
        <v>26.321097132545511</v>
      </c>
      <c r="U47">
        <f t="shared" si="13"/>
        <v>27.39834333333334</v>
      </c>
      <c r="V47">
        <f t="shared" si="14"/>
        <v>3.6637565966742405</v>
      </c>
      <c r="W47">
        <f t="shared" si="15"/>
        <v>-1.3918813214667156</v>
      </c>
      <c r="X47">
        <f t="shared" si="16"/>
        <v>-5.0692296064076901E-2</v>
      </c>
      <c r="Y47">
        <f t="shared" si="17"/>
        <v>3.641998443564078</v>
      </c>
      <c r="Z47">
        <f t="shared" si="18"/>
        <v>3.7144488927383175</v>
      </c>
      <c r="AA47">
        <f t="shared" si="19"/>
        <v>-137.19235744899538</v>
      </c>
      <c r="AB47">
        <f t="shared" si="20"/>
        <v>-13.112556629097934</v>
      </c>
      <c r="AC47">
        <f t="shared" si="21"/>
        <v>-1.1871463996192164</v>
      </c>
      <c r="AD47">
        <f t="shared" si="22"/>
        <v>-151.49206047771253</v>
      </c>
      <c r="AE47">
        <v>14</v>
      </c>
      <c r="AF47">
        <v>3</v>
      </c>
      <c r="AG47">
        <f t="shared" si="23"/>
        <v>1</v>
      </c>
      <c r="AH47">
        <f t="shared" si="24"/>
        <v>0</v>
      </c>
      <c r="AI47">
        <f t="shared" si="25"/>
        <v>25547.334173081432</v>
      </c>
      <c r="AJ47">
        <f t="shared" si="26"/>
        <v>0</v>
      </c>
      <c r="AK47">
        <f t="shared" si="27"/>
        <v>0</v>
      </c>
      <c r="AL47">
        <f t="shared" si="28"/>
        <v>0</v>
      </c>
      <c r="AM47">
        <f t="shared" si="29"/>
        <v>0</v>
      </c>
      <c r="AN47">
        <v>3</v>
      </c>
      <c r="AO47">
        <v>0.5</v>
      </c>
      <c r="AP47" t="s">
        <v>331</v>
      </c>
      <c r="AQ47">
        <v>2</v>
      </c>
      <c r="AR47">
        <v>1775482830.849999</v>
      </c>
      <c r="AS47">
        <v>12.068996666666671</v>
      </c>
      <c r="AT47">
        <v>13.15464666666667</v>
      </c>
      <c r="AU47">
        <v>-0.50528460000000008</v>
      </c>
      <c r="AV47">
        <v>-2.372910333333333</v>
      </c>
      <c r="AW47">
        <v>4.0029966666666663</v>
      </c>
      <c r="AX47">
        <v>0.48398636666666672</v>
      </c>
      <c r="AY47">
        <v>499.96789999999987</v>
      </c>
      <c r="AZ47">
        <v>100.2795666666667</v>
      </c>
      <c r="BA47">
        <v>4.4678450000000008E-2</v>
      </c>
      <c r="BB47">
        <v>27.296663333333338</v>
      </c>
      <c r="BC47">
        <v>27.39834333333334</v>
      </c>
      <c r="BD47">
        <v>999.9000000000002</v>
      </c>
      <c r="BE47">
        <v>0</v>
      </c>
      <c r="BF47">
        <v>0</v>
      </c>
      <c r="BG47">
        <v>4996.333333333333</v>
      </c>
      <c r="BH47">
        <v>0.37172163333333319</v>
      </c>
      <c r="BI47">
        <v>0.2334426666666666</v>
      </c>
      <c r="BJ47">
        <v>-1.0568427666666671</v>
      </c>
      <c r="BK47">
        <v>12.091699999999999</v>
      </c>
      <c r="BL47">
        <v>13.123516666666671</v>
      </c>
      <c r="BM47">
        <v>1.867625333333333</v>
      </c>
      <c r="BN47">
        <v>13.15464666666667</v>
      </c>
      <c r="BO47">
        <v>-2.372910333333333</v>
      </c>
      <c r="BP47">
        <v>-5.0669749999999993E-2</v>
      </c>
      <c r="BQ47">
        <v>-0.23795450000000001</v>
      </c>
      <c r="BR47">
        <v>-99.900000000000034</v>
      </c>
      <c r="BS47">
        <v>-99.900000000000034</v>
      </c>
      <c r="BT47">
        <v>0</v>
      </c>
      <c r="BU47">
        <v>0</v>
      </c>
      <c r="BV47">
        <v>0</v>
      </c>
      <c r="BW47">
        <v>26</v>
      </c>
      <c r="BX47">
        <v>-1</v>
      </c>
      <c r="BY47">
        <v>1775482856.5999999</v>
      </c>
      <c r="BZ47" t="s">
        <v>426</v>
      </c>
      <c r="CA47">
        <v>1775482856.5999999</v>
      </c>
      <c r="CB47">
        <v>1775480969.5</v>
      </c>
      <c r="CC47">
        <v>32</v>
      </c>
      <c r="CD47">
        <v>-2.9000000000000001E-2</v>
      </c>
      <c r="CE47">
        <v>0.19500000000000001</v>
      </c>
      <c r="CF47">
        <v>8.0660000000000007</v>
      </c>
      <c r="CG47">
        <v>-0.98899999999999999</v>
      </c>
      <c r="CH47">
        <v>14</v>
      </c>
      <c r="CI47">
        <v>-3</v>
      </c>
      <c r="CJ47">
        <v>0.25</v>
      </c>
      <c r="CK47">
        <v>0.06</v>
      </c>
      <c r="CL47">
        <v>12.836090163934429</v>
      </c>
      <c r="CM47">
        <v>1.8440934955049919</v>
      </c>
      <c r="CN47">
        <v>0.31558341065965367</v>
      </c>
      <c r="CO47">
        <v>-1</v>
      </c>
      <c r="CP47">
        <v>500.04709836065581</v>
      </c>
      <c r="CQ47">
        <v>-0.76673083024790467</v>
      </c>
      <c r="CR47">
        <v>0.2409681772689698</v>
      </c>
      <c r="CS47">
        <v>-1</v>
      </c>
      <c r="CT47">
        <v>0</v>
      </c>
      <c r="CU47">
        <v>0</v>
      </c>
      <c r="CV47" t="s">
        <v>333</v>
      </c>
      <c r="CW47">
        <v>3.16751</v>
      </c>
      <c r="CX47">
        <v>2.6659099999999998</v>
      </c>
      <c r="CY47">
        <v>1.2492899999999999E-3</v>
      </c>
      <c r="CZ47">
        <v>3.99081E-3</v>
      </c>
      <c r="DA47">
        <v>3.88974E-3</v>
      </c>
      <c r="DB47">
        <v>-2.2698200000000002E-2</v>
      </c>
      <c r="DC47">
        <v>21559.9</v>
      </c>
      <c r="DD47">
        <v>21874.5</v>
      </c>
      <c r="DE47">
        <v>23116.400000000001</v>
      </c>
      <c r="DF47">
        <v>22315.9</v>
      </c>
      <c r="DG47">
        <v>29694</v>
      </c>
      <c r="DH47">
        <v>27214.6</v>
      </c>
      <c r="DI47">
        <v>40627.800000000003</v>
      </c>
      <c r="DJ47">
        <v>36981.4</v>
      </c>
      <c r="DK47">
        <v>2.081</v>
      </c>
      <c r="DL47">
        <v>1.8041400000000001</v>
      </c>
      <c r="DM47">
        <v>1.71095E-2</v>
      </c>
      <c r="DN47">
        <v>0</v>
      </c>
      <c r="DO47">
        <v>27.1281</v>
      </c>
      <c r="DP47">
        <v>999.9</v>
      </c>
      <c r="DQ47">
        <v>79.8</v>
      </c>
      <c r="DR47">
        <v>28.3</v>
      </c>
      <c r="DS47">
        <v>30.727499999999999</v>
      </c>
      <c r="DT47">
        <v>30.375499999999999</v>
      </c>
      <c r="DU47">
        <v>9.5673100000000009</v>
      </c>
      <c r="DV47">
        <v>1</v>
      </c>
      <c r="DW47">
        <v>0.233207</v>
      </c>
      <c r="DX47">
        <v>-0.102314</v>
      </c>
      <c r="DY47">
        <v>20.367599999999999</v>
      </c>
      <c r="DZ47">
        <v>5.2110599999999998</v>
      </c>
      <c r="EA47">
        <v>11.848699999999999</v>
      </c>
      <c r="EB47">
        <v>4.9677199999999999</v>
      </c>
      <c r="EC47">
        <v>3.2921999999999998</v>
      </c>
      <c r="ED47">
        <v>894.7</v>
      </c>
      <c r="EE47">
        <v>0</v>
      </c>
      <c r="EF47">
        <v>4915.2</v>
      </c>
      <c r="EG47">
        <v>109.3</v>
      </c>
      <c r="EH47">
        <v>4.9716399999999998</v>
      </c>
      <c r="EI47">
        <v>1.8717999999999999</v>
      </c>
      <c r="EJ47">
        <v>1.8689</v>
      </c>
      <c r="EK47">
        <v>1.87134</v>
      </c>
      <c r="EL47">
        <v>1.8690899999999999</v>
      </c>
      <c r="EM47">
        <v>1.8681099999999999</v>
      </c>
      <c r="EN47">
        <v>1.86991</v>
      </c>
      <c r="EO47">
        <v>1.8716600000000001</v>
      </c>
      <c r="EP47">
        <v>0</v>
      </c>
      <c r="EQ47">
        <v>0</v>
      </c>
      <c r="ER47">
        <v>0</v>
      </c>
      <c r="ES47">
        <v>0</v>
      </c>
      <c r="ET47" t="s">
        <v>334</v>
      </c>
      <c r="EU47" t="s">
        <v>335</v>
      </c>
      <c r="EV47" t="s">
        <v>336</v>
      </c>
      <c r="EW47" t="s">
        <v>336</v>
      </c>
      <c r="EX47" t="s">
        <v>336</v>
      </c>
      <c r="EY47" t="s">
        <v>336</v>
      </c>
      <c r="EZ47">
        <v>0</v>
      </c>
      <c r="FA47">
        <v>100</v>
      </c>
      <c r="FB47">
        <v>100</v>
      </c>
      <c r="FC47">
        <v>8.0660000000000007</v>
      </c>
      <c r="FD47">
        <v>-0.98929999999999996</v>
      </c>
      <c r="FE47">
        <v>8.094815714285712</v>
      </c>
      <c r="FF47">
        <v>0</v>
      </c>
      <c r="FG47">
        <v>0</v>
      </c>
      <c r="FH47">
        <v>0</v>
      </c>
      <c r="FI47">
        <v>-0.98927100000000023</v>
      </c>
      <c r="FJ47">
        <v>0</v>
      </c>
      <c r="FK47">
        <v>0</v>
      </c>
      <c r="FL47">
        <v>0</v>
      </c>
      <c r="FM47">
        <v>-1</v>
      </c>
      <c r="FN47">
        <v>-1</v>
      </c>
      <c r="FO47">
        <v>-1</v>
      </c>
      <c r="FP47">
        <v>-1</v>
      </c>
      <c r="FQ47">
        <v>0.6</v>
      </c>
      <c r="FR47">
        <v>31.2</v>
      </c>
      <c r="FS47">
        <v>0.144043</v>
      </c>
      <c r="FT47">
        <v>4.99756</v>
      </c>
      <c r="FU47">
        <v>1.5979000000000001</v>
      </c>
      <c r="FV47">
        <v>2.16309</v>
      </c>
      <c r="FW47">
        <v>1.5478499999999999</v>
      </c>
      <c r="FX47">
        <v>2.33643</v>
      </c>
      <c r="FY47">
        <v>33.221600000000002</v>
      </c>
      <c r="FZ47">
        <v>16.145900000000001</v>
      </c>
      <c r="GA47">
        <v>3</v>
      </c>
      <c r="GB47">
        <v>496.57</v>
      </c>
      <c r="GC47">
        <v>410.07100000000003</v>
      </c>
      <c r="GD47">
        <v>27.839400000000001</v>
      </c>
      <c r="GE47">
        <v>30.144500000000001</v>
      </c>
      <c r="GF47">
        <v>30.0001</v>
      </c>
      <c r="GG47">
        <v>30.435600000000001</v>
      </c>
      <c r="GH47">
        <v>30.4817</v>
      </c>
      <c r="GI47">
        <v>-1</v>
      </c>
      <c r="GJ47">
        <v>0</v>
      </c>
      <c r="GK47">
        <v>100</v>
      </c>
      <c r="GL47">
        <v>27.8415</v>
      </c>
      <c r="GM47">
        <v>432.1</v>
      </c>
      <c r="GN47">
        <v>68.912800000000004</v>
      </c>
      <c r="GO47">
        <v>102.265</v>
      </c>
      <c r="GP47">
        <v>96.499899999999997</v>
      </c>
    </row>
    <row r="48" spans="1:198" x14ac:dyDescent="0.35">
      <c r="A48">
        <v>32</v>
      </c>
      <c r="B48">
        <v>1775482898.5999999</v>
      </c>
      <c r="C48">
        <v>1860.099999904633</v>
      </c>
      <c r="D48" t="s">
        <v>427</v>
      </c>
      <c r="E48" t="s">
        <v>428</v>
      </c>
      <c r="F48">
        <v>60</v>
      </c>
      <c r="G48">
        <v>1775482890.599999</v>
      </c>
      <c r="H48">
        <f t="shared" si="0"/>
        <v>3.0791751893255431E-3</v>
      </c>
      <c r="I48">
        <f t="shared" si="1"/>
        <v>3.079175189325543</v>
      </c>
      <c r="J48">
        <f t="shared" si="2"/>
        <v>1.2770779127837726</v>
      </c>
      <c r="K48">
        <f t="shared" si="3"/>
        <v>13.248863225806449</v>
      </c>
      <c r="L48">
        <f t="shared" si="4"/>
        <v>-11.755947272163384</v>
      </c>
      <c r="M48">
        <f t="shared" si="5"/>
        <v>-1.1794141033114458</v>
      </c>
      <c r="N48">
        <f t="shared" si="6"/>
        <v>1.3291907304110382</v>
      </c>
      <c r="O48">
        <f t="shared" si="7"/>
        <v>8.3215255566301188E-2</v>
      </c>
      <c r="P48">
        <f t="shared" si="8"/>
        <v>2.3956836836813862</v>
      </c>
      <c r="Q48">
        <f t="shared" si="9"/>
        <v>8.1642161501193286E-2</v>
      </c>
      <c r="R48">
        <f t="shared" si="10"/>
        <v>5.1165210301023854E-2</v>
      </c>
      <c r="S48">
        <f t="shared" si="11"/>
        <v>0</v>
      </c>
      <c r="T48">
        <f t="shared" si="12"/>
        <v>26.337494617193123</v>
      </c>
      <c r="U48">
        <f t="shared" si="13"/>
        <v>27.401112903225801</v>
      </c>
      <c r="V48">
        <f t="shared" si="14"/>
        <v>3.664350831040788</v>
      </c>
      <c r="W48">
        <f t="shared" si="15"/>
        <v>-1.4086739621572779</v>
      </c>
      <c r="X48">
        <f t="shared" si="16"/>
        <v>-5.1319164499021339E-2</v>
      </c>
      <c r="Y48">
        <f t="shared" si="17"/>
        <v>3.6430832029030986</v>
      </c>
      <c r="Z48">
        <f t="shared" si="18"/>
        <v>3.7156699955398094</v>
      </c>
      <c r="AA48">
        <f t="shared" si="19"/>
        <v>-135.79162584925646</v>
      </c>
      <c r="AB48">
        <f t="shared" si="20"/>
        <v>-12.833949890443668</v>
      </c>
      <c r="AC48">
        <f t="shared" si="21"/>
        <v>-1.1601955403335327</v>
      </c>
      <c r="AD48">
        <f t="shared" si="22"/>
        <v>-149.78577128003369</v>
      </c>
      <c r="AE48">
        <v>14</v>
      </c>
      <c r="AF48">
        <v>3</v>
      </c>
      <c r="AG48">
        <f t="shared" si="23"/>
        <v>1</v>
      </c>
      <c r="AH48">
        <f t="shared" si="24"/>
        <v>0</v>
      </c>
      <c r="AI48">
        <f t="shared" si="25"/>
        <v>25602.460866286292</v>
      </c>
      <c r="AJ48">
        <f t="shared" si="26"/>
        <v>0</v>
      </c>
      <c r="AK48">
        <f t="shared" si="27"/>
        <v>0</v>
      </c>
      <c r="AL48">
        <f t="shared" si="28"/>
        <v>0</v>
      </c>
      <c r="AM48">
        <f t="shared" si="29"/>
        <v>0</v>
      </c>
      <c r="AN48">
        <v>3</v>
      </c>
      <c r="AO48">
        <v>0.5</v>
      </c>
      <c r="AP48" t="s">
        <v>331</v>
      </c>
      <c r="AQ48">
        <v>2</v>
      </c>
      <c r="AR48">
        <v>1775482890.599999</v>
      </c>
      <c r="AS48">
        <v>13.248863225806449</v>
      </c>
      <c r="AT48">
        <v>14.03957741935484</v>
      </c>
      <c r="AU48">
        <v>-0.51152974193548384</v>
      </c>
      <c r="AV48">
        <v>-2.3599567741935492</v>
      </c>
      <c r="AW48">
        <v>5.1928632258064527</v>
      </c>
      <c r="AX48">
        <v>0.47774125806451612</v>
      </c>
      <c r="AY48">
        <v>500.00625806451609</v>
      </c>
      <c r="AZ48">
        <v>100.280064516129</v>
      </c>
      <c r="BA48">
        <v>4.4824325806451612E-2</v>
      </c>
      <c r="BB48">
        <v>27.30174516129032</v>
      </c>
      <c r="BC48">
        <v>27.401112903225801</v>
      </c>
      <c r="BD48">
        <v>999.90000000000032</v>
      </c>
      <c r="BE48">
        <v>0</v>
      </c>
      <c r="BF48">
        <v>0</v>
      </c>
      <c r="BG48">
        <v>5005.7096774193551</v>
      </c>
      <c r="BH48">
        <v>0.37649158064516131</v>
      </c>
      <c r="BI48">
        <v>0.23331922580645159</v>
      </c>
      <c r="BJ48">
        <v>-0.78087780645161298</v>
      </c>
      <c r="BK48">
        <v>13.251922580645161</v>
      </c>
      <c r="BL48">
        <v>14.00651612903226</v>
      </c>
      <c r="BM48">
        <v>1.848428709677419</v>
      </c>
      <c r="BN48">
        <v>14.03957741935484</v>
      </c>
      <c r="BO48">
        <v>-2.3599567741935492</v>
      </c>
      <c r="BP48">
        <v>-5.1296209677419359E-2</v>
      </c>
      <c r="BQ48">
        <v>-0.23665651612903221</v>
      </c>
      <c r="BR48">
        <v>-99.900000000000034</v>
      </c>
      <c r="BS48">
        <v>-99.900000000000034</v>
      </c>
      <c r="BT48">
        <v>0</v>
      </c>
      <c r="BU48">
        <v>0</v>
      </c>
      <c r="BV48">
        <v>0</v>
      </c>
      <c r="BW48">
        <v>26</v>
      </c>
      <c r="BX48">
        <v>-0.99677422580645159</v>
      </c>
      <c r="BY48">
        <v>1775482916.5999999</v>
      </c>
      <c r="BZ48" t="s">
        <v>429</v>
      </c>
      <c r="CA48">
        <v>1775482916.5999999</v>
      </c>
      <c r="CB48">
        <v>1775480969.5</v>
      </c>
      <c r="CC48">
        <v>33</v>
      </c>
      <c r="CD48">
        <v>-0.01</v>
      </c>
      <c r="CE48">
        <v>0.19500000000000001</v>
      </c>
      <c r="CF48">
        <v>8.0559999999999992</v>
      </c>
      <c r="CG48">
        <v>-0.98899999999999999</v>
      </c>
      <c r="CH48">
        <v>13</v>
      </c>
      <c r="CI48">
        <v>-3</v>
      </c>
      <c r="CJ48">
        <v>0.28000000000000003</v>
      </c>
      <c r="CK48">
        <v>0.06</v>
      </c>
      <c r="CL48">
        <v>14.012993333333331</v>
      </c>
      <c r="CM48">
        <v>0.28065129202555761</v>
      </c>
      <c r="CN48">
        <v>0.14679417207626311</v>
      </c>
      <c r="CO48">
        <v>-1</v>
      </c>
      <c r="CP48">
        <v>500.00811666666669</v>
      </c>
      <c r="CQ48">
        <v>2.072242289610627E-2</v>
      </c>
      <c r="CR48">
        <v>5.8143240268230673E-2</v>
      </c>
      <c r="CS48">
        <v>-1</v>
      </c>
      <c r="CT48">
        <v>0</v>
      </c>
      <c r="CU48">
        <v>0</v>
      </c>
      <c r="CV48" t="s">
        <v>333</v>
      </c>
      <c r="CW48">
        <v>3.1673900000000001</v>
      </c>
      <c r="CX48">
        <v>2.66628</v>
      </c>
      <c r="CY48">
        <v>1.5394300000000001E-3</v>
      </c>
      <c r="CZ48">
        <v>4.2274599999999997E-3</v>
      </c>
      <c r="DA48">
        <v>3.9121800000000003E-3</v>
      </c>
      <c r="DB48">
        <v>-2.2526399999999999E-2</v>
      </c>
      <c r="DC48">
        <v>21553</v>
      </c>
      <c r="DD48">
        <v>21869.1</v>
      </c>
      <c r="DE48">
        <v>23115.8</v>
      </c>
      <c r="DF48">
        <v>22315.7</v>
      </c>
      <c r="DG48">
        <v>29692.400000000001</v>
      </c>
      <c r="DH48">
        <v>27209.9</v>
      </c>
      <c r="DI48">
        <v>40626.6</v>
      </c>
      <c r="DJ48">
        <v>36981.1</v>
      </c>
      <c r="DK48">
        <v>2.0812599999999999</v>
      </c>
      <c r="DL48">
        <v>1.8041799999999999</v>
      </c>
      <c r="DM48">
        <v>1.7583399999999999E-2</v>
      </c>
      <c r="DN48">
        <v>0</v>
      </c>
      <c r="DO48">
        <v>27.116599999999998</v>
      </c>
      <c r="DP48">
        <v>999.9</v>
      </c>
      <c r="DQ48">
        <v>79.8</v>
      </c>
      <c r="DR48">
        <v>28.4</v>
      </c>
      <c r="DS48">
        <v>30.9099</v>
      </c>
      <c r="DT48">
        <v>30.525500000000001</v>
      </c>
      <c r="DU48">
        <v>9.8637800000000002</v>
      </c>
      <c r="DV48">
        <v>1</v>
      </c>
      <c r="DW48">
        <v>0.23300199999999999</v>
      </c>
      <c r="DX48">
        <v>-7.1895400000000003E-5</v>
      </c>
      <c r="DY48">
        <v>20.367699999999999</v>
      </c>
      <c r="DZ48">
        <v>5.2129799999999999</v>
      </c>
      <c r="EA48">
        <v>11.848699999999999</v>
      </c>
      <c r="EB48">
        <v>4.9678399999999998</v>
      </c>
      <c r="EC48">
        <v>3.2920400000000001</v>
      </c>
      <c r="ED48">
        <v>894.7</v>
      </c>
      <c r="EE48">
        <v>0</v>
      </c>
      <c r="EF48">
        <v>4939.5</v>
      </c>
      <c r="EG48">
        <v>109.3</v>
      </c>
      <c r="EH48">
        <v>4.9716199999999997</v>
      </c>
      <c r="EI48">
        <v>1.8717999999999999</v>
      </c>
      <c r="EJ48">
        <v>1.8689</v>
      </c>
      <c r="EK48">
        <v>1.87134</v>
      </c>
      <c r="EL48">
        <v>1.8690599999999999</v>
      </c>
      <c r="EM48">
        <v>1.86809</v>
      </c>
      <c r="EN48">
        <v>1.86992</v>
      </c>
      <c r="EO48">
        <v>1.8716600000000001</v>
      </c>
      <c r="EP48">
        <v>0</v>
      </c>
      <c r="EQ48">
        <v>0</v>
      </c>
      <c r="ER48">
        <v>0</v>
      </c>
      <c r="ES48">
        <v>0</v>
      </c>
      <c r="ET48" t="s">
        <v>334</v>
      </c>
      <c r="EU48" t="s">
        <v>335</v>
      </c>
      <c r="EV48" t="s">
        <v>336</v>
      </c>
      <c r="EW48" t="s">
        <v>336</v>
      </c>
      <c r="EX48" t="s">
        <v>336</v>
      </c>
      <c r="EY48" t="s">
        <v>336</v>
      </c>
      <c r="EZ48">
        <v>0</v>
      </c>
      <c r="FA48">
        <v>100</v>
      </c>
      <c r="FB48">
        <v>100</v>
      </c>
      <c r="FC48">
        <v>8.0559999999999992</v>
      </c>
      <c r="FD48">
        <v>-0.98929999999999996</v>
      </c>
      <c r="FE48">
        <v>8.0658390000000004</v>
      </c>
      <c r="FF48">
        <v>0</v>
      </c>
      <c r="FG48">
        <v>0</v>
      </c>
      <c r="FH48">
        <v>0</v>
      </c>
      <c r="FI48">
        <v>-0.98927100000000023</v>
      </c>
      <c r="FJ48">
        <v>0</v>
      </c>
      <c r="FK48">
        <v>0</v>
      </c>
      <c r="FL48">
        <v>0</v>
      </c>
      <c r="FM48">
        <v>-1</v>
      </c>
      <c r="FN48">
        <v>-1</v>
      </c>
      <c r="FO48">
        <v>-1</v>
      </c>
      <c r="FP48">
        <v>-1</v>
      </c>
      <c r="FQ48">
        <v>0.7</v>
      </c>
      <c r="FR48">
        <v>32.200000000000003</v>
      </c>
      <c r="FS48">
        <v>0.144043</v>
      </c>
      <c r="FT48">
        <v>4.99756</v>
      </c>
      <c r="FU48">
        <v>1.5979000000000001</v>
      </c>
      <c r="FV48">
        <v>2.16187</v>
      </c>
      <c r="FW48">
        <v>1.5478499999999999</v>
      </c>
      <c r="FX48">
        <v>2.3803700000000001</v>
      </c>
      <c r="FY48">
        <v>33.244</v>
      </c>
      <c r="FZ48">
        <v>16.145900000000001</v>
      </c>
      <c r="GA48">
        <v>3</v>
      </c>
      <c r="GB48">
        <v>496.74099999999999</v>
      </c>
      <c r="GC48">
        <v>410.11099999999999</v>
      </c>
      <c r="GD48">
        <v>27.8385</v>
      </c>
      <c r="GE48">
        <v>30.144500000000001</v>
      </c>
      <c r="GF48">
        <v>30</v>
      </c>
      <c r="GG48">
        <v>30.438199999999998</v>
      </c>
      <c r="GH48">
        <v>30.484300000000001</v>
      </c>
      <c r="GI48">
        <v>-1</v>
      </c>
      <c r="GJ48">
        <v>0</v>
      </c>
      <c r="GK48">
        <v>100</v>
      </c>
      <c r="GL48">
        <v>27.8217</v>
      </c>
      <c r="GM48">
        <v>432.1</v>
      </c>
      <c r="GN48">
        <v>68.912800000000004</v>
      </c>
      <c r="GO48">
        <v>102.262</v>
      </c>
      <c r="GP48">
        <v>96.499200000000002</v>
      </c>
    </row>
    <row r="49" spans="1:198" x14ac:dyDescent="0.35">
      <c r="A49">
        <v>33</v>
      </c>
      <c r="B49">
        <v>1775482958.5999999</v>
      </c>
      <c r="C49">
        <v>1920.099999904633</v>
      </c>
      <c r="D49" t="s">
        <v>430</v>
      </c>
      <c r="E49" t="s">
        <v>431</v>
      </c>
      <c r="F49">
        <v>60</v>
      </c>
      <c r="G49">
        <v>1775482950.599999</v>
      </c>
      <c r="H49">
        <f t="shared" si="0"/>
        <v>3.0479834513261459E-3</v>
      </c>
      <c r="I49">
        <f t="shared" si="1"/>
        <v>3.0479834513261461</v>
      </c>
      <c r="J49">
        <f t="shared" si="2"/>
        <v>1.0574950353276487</v>
      </c>
      <c r="K49">
        <f t="shared" si="3"/>
        <v>12.616466451612901</v>
      </c>
      <c r="L49">
        <f t="shared" si="4"/>
        <v>-8.3888203080041013</v>
      </c>
      <c r="M49">
        <f t="shared" si="5"/>
        <v>-0.84160545525180441</v>
      </c>
      <c r="N49">
        <f t="shared" si="6"/>
        <v>1.2657425718783919</v>
      </c>
      <c r="O49">
        <f t="shared" si="7"/>
        <v>8.2365867550232105E-2</v>
      </c>
      <c r="P49">
        <f t="shared" si="8"/>
        <v>2.3945539287695605</v>
      </c>
      <c r="Q49">
        <f t="shared" si="9"/>
        <v>8.0823689936689161E-2</v>
      </c>
      <c r="R49">
        <f t="shared" si="10"/>
        <v>5.0650959696250254E-2</v>
      </c>
      <c r="S49">
        <f t="shared" si="11"/>
        <v>0</v>
      </c>
      <c r="T49">
        <f t="shared" si="12"/>
        <v>26.33948550275969</v>
      </c>
      <c r="U49">
        <f t="shared" si="13"/>
        <v>27.395099999999999</v>
      </c>
      <c r="V49">
        <f t="shared" si="14"/>
        <v>3.663060819314397</v>
      </c>
      <c r="W49">
        <f t="shared" si="15"/>
        <v>-1.4348070228151253</v>
      </c>
      <c r="X49">
        <f t="shared" si="16"/>
        <v>-5.2248679281361912E-2</v>
      </c>
      <c r="Y49">
        <f t="shared" si="17"/>
        <v>3.6415126529593347</v>
      </c>
      <c r="Z49">
        <f t="shared" si="18"/>
        <v>3.7153094985957589</v>
      </c>
      <c r="AA49">
        <f t="shared" si="19"/>
        <v>-134.41607020348303</v>
      </c>
      <c r="AB49">
        <f t="shared" si="20"/>
        <v>-13.001551519173461</v>
      </c>
      <c r="AC49">
        <f t="shared" si="21"/>
        <v>-1.1758228227531387</v>
      </c>
      <c r="AD49">
        <f t="shared" si="22"/>
        <v>-148.59344454540962</v>
      </c>
      <c r="AE49">
        <v>14</v>
      </c>
      <c r="AF49">
        <v>3</v>
      </c>
      <c r="AG49">
        <f t="shared" si="23"/>
        <v>1</v>
      </c>
      <c r="AH49">
        <f t="shared" si="24"/>
        <v>0</v>
      </c>
      <c r="AI49">
        <f t="shared" si="25"/>
        <v>25585.909431672921</v>
      </c>
      <c r="AJ49">
        <f t="shared" si="26"/>
        <v>0</v>
      </c>
      <c r="AK49">
        <f t="shared" si="27"/>
        <v>0</v>
      </c>
      <c r="AL49">
        <f t="shared" si="28"/>
        <v>0</v>
      </c>
      <c r="AM49">
        <f t="shared" si="29"/>
        <v>0</v>
      </c>
      <c r="AN49">
        <v>3</v>
      </c>
      <c r="AO49">
        <v>0.5</v>
      </c>
      <c r="AP49" t="s">
        <v>331</v>
      </c>
      <c r="AQ49">
        <v>2</v>
      </c>
      <c r="AR49">
        <v>1775482950.599999</v>
      </c>
      <c r="AS49">
        <v>12.616466451612901</v>
      </c>
      <c r="AT49">
        <v>13.274054838709681</v>
      </c>
      <c r="AU49">
        <v>-0.52079603225806459</v>
      </c>
      <c r="AV49">
        <v>-2.35059</v>
      </c>
      <c r="AW49">
        <v>4.5714664516129044</v>
      </c>
      <c r="AX49">
        <v>0.46847493548387092</v>
      </c>
      <c r="AY49">
        <v>499.98593548387089</v>
      </c>
      <c r="AZ49">
        <v>100.28</v>
      </c>
      <c r="BA49">
        <v>4.4649277419354837E-2</v>
      </c>
      <c r="BB49">
        <v>27.294387096774191</v>
      </c>
      <c r="BC49">
        <v>27.395099999999999</v>
      </c>
      <c r="BD49">
        <v>999.90000000000032</v>
      </c>
      <c r="BE49">
        <v>0</v>
      </c>
      <c r="BF49">
        <v>0</v>
      </c>
      <c r="BG49">
        <v>5002.8064516129034</v>
      </c>
      <c r="BH49">
        <v>0.37615399999999988</v>
      </c>
      <c r="BI49">
        <v>0.23331922580645159</v>
      </c>
      <c r="BJ49">
        <v>-0.64629848387096778</v>
      </c>
      <c r="BK49">
        <v>12.62119032258064</v>
      </c>
      <c r="BL49">
        <v>13.24292258064516</v>
      </c>
      <c r="BM49">
        <v>1.8297929032258069</v>
      </c>
      <c r="BN49">
        <v>13.274054838709681</v>
      </c>
      <c r="BO49">
        <v>-2.35059</v>
      </c>
      <c r="BP49">
        <v>-5.2225429032258068E-2</v>
      </c>
      <c r="BQ49">
        <v>-0.23571703225806451</v>
      </c>
      <c r="BR49">
        <v>-99.900000000000034</v>
      </c>
      <c r="BS49">
        <v>-99.900000000000034</v>
      </c>
      <c r="BT49">
        <v>0</v>
      </c>
      <c r="BU49">
        <v>0</v>
      </c>
      <c r="BV49">
        <v>0</v>
      </c>
      <c r="BW49">
        <v>26</v>
      </c>
      <c r="BX49">
        <v>-1</v>
      </c>
      <c r="BY49">
        <v>1775482975.5999999</v>
      </c>
      <c r="BZ49" t="s">
        <v>432</v>
      </c>
      <c r="CA49">
        <v>1775482975.5999999</v>
      </c>
      <c r="CB49">
        <v>1775480969.5</v>
      </c>
      <c r="CC49">
        <v>34</v>
      </c>
      <c r="CD49">
        <v>-1.2E-2</v>
      </c>
      <c r="CE49">
        <v>0.19500000000000001</v>
      </c>
      <c r="CF49">
        <v>8.0449999999999999</v>
      </c>
      <c r="CG49">
        <v>-0.98899999999999999</v>
      </c>
      <c r="CH49">
        <v>13</v>
      </c>
      <c r="CI49">
        <v>-3</v>
      </c>
      <c r="CJ49">
        <v>0.12</v>
      </c>
      <c r="CK49">
        <v>0.06</v>
      </c>
      <c r="CL49">
        <v>13.40129672131147</v>
      </c>
      <c r="CM49">
        <v>-0.70042876784770181</v>
      </c>
      <c r="CN49">
        <v>0.14633616919777451</v>
      </c>
      <c r="CO49">
        <v>-1</v>
      </c>
      <c r="CP49">
        <v>499.98899999999998</v>
      </c>
      <c r="CQ49">
        <v>-3.7960867265489702E-2</v>
      </c>
      <c r="CR49">
        <v>6.6298628920369904E-2</v>
      </c>
      <c r="CS49">
        <v>-1</v>
      </c>
      <c r="CT49">
        <v>0</v>
      </c>
      <c r="CU49">
        <v>0</v>
      </c>
      <c r="CV49" t="s">
        <v>333</v>
      </c>
      <c r="CW49">
        <v>3.1675399999999998</v>
      </c>
      <c r="CX49">
        <v>2.6656300000000002</v>
      </c>
      <c r="CY49">
        <v>1.3282400000000001E-3</v>
      </c>
      <c r="CZ49">
        <v>3.9251800000000003E-3</v>
      </c>
      <c r="DA49">
        <v>3.7523299999999999E-3</v>
      </c>
      <c r="DB49">
        <v>-2.2430800000000001E-2</v>
      </c>
      <c r="DC49">
        <v>21557.200000000001</v>
      </c>
      <c r="DD49">
        <v>21876</v>
      </c>
      <c r="DE49">
        <v>23115.4</v>
      </c>
      <c r="DF49">
        <v>22315.9</v>
      </c>
      <c r="DG49">
        <v>29696.799999999999</v>
      </c>
      <c r="DH49">
        <v>27207.599999999999</v>
      </c>
      <c r="DI49">
        <v>40626</v>
      </c>
      <c r="DJ49">
        <v>36981.4</v>
      </c>
      <c r="DK49">
        <v>2.0813999999999999</v>
      </c>
      <c r="DL49">
        <v>1.80372</v>
      </c>
      <c r="DM49">
        <v>1.7732399999999999E-2</v>
      </c>
      <c r="DN49">
        <v>0</v>
      </c>
      <c r="DO49">
        <v>27.107099999999999</v>
      </c>
      <c r="DP49">
        <v>999.9</v>
      </c>
      <c r="DQ49">
        <v>79.7</v>
      </c>
      <c r="DR49">
        <v>28.4</v>
      </c>
      <c r="DS49">
        <v>30.870999999999999</v>
      </c>
      <c r="DT49">
        <v>30.375499999999999</v>
      </c>
      <c r="DU49">
        <v>9.7676300000000005</v>
      </c>
      <c r="DV49">
        <v>1</v>
      </c>
      <c r="DW49">
        <v>0.23305300000000001</v>
      </c>
      <c r="DX49">
        <v>-0.121375</v>
      </c>
      <c r="DY49">
        <v>20.367699999999999</v>
      </c>
      <c r="DZ49">
        <v>5.2130999999999998</v>
      </c>
      <c r="EA49">
        <v>11.8483</v>
      </c>
      <c r="EB49">
        <v>4.9678399999999998</v>
      </c>
      <c r="EC49">
        <v>3.2921200000000002</v>
      </c>
      <c r="ED49">
        <v>894.7</v>
      </c>
      <c r="EE49">
        <v>0</v>
      </c>
      <c r="EF49">
        <v>4969.5</v>
      </c>
      <c r="EG49">
        <v>109.4</v>
      </c>
      <c r="EH49">
        <v>4.9716300000000002</v>
      </c>
      <c r="EI49">
        <v>1.8717999999999999</v>
      </c>
      <c r="EJ49">
        <v>1.8689</v>
      </c>
      <c r="EK49">
        <v>1.87134</v>
      </c>
      <c r="EL49">
        <v>1.8690599999999999</v>
      </c>
      <c r="EM49">
        <v>1.8680399999999999</v>
      </c>
      <c r="EN49">
        <v>1.8698600000000001</v>
      </c>
      <c r="EO49">
        <v>1.8716699999999999</v>
      </c>
      <c r="EP49">
        <v>0</v>
      </c>
      <c r="EQ49">
        <v>0</v>
      </c>
      <c r="ER49">
        <v>0</v>
      </c>
      <c r="ES49">
        <v>0</v>
      </c>
      <c r="ET49" t="s">
        <v>334</v>
      </c>
      <c r="EU49" t="s">
        <v>335</v>
      </c>
      <c r="EV49" t="s">
        <v>336</v>
      </c>
      <c r="EW49" t="s">
        <v>336</v>
      </c>
      <c r="EX49" t="s">
        <v>336</v>
      </c>
      <c r="EY49" t="s">
        <v>336</v>
      </c>
      <c r="EZ49">
        <v>0</v>
      </c>
      <c r="FA49">
        <v>100</v>
      </c>
      <c r="FB49">
        <v>100</v>
      </c>
      <c r="FC49">
        <v>8.0449999999999999</v>
      </c>
      <c r="FD49">
        <v>-0.98929999999999996</v>
      </c>
      <c r="FE49">
        <v>8.0562904999999958</v>
      </c>
      <c r="FF49">
        <v>0</v>
      </c>
      <c r="FG49">
        <v>0</v>
      </c>
      <c r="FH49">
        <v>0</v>
      </c>
      <c r="FI49">
        <v>-0.98927100000000023</v>
      </c>
      <c r="FJ49">
        <v>0</v>
      </c>
      <c r="FK49">
        <v>0</v>
      </c>
      <c r="FL49">
        <v>0</v>
      </c>
      <c r="FM49">
        <v>-1</v>
      </c>
      <c r="FN49">
        <v>-1</v>
      </c>
      <c r="FO49">
        <v>-1</v>
      </c>
      <c r="FP49">
        <v>-1</v>
      </c>
      <c r="FQ49">
        <v>0.7</v>
      </c>
      <c r="FR49">
        <v>33.200000000000003</v>
      </c>
      <c r="FS49">
        <v>0.144043</v>
      </c>
      <c r="FT49">
        <v>4.99756</v>
      </c>
      <c r="FU49">
        <v>1.5979000000000001</v>
      </c>
      <c r="FV49">
        <v>2.16187</v>
      </c>
      <c r="FW49">
        <v>1.5478499999999999</v>
      </c>
      <c r="FX49">
        <v>2.4499499999999999</v>
      </c>
      <c r="FY49">
        <v>33.266300000000001</v>
      </c>
      <c r="FZ49">
        <v>16.145900000000001</v>
      </c>
      <c r="GA49">
        <v>3</v>
      </c>
      <c r="GB49">
        <v>496.822</v>
      </c>
      <c r="GC49">
        <v>409.846</v>
      </c>
      <c r="GD49">
        <v>27.838200000000001</v>
      </c>
      <c r="GE49">
        <v>30.144500000000001</v>
      </c>
      <c r="GF49">
        <v>30.0001</v>
      </c>
      <c r="GG49">
        <v>30.438199999999998</v>
      </c>
      <c r="GH49">
        <v>30.484400000000001</v>
      </c>
      <c r="GI49">
        <v>-1</v>
      </c>
      <c r="GJ49">
        <v>0</v>
      </c>
      <c r="GK49">
        <v>100</v>
      </c>
      <c r="GL49">
        <v>27.8432</v>
      </c>
      <c r="GM49">
        <v>432.1</v>
      </c>
      <c r="GN49">
        <v>68.912800000000004</v>
      </c>
      <c r="GO49">
        <v>102.261</v>
      </c>
      <c r="GP49">
        <v>96.5</v>
      </c>
    </row>
    <row r="50" spans="1:198" x14ac:dyDescent="0.35">
      <c r="A50">
        <v>34</v>
      </c>
      <c r="B50">
        <v>1775483018.5999999</v>
      </c>
      <c r="C50">
        <v>1980.099999904633</v>
      </c>
      <c r="D50" t="s">
        <v>433</v>
      </c>
      <c r="E50" t="s">
        <v>434</v>
      </c>
      <c r="F50">
        <v>60</v>
      </c>
      <c r="G50">
        <v>1775483010.599999</v>
      </c>
      <c r="H50">
        <f t="shared" si="0"/>
        <v>3.0512300070201551E-3</v>
      </c>
      <c r="I50">
        <f t="shared" si="1"/>
        <v>3.051230007020155</v>
      </c>
      <c r="J50">
        <f t="shared" si="2"/>
        <v>1.1578617549701684</v>
      </c>
      <c r="K50">
        <f t="shared" si="3"/>
        <v>12.83130741935484</v>
      </c>
      <c r="L50">
        <f t="shared" si="4"/>
        <v>-10.082583797041579</v>
      </c>
      <c r="M50">
        <f t="shared" si="5"/>
        <v>-1.0115646464022172</v>
      </c>
      <c r="N50">
        <f t="shared" si="6"/>
        <v>1.2873383662178255</v>
      </c>
      <c r="O50">
        <f t="shared" si="7"/>
        <v>8.2471514628000231E-2</v>
      </c>
      <c r="P50">
        <f t="shared" si="8"/>
        <v>2.3919857138361462</v>
      </c>
      <c r="Q50">
        <f t="shared" si="9"/>
        <v>8.0923791904569414E-2</v>
      </c>
      <c r="R50">
        <f t="shared" si="10"/>
        <v>5.0714007411248596E-2</v>
      </c>
      <c r="S50">
        <f t="shared" si="11"/>
        <v>0</v>
      </c>
      <c r="T50">
        <f t="shared" si="12"/>
        <v>26.346124347546091</v>
      </c>
      <c r="U50">
        <f t="shared" si="13"/>
        <v>27.398829032258071</v>
      </c>
      <c r="V50">
        <f t="shared" si="14"/>
        <v>3.663860801356126</v>
      </c>
      <c r="W50">
        <f t="shared" si="15"/>
        <v>-1.3967349251954124</v>
      </c>
      <c r="X50">
        <f t="shared" si="16"/>
        <v>-5.0887889957116052E-2</v>
      </c>
      <c r="Y50">
        <f t="shared" si="17"/>
        <v>3.6433462813279691</v>
      </c>
      <c r="Z50">
        <f t="shared" si="18"/>
        <v>3.7147486913132419</v>
      </c>
      <c r="AA50">
        <f t="shared" si="19"/>
        <v>-134.55924330958885</v>
      </c>
      <c r="AB50">
        <f t="shared" si="20"/>
        <v>-12.360710929878168</v>
      </c>
      <c r="AC50">
        <f t="shared" si="21"/>
        <v>-1.1191361240597772</v>
      </c>
      <c r="AD50">
        <f t="shared" si="22"/>
        <v>-148.03909036352678</v>
      </c>
      <c r="AE50">
        <v>14</v>
      </c>
      <c r="AF50">
        <v>3</v>
      </c>
      <c r="AG50">
        <f t="shared" si="23"/>
        <v>1</v>
      </c>
      <c r="AH50">
        <f t="shared" si="24"/>
        <v>0</v>
      </c>
      <c r="AI50">
        <f t="shared" si="25"/>
        <v>25546.003240532569</v>
      </c>
      <c r="AJ50">
        <f t="shared" si="26"/>
        <v>0</v>
      </c>
      <c r="AK50">
        <f t="shared" si="27"/>
        <v>0</v>
      </c>
      <c r="AL50">
        <f t="shared" si="28"/>
        <v>0</v>
      </c>
      <c r="AM50">
        <f t="shared" si="29"/>
        <v>0</v>
      </c>
      <c r="AN50">
        <v>3</v>
      </c>
      <c r="AO50">
        <v>0.5</v>
      </c>
      <c r="AP50" t="s">
        <v>331</v>
      </c>
      <c r="AQ50">
        <v>2</v>
      </c>
      <c r="AR50">
        <v>1775483010.599999</v>
      </c>
      <c r="AS50">
        <v>12.83130741935484</v>
      </c>
      <c r="AT50">
        <v>13.549535483870971</v>
      </c>
      <c r="AU50">
        <v>-0.50721564516129036</v>
      </c>
      <c r="AV50">
        <v>-2.3389338709677419</v>
      </c>
      <c r="AW50">
        <v>4.8013074193548384</v>
      </c>
      <c r="AX50">
        <v>0.48205532258064521</v>
      </c>
      <c r="AY50">
        <v>499.98590322580651</v>
      </c>
      <c r="AZ50">
        <v>100.283064516129</v>
      </c>
      <c r="BA50">
        <v>4.4854077419354842E-2</v>
      </c>
      <c r="BB50">
        <v>27.302977419354839</v>
      </c>
      <c r="BC50">
        <v>27.398829032258071</v>
      </c>
      <c r="BD50">
        <v>999.90000000000032</v>
      </c>
      <c r="BE50">
        <v>0</v>
      </c>
      <c r="BF50">
        <v>0</v>
      </c>
      <c r="BG50">
        <v>4996.0483870967746</v>
      </c>
      <c r="BH50">
        <v>0.38703429032258058</v>
      </c>
      <c r="BI50">
        <v>0.23331922580645159</v>
      </c>
      <c r="BJ50">
        <v>-0.70348329032258061</v>
      </c>
      <c r="BK50">
        <v>12.83953870967742</v>
      </c>
      <c r="BL50">
        <v>13.517909677419359</v>
      </c>
      <c r="BM50">
        <v>1.831719032258065</v>
      </c>
      <c r="BN50">
        <v>13.549535483870971</v>
      </c>
      <c r="BO50">
        <v>-2.3389338709677419</v>
      </c>
      <c r="BP50">
        <v>-5.0865135483870963E-2</v>
      </c>
      <c r="BQ50">
        <v>-0.23455548387096781</v>
      </c>
      <c r="BR50">
        <v>-99.900000000000034</v>
      </c>
      <c r="BS50">
        <v>-99.900000000000034</v>
      </c>
      <c r="BT50">
        <v>0</v>
      </c>
      <c r="BU50">
        <v>0</v>
      </c>
      <c r="BV50">
        <v>0</v>
      </c>
      <c r="BW50">
        <v>26</v>
      </c>
      <c r="BX50">
        <v>-1</v>
      </c>
      <c r="BY50">
        <v>1775483036.0999999</v>
      </c>
      <c r="BZ50" t="s">
        <v>435</v>
      </c>
      <c r="CA50">
        <v>1775483036.0999999</v>
      </c>
      <c r="CB50">
        <v>1775480969.5</v>
      </c>
      <c r="CC50">
        <v>35</v>
      </c>
      <c r="CD50">
        <v>-1.4999999999999999E-2</v>
      </c>
      <c r="CE50">
        <v>0.19500000000000001</v>
      </c>
      <c r="CF50">
        <v>8.0299999999999994</v>
      </c>
      <c r="CG50">
        <v>-0.98899999999999999</v>
      </c>
      <c r="CH50">
        <v>13</v>
      </c>
      <c r="CI50">
        <v>-3</v>
      </c>
      <c r="CJ50">
        <v>0.2</v>
      </c>
      <c r="CK50">
        <v>0.06</v>
      </c>
      <c r="CL50">
        <v>13.56307666666666</v>
      </c>
      <c r="CM50">
        <v>-0.12693992775767449</v>
      </c>
      <c r="CN50">
        <v>0.12409101413433959</v>
      </c>
      <c r="CO50">
        <v>-1</v>
      </c>
      <c r="CP50">
        <v>500.00158333333337</v>
      </c>
      <c r="CQ50">
        <v>-3.8987496526895753E-2</v>
      </c>
      <c r="CR50">
        <v>6.4402973965148283E-2</v>
      </c>
      <c r="CS50">
        <v>-1</v>
      </c>
      <c r="CT50">
        <v>0</v>
      </c>
      <c r="CU50">
        <v>0</v>
      </c>
      <c r="CV50" t="s">
        <v>333</v>
      </c>
      <c r="CW50">
        <v>3.1674899999999999</v>
      </c>
      <c r="CX50">
        <v>2.6663700000000001</v>
      </c>
      <c r="CY50">
        <v>1.4032000000000001E-3</v>
      </c>
      <c r="CZ50">
        <v>3.9889299999999999E-3</v>
      </c>
      <c r="DA50">
        <v>3.8639099999999999E-3</v>
      </c>
      <c r="DB50">
        <v>-2.23001E-2</v>
      </c>
      <c r="DC50">
        <v>21555.3</v>
      </c>
      <c r="DD50">
        <v>21874.799999999999</v>
      </c>
      <c r="DE50">
        <v>23115.1</v>
      </c>
      <c r="DF50">
        <v>22316.2</v>
      </c>
      <c r="DG50">
        <v>29693.3</v>
      </c>
      <c r="DH50">
        <v>27204.6</v>
      </c>
      <c r="DI50">
        <v>40625.800000000003</v>
      </c>
      <c r="DJ50">
        <v>36982.1</v>
      </c>
      <c r="DK50">
        <v>2.08108</v>
      </c>
      <c r="DL50">
        <v>1.8038000000000001</v>
      </c>
      <c r="DM50">
        <v>1.83731E-2</v>
      </c>
      <c r="DN50">
        <v>0</v>
      </c>
      <c r="DO50">
        <v>27.102799999999998</v>
      </c>
      <c r="DP50">
        <v>999.9</v>
      </c>
      <c r="DQ50">
        <v>79.599999999999994</v>
      </c>
      <c r="DR50">
        <v>28.5</v>
      </c>
      <c r="DS50">
        <v>31.011199999999999</v>
      </c>
      <c r="DT50">
        <v>30.4055</v>
      </c>
      <c r="DU50">
        <v>9.6273999999999997</v>
      </c>
      <c r="DV50">
        <v>1</v>
      </c>
      <c r="DW50">
        <v>0.232575</v>
      </c>
      <c r="DX50">
        <v>-6.9326799999999994E-2</v>
      </c>
      <c r="DY50">
        <v>20.367899999999999</v>
      </c>
      <c r="DZ50">
        <v>5.2127400000000002</v>
      </c>
      <c r="EA50">
        <v>11.8485</v>
      </c>
      <c r="EB50">
        <v>4.9678399999999998</v>
      </c>
      <c r="EC50">
        <v>3.2921800000000001</v>
      </c>
      <c r="ED50">
        <v>894.7</v>
      </c>
      <c r="EE50">
        <v>0</v>
      </c>
      <c r="EF50">
        <v>4999.2</v>
      </c>
      <c r="EG50">
        <v>109.4</v>
      </c>
      <c r="EH50">
        <v>4.9716100000000001</v>
      </c>
      <c r="EI50">
        <v>1.8717999999999999</v>
      </c>
      <c r="EJ50">
        <v>1.8689</v>
      </c>
      <c r="EK50">
        <v>1.87134</v>
      </c>
      <c r="EL50">
        <v>1.8690899999999999</v>
      </c>
      <c r="EM50">
        <v>1.86805</v>
      </c>
      <c r="EN50">
        <v>1.8698900000000001</v>
      </c>
      <c r="EO50">
        <v>1.8716600000000001</v>
      </c>
      <c r="EP50">
        <v>0</v>
      </c>
      <c r="EQ50">
        <v>0</v>
      </c>
      <c r="ER50">
        <v>0</v>
      </c>
      <c r="ES50">
        <v>0</v>
      </c>
      <c r="ET50" t="s">
        <v>334</v>
      </c>
      <c r="EU50" t="s">
        <v>335</v>
      </c>
      <c r="EV50" t="s">
        <v>336</v>
      </c>
      <c r="EW50" t="s">
        <v>336</v>
      </c>
      <c r="EX50" t="s">
        <v>336</v>
      </c>
      <c r="EY50" t="s">
        <v>336</v>
      </c>
      <c r="EZ50">
        <v>0</v>
      </c>
      <c r="FA50">
        <v>100</v>
      </c>
      <c r="FB50">
        <v>100</v>
      </c>
      <c r="FC50">
        <v>8.0299999999999994</v>
      </c>
      <c r="FD50">
        <v>-0.98929999999999996</v>
      </c>
      <c r="FE50">
        <v>8.0447400000000009</v>
      </c>
      <c r="FF50">
        <v>0</v>
      </c>
      <c r="FG50">
        <v>0</v>
      </c>
      <c r="FH50">
        <v>0</v>
      </c>
      <c r="FI50">
        <v>-0.98927100000000023</v>
      </c>
      <c r="FJ50">
        <v>0</v>
      </c>
      <c r="FK50">
        <v>0</v>
      </c>
      <c r="FL50">
        <v>0</v>
      </c>
      <c r="FM50">
        <v>-1</v>
      </c>
      <c r="FN50">
        <v>-1</v>
      </c>
      <c r="FO50">
        <v>-1</v>
      </c>
      <c r="FP50">
        <v>-1</v>
      </c>
      <c r="FQ50">
        <v>0.7</v>
      </c>
      <c r="FR50">
        <v>34.200000000000003</v>
      </c>
      <c r="FS50">
        <v>0.144043</v>
      </c>
      <c r="FT50">
        <v>4.99756</v>
      </c>
      <c r="FU50">
        <v>1.5979000000000001</v>
      </c>
      <c r="FV50">
        <v>2.16309</v>
      </c>
      <c r="FW50">
        <v>1.5478499999999999</v>
      </c>
      <c r="FX50">
        <v>2.4377399999999998</v>
      </c>
      <c r="FY50">
        <v>33.311100000000003</v>
      </c>
      <c r="FZ50">
        <v>16.1371</v>
      </c>
      <c r="GA50">
        <v>3</v>
      </c>
      <c r="GB50">
        <v>496.64100000000002</v>
      </c>
      <c r="GC50">
        <v>409.90800000000002</v>
      </c>
      <c r="GD50">
        <v>27.825399999999998</v>
      </c>
      <c r="GE50">
        <v>30.1418</v>
      </c>
      <c r="GF50">
        <v>30.0001</v>
      </c>
      <c r="GG50">
        <v>30.438800000000001</v>
      </c>
      <c r="GH50">
        <v>30.486899999999999</v>
      </c>
      <c r="GI50">
        <v>-1</v>
      </c>
      <c r="GJ50">
        <v>0</v>
      </c>
      <c r="GK50">
        <v>100</v>
      </c>
      <c r="GL50">
        <v>27.8217</v>
      </c>
      <c r="GM50">
        <v>432.1</v>
      </c>
      <c r="GN50">
        <v>68.912800000000004</v>
      </c>
      <c r="GO50">
        <v>102.26</v>
      </c>
      <c r="GP50">
        <v>96.501499999999993</v>
      </c>
    </row>
    <row r="51" spans="1:198" x14ac:dyDescent="0.35">
      <c r="A51">
        <v>35</v>
      </c>
      <c r="B51">
        <v>1775483078.5999999</v>
      </c>
      <c r="C51">
        <v>2040.099999904633</v>
      </c>
      <c r="D51" t="s">
        <v>436</v>
      </c>
      <c r="E51" t="s">
        <v>437</v>
      </c>
      <c r="F51">
        <v>60</v>
      </c>
      <c r="G51">
        <v>1775483070.849999</v>
      </c>
      <c r="H51">
        <f t="shared" si="0"/>
        <v>2.9972836154492683E-3</v>
      </c>
      <c r="I51">
        <f t="shared" si="1"/>
        <v>2.9972836154492684</v>
      </c>
      <c r="J51">
        <f t="shared" si="2"/>
        <v>1.3561795564926418</v>
      </c>
      <c r="K51">
        <f t="shared" si="3"/>
        <v>12.79219333333333</v>
      </c>
      <c r="L51">
        <f t="shared" si="4"/>
        <v>-14.386766948052696</v>
      </c>
      <c r="M51">
        <f t="shared" si="5"/>
        <v>-1.4434027003193299</v>
      </c>
      <c r="N51">
        <f t="shared" si="6"/>
        <v>1.2834215266717357</v>
      </c>
      <c r="O51">
        <f t="shared" si="7"/>
        <v>8.0978635599758569E-2</v>
      </c>
      <c r="P51">
        <f t="shared" si="8"/>
        <v>2.3910976710503009</v>
      </c>
      <c r="Q51">
        <f t="shared" si="9"/>
        <v>7.9485348757245389E-2</v>
      </c>
      <c r="R51">
        <f t="shared" si="10"/>
        <v>4.9810215247096661E-2</v>
      </c>
      <c r="S51">
        <f t="shared" si="11"/>
        <v>0</v>
      </c>
      <c r="T51">
        <f t="shared" si="12"/>
        <v>26.355585290843223</v>
      </c>
      <c r="U51">
        <f t="shared" si="13"/>
        <v>27.389230000000001</v>
      </c>
      <c r="V51">
        <f t="shared" si="14"/>
        <v>3.6618018484738166</v>
      </c>
      <c r="W51">
        <f t="shared" si="15"/>
        <v>-1.4667005343431441</v>
      </c>
      <c r="X51">
        <f t="shared" si="16"/>
        <v>-5.3414654200745801E-2</v>
      </c>
      <c r="Y51">
        <f t="shared" si="17"/>
        <v>3.6418241454222513</v>
      </c>
      <c r="Z51">
        <f t="shared" si="18"/>
        <v>3.7152165026745623</v>
      </c>
      <c r="AA51">
        <f t="shared" si="19"/>
        <v>-132.18020744131272</v>
      </c>
      <c r="AB51">
        <f t="shared" si="20"/>
        <v>-12.037938822770514</v>
      </c>
      <c r="AC51">
        <f t="shared" si="21"/>
        <v>-1.090226098837062</v>
      </c>
      <c r="AD51">
        <f t="shared" si="22"/>
        <v>-145.3083723629203</v>
      </c>
      <c r="AE51">
        <v>14</v>
      </c>
      <c r="AF51">
        <v>3</v>
      </c>
      <c r="AG51">
        <f t="shared" si="23"/>
        <v>1</v>
      </c>
      <c r="AH51">
        <f t="shared" si="24"/>
        <v>0</v>
      </c>
      <c r="AI51">
        <f t="shared" si="25"/>
        <v>25533.081918608808</v>
      </c>
      <c r="AJ51">
        <f t="shared" si="26"/>
        <v>0</v>
      </c>
      <c r="AK51">
        <f t="shared" si="27"/>
        <v>0</v>
      </c>
      <c r="AL51">
        <f t="shared" si="28"/>
        <v>0</v>
      </c>
      <c r="AM51">
        <f t="shared" si="29"/>
        <v>0</v>
      </c>
      <c r="AN51">
        <v>3</v>
      </c>
      <c r="AO51">
        <v>0.5</v>
      </c>
      <c r="AP51" t="s">
        <v>331</v>
      </c>
      <c r="AQ51">
        <v>2</v>
      </c>
      <c r="AR51">
        <v>1775483070.849999</v>
      </c>
      <c r="AS51">
        <v>12.79219333333333</v>
      </c>
      <c r="AT51">
        <v>13.628920000000001</v>
      </c>
      <c r="AU51">
        <v>-0.53239763333333334</v>
      </c>
      <c r="AV51">
        <v>-2.3317549999999998</v>
      </c>
      <c r="AW51">
        <v>4.7681933333333344</v>
      </c>
      <c r="AX51">
        <v>0.45687333333333319</v>
      </c>
      <c r="AY51">
        <v>499.99173333333329</v>
      </c>
      <c r="AZ51">
        <v>100.2837</v>
      </c>
      <c r="BA51">
        <v>4.479670333333334E-2</v>
      </c>
      <c r="BB51">
        <v>27.295846666666669</v>
      </c>
      <c r="BC51">
        <v>27.389230000000001</v>
      </c>
      <c r="BD51">
        <v>999.9000000000002</v>
      </c>
      <c r="BE51">
        <v>0</v>
      </c>
      <c r="BF51">
        <v>0</v>
      </c>
      <c r="BG51">
        <v>4993.7333333333336</v>
      </c>
      <c r="BH51">
        <v>0.38904813333333338</v>
      </c>
      <c r="BI51">
        <v>0.22961599999999999</v>
      </c>
      <c r="BJ51">
        <v>-0.83095849999999993</v>
      </c>
      <c r="BK51">
        <v>12.791143333333331</v>
      </c>
      <c r="BL51">
        <v>13.597213333333331</v>
      </c>
      <c r="BM51">
        <v>1.7993570000000001</v>
      </c>
      <c r="BN51">
        <v>13.628920000000001</v>
      </c>
      <c r="BO51">
        <v>-2.3317549999999998</v>
      </c>
      <c r="BP51">
        <v>-5.3390813333333328E-2</v>
      </c>
      <c r="BQ51">
        <v>-0.23383709999999999</v>
      </c>
      <c r="BR51">
        <v>-99.900000000000034</v>
      </c>
      <c r="BS51">
        <v>-99.900000000000034</v>
      </c>
      <c r="BT51">
        <v>0</v>
      </c>
      <c r="BU51">
        <v>0</v>
      </c>
      <c r="BV51">
        <v>0</v>
      </c>
      <c r="BW51">
        <v>26</v>
      </c>
      <c r="BX51">
        <v>-1</v>
      </c>
      <c r="BY51">
        <v>1775483096.5999999</v>
      </c>
      <c r="BZ51" t="s">
        <v>438</v>
      </c>
      <c r="CA51">
        <v>1775483096.5999999</v>
      </c>
      <c r="CB51">
        <v>1775480969.5</v>
      </c>
      <c r="CC51">
        <v>36</v>
      </c>
      <c r="CD51">
        <v>-5.0000000000000001E-3</v>
      </c>
      <c r="CE51">
        <v>0.19500000000000001</v>
      </c>
      <c r="CF51">
        <v>8.0239999999999991</v>
      </c>
      <c r="CG51">
        <v>-0.98899999999999999</v>
      </c>
      <c r="CH51">
        <v>13</v>
      </c>
      <c r="CI51">
        <v>-3</v>
      </c>
      <c r="CJ51">
        <v>0.24</v>
      </c>
      <c r="CK51">
        <v>0.06</v>
      </c>
      <c r="CL51">
        <v>13.592183333333329</v>
      </c>
      <c r="CM51">
        <v>0.36609502639621272</v>
      </c>
      <c r="CN51">
        <v>6.9365974287750806E-2</v>
      </c>
      <c r="CO51">
        <v>-1</v>
      </c>
      <c r="CP51">
        <v>499.99090000000001</v>
      </c>
      <c r="CQ51">
        <v>5.7215893304961608E-2</v>
      </c>
      <c r="CR51">
        <v>5.8745127457517109E-2</v>
      </c>
      <c r="CS51">
        <v>-1</v>
      </c>
      <c r="CT51">
        <v>0</v>
      </c>
      <c r="CU51">
        <v>0</v>
      </c>
      <c r="CV51" t="s">
        <v>333</v>
      </c>
      <c r="CW51">
        <v>3.1674099999999998</v>
      </c>
      <c r="CX51">
        <v>2.6661800000000002</v>
      </c>
      <c r="CY51">
        <v>1.4338899999999999E-3</v>
      </c>
      <c r="CZ51">
        <v>4.0865299999999997E-3</v>
      </c>
      <c r="DA51">
        <v>3.6988500000000001E-3</v>
      </c>
      <c r="DB51">
        <v>-2.22171E-2</v>
      </c>
      <c r="DC51">
        <v>21554.5</v>
      </c>
      <c r="DD51">
        <v>21873.3</v>
      </c>
      <c r="DE51">
        <v>23114.9</v>
      </c>
      <c r="DF51">
        <v>22316.799999999999</v>
      </c>
      <c r="DG51">
        <v>29697.9</v>
      </c>
      <c r="DH51">
        <v>27203.3</v>
      </c>
      <c r="DI51">
        <v>40625.4</v>
      </c>
      <c r="DJ51">
        <v>36983.199999999997</v>
      </c>
      <c r="DK51">
        <v>2.0811199999999999</v>
      </c>
      <c r="DL51">
        <v>1.8035000000000001</v>
      </c>
      <c r="DM51">
        <v>1.8817199999999999E-2</v>
      </c>
      <c r="DN51">
        <v>0</v>
      </c>
      <c r="DO51">
        <v>27.0869</v>
      </c>
      <c r="DP51">
        <v>999.9</v>
      </c>
      <c r="DQ51">
        <v>79.5</v>
      </c>
      <c r="DR51">
        <v>28.5</v>
      </c>
      <c r="DS51">
        <v>30.974399999999999</v>
      </c>
      <c r="DT51">
        <v>30.4055</v>
      </c>
      <c r="DU51">
        <v>9.7996800000000004</v>
      </c>
      <c r="DV51">
        <v>1</v>
      </c>
      <c r="DW51">
        <v>0.23236799999999999</v>
      </c>
      <c r="DX51">
        <v>-0.14532900000000001</v>
      </c>
      <c r="DY51">
        <v>20.367699999999999</v>
      </c>
      <c r="DZ51">
        <v>5.21286</v>
      </c>
      <c r="EA51">
        <v>11.848599999999999</v>
      </c>
      <c r="EB51">
        <v>4.9678800000000001</v>
      </c>
      <c r="EC51">
        <v>3.2921200000000002</v>
      </c>
      <c r="ED51">
        <v>894.7</v>
      </c>
      <c r="EE51">
        <v>0</v>
      </c>
      <c r="EF51">
        <v>5023.3999999999996</v>
      </c>
      <c r="EG51">
        <v>109.4</v>
      </c>
      <c r="EH51">
        <v>4.9716399999999998</v>
      </c>
      <c r="EI51">
        <v>1.8717999999999999</v>
      </c>
      <c r="EJ51">
        <v>1.8689</v>
      </c>
      <c r="EK51">
        <v>1.87134</v>
      </c>
      <c r="EL51">
        <v>1.8690899999999999</v>
      </c>
      <c r="EM51">
        <v>1.8681099999999999</v>
      </c>
      <c r="EN51">
        <v>1.8698900000000001</v>
      </c>
      <c r="EO51">
        <v>1.8716699999999999</v>
      </c>
      <c r="EP51">
        <v>0</v>
      </c>
      <c r="EQ51">
        <v>0</v>
      </c>
      <c r="ER51">
        <v>0</v>
      </c>
      <c r="ES51">
        <v>0</v>
      </c>
      <c r="ET51" t="s">
        <v>334</v>
      </c>
      <c r="EU51" t="s">
        <v>335</v>
      </c>
      <c r="EV51" t="s">
        <v>336</v>
      </c>
      <c r="EW51" t="s">
        <v>336</v>
      </c>
      <c r="EX51" t="s">
        <v>336</v>
      </c>
      <c r="EY51" t="s">
        <v>336</v>
      </c>
      <c r="EZ51">
        <v>0</v>
      </c>
      <c r="FA51">
        <v>100</v>
      </c>
      <c r="FB51">
        <v>100</v>
      </c>
      <c r="FC51">
        <v>8.0239999999999991</v>
      </c>
      <c r="FD51">
        <v>-0.98929999999999996</v>
      </c>
      <c r="FE51">
        <v>8.0297647619047599</v>
      </c>
      <c r="FF51">
        <v>0</v>
      </c>
      <c r="FG51">
        <v>0</v>
      </c>
      <c r="FH51">
        <v>0</v>
      </c>
      <c r="FI51">
        <v>-0.98927100000000023</v>
      </c>
      <c r="FJ51">
        <v>0</v>
      </c>
      <c r="FK51">
        <v>0</v>
      </c>
      <c r="FL51">
        <v>0</v>
      </c>
      <c r="FM51">
        <v>-1</v>
      </c>
      <c r="FN51">
        <v>-1</v>
      </c>
      <c r="FO51">
        <v>-1</v>
      </c>
      <c r="FP51">
        <v>-1</v>
      </c>
      <c r="FQ51">
        <v>0.7</v>
      </c>
      <c r="FR51">
        <v>35.200000000000003</v>
      </c>
      <c r="FS51">
        <v>0.144043</v>
      </c>
      <c r="FT51">
        <v>4.99756</v>
      </c>
      <c r="FU51">
        <v>1.5979000000000001</v>
      </c>
      <c r="FV51">
        <v>2.1606399999999999</v>
      </c>
      <c r="FW51">
        <v>1.5478499999999999</v>
      </c>
      <c r="FX51">
        <v>2.4401899999999999</v>
      </c>
      <c r="FY51">
        <v>33.333500000000001</v>
      </c>
      <c r="FZ51">
        <v>16.1371</v>
      </c>
      <c r="GA51">
        <v>3</v>
      </c>
      <c r="GB51">
        <v>496.65899999999999</v>
      </c>
      <c r="GC51">
        <v>409.71800000000002</v>
      </c>
      <c r="GD51">
        <v>27.8627</v>
      </c>
      <c r="GE51">
        <v>30.139199999999999</v>
      </c>
      <c r="GF51">
        <v>30.0001</v>
      </c>
      <c r="GG51">
        <v>30.438199999999998</v>
      </c>
      <c r="GH51">
        <v>30.484300000000001</v>
      </c>
      <c r="GI51">
        <v>-1</v>
      </c>
      <c r="GJ51">
        <v>0</v>
      </c>
      <c r="GK51">
        <v>100</v>
      </c>
      <c r="GL51">
        <v>27.8643</v>
      </c>
      <c r="GM51">
        <v>432.1</v>
      </c>
      <c r="GN51">
        <v>68.912800000000004</v>
      </c>
      <c r="GO51">
        <v>102.259</v>
      </c>
      <c r="GP51">
        <v>96.504400000000004</v>
      </c>
    </row>
    <row r="52" spans="1:198" x14ac:dyDescent="0.35">
      <c r="A52">
        <v>36</v>
      </c>
      <c r="B52">
        <v>1775483138.5999999</v>
      </c>
      <c r="C52">
        <v>2100.099999904633</v>
      </c>
      <c r="D52" t="s">
        <v>439</v>
      </c>
      <c r="E52" t="s">
        <v>440</v>
      </c>
      <c r="F52">
        <v>60</v>
      </c>
      <c r="G52">
        <v>1775483130.599999</v>
      </c>
      <c r="H52">
        <f t="shared" si="0"/>
        <v>2.9882956440340164E-3</v>
      </c>
      <c r="I52">
        <f t="shared" si="1"/>
        <v>2.9882956440340163</v>
      </c>
      <c r="J52">
        <f t="shared" si="2"/>
        <v>1.3876367666829372</v>
      </c>
      <c r="K52">
        <f t="shared" si="3"/>
        <v>12.243604193548389</v>
      </c>
      <c r="L52">
        <f t="shared" si="4"/>
        <v>-15.597112355856124</v>
      </c>
      <c r="M52">
        <f t="shared" si="5"/>
        <v>-1.5648560787910695</v>
      </c>
      <c r="N52">
        <f t="shared" si="6"/>
        <v>1.2283990787174375</v>
      </c>
      <c r="O52">
        <f t="shared" si="7"/>
        <v>8.0731390368955977E-2</v>
      </c>
      <c r="P52">
        <f t="shared" si="8"/>
        <v>2.3956402420285099</v>
      </c>
      <c r="Q52">
        <f t="shared" si="9"/>
        <v>7.924987696201094E-2</v>
      </c>
      <c r="R52">
        <f t="shared" si="10"/>
        <v>4.9662016683822814E-2</v>
      </c>
      <c r="S52">
        <f t="shared" si="11"/>
        <v>0</v>
      </c>
      <c r="T52">
        <f t="shared" si="12"/>
        <v>26.36487284460209</v>
      </c>
      <c r="U52">
        <f t="shared" si="13"/>
        <v>27.390725806451609</v>
      </c>
      <c r="V52">
        <f t="shared" si="14"/>
        <v>3.6621226263632076</v>
      </c>
      <c r="W52">
        <f t="shared" si="15"/>
        <v>-1.4547986326605251</v>
      </c>
      <c r="X52">
        <f t="shared" si="16"/>
        <v>-5.2996218543831679E-2</v>
      </c>
      <c r="Y52">
        <f t="shared" si="17"/>
        <v>3.6428559495490167</v>
      </c>
      <c r="Z52">
        <f t="shared" si="18"/>
        <v>3.7151188449070394</v>
      </c>
      <c r="AA52">
        <f t="shared" si="19"/>
        <v>-131.78383790190011</v>
      </c>
      <c r="AB52">
        <f t="shared" si="20"/>
        <v>-11.629670855845177</v>
      </c>
      <c r="AC52">
        <f t="shared" si="21"/>
        <v>-1.0512870411971467</v>
      </c>
      <c r="AD52">
        <f t="shared" si="22"/>
        <v>-144.46479579894245</v>
      </c>
      <c r="AE52">
        <v>14</v>
      </c>
      <c r="AF52">
        <v>3</v>
      </c>
      <c r="AG52">
        <f t="shared" si="23"/>
        <v>1</v>
      </c>
      <c r="AH52">
        <f t="shared" si="24"/>
        <v>0</v>
      </c>
      <c r="AI52">
        <f t="shared" si="25"/>
        <v>25601.6716535163</v>
      </c>
      <c r="AJ52">
        <f t="shared" si="26"/>
        <v>0</v>
      </c>
      <c r="AK52">
        <f t="shared" si="27"/>
        <v>0</v>
      </c>
      <c r="AL52">
        <f t="shared" si="28"/>
        <v>0</v>
      </c>
      <c r="AM52">
        <f t="shared" si="29"/>
        <v>0</v>
      </c>
      <c r="AN52">
        <v>3</v>
      </c>
      <c r="AO52">
        <v>0.5</v>
      </c>
      <c r="AP52" t="s">
        <v>331</v>
      </c>
      <c r="AQ52">
        <v>2</v>
      </c>
      <c r="AR52">
        <v>1775483130.599999</v>
      </c>
      <c r="AS52">
        <v>12.243604193548389</v>
      </c>
      <c r="AT52">
        <v>13.0981129032258</v>
      </c>
      <c r="AU52">
        <v>-0.52821980645161293</v>
      </c>
      <c r="AV52">
        <v>-2.3220900000000002</v>
      </c>
      <c r="AW52">
        <v>4.2126041935483878</v>
      </c>
      <c r="AX52">
        <v>0.46105119354838708</v>
      </c>
      <c r="AY52">
        <v>500.01512903225802</v>
      </c>
      <c r="AZ52">
        <v>100.2855806451613</v>
      </c>
      <c r="BA52">
        <v>4.4278054838709668E-2</v>
      </c>
      <c r="BB52">
        <v>27.30068064516129</v>
      </c>
      <c r="BC52">
        <v>27.390725806451609</v>
      </c>
      <c r="BD52">
        <v>999.90000000000032</v>
      </c>
      <c r="BE52">
        <v>0</v>
      </c>
      <c r="BF52">
        <v>0</v>
      </c>
      <c r="BG52">
        <v>5005.322580645161</v>
      </c>
      <c r="BH52">
        <v>0.38287254838709672</v>
      </c>
      <c r="BI52">
        <v>0.22961599999999999</v>
      </c>
      <c r="BJ52">
        <v>-0.8610508709677418</v>
      </c>
      <c r="BK52">
        <v>12.23061290322581</v>
      </c>
      <c r="BL52">
        <v>13.06777741935484</v>
      </c>
      <c r="BM52">
        <v>1.7938703225806449</v>
      </c>
      <c r="BN52">
        <v>13.0981129032258</v>
      </c>
      <c r="BO52">
        <v>-2.3220900000000002</v>
      </c>
      <c r="BP52">
        <v>-5.2972880645161299E-2</v>
      </c>
      <c r="BQ52">
        <v>-0.23287235483870969</v>
      </c>
      <c r="BR52">
        <v>-99.900000000000034</v>
      </c>
      <c r="BS52">
        <v>-99.900000000000034</v>
      </c>
      <c r="BT52">
        <v>0</v>
      </c>
      <c r="BU52">
        <v>0</v>
      </c>
      <c r="BV52">
        <v>0</v>
      </c>
      <c r="BW52">
        <v>26</v>
      </c>
      <c r="BX52">
        <v>-1</v>
      </c>
      <c r="BY52">
        <v>1775483155.5999999</v>
      </c>
      <c r="BZ52" t="s">
        <v>441</v>
      </c>
      <c r="CA52">
        <v>1775483155.5999999</v>
      </c>
      <c r="CB52">
        <v>1775480969.5</v>
      </c>
      <c r="CC52">
        <v>37</v>
      </c>
      <c r="CD52">
        <v>7.0000000000000001E-3</v>
      </c>
      <c r="CE52">
        <v>0.19500000000000001</v>
      </c>
      <c r="CF52">
        <v>8.0310000000000006</v>
      </c>
      <c r="CG52">
        <v>-0.98899999999999999</v>
      </c>
      <c r="CH52">
        <v>14</v>
      </c>
      <c r="CI52">
        <v>-3</v>
      </c>
      <c r="CJ52">
        <v>0.14000000000000001</v>
      </c>
      <c r="CK52">
        <v>0.06</v>
      </c>
      <c r="CL52">
        <v>13.036681666666659</v>
      </c>
      <c r="CM52">
        <v>0.21788552375662251</v>
      </c>
      <c r="CN52">
        <v>0.18009079792488619</v>
      </c>
      <c r="CO52">
        <v>-1</v>
      </c>
      <c r="CP52">
        <v>500.00670000000008</v>
      </c>
      <c r="CQ52">
        <v>5.0714087246201182E-2</v>
      </c>
      <c r="CR52">
        <v>5.7333614340397937E-2</v>
      </c>
      <c r="CS52">
        <v>-1</v>
      </c>
      <c r="CT52">
        <v>0</v>
      </c>
      <c r="CU52">
        <v>0</v>
      </c>
      <c r="CV52" t="s">
        <v>333</v>
      </c>
      <c r="CW52">
        <v>3.1673800000000001</v>
      </c>
      <c r="CX52">
        <v>2.6657000000000002</v>
      </c>
      <c r="CY52">
        <v>1.29977E-3</v>
      </c>
      <c r="CZ52">
        <v>3.9795100000000003E-3</v>
      </c>
      <c r="DA52">
        <v>3.7460900000000001E-3</v>
      </c>
      <c r="DB52">
        <v>-2.21107E-2</v>
      </c>
      <c r="DC52">
        <v>21557</v>
      </c>
      <c r="DD52">
        <v>21875.9</v>
      </c>
      <c r="DE52">
        <v>23114.5</v>
      </c>
      <c r="DF52">
        <v>22317</v>
      </c>
      <c r="DG52">
        <v>29696</v>
      </c>
      <c r="DH52">
        <v>27200.7</v>
      </c>
      <c r="DI52">
        <v>40624.699999999997</v>
      </c>
      <c r="DJ52">
        <v>36983.599999999999</v>
      </c>
      <c r="DK52">
        <v>2.0811600000000001</v>
      </c>
      <c r="DL52">
        <v>1.8036399999999999</v>
      </c>
      <c r="DM52">
        <v>1.9314899999999999E-2</v>
      </c>
      <c r="DN52">
        <v>0</v>
      </c>
      <c r="DO52">
        <v>27.078800000000001</v>
      </c>
      <c r="DP52">
        <v>999.9</v>
      </c>
      <c r="DQ52">
        <v>79.5</v>
      </c>
      <c r="DR52">
        <v>28.5</v>
      </c>
      <c r="DS52">
        <v>30.9696</v>
      </c>
      <c r="DT52">
        <v>30.3155</v>
      </c>
      <c r="DU52">
        <v>9.9038500000000003</v>
      </c>
      <c r="DV52">
        <v>1</v>
      </c>
      <c r="DW52">
        <v>0.23163600000000001</v>
      </c>
      <c r="DX52">
        <v>-0.119462</v>
      </c>
      <c r="DY52">
        <v>20.367799999999999</v>
      </c>
      <c r="DZ52">
        <v>5.21082</v>
      </c>
      <c r="EA52">
        <v>11.8485</v>
      </c>
      <c r="EB52">
        <v>4.9679200000000003</v>
      </c>
      <c r="EC52">
        <v>3.2921800000000001</v>
      </c>
      <c r="ED52">
        <v>894.7</v>
      </c>
      <c r="EE52">
        <v>0</v>
      </c>
      <c r="EF52">
        <v>5053.5</v>
      </c>
      <c r="EG52">
        <v>109.4</v>
      </c>
      <c r="EH52">
        <v>4.9716399999999998</v>
      </c>
      <c r="EI52">
        <v>1.8717999999999999</v>
      </c>
      <c r="EJ52">
        <v>1.8689100000000001</v>
      </c>
      <c r="EK52">
        <v>1.8713500000000001</v>
      </c>
      <c r="EL52">
        <v>1.8691199999999999</v>
      </c>
      <c r="EM52">
        <v>1.86809</v>
      </c>
      <c r="EN52">
        <v>1.86992</v>
      </c>
      <c r="EO52">
        <v>1.8716699999999999</v>
      </c>
      <c r="EP52">
        <v>0</v>
      </c>
      <c r="EQ52">
        <v>0</v>
      </c>
      <c r="ER52">
        <v>0</v>
      </c>
      <c r="ES52">
        <v>0</v>
      </c>
      <c r="ET52" t="s">
        <v>334</v>
      </c>
      <c r="EU52" t="s">
        <v>335</v>
      </c>
      <c r="EV52" t="s">
        <v>336</v>
      </c>
      <c r="EW52" t="s">
        <v>336</v>
      </c>
      <c r="EX52" t="s">
        <v>336</v>
      </c>
      <c r="EY52" t="s">
        <v>336</v>
      </c>
      <c r="EZ52">
        <v>0</v>
      </c>
      <c r="FA52">
        <v>100</v>
      </c>
      <c r="FB52">
        <v>100</v>
      </c>
      <c r="FC52">
        <v>8.0310000000000006</v>
      </c>
      <c r="FD52">
        <v>-0.98929999999999996</v>
      </c>
      <c r="FE52">
        <v>8.0244634999999978</v>
      </c>
      <c r="FF52">
        <v>0</v>
      </c>
      <c r="FG52">
        <v>0</v>
      </c>
      <c r="FH52">
        <v>0</v>
      </c>
      <c r="FI52">
        <v>-0.98927100000000023</v>
      </c>
      <c r="FJ52">
        <v>0</v>
      </c>
      <c r="FK52">
        <v>0</v>
      </c>
      <c r="FL52">
        <v>0</v>
      </c>
      <c r="FM52">
        <v>-1</v>
      </c>
      <c r="FN52">
        <v>-1</v>
      </c>
      <c r="FO52">
        <v>-1</v>
      </c>
      <c r="FP52">
        <v>-1</v>
      </c>
      <c r="FQ52">
        <v>0.7</v>
      </c>
      <c r="FR52">
        <v>36.200000000000003</v>
      </c>
      <c r="FS52">
        <v>0.144043</v>
      </c>
      <c r="FT52">
        <v>4.99756</v>
      </c>
      <c r="FU52">
        <v>1.5979000000000001</v>
      </c>
      <c r="FV52">
        <v>2.16309</v>
      </c>
      <c r="FW52">
        <v>1.5478499999999999</v>
      </c>
      <c r="FX52">
        <v>2.4340799999999998</v>
      </c>
      <c r="FY52">
        <v>33.355899999999998</v>
      </c>
      <c r="FZ52">
        <v>16.1371</v>
      </c>
      <c r="GA52">
        <v>3</v>
      </c>
      <c r="GB52">
        <v>496.64299999999997</v>
      </c>
      <c r="GC52">
        <v>409.78199999999998</v>
      </c>
      <c r="GD52">
        <v>27.8475</v>
      </c>
      <c r="GE52">
        <v>30.131399999999999</v>
      </c>
      <c r="GF52">
        <v>30.0001</v>
      </c>
      <c r="GG52">
        <v>30.433</v>
      </c>
      <c r="GH52">
        <v>30.4817</v>
      </c>
      <c r="GI52">
        <v>-1</v>
      </c>
      <c r="GJ52">
        <v>0</v>
      </c>
      <c r="GK52">
        <v>100</v>
      </c>
      <c r="GL52">
        <v>27.844799999999999</v>
      </c>
      <c r="GM52">
        <v>432.1</v>
      </c>
      <c r="GN52">
        <v>68.912800000000004</v>
      </c>
      <c r="GO52">
        <v>102.25700000000001</v>
      </c>
      <c r="GP52">
        <v>96.505300000000005</v>
      </c>
    </row>
    <row r="53" spans="1:198" x14ac:dyDescent="0.35">
      <c r="A53">
        <v>37</v>
      </c>
      <c r="B53">
        <v>1775483198.5999999</v>
      </c>
      <c r="C53">
        <v>2160.099999904633</v>
      </c>
      <c r="D53" t="s">
        <v>442</v>
      </c>
      <c r="E53" t="s">
        <v>443</v>
      </c>
      <c r="F53">
        <v>60</v>
      </c>
      <c r="G53">
        <v>1775483190.599999</v>
      </c>
      <c r="H53">
        <f t="shared" si="0"/>
        <v>2.9969558719016311E-3</v>
      </c>
      <c r="I53">
        <f t="shared" si="1"/>
        <v>2.9969558719016312</v>
      </c>
      <c r="J53">
        <f t="shared" si="2"/>
        <v>1.1334242809135697</v>
      </c>
      <c r="K53">
        <f t="shared" si="3"/>
        <v>13.35625419354839</v>
      </c>
      <c r="L53">
        <f t="shared" si="4"/>
        <v>-9.5087732193900969</v>
      </c>
      <c r="M53">
        <f t="shared" si="5"/>
        <v>-0.95401808801475729</v>
      </c>
      <c r="N53">
        <f t="shared" si="6"/>
        <v>1.3400370157934436</v>
      </c>
      <c r="O53">
        <f t="shared" si="7"/>
        <v>8.099822798842668E-2</v>
      </c>
      <c r="P53">
        <f t="shared" si="8"/>
        <v>2.3919622929555637</v>
      </c>
      <c r="Q53">
        <f t="shared" si="9"/>
        <v>7.9504754959944635E-2</v>
      </c>
      <c r="R53">
        <f t="shared" si="10"/>
        <v>4.9822360834682861E-2</v>
      </c>
      <c r="S53">
        <f t="shared" si="11"/>
        <v>0</v>
      </c>
      <c r="T53">
        <f t="shared" si="12"/>
        <v>26.363320066701295</v>
      </c>
      <c r="U53">
        <f t="shared" si="13"/>
        <v>27.391200000000001</v>
      </c>
      <c r="V53">
        <f t="shared" si="14"/>
        <v>3.6622243229852804</v>
      </c>
      <c r="W53">
        <f t="shared" si="15"/>
        <v>-1.4192045072497206</v>
      </c>
      <c r="X53">
        <f t="shared" si="16"/>
        <v>-5.1707091770463579E-2</v>
      </c>
      <c r="Y53">
        <f t="shared" si="17"/>
        <v>3.6433855379072089</v>
      </c>
      <c r="Z53">
        <f t="shared" si="18"/>
        <v>3.7139314147557441</v>
      </c>
      <c r="AA53">
        <f t="shared" si="19"/>
        <v>-132.16575395086193</v>
      </c>
      <c r="AB53">
        <f t="shared" si="20"/>
        <v>-11.35307328481748</v>
      </c>
      <c r="AC53">
        <f t="shared" si="21"/>
        <v>-1.0278766680239877</v>
      </c>
      <c r="AD53">
        <f t="shared" si="22"/>
        <v>-144.54670390370339</v>
      </c>
      <c r="AE53">
        <v>14</v>
      </c>
      <c r="AF53">
        <v>3</v>
      </c>
      <c r="AG53">
        <f t="shared" si="23"/>
        <v>1</v>
      </c>
      <c r="AH53">
        <f t="shared" si="24"/>
        <v>0</v>
      </c>
      <c r="AI53">
        <f t="shared" si="25"/>
        <v>25545.51195307335</v>
      </c>
      <c r="AJ53">
        <f t="shared" si="26"/>
        <v>0</v>
      </c>
      <c r="AK53">
        <f t="shared" si="27"/>
        <v>0</v>
      </c>
      <c r="AL53">
        <f t="shared" si="28"/>
        <v>0</v>
      </c>
      <c r="AM53">
        <f t="shared" si="29"/>
        <v>0</v>
      </c>
      <c r="AN53">
        <v>3</v>
      </c>
      <c r="AO53">
        <v>0.5</v>
      </c>
      <c r="AP53" t="s">
        <v>331</v>
      </c>
      <c r="AQ53">
        <v>2</v>
      </c>
      <c r="AR53">
        <v>1775483190.599999</v>
      </c>
      <c r="AS53">
        <v>13.35625419354839</v>
      </c>
      <c r="AT53">
        <v>14.06032580645161</v>
      </c>
      <c r="AU53">
        <v>-0.51536864516129033</v>
      </c>
      <c r="AV53">
        <v>-2.314469354838709</v>
      </c>
      <c r="AW53">
        <v>5.2992541935483883</v>
      </c>
      <c r="AX53">
        <v>0.47390232258064519</v>
      </c>
      <c r="AY53">
        <v>499.99987096774191</v>
      </c>
      <c r="AZ53">
        <v>100.286064516129</v>
      </c>
      <c r="BA53">
        <v>4.4237406451612893E-2</v>
      </c>
      <c r="BB53">
        <v>27.303161290322581</v>
      </c>
      <c r="BC53">
        <v>27.391200000000001</v>
      </c>
      <c r="BD53">
        <v>999.90000000000032</v>
      </c>
      <c r="BE53">
        <v>0</v>
      </c>
      <c r="BF53">
        <v>0</v>
      </c>
      <c r="BG53">
        <v>4995.8387096774204</v>
      </c>
      <c r="BH53">
        <v>0.35590096774193553</v>
      </c>
      <c r="BI53">
        <v>0.22961599999999999</v>
      </c>
      <c r="BJ53">
        <v>-0.72995561290322564</v>
      </c>
      <c r="BK53">
        <v>13.32351612903226</v>
      </c>
      <c r="BL53">
        <v>14.02786129032258</v>
      </c>
      <c r="BM53">
        <v>1.79909935483871</v>
      </c>
      <c r="BN53">
        <v>14.06032580645161</v>
      </c>
      <c r="BO53">
        <v>-2.314469354838709</v>
      </c>
      <c r="BP53">
        <v>-5.1684300000000002E-2</v>
      </c>
      <c r="BQ53">
        <v>-0.23210893548387099</v>
      </c>
      <c r="BR53">
        <v>-99.900000000000034</v>
      </c>
      <c r="BS53">
        <v>-99.900000000000034</v>
      </c>
      <c r="BT53">
        <v>0</v>
      </c>
      <c r="BU53">
        <v>0</v>
      </c>
      <c r="BV53">
        <v>0</v>
      </c>
      <c r="BW53">
        <v>26</v>
      </c>
      <c r="BX53">
        <v>-1</v>
      </c>
      <c r="BY53">
        <v>1775483218.5999999</v>
      </c>
      <c r="BZ53" t="s">
        <v>444</v>
      </c>
      <c r="CA53">
        <v>1775483218.5999999</v>
      </c>
      <c r="CB53">
        <v>1775480969.5</v>
      </c>
      <c r="CC53">
        <v>38</v>
      </c>
      <c r="CD53">
        <v>2.5999999999999999E-2</v>
      </c>
      <c r="CE53">
        <v>0.19500000000000001</v>
      </c>
      <c r="CF53">
        <v>8.0570000000000004</v>
      </c>
      <c r="CG53">
        <v>-0.98899999999999999</v>
      </c>
      <c r="CH53">
        <v>14</v>
      </c>
      <c r="CI53">
        <v>-3</v>
      </c>
      <c r="CJ53">
        <v>0.38</v>
      </c>
      <c r="CK53">
        <v>0.06</v>
      </c>
      <c r="CL53">
        <v>14.09910333333333</v>
      </c>
      <c r="CM53">
        <v>-0.15174815226451119</v>
      </c>
      <c r="CN53">
        <v>0.124888017795499</v>
      </c>
      <c r="CO53">
        <v>-1</v>
      </c>
      <c r="CP53">
        <v>499.98581666666661</v>
      </c>
      <c r="CQ53">
        <v>5.0850791887626832E-2</v>
      </c>
      <c r="CR53">
        <v>5.6294017345438513E-2</v>
      </c>
      <c r="CS53">
        <v>-1</v>
      </c>
      <c r="CT53">
        <v>0</v>
      </c>
      <c r="CU53">
        <v>0</v>
      </c>
      <c r="CV53" t="s">
        <v>333</v>
      </c>
      <c r="CW53">
        <v>3.1675900000000001</v>
      </c>
      <c r="CX53">
        <v>2.6659700000000002</v>
      </c>
      <c r="CY53">
        <v>1.5426999999999999E-3</v>
      </c>
      <c r="CZ53">
        <v>4.0283999999999997E-3</v>
      </c>
      <c r="DA53">
        <v>3.8374699999999999E-3</v>
      </c>
      <c r="DB53">
        <v>-2.20068E-2</v>
      </c>
      <c r="DC53">
        <v>21551.599999999999</v>
      </c>
      <c r="DD53">
        <v>21875.1</v>
      </c>
      <c r="DE53">
        <v>23114.3</v>
      </c>
      <c r="DF53">
        <v>22317.3</v>
      </c>
      <c r="DG53">
        <v>29693.1</v>
      </c>
      <c r="DH53">
        <v>27198.2</v>
      </c>
      <c r="DI53">
        <v>40624.400000000001</v>
      </c>
      <c r="DJ53">
        <v>36983.9</v>
      </c>
      <c r="DK53">
        <v>2.0814599999999999</v>
      </c>
      <c r="DL53">
        <v>1.80338</v>
      </c>
      <c r="DM53">
        <v>1.8712900000000001E-2</v>
      </c>
      <c r="DN53">
        <v>0</v>
      </c>
      <c r="DO53">
        <v>27.0944</v>
      </c>
      <c r="DP53">
        <v>999.9</v>
      </c>
      <c r="DQ53">
        <v>79.400000000000006</v>
      </c>
      <c r="DR53">
        <v>28.6</v>
      </c>
      <c r="DS53">
        <v>31.111599999999999</v>
      </c>
      <c r="DT53">
        <v>30.555499999999999</v>
      </c>
      <c r="DU53">
        <v>9.4751600000000007</v>
      </c>
      <c r="DV53">
        <v>1</v>
      </c>
      <c r="DW53">
        <v>0.231071</v>
      </c>
      <c r="DX53">
        <v>-6.5751599999999993E-2</v>
      </c>
      <c r="DY53">
        <v>20.367899999999999</v>
      </c>
      <c r="DZ53">
        <v>5.2109399999999999</v>
      </c>
      <c r="EA53">
        <v>11.848699999999999</v>
      </c>
      <c r="EB53">
        <v>4.9678399999999998</v>
      </c>
      <c r="EC53">
        <v>3.2923200000000001</v>
      </c>
      <c r="ED53">
        <v>894.7</v>
      </c>
      <c r="EE53">
        <v>0</v>
      </c>
      <c r="EF53">
        <v>5083.8</v>
      </c>
      <c r="EG53">
        <v>109.4</v>
      </c>
      <c r="EH53">
        <v>4.9716300000000002</v>
      </c>
      <c r="EI53">
        <v>1.8717999999999999</v>
      </c>
      <c r="EJ53">
        <v>1.8689</v>
      </c>
      <c r="EK53">
        <v>1.87134</v>
      </c>
      <c r="EL53">
        <v>1.86911</v>
      </c>
      <c r="EM53">
        <v>1.86809</v>
      </c>
      <c r="EN53">
        <v>1.86995</v>
      </c>
      <c r="EO53">
        <v>1.8716699999999999</v>
      </c>
      <c r="EP53">
        <v>0</v>
      </c>
      <c r="EQ53">
        <v>0</v>
      </c>
      <c r="ER53">
        <v>0</v>
      </c>
      <c r="ES53">
        <v>0</v>
      </c>
      <c r="ET53" t="s">
        <v>334</v>
      </c>
      <c r="EU53" t="s">
        <v>335</v>
      </c>
      <c r="EV53" t="s">
        <v>336</v>
      </c>
      <c r="EW53" t="s">
        <v>336</v>
      </c>
      <c r="EX53" t="s">
        <v>336</v>
      </c>
      <c r="EY53" t="s">
        <v>336</v>
      </c>
      <c r="EZ53">
        <v>0</v>
      </c>
      <c r="FA53">
        <v>100</v>
      </c>
      <c r="FB53">
        <v>100</v>
      </c>
      <c r="FC53">
        <v>8.0570000000000004</v>
      </c>
      <c r="FD53">
        <v>-0.98929999999999996</v>
      </c>
      <c r="FE53">
        <v>8.0311134999999982</v>
      </c>
      <c r="FF53">
        <v>0</v>
      </c>
      <c r="FG53">
        <v>0</v>
      </c>
      <c r="FH53">
        <v>0</v>
      </c>
      <c r="FI53">
        <v>-0.98927100000000023</v>
      </c>
      <c r="FJ53">
        <v>0</v>
      </c>
      <c r="FK53">
        <v>0</v>
      </c>
      <c r="FL53">
        <v>0</v>
      </c>
      <c r="FM53">
        <v>-1</v>
      </c>
      <c r="FN53">
        <v>-1</v>
      </c>
      <c r="FO53">
        <v>-1</v>
      </c>
      <c r="FP53">
        <v>-1</v>
      </c>
      <c r="FQ53">
        <v>0.7</v>
      </c>
      <c r="FR53">
        <v>37.200000000000003</v>
      </c>
      <c r="FS53">
        <v>0.144043</v>
      </c>
      <c r="FT53">
        <v>4.99756</v>
      </c>
      <c r="FU53">
        <v>1.5979000000000001</v>
      </c>
      <c r="FV53">
        <v>2.16187</v>
      </c>
      <c r="FW53">
        <v>1.5478499999999999</v>
      </c>
      <c r="FX53">
        <v>2.3999000000000001</v>
      </c>
      <c r="FY53">
        <v>33.378399999999999</v>
      </c>
      <c r="FZ53">
        <v>16.128399999999999</v>
      </c>
      <c r="GA53">
        <v>3</v>
      </c>
      <c r="GB53">
        <v>496.798</v>
      </c>
      <c r="GC53">
        <v>409.61399999999998</v>
      </c>
      <c r="GD53">
        <v>27.809799999999999</v>
      </c>
      <c r="GE53">
        <v>30.126200000000001</v>
      </c>
      <c r="GF53">
        <v>30.0001</v>
      </c>
      <c r="GG53">
        <v>30.430399999999999</v>
      </c>
      <c r="GH53">
        <v>30.479099999999999</v>
      </c>
      <c r="GI53">
        <v>-1</v>
      </c>
      <c r="GJ53">
        <v>0</v>
      </c>
      <c r="GK53">
        <v>100</v>
      </c>
      <c r="GL53">
        <v>27.806699999999999</v>
      </c>
      <c r="GM53">
        <v>432.1</v>
      </c>
      <c r="GN53">
        <v>68.912800000000004</v>
      </c>
      <c r="GO53">
        <v>102.256</v>
      </c>
      <c r="GP53">
        <v>96.506399999999999</v>
      </c>
    </row>
    <row r="54" spans="1:198" x14ac:dyDescent="0.35">
      <c r="A54">
        <v>38</v>
      </c>
      <c r="B54">
        <v>1775483258.5999999</v>
      </c>
      <c r="C54">
        <v>2220.099999904633</v>
      </c>
      <c r="D54" t="s">
        <v>445</v>
      </c>
      <c r="E54" t="s">
        <v>446</v>
      </c>
      <c r="F54">
        <v>60</v>
      </c>
      <c r="G54">
        <v>1775483250.599999</v>
      </c>
      <c r="H54">
        <f t="shared" si="0"/>
        <v>2.9649945488121007E-3</v>
      </c>
      <c r="I54">
        <f t="shared" si="1"/>
        <v>2.9649945488121006</v>
      </c>
      <c r="J54">
        <f t="shared" si="2"/>
        <v>1.151450199539376</v>
      </c>
      <c r="K54">
        <f t="shared" si="3"/>
        <v>12.80377967741935</v>
      </c>
      <c r="L54">
        <f t="shared" si="4"/>
        <v>-10.629030395829643</v>
      </c>
      <c r="M54">
        <f t="shared" si="5"/>
        <v>-1.0664099400413869</v>
      </c>
      <c r="N54">
        <f t="shared" si="6"/>
        <v>1.2846023964196345</v>
      </c>
      <c r="O54">
        <f t="shared" si="7"/>
        <v>8.0094814335161663E-2</v>
      </c>
      <c r="P54">
        <f t="shared" si="8"/>
        <v>2.3938381935903825</v>
      </c>
      <c r="Q54">
        <f t="shared" si="9"/>
        <v>7.8635268782067752E-2</v>
      </c>
      <c r="R54">
        <f t="shared" si="10"/>
        <v>4.9275962029839131E-2</v>
      </c>
      <c r="S54">
        <f t="shared" si="11"/>
        <v>0</v>
      </c>
      <c r="T54">
        <f t="shared" si="12"/>
        <v>26.366273099336784</v>
      </c>
      <c r="U54">
        <f t="shared" si="13"/>
        <v>27.391287096774189</v>
      </c>
      <c r="V54">
        <f t="shared" si="14"/>
        <v>3.662243002224602</v>
      </c>
      <c r="W54">
        <f t="shared" si="15"/>
        <v>-1.4474805679357758</v>
      </c>
      <c r="X54">
        <f t="shared" si="16"/>
        <v>-5.2713406664388694E-2</v>
      </c>
      <c r="Y54">
        <f t="shared" si="17"/>
        <v>3.6417350140708464</v>
      </c>
      <c r="Z54">
        <f t="shared" si="18"/>
        <v>3.7149564088889906</v>
      </c>
      <c r="AA54">
        <f t="shared" si="19"/>
        <v>-130.75625960261365</v>
      </c>
      <c r="AB54">
        <f t="shared" si="20"/>
        <v>-12.371116338877902</v>
      </c>
      <c r="AC54">
        <f t="shared" si="21"/>
        <v>-1.1191271057280152</v>
      </c>
      <c r="AD54">
        <f t="shared" si="22"/>
        <v>-144.24650304721956</v>
      </c>
      <c r="AE54">
        <v>14</v>
      </c>
      <c r="AF54">
        <v>3</v>
      </c>
      <c r="AG54">
        <f t="shared" si="23"/>
        <v>1</v>
      </c>
      <c r="AH54">
        <f t="shared" si="24"/>
        <v>0</v>
      </c>
      <c r="AI54">
        <f t="shared" si="25"/>
        <v>25574.706544262255</v>
      </c>
      <c r="AJ54">
        <f t="shared" si="26"/>
        <v>0</v>
      </c>
      <c r="AK54">
        <f t="shared" si="27"/>
        <v>0</v>
      </c>
      <c r="AL54">
        <f t="shared" si="28"/>
        <v>0</v>
      </c>
      <c r="AM54">
        <f t="shared" si="29"/>
        <v>0</v>
      </c>
      <c r="AN54">
        <v>3</v>
      </c>
      <c r="AO54">
        <v>0.5</v>
      </c>
      <c r="AP54" t="s">
        <v>331</v>
      </c>
      <c r="AQ54">
        <v>2</v>
      </c>
      <c r="AR54">
        <v>1775483250.599999</v>
      </c>
      <c r="AS54">
        <v>12.80377967741935</v>
      </c>
      <c r="AT54">
        <v>13.51740967741936</v>
      </c>
      <c r="AU54">
        <v>-0.52540058064516126</v>
      </c>
      <c r="AV54">
        <v>-2.305287096774193</v>
      </c>
      <c r="AW54">
        <v>4.7907796774193532</v>
      </c>
      <c r="AX54">
        <v>0.46387038709677431</v>
      </c>
      <c r="AY54">
        <v>500.01261290322577</v>
      </c>
      <c r="AZ54">
        <v>100.28577419354841</v>
      </c>
      <c r="BA54">
        <v>4.4161870967741948E-2</v>
      </c>
      <c r="BB54">
        <v>27.29542903225807</v>
      </c>
      <c r="BC54">
        <v>27.391287096774189</v>
      </c>
      <c r="BD54">
        <v>999.90000000000032</v>
      </c>
      <c r="BE54">
        <v>0</v>
      </c>
      <c r="BF54">
        <v>0</v>
      </c>
      <c r="BG54">
        <v>5000.677419354839</v>
      </c>
      <c r="BH54">
        <v>0.39026996774193562</v>
      </c>
      <c r="BI54">
        <v>0.22961599999999999</v>
      </c>
      <c r="BJ54">
        <v>-0.6696905161290323</v>
      </c>
      <c r="BK54">
        <v>12.84097096774194</v>
      </c>
      <c r="BL54">
        <v>13.48632580645161</v>
      </c>
      <c r="BM54">
        <v>1.7798877419354839</v>
      </c>
      <c r="BN54">
        <v>13.51740967741936</v>
      </c>
      <c r="BO54">
        <v>-2.305287096774193</v>
      </c>
      <c r="BP54">
        <v>-5.2690206451612889E-2</v>
      </c>
      <c r="BQ54">
        <v>-0.23118764516129031</v>
      </c>
      <c r="BR54">
        <v>-99.900000000000034</v>
      </c>
      <c r="BS54">
        <v>-99.900000000000034</v>
      </c>
      <c r="BT54">
        <v>0</v>
      </c>
      <c r="BU54">
        <v>0</v>
      </c>
      <c r="BV54">
        <v>0</v>
      </c>
      <c r="BW54">
        <v>26</v>
      </c>
      <c r="BX54">
        <v>-0.99139793548387101</v>
      </c>
      <c r="BY54">
        <v>1775483283.5999999</v>
      </c>
      <c r="BZ54" t="s">
        <v>447</v>
      </c>
      <c r="CA54">
        <v>1775483283.5999999</v>
      </c>
      <c r="CB54">
        <v>1775480969.5</v>
      </c>
      <c r="CC54">
        <v>39</v>
      </c>
      <c r="CD54">
        <v>-4.3999999999999997E-2</v>
      </c>
      <c r="CE54">
        <v>0.19500000000000001</v>
      </c>
      <c r="CF54">
        <v>8.0129999999999999</v>
      </c>
      <c r="CG54">
        <v>-0.98899999999999999</v>
      </c>
      <c r="CH54">
        <v>14</v>
      </c>
      <c r="CI54">
        <v>-3</v>
      </c>
      <c r="CJ54">
        <v>0.22</v>
      </c>
      <c r="CK54">
        <v>0.06</v>
      </c>
      <c r="CL54">
        <v>13.592954098360661</v>
      </c>
      <c r="CM54">
        <v>-0.8191589635114086</v>
      </c>
      <c r="CN54">
        <v>0.27105643449275418</v>
      </c>
      <c r="CO54">
        <v>-1</v>
      </c>
      <c r="CP54">
        <v>500.01060655737712</v>
      </c>
      <c r="CQ54">
        <v>-1.2786885246010319E-2</v>
      </c>
      <c r="CR54">
        <v>8.0469784307581352E-2</v>
      </c>
      <c r="CS54">
        <v>-1</v>
      </c>
      <c r="CT54">
        <v>0</v>
      </c>
      <c r="CU54">
        <v>0</v>
      </c>
      <c r="CV54" t="s">
        <v>333</v>
      </c>
      <c r="CW54">
        <v>3.1674000000000002</v>
      </c>
      <c r="CX54">
        <v>2.6654900000000001</v>
      </c>
      <c r="CY54">
        <v>1.42494E-3</v>
      </c>
      <c r="CZ54">
        <v>4.0615399999999998E-3</v>
      </c>
      <c r="DA54">
        <v>3.7227800000000002E-3</v>
      </c>
      <c r="DB54">
        <v>-2.1918900000000002E-2</v>
      </c>
      <c r="DC54">
        <v>21553.4</v>
      </c>
      <c r="DD54">
        <v>21874.400000000001</v>
      </c>
      <c r="DE54">
        <v>23113.5</v>
      </c>
      <c r="DF54">
        <v>22317.4</v>
      </c>
      <c r="DG54">
        <v>29695.5</v>
      </c>
      <c r="DH54">
        <v>27196.1</v>
      </c>
      <c r="DI54">
        <v>40623.1</v>
      </c>
      <c r="DJ54">
        <v>36984.199999999997</v>
      </c>
      <c r="DK54">
        <v>2.0811199999999999</v>
      </c>
      <c r="DL54">
        <v>1.80324</v>
      </c>
      <c r="DM54">
        <v>1.7598300000000001E-2</v>
      </c>
      <c r="DN54">
        <v>0</v>
      </c>
      <c r="DO54">
        <v>27.107500000000002</v>
      </c>
      <c r="DP54">
        <v>999.9</v>
      </c>
      <c r="DQ54">
        <v>79.3</v>
      </c>
      <c r="DR54">
        <v>28.6</v>
      </c>
      <c r="DS54">
        <v>31.0745</v>
      </c>
      <c r="DT54">
        <v>30.735499999999998</v>
      </c>
      <c r="DU54">
        <v>9.6714699999999993</v>
      </c>
      <c r="DV54">
        <v>1</v>
      </c>
      <c r="DW54">
        <v>0.23117699999999999</v>
      </c>
      <c r="DX54">
        <v>-0.118122</v>
      </c>
      <c r="DY54">
        <v>20.367799999999999</v>
      </c>
      <c r="DZ54">
        <v>5.2109399999999999</v>
      </c>
      <c r="EA54">
        <v>11.848699999999999</v>
      </c>
      <c r="EB54">
        <v>4.9677199999999999</v>
      </c>
      <c r="EC54">
        <v>3.2923200000000001</v>
      </c>
      <c r="ED54">
        <v>894.7</v>
      </c>
      <c r="EE54">
        <v>0</v>
      </c>
      <c r="EF54">
        <v>5113.5</v>
      </c>
      <c r="EG54">
        <v>109.4</v>
      </c>
      <c r="EH54">
        <v>4.9716199999999997</v>
      </c>
      <c r="EI54">
        <v>1.8717999999999999</v>
      </c>
      <c r="EJ54">
        <v>1.8689</v>
      </c>
      <c r="EK54">
        <v>1.87134</v>
      </c>
      <c r="EL54">
        <v>1.8691</v>
      </c>
      <c r="EM54">
        <v>1.86809</v>
      </c>
      <c r="EN54">
        <v>1.8698600000000001</v>
      </c>
      <c r="EO54">
        <v>1.8716699999999999</v>
      </c>
      <c r="EP54">
        <v>0</v>
      </c>
      <c r="EQ54">
        <v>0</v>
      </c>
      <c r="ER54">
        <v>0</v>
      </c>
      <c r="ES54">
        <v>0</v>
      </c>
      <c r="ET54" t="s">
        <v>334</v>
      </c>
      <c r="EU54" t="s">
        <v>335</v>
      </c>
      <c r="EV54" t="s">
        <v>336</v>
      </c>
      <c r="EW54" t="s">
        <v>336</v>
      </c>
      <c r="EX54" t="s">
        <v>336</v>
      </c>
      <c r="EY54" t="s">
        <v>336</v>
      </c>
      <c r="EZ54">
        <v>0</v>
      </c>
      <c r="FA54">
        <v>100</v>
      </c>
      <c r="FB54">
        <v>100</v>
      </c>
      <c r="FC54">
        <v>8.0129999999999999</v>
      </c>
      <c r="FD54">
        <v>-0.98929999999999996</v>
      </c>
      <c r="FE54">
        <v>8.0569369999999996</v>
      </c>
      <c r="FF54">
        <v>0</v>
      </c>
      <c r="FG54">
        <v>0</v>
      </c>
      <c r="FH54">
        <v>0</v>
      </c>
      <c r="FI54">
        <v>-0.98927100000000023</v>
      </c>
      <c r="FJ54">
        <v>0</v>
      </c>
      <c r="FK54">
        <v>0</v>
      </c>
      <c r="FL54">
        <v>0</v>
      </c>
      <c r="FM54">
        <v>-1</v>
      </c>
      <c r="FN54">
        <v>-1</v>
      </c>
      <c r="FO54">
        <v>-1</v>
      </c>
      <c r="FP54">
        <v>-1</v>
      </c>
      <c r="FQ54">
        <v>0.7</v>
      </c>
      <c r="FR54">
        <v>38.200000000000003</v>
      </c>
      <c r="FS54">
        <v>0.144043</v>
      </c>
      <c r="FT54">
        <v>4.99756</v>
      </c>
      <c r="FU54">
        <v>1.5979000000000001</v>
      </c>
      <c r="FV54">
        <v>2.1606399999999999</v>
      </c>
      <c r="FW54">
        <v>1.5478499999999999</v>
      </c>
      <c r="FX54">
        <v>2.3144499999999999</v>
      </c>
      <c r="FY54">
        <v>33.400799999999997</v>
      </c>
      <c r="FZ54">
        <v>16.119599999999998</v>
      </c>
      <c r="GA54">
        <v>3</v>
      </c>
      <c r="GB54">
        <v>496.6</v>
      </c>
      <c r="GC54">
        <v>409.53300000000002</v>
      </c>
      <c r="GD54">
        <v>27.836600000000001</v>
      </c>
      <c r="GE54">
        <v>30.126200000000001</v>
      </c>
      <c r="GF54">
        <v>30.0001</v>
      </c>
      <c r="GG54">
        <v>30.430399999999999</v>
      </c>
      <c r="GH54">
        <v>30.479099999999999</v>
      </c>
      <c r="GI54">
        <v>-1</v>
      </c>
      <c r="GJ54">
        <v>0</v>
      </c>
      <c r="GK54">
        <v>100</v>
      </c>
      <c r="GL54">
        <v>27.841100000000001</v>
      </c>
      <c r="GM54">
        <v>432.1</v>
      </c>
      <c r="GN54">
        <v>68.912800000000004</v>
      </c>
      <c r="GO54">
        <v>102.253</v>
      </c>
      <c r="GP54">
        <v>96.506900000000002</v>
      </c>
    </row>
    <row r="55" spans="1:198" x14ac:dyDescent="0.35">
      <c r="A55">
        <v>39</v>
      </c>
      <c r="B55">
        <v>1775483318.5999999</v>
      </c>
      <c r="C55">
        <v>2280.099999904633</v>
      </c>
      <c r="D55" t="s">
        <v>448</v>
      </c>
      <c r="E55" t="s">
        <v>449</v>
      </c>
      <c r="F55">
        <v>60</v>
      </c>
      <c r="G55">
        <v>1775483310.599999</v>
      </c>
      <c r="H55">
        <f t="shared" si="0"/>
        <v>2.9567533604727188E-3</v>
      </c>
      <c r="I55">
        <f t="shared" si="1"/>
        <v>2.9567533604727188</v>
      </c>
      <c r="J55">
        <f t="shared" si="2"/>
        <v>0.52956482716890041</v>
      </c>
      <c r="K55">
        <f t="shared" si="3"/>
        <v>13.269540967741939</v>
      </c>
      <c r="L55">
        <f t="shared" si="4"/>
        <v>2.0343401477082863</v>
      </c>
      <c r="M55">
        <f t="shared" si="5"/>
        <v>0.20410286873390537</v>
      </c>
      <c r="N55">
        <f t="shared" si="6"/>
        <v>1.3313168799963022</v>
      </c>
      <c r="O55">
        <f t="shared" si="7"/>
        <v>7.9884354280595968E-2</v>
      </c>
      <c r="P55">
        <f t="shared" si="8"/>
        <v>2.3928511696203913</v>
      </c>
      <c r="Q55">
        <f t="shared" si="9"/>
        <v>7.8431806841879156E-2</v>
      </c>
      <c r="R55">
        <f t="shared" si="10"/>
        <v>4.9148184974359681E-2</v>
      </c>
      <c r="S55">
        <f t="shared" si="11"/>
        <v>0</v>
      </c>
      <c r="T55">
        <f t="shared" si="12"/>
        <v>26.3688861252196</v>
      </c>
      <c r="U55">
        <f t="shared" si="13"/>
        <v>27.389390322580638</v>
      </c>
      <c r="V55">
        <f t="shared" si="14"/>
        <v>3.6618362287132373</v>
      </c>
      <c r="W55">
        <f t="shared" si="15"/>
        <v>-1.4378069464802248</v>
      </c>
      <c r="X55">
        <f t="shared" si="16"/>
        <v>-5.2362287036599404E-2</v>
      </c>
      <c r="Y55">
        <f t="shared" si="17"/>
        <v>3.6418162511165462</v>
      </c>
      <c r="Z55">
        <f t="shared" si="18"/>
        <v>3.7141985157498367</v>
      </c>
      <c r="AA55">
        <f t="shared" si="19"/>
        <v>-130.3928231968469</v>
      </c>
      <c r="AB55">
        <f t="shared" si="20"/>
        <v>-12.07222067536371</v>
      </c>
      <c r="AC55">
        <f t="shared" si="21"/>
        <v>-1.0925303361171292</v>
      </c>
      <c r="AD55">
        <f t="shared" si="22"/>
        <v>-143.55757420832776</v>
      </c>
      <c r="AE55">
        <v>15</v>
      </c>
      <c r="AF55">
        <v>3</v>
      </c>
      <c r="AG55">
        <f t="shared" si="23"/>
        <v>1</v>
      </c>
      <c r="AH55">
        <f t="shared" si="24"/>
        <v>0</v>
      </c>
      <c r="AI55">
        <f t="shared" si="25"/>
        <v>25559.721438193807</v>
      </c>
      <c r="AJ55">
        <f t="shared" si="26"/>
        <v>0</v>
      </c>
      <c r="AK55">
        <f t="shared" si="27"/>
        <v>0</v>
      </c>
      <c r="AL55">
        <f t="shared" si="28"/>
        <v>0</v>
      </c>
      <c r="AM55">
        <f t="shared" si="29"/>
        <v>0</v>
      </c>
      <c r="AN55">
        <v>3</v>
      </c>
      <c r="AO55">
        <v>0.5</v>
      </c>
      <c r="AP55" t="s">
        <v>331</v>
      </c>
      <c r="AQ55">
        <v>2</v>
      </c>
      <c r="AR55">
        <v>1775483310.599999</v>
      </c>
      <c r="AS55">
        <v>13.269540967741939</v>
      </c>
      <c r="AT55">
        <v>13.610819354838711</v>
      </c>
      <c r="AU55">
        <v>-0.5219069354838709</v>
      </c>
      <c r="AV55">
        <v>-2.296877741935484</v>
      </c>
      <c r="AW55">
        <v>5.2355409677419349</v>
      </c>
      <c r="AX55">
        <v>0.46736403225806461</v>
      </c>
      <c r="AY55">
        <v>500.00200000000001</v>
      </c>
      <c r="AZ55">
        <v>100.2843548387097</v>
      </c>
      <c r="BA55">
        <v>4.4426935483870958E-2</v>
      </c>
      <c r="BB55">
        <v>27.29580967741936</v>
      </c>
      <c r="BC55">
        <v>27.389390322580638</v>
      </c>
      <c r="BD55">
        <v>999.90000000000032</v>
      </c>
      <c r="BE55">
        <v>0</v>
      </c>
      <c r="BF55">
        <v>0</v>
      </c>
      <c r="BG55">
        <v>4998.2096774193551</v>
      </c>
      <c r="BH55">
        <v>0.38265841935483869</v>
      </c>
      <c r="BI55">
        <v>0.2318009032258064</v>
      </c>
      <c r="BJ55">
        <v>-0.36208570967741938</v>
      </c>
      <c r="BK55">
        <v>13.241819354838711</v>
      </c>
      <c r="BL55">
        <v>13.57963548387097</v>
      </c>
      <c r="BM55">
        <v>1.774970322580645</v>
      </c>
      <c r="BN55">
        <v>13.610819354838711</v>
      </c>
      <c r="BO55">
        <v>-2.296877741935484</v>
      </c>
      <c r="BP55">
        <v>-5.2339135483870973E-2</v>
      </c>
      <c r="BQ55">
        <v>-0.230340935483871</v>
      </c>
      <c r="BR55">
        <v>-99.900000000000034</v>
      </c>
      <c r="BS55">
        <v>-99.900000000000034</v>
      </c>
      <c r="BT55">
        <v>0</v>
      </c>
      <c r="BU55">
        <v>0</v>
      </c>
      <c r="BV55">
        <v>0</v>
      </c>
      <c r="BW55">
        <v>26</v>
      </c>
      <c r="BX55">
        <v>-1</v>
      </c>
      <c r="BY55">
        <v>1775483334.5999999</v>
      </c>
      <c r="BZ55" t="s">
        <v>450</v>
      </c>
      <c r="CA55">
        <v>1775483334.5999999</v>
      </c>
      <c r="CB55">
        <v>1775480969.5</v>
      </c>
      <c r="CC55">
        <v>40</v>
      </c>
      <c r="CD55">
        <v>0.02</v>
      </c>
      <c r="CE55">
        <v>0.19500000000000001</v>
      </c>
      <c r="CF55">
        <v>8.0340000000000007</v>
      </c>
      <c r="CG55">
        <v>-0.98899999999999999</v>
      </c>
      <c r="CH55">
        <v>13</v>
      </c>
      <c r="CI55">
        <v>-3</v>
      </c>
      <c r="CJ55">
        <v>0.18</v>
      </c>
      <c r="CK55">
        <v>0.06</v>
      </c>
      <c r="CL55">
        <v>14.02897333333333</v>
      </c>
      <c r="CM55">
        <v>-2.8956930258404951</v>
      </c>
      <c r="CN55">
        <v>0.46231823126019539</v>
      </c>
      <c r="CO55">
        <v>-1</v>
      </c>
      <c r="CP55">
        <v>500.37431666666657</v>
      </c>
      <c r="CQ55">
        <v>-4.1709552653508162</v>
      </c>
      <c r="CR55">
        <v>1.1179586082329771</v>
      </c>
      <c r="CS55">
        <v>-1</v>
      </c>
      <c r="CT55">
        <v>0</v>
      </c>
      <c r="CU55">
        <v>0</v>
      </c>
      <c r="CV55" t="s">
        <v>333</v>
      </c>
      <c r="CW55">
        <v>3.1675</v>
      </c>
      <c r="CX55">
        <v>2.6656399999999998</v>
      </c>
      <c r="CY55">
        <v>1.4552600000000001E-3</v>
      </c>
      <c r="CZ55">
        <v>4.0229799999999998E-3</v>
      </c>
      <c r="DA55">
        <v>3.8154500000000002E-3</v>
      </c>
      <c r="DB55">
        <v>-2.1823599999999999E-2</v>
      </c>
      <c r="DC55">
        <v>21552.799999999999</v>
      </c>
      <c r="DD55">
        <v>21875.3</v>
      </c>
      <c r="DE55">
        <v>23113.599999999999</v>
      </c>
      <c r="DF55">
        <v>22317.4</v>
      </c>
      <c r="DG55">
        <v>29693</v>
      </c>
      <c r="DH55">
        <v>27193.599999999999</v>
      </c>
      <c r="DI55">
        <v>40623.4</v>
      </c>
      <c r="DJ55">
        <v>36984.1</v>
      </c>
      <c r="DK55">
        <v>2.0808599999999999</v>
      </c>
      <c r="DL55">
        <v>1.80314</v>
      </c>
      <c r="DM55">
        <v>1.85192E-2</v>
      </c>
      <c r="DN55">
        <v>0</v>
      </c>
      <c r="DO55">
        <v>27.0867</v>
      </c>
      <c r="DP55">
        <v>999.9</v>
      </c>
      <c r="DQ55">
        <v>79.2</v>
      </c>
      <c r="DR55">
        <v>28.7</v>
      </c>
      <c r="DS55">
        <v>31.214099999999998</v>
      </c>
      <c r="DT55">
        <v>30.615500000000001</v>
      </c>
      <c r="DU55">
        <v>9.7275600000000004</v>
      </c>
      <c r="DV55">
        <v>1</v>
      </c>
      <c r="DW55">
        <v>0.230713</v>
      </c>
      <c r="DX55">
        <v>-0.17106099999999999</v>
      </c>
      <c r="DY55">
        <v>20.367100000000001</v>
      </c>
      <c r="DZ55">
        <v>5.2086600000000001</v>
      </c>
      <c r="EA55">
        <v>11.8485</v>
      </c>
      <c r="EB55">
        <v>4.9673600000000002</v>
      </c>
      <c r="EC55">
        <v>3.2915399999999999</v>
      </c>
      <c r="ED55">
        <v>894.7</v>
      </c>
      <c r="EE55">
        <v>0</v>
      </c>
      <c r="EF55">
        <v>5137.7</v>
      </c>
      <c r="EG55">
        <v>109.5</v>
      </c>
      <c r="EH55">
        <v>4.9716199999999997</v>
      </c>
      <c r="EI55">
        <v>1.8717999999999999</v>
      </c>
      <c r="EJ55">
        <v>1.8689100000000001</v>
      </c>
      <c r="EK55">
        <v>1.87134</v>
      </c>
      <c r="EL55">
        <v>1.86911</v>
      </c>
      <c r="EM55">
        <v>1.86805</v>
      </c>
      <c r="EN55">
        <v>1.8698999999999999</v>
      </c>
      <c r="EO55">
        <v>1.87168</v>
      </c>
      <c r="EP55">
        <v>0</v>
      </c>
      <c r="EQ55">
        <v>0</v>
      </c>
      <c r="ER55">
        <v>0</v>
      </c>
      <c r="ES55">
        <v>0</v>
      </c>
      <c r="ET55" t="s">
        <v>334</v>
      </c>
      <c r="EU55" t="s">
        <v>335</v>
      </c>
      <c r="EV55" t="s">
        <v>336</v>
      </c>
      <c r="EW55" t="s">
        <v>336</v>
      </c>
      <c r="EX55" t="s">
        <v>336</v>
      </c>
      <c r="EY55" t="s">
        <v>336</v>
      </c>
      <c r="EZ55">
        <v>0</v>
      </c>
      <c r="FA55">
        <v>100</v>
      </c>
      <c r="FB55">
        <v>100</v>
      </c>
      <c r="FC55">
        <v>8.0340000000000007</v>
      </c>
      <c r="FD55">
        <v>-0.98929999999999996</v>
      </c>
      <c r="FE55">
        <v>8.0131924999999988</v>
      </c>
      <c r="FF55">
        <v>0</v>
      </c>
      <c r="FG55">
        <v>0</v>
      </c>
      <c r="FH55">
        <v>0</v>
      </c>
      <c r="FI55">
        <v>-0.98927100000000023</v>
      </c>
      <c r="FJ55">
        <v>0</v>
      </c>
      <c r="FK55">
        <v>0</v>
      </c>
      <c r="FL55">
        <v>0</v>
      </c>
      <c r="FM55">
        <v>-1</v>
      </c>
      <c r="FN55">
        <v>-1</v>
      </c>
      <c r="FO55">
        <v>-1</v>
      </c>
      <c r="FP55">
        <v>-1</v>
      </c>
      <c r="FQ55">
        <v>0.6</v>
      </c>
      <c r="FR55">
        <v>39.200000000000003</v>
      </c>
      <c r="FS55">
        <v>0.144043</v>
      </c>
      <c r="FT55">
        <v>4.99756</v>
      </c>
      <c r="FU55">
        <v>1.5979000000000001</v>
      </c>
      <c r="FV55">
        <v>2.1606399999999999</v>
      </c>
      <c r="FW55">
        <v>1.5478499999999999</v>
      </c>
      <c r="FX55">
        <v>2.3107899999999999</v>
      </c>
      <c r="FY55">
        <v>33.423200000000001</v>
      </c>
      <c r="FZ55">
        <v>16.119599999999998</v>
      </c>
      <c r="GA55">
        <v>3</v>
      </c>
      <c r="GB55">
        <v>496.42899999999997</v>
      </c>
      <c r="GC55">
        <v>409.45499999999998</v>
      </c>
      <c r="GD55">
        <v>27.895399999999999</v>
      </c>
      <c r="GE55">
        <v>30.121500000000001</v>
      </c>
      <c r="GF55">
        <v>30</v>
      </c>
      <c r="GG55">
        <v>30.427800000000001</v>
      </c>
      <c r="GH55">
        <v>30.475999999999999</v>
      </c>
      <c r="GI55">
        <v>-1</v>
      </c>
      <c r="GJ55">
        <v>0</v>
      </c>
      <c r="GK55">
        <v>100</v>
      </c>
      <c r="GL55">
        <v>27.8964</v>
      </c>
      <c r="GM55">
        <v>432.1</v>
      </c>
      <c r="GN55">
        <v>68.912800000000004</v>
      </c>
      <c r="GO55">
        <v>102.253</v>
      </c>
      <c r="GP55">
        <v>96.506900000000002</v>
      </c>
    </row>
    <row r="56" spans="1:198" x14ac:dyDescent="0.35">
      <c r="A56">
        <v>40</v>
      </c>
      <c r="B56">
        <v>1775483378.5999999</v>
      </c>
      <c r="C56">
        <v>2340.099999904633</v>
      </c>
      <c r="D56" t="s">
        <v>451</v>
      </c>
      <c r="E56" t="s">
        <v>452</v>
      </c>
      <c r="F56">
        <v>60</v>
      </c>
      <c r="G56">
        <v>1775483370.599999</v>
      </c>
      <c r="H56">
        <f t="shared" si="0"/>
        <v>2.9704173405953652E-3</v>
      </c>
      <c r="I56">
        <f t="shared" si="1"/>
        <v>2.9704173405953651</v>
      </c>
      <c r="J56">
        <f t="shared" si="2"/>
        <v>0.39536057109755235</v>
      </c>
      <c r="K56">
        <f t="shared" si="3"/>
        <v>12.61929677419355</v>
      </c>
      <c r="L56">
        <f t="shared" si="4"/>
        <v>4.1087330333513998</v>
      </c>
      <c r="M56">
        <f t="shared" si="5"/>
        <v>0.41222004110498656</v>
      </c>
      <c r="N56">
        <f t="shared" si="6"/>
        <v>1.2660659606620865</v>
      </c>
      <c r="O56">
        <f t="shared" si="7"/>
        <v>8.0258985120489026E-2</v>
      </c>
      <c r="P56">
        <f t="shared" si="8"/>
        <v>2.3912411373925639</v>
      </c>
      <c r="Q56">
        <f t="shared" si="9"/>
        <v>7.879194890828449E-2</v>
      </c>
      <c r="R56">
        <f t="shared" si="10"/>
        <v>4.9374541898811443E-2</v>
      </c>
      <c r="S56">
        <f t="shared" si="11"/>
        <v>0</v>
      </c>
      <c r="T56">
        <f t="shared" si="12"/>
        <v>26.371723875504024</v>
      </c>
      <c r="U56">
        <f t="shared" si="13"/>
        <v>27.39881290322581</v>
      </c>
      <c r="V56">
        <f t="shared" si="14"/>
        <v>3.6638573408978932</v>
      </c>
      <c r="W56">
        <f t="shared" si="15"/>
        <v>-1.3815432523531523</v>
      </c>
      <c r="X56">
        <f t="shared" si="16"/>
        <v>-5.0335946129084888E-2</v>
      </c>
      <c r="Y56">
        <f t="shared" si="17"/>
        <v>3.6434578536248341</v>
      </c>
      <c r="Z56">
        <f t="shared" si="18"/>
        <v>3.714193287026978</v>
      </c>
      <c r="AA56">
        <f t="shared" si="19"/>
        <v>-130.99540472025561</v>
      </c>
      <c r="AB56">
        <f t="shared" si="20"/>
        <v>-12.287414676474839</v>
      </c>
      <c r="AC56">
        <f t="shared" si="21"/>
        <v>-1.1128491177513877</v>
      </c>
      <c r="AD56">
        <f t="shared" si="22"/>
        <v>-144.39566851448183</v>
      </c>
      <c r="AE56">
        <v>14</v>
      </c>
      <c r="AF56">
        <v>3</v>
      </c>
      <c r="AG56">
        <f t="shared" si="23"/>
        <v>1</v>
      </c>
      <c r="AH56">
        <f t="shared" si="24"/>
        <v>0</v>
      </c>
      <c r="AI56">
        <f t="shared" si="25"/>
        <v>25534.633963935928</v>
      </c>
      <c r="AJ56">
        <f t="shared" si="26"/>
        <v>0</v>
      </c>
      <c r="AK56">
        <f t="shared" si="27"/>
        <v>0</v>
      </c>
      <c r="AL56">
        <f t="shared" si="28"/>
        <v>0</v>
      </c>
      <c r="AM56">
        <f t="shared" si="29"/>
        <v>0</v>
      </c>
      <c r="AN56">
        <v>3</v>
      </c>
      <c r="AO56">
        <v>0.5</v>
      </c>
      <c r="AP56" t="s">
        <v>331</v>
      </c>
      <c r="AQ56">
        <v>2</v>
      </c>
      <c r="AR56">
        <v>1775483370.599999</v>
      </c>
      <c r="AS56">
        <v>12.61929677419355</v>
      </c>
      <c r="AT56">
        <v>12.879022580645159</v>
      </c>
      <c r="AU56">
        <v>-0.50171496774193547</v>
      </c>
      <c r="AV56">
        <v>-2.2849880645161291</v>
      </c>
      <c r="AW56">
        <v>4.5932967741935489</v>
      </c>
      <c r="AX56">
        <v>0.48755606451612898</v>
      </c>
      <c r="AY56">
        <v>499.96396774193562</v>
      </c>
      <c r="AZ56">
        <v>100.2831612903226</v>
      </c>
      <c r="BA56">
        <v>4.4613174193548398E-2</v>
      </c>
      <c r="BB56">
        <v>27.3035</v>
      </c>
      <c r="BC56">
        <v>27.39881290322581</v>
      </c>
      <c r="BD56">
        <v>999.90000000000032</v>
      </c>
      <c r="BE56">
        <v>0</v>
      </c>
      <c r="BF56">
        <v>0</v>
      </c>
      <c r="BG56">
        <v>4994.1290322580644</v>
      </c>
      <c r="BH56">
        <v>0.36622874193548383</v>
      </c>
      <c r="BI56">
        <v>0.23331922580645159</v>
      </c>
      <c r="BJ56">
        <v>-0.25204698064516129</v>
      </c>
      <c r="BK56">
        <v>12.620645161290319</v>
      </c>
      <c r="BL56">
        <v>12.84966451612903</v>
      </c>
      <c r="BM56">
        <v>1.783272903225807</v>
      </c>
      <c r="BN56">
        <v>12.879022580645159</v>
      </c>
      <c r="BO56">
        <v>-2.2849880645161291</v>
      </c>
      <c r="BP56">
        <v>-5.0313577419354841E-2</v>
      </c>
      <c r="BQ56">
        <v>-0.22914587096774189</v>
      </c>
      <c r="BR56">
        <v>-99.900000000000034</v>
      </c>
      <c r="BS56">
        <v>-99.900000000000034</v>
      </c>
      <c r="BT56">
        <v>0</v>
      </c>
      <c r="BU56">
        <v>0</v>
      </c>
      <c r="BV56">
        <v>0</v>
      </c>
      <c r="BW56">
        <v>26</v>
      </c>
      <c r="BX56">
        <v>-1</v>
      </c>
      <c r="BY56">
        <v>1775483395.5999999</v>
      </c>
      <c r="BZ56" t="s">
        <v>453</v>
      </c>
      <c r="CA56">
        <v>1775483395.5999999</v>
      </c>
      <c r="CB56">
        <v>1775480969.5</v>
      </c>
      <c r="CC56">
        <v>41</v>
      </c>
      <c r="CD56">
        <v>-8.0000000000000002E-3</v>
      </c>
      <c r="CE56">
        <v>0.19500000000000001</v>
      </c>
      <c r="CF56">
        <v>8.0259999999999998</v>
      </c>
      <c r="CG56">
        <v>-0.98899999999999999</v>
      </c>
      <c r="CH56">
        <v>13</v>
      </c>
      <c r="CI56">
        <v>-3</v>
      </c>
      <c r="CJ56">
        <v>0.19</v>
      </c>
      <c r="CK56">
        <v>0.06</v>
      </c>
      <c r="CL56">
        <v>13.377825</v>
      </c>
      <c r="CM56">
        <v>-3.1346817449291322</v>
      </c>
      <c r="CN56">
        <v>0.54187499869281053</v>
      </c>
      <c r="CO56">
        <v>-1</v>
      </c>
      <c r="CP56">
        <v>499.98793333333339</v>
      </c>
      <c r="CQ56">
        <v>-0.22895693248070689</v>
      </c>
      <c r="CR56">
        <v>7.8213354926695441E-2</v>
      </c>
      <c r="CS56">
        <v>-1</v>
      </c>
      <c r="CT56">
        <v>0</v>
      </c>
      <c r="CU56">
        <v>0</v>
      </c>
      <c r="CV56" t="s">
        <v>333</v>
      </c>
      <c r="CW56">
        <v>3.16751</v>
      </c>
      <c r="CX56">
        <v>2.66581</v>
      </c>
      <c r="CY56">
        <v>1.26994E-3</v>
      </c>
      <c r="CZ56">
        <v>3.8799699999999999E-3</v>
      </c>
      <c r="DA56">
        <v>3.8848200000000002E-3</v>
      </c>
      <c r="DB56">
        <v>-2.1695900000000001E-2</v>
      </c>
      <c r="DC56">
        <v>21556.6</v>
      </c>
      <c r="DD56">
        <v>21878.5</v>
      </c>
      <c r="DE56">
        <v>23113.200000000001</v>
      </c>
      <c r="DF56">
        <v>22317.4</v>
      </c>
      <c r="DG56">
        <v>29690.5</v>
      </c>
      <c r="DH56">
        <v>27190.3</v>
      </c>
      <c r="DI56">
        <v>40622.699999999997</v>
      </c>
      <c r="DJ56">
        <v>36984.300000000003</v>
      </c>
      <c r="DK56">
        <v>2.0815000000000001</v>
      </c>
      <c r="DL56">
        <v>1.8027200000000001</v>
      </c>
      <c r="DM56">
        <v>1.7374799999999999E-2</v>
      </c>
      <c r="DN56">
        <v>0</v>
      </c>
      <c r="DO56">
        <v>27.105899999999998</v>
      </c>
      <c r="DP56">
        <v>999.9</v>
      </c>
      <c r="DQ56">
        <v>79.2</v>
      </c>
      <c r="DR56">
        <v>28.7</v>
      </c>
      <c r="DS56">
        <v>31.214500000000001</v>
      </c>
      <c r="DT56">
        <v>30.855499999999999</v>
      </c>
      <c r="DU56">
        <v>9.6153899999999997</v>
      </c>
      <c r="DV56">
        <v>1</v>
      </c>
      <c r="DW56">
        <v>0.230187</v>
      </c>
      <c r="DX56">
        <v>-6.0230899999999997E-2</v>
      </c>
      <c r="DY56">
        <v>20.367799999999999</v>
      </c>
      <c r="DZ56">
        <v>5.2122599999999997</v>
      </c>
      <c r="EA56">
        <v>11.8485</v>
      </c>
      <c r="EB56">
        <v>4.9679200000000003</v>
      </c>
      <c r="EC56">
        <v>3.2921200000000002</v>
      </c>
      <c r="ED56">
        <v>894.7</v>
      </c>
      <c r="EE56">
        <v>0</v>
      </c>
      <c r="EF56">
        <v>5168.3999999999996</v>
      </c>
      <c r="EG56">
        <v>109.5</v>
      </c>
      <c r="EH56">
        <v>4.9716199999999997</v>
      </c>
      <c r="EI56">
        <v>1.8717999999999999</v>
      </c>
      <c r="EJ56">
        <v>1.8689100000000001</v>
      </c>
      <c r="EK56">
        <v>1.87134</v>
      </c>
      <c r="EL56">
        <v>1.86914</v>
      </c>
      <c r="EM56">
        <v>1.8680399999999999</v>
      </c>
      <c r="EN56">
        <v>1.86991</v>
      </c>
      <c r="EO56">
        <v>1.8716600000000001</v>
      </c>
      <c r="EP56">
        <v>0</v>
      </c>
      <c r="EQ56">
        <v>0</v>
      </c>
      <c r="ER56">
        <v>0</v>
      </c>
      <c r="ES56">
        <v>0</v>
      </c>
      <c r="ET56" t="s">
        <v>334</v>
      </c>
      <c r="EU56" t="s">
        <v>335</v>
      </c>
      <c r="EV56" t="s">
        <v>336</v>
      </c>
      <c r="EW56" t="s">
        <v>336</v>
      </c>
      <c r="EX56" t="s">
        <v>336</v>
      </c>
      <c r="EY56" t="s">
        <v>336</v>
      </c>
      <c r="EZ56">
        <v>0</v>
      </c>
      <c r="FA56">
        <v>100</v>
      </c>
      <c r="FB56">
        <v>100</v>
      </c>
      <c r="FC56">
        <v>8.0259999999999998</v>
      </c>
      <c r="FD56">
        <v>-0.98929999999999996</v>
      </c>
      <c r="FE56">
        <v>8.0336834999999969</v>
      </c>
      <c r="FF56">
        <v>0</v>
      </c>
      <c r="FG56">
        <v>0</v>
      </c>
      <c r="FH56">
        <v>0</v>
      </c>
      <c r="FI56">
        <v>-0.98927100000000023</v>
      </c>
      <c r="FJ56">
        <v>0</v>
      </c>
      <c r="FK56">
        <v>0</v>
      </c>
      <c r="FL56">
        <v>0</v>
      </c>
      <c r="FM56">
        <v>-1</v>
      </c>
      <c r="FN56">
        <v>-1</v>
      </c>
      <c r="FO56">
        <v>-1</v>
      </c>
      <c r="FP56">
        <v>-1</v>
      </c>
      <c r="FQ56">
        <v>0.7</v>
      </c>
      <c r="FR56">
        <v>40.200000000000003</v>
      </c>
      <c r="FS56">
        <v>0.144043</v>
      </c>
      <c r="FT56">
        <v>4.99756</v>
      </c>
      <c r="FU56">
        <v>1.5979000000000001</v>
      </c>
      <c r="FV56">
        <v>2.1606399999999999</v>
      </c>
      <c r="FW56">
        <v>1.5478499999999999</v>
      </c>
      <c r="FX56">
        <v>2.34131</v>
      </c>
      <c r="FY56">
        <v>33.445599999999999</v>
      </c>
      <c r="FZ56">
        <v>16.119599999999998</v>
      </c>
      <c r="GA56">
        <v>3</v>
      </c>
      <c r="GB56">
        <v>496.77699999999999</v>
      </c>
      <c r="GC56">
        <v>409.19799999999998</v>
      </c>
      <c r="GD56">
        <v>27.811699999999998</v>
      </c>
      <c r="GE56">
        <v>30.118400000000001</v>
      </c>
      <c r="GF56">
        <v>30.0001</v>
      </c>
      <c r="GG56">
        <v>30.424800000000001</v>
      </c>
      <c r="GH56">
        <v>30.4739</v>
      </c>
      <c r="GI56">
        <v>-1</v>
      </c>
      <c r="GJ56">
        <v>0</v>
      </c>
      <c r="GK56">
        <v>100</v>
      </c>
      <c r="GL56">
        <v>27.810099999999998</v>
      </c>
      <c r="GM56">
        <v>432.1</v>
      </c>
      <c r="GN56">
        <v>68.912800000000004</v>
      </c>
      <c r="GO56">
        <v>102.252</v>
      </c>
      <c r="GP56">
        <v>96.507199999999997</v>
      </c>
    </row>
    <row r="57" spans="1:198" x14ac:dyDescent="0.35">
      <c r="A57">
        <v>41</v>
      </c>
      <c r="B57">
        <v>1775483438.5999999</v>
      </c>
      <c r="C57">
        <v>2400.099999904633</v>
      </c>
      <c r="D57" t="s">
        <v>454</v>
      </c>
      <c r="E57" t="s">
        <v>455</v>
      </c>
      <c r="F57">
        <v>60</v>
      </c>
      <c r="G57">
        <v>1775483430.599999</v>
      </c>
      <c r="H57">
        <f t="shared" si="0"/>
        <v>2.940423989429656E-3</v>
      </c>
      <c r="I57">
        <f t="shared" si="1"/>
        <v>2.940423989429656</v>
      </c>
      <c r="J57">
        <f t="shared" si="2"/>
        <v>1.4279711487735838</v>
      </c>
      <c r="K57">
        <f t="shared" si="3"/>
        <v>13.4882335483871</v>
      </c>
      <c r="L57">
        <f t="shared" si="4"/>
        <v>-15.661853557009753</v>
      </c>
      <c r="M57">
        <f t="shared" si="5"/>
        <v>-1.5713059742687394</v>
      </c>
      <c r="N57">
        <f t="shared" si="6"/>
        <v>1.3532333117383069</v>
      </c>
      <c r="O57">
        <f t="shared" si="7"/>
        <v>7.9436313650455878E-2</v>
      </c>
      <c r="P57">
        <f t="shared" si="8"/>
        <v>2.3941838693370583</v>
      </c>
      <c r="Q57">
        <f t="shared" si="9"/>
        <v>7.8000640186529871E-2</v>
      </c>
      <c r="R57">
        <f t="shared" si="10"/>
        <v>4.8877228442352455E-2</v>
      </c>
      <c r="S57">
        <f t="shared" si="11"/>
        <v>0</v>
      </c>
      <c r="T57">
        <f t="shared" si="12"/>
        <v>26.37830134881612</v>
      </c>
      <c r="U57">
        <f t="shared" si="13"/>
        <v>27.393258064516129</v>
      </c>
      <c r="V57">
        <f t="shared" si="14"/>
        <v>3.6626657287239626</v>
      </c>
      <c r="W57">
        <f t="shared" si="15"/>
        <v>-1.4092507368606582</v>
      </c>
      <c r="X57">
        <f t="shared" si="16"/>
        <v>-5.1333820436424149E-2</v>
      </c>
      <c r="Y57">
        <f t="shared" si="17"/>
        <v>3.6426321515203761</v>
      </c>
      <c r="Z57">
        <f t="shared" si="18"/>
        <v>3.7139995491603868</v>
      </c>
      <c r="AA57">
        <f t="shared" si="19"/>
        <v>-129.67269793384784</v>
      </c>
      <c r="AB57">
        <f t="shared" si="20"/>
        <v>-12.084773509438323</v>
      </c>
      <c r="AC57">
        <f t="shared" si="21"/>
        <v>-1.0930995651926023</v>
      </c>
      <c r="AD57">
        <f t="shared" si="22"/>
        <v>-142.85057100847877</v>
      </c>
      <c r="AE57">
        <v>14</v>
      </c>
      <c r="AF57">
        <v>3</v>
      </c>
      <c r="AG57">
        <f t="shared" si="23"/>
        <v>1</v>
      </c>
      <c r="AH57">
        <f t="shared" si="24"/>
        <v>0</v>
      </c>
      <c r="AI57">
        <f t="shared" si="25"/>
        <v>25579.732322393407</v>
      </c>
      <c r="AJ57">
        <f t="shared" si="26"/>
        <v>0</v>
      </c>
      <c r="AK57">
        <f t="shared" si="27"/>
        <v>0</v>
      </c>
      <c r="AL57">
        <f t="shared" si="28"/>
        <v>0</v>
      </c>
      <c r="AM57">
        <f t="shared" si="29"/>
        <v>0</v>
      </c>
      <c r="AN57">
        <v>3</v>
      </c>
      <c r="AO57">
        <v>0.5</v>
      </c>
      <c r="AP57" t="s">
        <v>331</v>
      </c>
      <c r="AQ57">
        <v>2</v>
      </c>
      <c r="AR57">
        <v>1775483430.599999</v>
      </c>
      <c r="AS57">
        <v>13.4882335483871</v>
      </c>
      <c r="AT57">
        <v>14.368780645161291</v>
      </c>
      <c r="AU57">
        <v>-0.51166532258064512</v>
      </c>
      <c r="AV57">
        <v>-2.2767577419354841</v>
      </c>
      <c r="AW57">
        <v>5.4652335483870971</v>
      </c>
      <c r="AX57">
        <v>0.47760554838709668</v>
      </c>
      <c r="AY57">
        <v>500.01832258064519</v>
      </c>
      <c r="AZ57">
        <v>100.2825806451613</v>
      </c>
      <c r="BA57">
        <v>4.4367793548387088E-2</v>
      </c>
      <c r="BB57">
        <v>27.299632258064509</v>
      </c>
      <c r="BC57">
        <v>27.393258064516129</v>
      </c>
      <c r="BD57">
        <v>999.90000000000032</v>
      </c>
      <c r="BE57">
        <v>0</v>
      </c>
      <c r="BF57">
        <v>0</v>
      </c>
      <c r="BG57">
        <v>5001.7258064516127</v>
      </c>
      <c r="BH57">
        <v>0.37125225806451623</v>
      </c>
      <c r="BI57">
        <v>0.23331922580645159</v>
      </c>
      <c r="BJ57">
        <v>-0.87775922580645138</v>
      </c>
      <c r="BK57">
        <v>13.48412258064516</v>
      </c>
      <c r="BL57">
        <v>14.336138709677421</v>
      </c>
      <c r="BM57">
        <v>1.7650912903225799</v>
      </c>
      <c r="BN57">
        <v>14.368780645161291</v>
      </c>
      <c r="BO57">
        <v>-2.2767577419354841</v>
      </c>
      <c r="BP57">
        <v>-5.1311099999999991E-2</v>
      </c>
      <c r="BQ57">
        <v>-0.22831896774193541</v>
      </c>
      <c r="BR57">
        <v>-99.900000000000034</v>
      </c>
      <c r="BS57">
        <v>-99.900000000000034</v>
      </c>
      <c r="BT57">
        <v>0</v>
      </c>
      <c r="BU57">
        <v>0</v>
      </c>
      <c r="BV57">
        <v>0</v>
      </c>
      <c r="BW57">
        <v>26</v>
      </c>
      <c r="BX57">
        <v>-1</v>
      </c>
      <c r="BY57">
        <v>1775483455.5999999</v>
      </c>
      <c r="BZ57" t="s">
        <v>456</v>
      </c>
      <c r="CA57">
        <v>1775483455.5999999</v>
      </c>
      <c r="CB57">
        <v>1775480969.5</v>
      </c>
      <c r="CC57">
        <v>42</v>
      </c>
      <c r="CD57">
        <v>-3.0000000000000001E-3</v>
      </c>
      <c r="CE57">
        <v>0.19500000000000001</v>
      </c>
      <c r="CF57">
        <v>8.0229999999999997</v>
      </c>
      <c r="CG57">
        <v>-0.98899999999999999</v>
      </c>
      <c r="CH57">
        <v>14</v>
      </c>
      <c r="CI57">
        <v>-3</v>
      </c>
      <c r="CJ57">
        <v>0.21</v>
      </c>
      <c r="CK57">
        <v>0.06</v>
      </c>
      <c r="CL57">
        <v>14.22128333333333</v>
      </c>
      <c r="CM57">
        <v>1.042622950819696</v>
      </c>
      <c r="CN57">
        <v>0.22620214644329881</v>
      </c>
      <c r="CO57">
        <v>-1</v>
      </c>
      <c r="CP57">
        <v>499.99624999999997</v>
      </c>
      <c r="CQ57">
        <v>9.869741594866209E-2</v>
      </c>
      <c r="CR57">
        <v>6.2940348743868724E-2</v>
      </c>
      <c r="CS57">
        <v>-1</v>
      </c>
      <c r="CT57">
        <v>0</v>
      </c>
      <c r="CU57">
        <v>0</v>
      </c>
      <c r="CV57" t="s">
        <v>333</v>
      </c>
      <c r="CW57">
        <v>3.1676000000000002</v>
      </c>
      <c r="CX57">
        <v>2.6652999999999998</v>
      </c>
      <c r="CY57">
        <v>1.65127E-3</v>
      </c>
      <c r="CZ57">
        <v>4.1828400000000002E-3</v>
      </c>
      <c r="DA57">
        <v>3.88726E-3</v>
      </c>
      <c r="DB57">
        <v>-2.1577300000000001E-2</v>
      </c>
      <c r="DC57">
        <v>21547.8</v>
      </c>
      <c r="DD57">
        <v>21872.3</v>
      </c>
      <c r="DE57">
        <v>23112.7</v>
      </c>
      <c r="DF57">
        <v>22317.9</v>
      </c>
      <c r="DG57">
        <v>29689.7</v>
      </c>
      <c r="DH57">
        <v>27187.8</v>
      </c>
      <c r="DI57">
        <v>40621.699999999997</v>
      </c>
      <c r="DJ57">
        <v>36985.199999999997</v>
      </c>
      <c r="DK57">
        <v>2.08182</v>
      </c>
      <c r="DL57">
        <v>1.8028999999999999</v>
      </c>
      <c r="DM57">
        <v>1.79052E-2</v>
      </c>
      <c r="DN57">
        <v>0</v>
      </c>
      <c r="DO57">
        <v>27.098199999999999</v>
      </c>
      <c r="DP57">
        <v>999.9</v>
      </c>
      <c r="DQ57">
        <v>79.099999999999994</v>
      </c>
      <c r="DR57">
        <v>28.7</v>
      </c>
      <c r="DS57">
        <v>31.178799999999999</v>
      </c>
      <c r="DT57">
        <v>30.735499999999998</v>
      </c>
      <c r="DU57">
        <v>9.5031999999999996</v>
      </c>
      <c r="DV57">
        <v>1</v>
      </c>
      <c r="DW57">
        <v>0.23016900000000001</v>
      </c>
      <c r="DX57">
        <v>-0.115547</v>
      </c>
      <c r="DY57">
        <v>20.367799999999999</v>
      </c>
      <c r="DZ57">
        <v>5.2111799999999997</v>
      </c>
      <c r="EA57">
        <v>11.8485</v>
      </c>
      <c r="EB57">
        <v>4.9677199999999999</v>
      </c>
      <c r="EC57">
        <v>3.2921</v>
      </c>
      <c r="ED57">
        <v>894.7</v>
      </c>
      <c r="EE57">
        <v>0</v>
      </c>
      <c r="EF57">
        <v>5198.5</v>
      </c>
      <c r="EG57">
        <v>109.5</v>
      </c>
      <c r="EH57">
        <v>4.9716100000000001</v>
      </c>
      <c r="EI57">
        <v>1.8717999999999999</v>
      </c>
      <c r="EJ57">
        <v>1.8689100000000001</v>
      </c>
      <c r="EK57">
        <v>1.87134</v>
      </c>
      <c r="EL57">
        <v>1.8691500000000001</v>
      </c>
      <c r="EM57">
        <v>1.8681000000000001</v>
      </c>
      <c r="EN57">
        <v>1.86991</v>
      </c>
      <c r="EO57">
        <v>1.8716900000000001</v>
      </c>
      <c r="EP57">
        <v>0</v>
      </c>
      <c r="EQ57">
        <v>0</v>
      </c>
      <c r="ER57">
        <v>0</v>
      </c>
      <c r="ES57">
        <v>0</v>
      </c>
      <c r="ET57" t="s">
        <v>334</v>
      </c>
      <c r="EU57" t="s">
        <v>335</v>
      </c>
      <c r="EV57" t="s">
        <v>336</v>
      </c>
      <c r="EW57" t="s">
        <v>336</v>
      </c>
      <c r="EX57" t="s">
        <v>336</v>
      </c>
      <c r="EY57" t="s">
        <v>336</v>
      </c>
      <c r="EZ57">
        <v>0</v>
      </c>
      <c r="FA57">
        <v>100</v>
      </c>
      <c r="FB57">
        <v>100</v>
      </c>
      <c r="FC57">
        <v>8.0229999999999997</v>
      </c>
      <c r="FD57">
        <v>-0.98929999999999996</v>
      </c>
      <c r="FE57">
        <v>8.0257845000000003</v>
      </c>
      <c r="FF57">
        <v>0</v>
      </c>
      <c r="FG57">
        <v>0</v>
      </c>
      <c r="FH57">
        <v>0</v>
      </c>
      <c r="FI57">
        <v>-0.98927100000000023</v>
      </c>
      <c r="FJ57">
        <v>0</v>
      </c>
      <c r="FK57">
        <v>0</v>
      </c>
      <c r="FL57">
        <v>0</v>
      </c>
      <c r="FM57">
        <v>-1</v>
      </c>
      <c r="FN57">
        <v>-1</v>
      </c>
      <c r="FO57">
        <v>-1</v>
      </c>
      <c r="FP57">
        <v>-1</v>
      </c>
      <c r="FQ57">
        <v>0.7</v>
      </c>
      <c r="FR57">
        <v>41.2</v>
      </c>
      <c r="FS57">
        <v>0.144043</v>
      </c>
      <c r="FT57">
        <v>4.99756</v>
      </c>
      <c r="FU57">
        <v>1.5979000000000001</v>
      </c>
      <c r="FV57">
        <v>2.1594199999999999</v>
      </c>
      <c r="FW57">
        <v>1.5478499999999999</v>
      </c>
      <c r="FX57">
        <v>2.4218799999999998</v>
      </c>
      <c r="FY57">
        <v>33.4681</v>
      </c>
      <c r="FZ57">
        <v>16.119599999999998</v>
      </c>
      <c r="GA57">
        <v>3</v>
      </c>
      <c r="GB57">
        <v>496.947</v>
      </c>
      <c r="GC57">
        <v>409.28500000000003</v>
      </c>
      <c r="GD57">
        <v>27.857099999999999</v>
      </c>
      <c r="GE57">
        <v>30.1158</v>
      </c>
      <c r="GF57">
        <v>30.0001</v>
      </c>
      <c r="GG57">
        <v>30.422599999999999</v>
      </c>
      <c r="GH57">
        <v>30.471399999999999</v>
      </c>
      <c r="GI57">
        <v>-1</v>
      </c>
      <c r="GJ57">
        <v>0</v>
      </c>
      <c r="GK57">
        <v>100</v>
      </c>
      <c r="GL57">
        <v>27.845700000000001</v>
      </c>
      <c r="GM57">
        <v>432.1</v>
      </c>
      <c r="GN57">
        <v>68.912800000000004</v>
      </c>
      <c r="GO57">
        <v>102.249</v>
      </c>
      <c r="GP57">
        <v>96.509399999999999</v>
      </c>
    </row>
    <row r="58" spans="1:198" x14ac:dyDescent="0.35">
      <c r="A58">
        <v>42</v>
      </c>
      <c r="B58">
        <v>1775483498.5999999</v>
      </c>
      <c r="C58">
        <v>2460.099999904633</v>
      </c>
      <c r="D58" t="s">
        <v>457</v>
      </c>
      <c r="E58" t="s">
        <v>458</v>
      </c>
      <c r="F58">
        <v>60</v>
      </c>
      <c r="G58">
        <v>1775483490.599999</v>
      </c>
      <c r="H58">
        <f t="shared" si="0"/>
        <v>2.9247687976446876E-3</v>
      </c>
      <c r="I58">
        <f t="shared" si="1"/>
        <v>2.9247687976446874</v>
      </c>
      <c r="J58">
        <f t="shared" si="2"/>
        <v>0.92698094756426053</v>
      </c>
      <c r="K58">
        <f t="shared" si="3"/>
        <v>13.31446129032258</v>
      </c>
      <c r="L58">
        <f t="shared" si="4"/>
        <v>-5.9696696508522731</v>
      </c>
      <c r="M58">
        <f t="shared" si="5"/>
        <v>-0.59892190372129694</v>
      </c>
      <c r="N58">
        <f t="shared" si="6"/>
        <v>1.3358063292304698</v>
      </c>
      <c r="O58">
        <f t="shared" si="7"/>
        <v>7.9022190731851905E-2</v>
      </c>
      <c r="P58">
        <f t="shared" si="8"/>
        <v>2.3950127577790563</v>
      </c>
      <c r="Q58">
        <f t="shared" si="9"/>
        <v>7.760178527135228E-2</v>
      </c>
      <c r="R58">
        <f t="shared" si="10"/>
        <v>4.8626606982232701E-2</v>
      </c>
      <c r="S58">
        <f t="shared" si="11"/>
        <v>0</v>
      </c>
      <c r="T58">
        <f t="shared" si="12"/>
        <v>26.381841413894406</v>
      </c>
      <c r="U58">
        <f t="shared" si="13"/>
        <v>27.389700000000001</v>
      </c>
      <c r="V58">
        <f t="shared" si="14"/>
        <v>3.6619026380216124</v>
      </c>
      <c r="W58">
        <f t="shared" si="15"/>
        <v>-1.4096978519406635</v>
      </c>
      <c r="X58">
        <f t="shared" si="16"/>
        <v>-5.1345127687898243E-2</v>
      </c>
      <c r="Y58">
        <f t="shared" si="17"/>
        <v>3.6422789193594829</v>
      </c>
      <c r="Z58">
        <f t="shared" si="18"/>
        <v>3.7132477657095109</v>
      </c>
      <c r="AA58">
        <f t="shared" si="19"/>
        <v>-128.98230397613074</v>
      </c>
      <c r="AB58">
        <f t="shared" si="20"/>
        <v>-11.843212990292983</v>
      </c>
      <c r="AC58">
        <f t="shared" si="21"/>
        <v>-1.0708511518578943</v>
      </c>
      <c r="AD58">
        <f t="shared" si="22"/>
        <v>-141.8963681182816</v>
      </c>
      <c r="AE58">
        <v>14</v>
      </c>
      <c r="AF58">
        <v>3</v>
      </c>
      <c r="AG58">
        <f t="shared" si="23"/>
        <v>1</v>
      </c>
      <c r="AH58">
        <f t="shared" si="24"/>
        <v>0</v>
      </c>
      <c r="AI58">
        <f t="shared" si="25"/>
        <v>25592.463161402615</v>
      </c>
      <c r="AJ58">
        <f t="shared" si="26"/>
        <v>0</v>
      </c>
      <c r="AK58">
        <f t="shared" si="27"/>
        <v>0</v>
      </c>
      <c r="AL58">
        <f t="shared" si="28"/>
        <v>0</v>
      </c>
      <c r="AM58">
        <f t="shared" si="29"/>
        <v>0</v>
      </c>
      <c r="AN58">
        <v>3</v>
      </c>
      <c r="AO58">
        <v>0.5</v>
      </c>
      <c r="AP58" t="s">
        <v>331</v>
      </c>
      <c r="AQ58">
        <v>2</v>
      </c>
      <c r="AR58">
        <v>1775483490.599999</v>
      </c>
      <c r="AS58">
        <v>13.31446129032258</v>
      </c>
      <c r="AT58">
        <v>13.894003225806451</v>
      </c>
      <c r="AU58">
        <v>-0.51177532258064518</v>
      </c>
      <c r="AV58">
        <v>-2.267499354838709</v>
      </c>
      <c r="AW58">
        <v>5.275461290322581</v>
      </c>
      <c r="AX58">
        <v>0.47749564516129028</v>
      </c>
      <c r="AY58">
        <v>500.01006451612909</v>
      </c>
      <c r="AZ58">
        <v>100.28296774193549</v>
      </c>
      <c r="BA58">
        <v>4.4510787096774203E-2</v>
      </c>
      <c r="BB58">
        <v>27.29797741935484</v>
      </c>
      <c r="BC58">
        <v>27.389700000000001</v>
      </c>
      <c r="BD58">
        <v>999.90000000000032</v>
      </c>
      <c r="BE58">
        <v>0</v>
      </c>
      <c r="BF58">
        <v>0</v>
      </c>
      <c r="BG58">
        <v>5003.8387096774204</v>
      </c>
      <c r="BH58">
        <v>0.37979316129032259</v>
      </c>
      <c r="BI58">
        <v>0.23331922580645159</v>
      </c>
      <c r="BJ58">
        <v>-0.59576970967741938</v>
      </c>
      <c r="BK58">
        <v>13.291429032258071</v>
      </c>
      <c r="BL58">
        <v>13.862558064516129</v>
      </c>
      <c r="BM58">
        <v>1.7557241935483869</v>
      </c>
      <c r="BN58">
        <v>13.894003225806451</v>
      </c>
      <c r="BO58">
        <v>-2.267499354838709</v>
      </c>
      <c r="BP58">
        <v>-5.1322296774193539E-2</v>
      </c>
      <c r="BQ58">
        <v>-0.2273913548387097</v>
      </c>
      <c r="BR58">
        <v>-99.900000000000034</v>
      </c>
      <c r="BS58">
        <v>-99.900000000000034</v>
      </c>
      <c r="BT58">
        <v>0</v>
      </c>
      <c r="BU58">
        <v>0</v>
      </c>
      <c r="BV58">
        <v>0</v>
      </c>
      <c r="BW58">
        <v>26</v>
      </c>
      <c r="BX58">
        <v>-1</v>
      </c>
      <c r="BY58">
        <v>1775483515.5999999</v>
      </c>
      <c r="BZ58" t="s">
        <v>459</v>
      </c>
      <c r="CA58">
        <v>1775483515.5999999</v>
      </c>
      <c r="CB58">
        <v>1775480969.5</v>
      </c>
      <c r="CC58">
        <v>43</v>
      </c>
      <c r="CD58">
        <v>1.6E-2</v>
      </c>
      <c r="CE58">
        <v>0.19500000000000001</v>
      </c>
      <c r="CF58">
        <v>8.0389999999999997</v>
      </c>
      <c r="CG58">
        <v>-0.98899999999999999</v>
      </c>
      <c r="CH58">
        <v>15</v>
      </c>
      <c r="CI58">
        <v>-3</v>
      </c>
      <c r="CJ58">
        <v>0.16</v>
      </c>
      <c r="CK58">
        <v>0.06</v>
      </c>
      <c r="CL58">
        <v>14.36888166666667</v>
      </c>
      <c r="CM58">
        <v>-4.652256626840761</v>
      </c>
      <c r="CN58">
        <v>0.98991681881049409</v>
      </c>
      <c r="CO58">
        <v>-1</v>
      </c>
      <c r="CP58">
        <v>499.99898333333351</v>
      </c>
      <c r="CQ58">
        <v>0.14376993609455649</v>
      </c>
      <c r="CR58">
        <v>5.8484041033048779E-2</v>
      </c>
      <c r="CS58">
        <v>-1</v>
      </c>
      <c r="CT58">
        <v>0</v>
      </c>
      <c r="CU58">
        <v>0</v>
      </c>
      <c r="CV58" t="s">
        <v>333</v>
      </c>
      <c r="CW58">
        <v>3.16737</v>
      </c>
      <c r="CX58">
        <v>2.6656399999999998</v>
      </c>
      <c r="CY58">
        <v>1.5614699999999999E-3</v>
      </c>
      <c r="CZ58">
        <v>4.23078E-3</v>
      </c>
      <c r="DA58">
        <v>3.8599699999999999E-3</v>
      </c>
      <c r="DB58">
        <v>-2.1479100000000001E-2</v>
      </c>
      <c r="DC58">
        <v>21549.599999999999</v>
      </c>
      <c r="DD58">
        <v>21871</v>
      </c>
      <c r="DE58">
        <v>23112.6</v>
      </c>
      <c r="DF58">
        <v>22317.599999999999</v>
      </c>
      <c r="DG58">
        <v>29690.6</v>
      </c>
      <c r="DH58">
        <v>27184.6</v>
      </c>
      <c r="DI58">
        <v>40621.9</v>
      </c>
      <c r="DJ58">
        <v>36984.400000000001</v>
      </c>
      <c r="DK58">
        <v>2.0817399999999999</v>
      </c>
      <c r="DL58">
        <v>1.80244</v>
      </c>
      <c r="DM58">
        <v>1.7642999999999999E-2</v>
      </c>
      <c r="DN58">
        <v>0</v>
      </c>
      <c r="DO58">
        <v>27.102499999999999</v>
      </c>
      <c r="DP58">
        <v>999.9</v>
      </c>
      <c r="DQ58">
        <v>79.099999999999994</v>
      </c>
      <c r="DR58">
        <v>28.8</v>
      </c>
      <c r="DS58">
        <v>31.3565</v>
      </c>
      <c r="DT58">
        <v>30.6755</v>
      </c>
      <c r="DU58">
        <v>9.9318899999999992</v>
      </c>
      <c r="DV58">
        <v>1</v>
      </c>
      <c r="DW58">
        <v>0.23032900000000001</v>
      </c>
      <c r="DX58">
        <v>-0.11280800000000001</v>
      </c>
      <c r="DY58">
        <v>20.367699999999999</v>
      </c>
      <c r="DZ58">
        <v>5.2110599999999998</v>
      </c>
      <c r="EA58">
        <v>11.849399999999999</v>
      </c>
      <c r="EB58">
        <v>4.9677600000000002</v>
      </c>
      <c r="EC58">
        <v>3.2922400000000001</v>
      </c>
      <c r="ED58">
        <v>894.7</v>
      </c>
      <c r="EE58">
        <v>0</v>
      </c>
      <c r="EF58">
        <v>5223.1000000000004</v>
      </c>
      <c r="EG58">
        <v>109.5</v>
      </c>
      <c r="EH58">
        <v>4.9716100000000001</v>
      </c>
      <c r="EI58">
        <v>1.8717999999999999</v>
      </c>
      <c r="EJ58">
        <v>1.86893</v>
      </c>
      <c r="EK58">
        <v>1.87134</v>
      </c>
      <c r="EL58">
        <v>1.86911</v>
      </c>
      <c r="EM58">
        <v>1.8680600000000001</v>
      </c>
      <c r="EN58">
        <v>1.8699300000000001</v>
      </c>
      <c r="EO58">
        <v>1.87165</v>
      </c>
      <c r="EP58">
        <v>0</v>
      </c>
      <c r="EQ58">
        <v>0</v>
      </c>
      <c r="ER58">
        <v>0</v>
      </c>
      <c r="ES58">
        <v>0</v>
      </c>
      <c r="ET58" t="s">
        <v>334</v>
      </c>
      <c r="EU58" t="s">
        <v>335</v>
      </c>
      <c r="EV58" t="s">
        <v>336</v>
      </c>
      <c r="EW58" t="s">
        <v>336</v>
      </c>
      <c r="EX58" t="s">
        <v>336</v>
      </c>
      <c r="EY58" t="s">
        <v>336</v>
      </c>
      <c r="EZ58">
        <v>0</v>
      </c>
      <c r="FA58">
        <v>100</v>
      </c>
      <c r="FB58">
        <v>100</v>
      </c>
      <c r="FC58">
        <v>8.0389999999999997</v>
      </c>
      <c r="FD58">
        <v>-0.98929999999999996</v>
      </c>
      <c r="FE58">
        <v>8.0227690000000003</v>
      </c>
      <c r="FF58">
        <v>0</v>
      </c>
      <c r="FG58">
        <v>0</v>
      </c>
      <c r="FH58">
        <v>0</v>
      </c>
      <c r="FI58">
        <v>-0.98927100000000023</v>
      </c>
      <c r="FJ58">
        <v>0</v>
      </c>
      <c r="FK58">
        <v>0</v>
      </c>
      <c r="FL58">
        <v>0</v>
      </c>
      <c r="FM58">
        <v>-1</v>
      </c>
      <c r="FN58">
        <v>-1</v>
      </c>
      <c r="FO58">
        <v>-1</v>
      </c>
      <c r="FP58">
        <v>-1</v>
      </c>
      <c r="FQ58">
        <v>0.7</v>
      </c>
      <c r="FR58">
        <v>42.2</v>
      </c>
      <c r="FS58">
        <v>0.144043</v>
      </c>
      <c r="FT58">
        <v>4.99756</v>
      </c>
      <c r="FU58">
        <v>1.5979000000000001</v>
      </c>
      <c r="FV58">
        <v>2.1606399999999999</v>
      </c>
      <c r="FW58">
        <v>1.5478499999999999</v>
      </c>
      <c r="FX58">
        <v>2.4108900000000002</v>
      </c>
      <c r="FY58">
        <v>33.4681</v>
      </c>
      <c r="FZ58">
        <v>16.119599999999998</v>
      </c>
      <c r="GA58">
        <v>3</v>
      </c>
      <c r="GB58">
        <v>496.88099999999997</v>
      </c>
      <c r="GC58">
        <v>409.00200000000001</v>
      </c>
      <c r="GD58">
        <v>27.834099999999999</v>
      </c>
      <c r="GE58">
        <v>30.1158</v>
      </c>
      <c r="GF58">
        <v>30.0001</v>
      </c>
      <c r="GG58">
        <v>30.42</v>
      </c>
      <c r="GH58">
        <v>30.468800000000002</v>
      </c>
      <c r="GI58">
        <v>-1</v>
      </c>
      <c r="GJ58">
        <v>0</v>
      </c>
      <c r="GK58">
        <v>100</v>
      </c>
      <c r="GL58">
        <v>27.8353</v>
      </c>
      <c r="GM58">
        <v>432.1</v>
      </c>
      <c r="GN58">
        <v>68.912800000000004</v>
      </c>
      <c r="GO58">
        <v>102.249</v>
      </c>
      <c r="GP58">
        <v>96.507499999999993</v>
      </c>
    </row>
    <row r="59" spans="1:198" x14ac:dyDescent="0.35">
      <c r="A59">
        <v>43</v>
      </c>
      <c r="B59">
        <v>1775483558.5999999</v>
      </c>
      <c r="C59">
        <v>2520.099999904633</v>
      </c>
      <c r="D59" t="s">
        <v>460</v>
      </c>
      <c r="E59" t="s">
        <v>461</v>
      </c>
      <c r="F59">
        <v>60</v>
      </c>
      <c r="G59">
        <v>1775483550.599999</v>
      </c>
      <c r="H59">
        <f t="shared" si="0"/>
        <v>2.9257736734267666E-3</v>
      </c>
      <c r="I59">
        <f t="shared" si="1"/>
        <v>2.9257736734267668</v>
      </c>
      <c r="J59">
        <f t="shared" si="2"/>
        <v>1.2279443348732371</v>
      </c>
      <c r="K59">
        <f t="shared" si="3"/>
        <v>12.47407322580645</v>
      </c>
      <c r="L59">
        <f t="shared" si="4"/>
        <v>-12.757289915109942</v>
      </c>
      <c r="M59">
        <f t="shared" si="5"/>
        <v>-1.2799013725612043</v>
      </c>
      <c r="N59">
        <f t="shared" si="6"/>
        <v>1.2514870751842637</v>
      </c>
      <c r="O59">
        <f t="shared" si="7"/>
        <v>7.9064002121245008E-2</v>
      </c>
      <c r="P59">
        <f t="shared" si="8"/>
        <v>2.3918897985977021</v>
      </c>
      <c r="Q59">
        <f t="shared" si="9"/>
        <v>7.7640287285774892E-2</v>
      </c>
      <c r="R59">
        <f t="shared" si="10"/>
        <v>4.8650959286297764E-2</v>
      </c>
      <c r="S59">
        <f t="shared" si="11"/>
        <v>0</v>
      </c>
      <c r="T59">
        <f t="shared" si="12"/>
        <v>26.378269684784485</v>
      </c>
      <c r="U59">
        <f t="shared" si="13"/>
        <v>27.39134838709677</v>
      </c>
      <c r="V59">
        <f t="shared" si="14"/>
        <v>3.6622561469243391</v>
      </c>
      <c r="W59">
        <f t="shared" si="15"/>
        <v>-1.383505950246563</v>
      </c>
      <c r="X59">
        <f t="shared" si="16"/>
        <v>-5.0384773105749993E-2</v>
      </c>
      <c r="Y59">
        <f t="shared" si="17"/>
        <v>3.6418183164857814</v>
      </c>
      <c r="Z59">
        <f t="shared" si="18"/>
        <v>3.7126409200300889</v>
      </c>
      <c r="AA59">
        <f t="shared" si="19"/>
        <v>-129.0266189981204</v>
      </c>
      <c r="AB59">
        <f t="shared" si="20"/>
        <v>-12.318618004550048</v>
      </c>
      <c r="AC59">
        <f t="shared" si="21"/>
        <v>-1.1152882236551207</v>
      </c>
      <c r="AD59">
        <f t="shared" si="22"/>
        <v>-142.46052522632556</v>
      </c>
      <c r="AE59">
        <v>14</v>
      </c>
      <c r="AF59">
        <v>3</v>
      </c>
      <c r="AG59">
        <f t="shared" si="23"/>
        <v>1</v>
      </c>
      <c r="AH59">
        <f t="shared" si="24"/>
        <v>0</v>
      </c>
      <c r="AI59">
        <f t="shared" si="25"/>
        <v>25545.183322350495</v>
      </c>
      <c r="AJ59">
        <f t="shared" si="26"/>
        <v>0</v>
      </c>
      <c r="AK59">
        <f t="shared" si="27"/>
        <v>0</v>
      </c>
      <c r="AL59">
        <f t="shared" si="28"/>
        <v>0</v>
      </c>
      <c r="AM59">
        <f t="shared" si="29"/>
        <v>0</v>
      </c>
      <c r="AN59">
        <v>3</v>
      </c>
      <c r="AO59">
        <v>0.5</v>
      </c>
      <c r="AP59" t="s">
        <v>331</v>
      </c>
      <c r="AQ59">
        <v>2</v>
      </c>
      <c r="AR59">
        <v>1775483550.599999</v>
      </c>
      <c r="AS59">
        <v>12.47407322580645</v>
      </c>
      <c r="AT59">
        <v>13.23271612903226</v>
      </c>
      <c r="AU59">
        <v>-0.50220522580645166</v>
      </c>
      <c r="AV59">
        <v>-2.258501290322581</v>
      </c>
      <c r="AW59">
        <v>4.4680732258064513</v>
      </c>
      <c r="AX59">
        <v>0.48706577419354841</v>
      </c>
      <c r="AY59">
        <v>500.01416129032259</v>
      </c>
      <c r="AZ59">
        <v>100.2823225806452</v>
      </c>
      <c r="BA59">
        <v>4.4735993548387108E-2</v>
      </c>
      <c r="BB59">
        <v>27.295819354838709</v>
      </c>
      <c r="BC59">
        <v>27.39134838709677</v>
      </c>
      <c r="BD59">
        <v>999.90000000000032</v>
      </c>
      <c r="BE59">
        <v>0</v>
      </c>
      <c r="BF59">
        <v>0</v>
      </c>
      <c r="BG59">
        <v>4995.8387096774204</v>
      </c>
      <c r="BH59">
        <v>0.39652832258064519</v>
      </c>
      <c r="BI59">
        <v>0.23331922580645159</v>
      </c>
      <c r="BJ59">
        <v>-0.72542983870967737</v>
      </c>
      <c r="BK59">
        <v>12.50100322580645</v>
      </c>
      <c r="BL59">
        <v>13.20290322580645</v>
      </c>
      <c r="BM59">
        <v>1.7562954838709679</v>
      </c>
      <c r="BN59">
        <v>13.23271612903226</v>
      </c>
      <c r="BO59">
        <v>-2.258501290322581</v>
      </c>
      <c r="BP59">
        <v>-5.0362309677419351E-2</v>
      </c>
      <c r="BQ59">
        <v>-0.2264876451612903</v>
      </c>
      <c r="BR59">
        <v>-99.900000000000034</v>
      </c>
      <c r="BS59">
        <v>-99.900000000000034</v>
      </c>
      <c r="BT59">
        <v>0</v>
      </c>
      <c r="BU59">
        <v>0</v>
      </c>
      <c r="BV59">
        <v>0</v>
      </c>
      <c r="BW59">
        <v>26</v>
      </c>
      <c r="BX59">
        <v>-1</v>
      </c>
      <c r="BY59">
        <v>1775483579.0999999</v>
      </c>
      <c r="BZ59" t="s">
        <v>462</v>
      </c>
      <c r="CA59">
        <v>1775483579.0999999</v>
      </c>
      <c r="CB59">
        <v>1775480969.5</v>
      </c>
      <c r="CC59">
        <v>44</v>
      </c>
      <c r="CD59">
        <v>-3.3000000000000002E-2</v>
      </c>
      <c r="CE59">
        <v>0.19500000000000001</v>
      </c>
      <c r="CF59">
        <v>8.0060000000000002</v>
      </c>
      <c r="CG59">
        <v>-0.98899999999999999</v>
      </c>
      <c r="CH59">
        <v>14</v>
      </c>
      <c r="CI59">
        <v>-3</v>
      </c>
      <c r="CJ59">
        <v>0.23</v>
      </c>
      <c r="CK59">
        <v>0.06</v>
      </c>
      <c r="CL59">
        <v>13.175691666666671</v>
      </c>
      <c r="CM59">
        <v>0.15003667685470229</v>
      </c>
      <c r="CN59">
        <v>8.8720291349962399E-2</v>
      </c>
      <c r="CO59">
        <v>-1</v>
      </c>
      <c r="CP59">
        <v>499.99939999999998</v>
      </c>
      <c r="CQ59">
        <v>0.24275409836105549</v>
      </c>
      <c r="CR59">
        <v>8.1036658371379924E-2</v>
      </c>
      <c r="CS59">
        <v>-1</v>
      </c>
      <c r="CT59">
        <v>0</v>
      </c>
      <c r="CU59">
        <v>0</v>
      </c>
      <c r="CV59" t="s">
        <v>333</v>
      </c>
      <c r="CW59">
        <v>3.1674099999999998</v>
      </c>
      <c r="CX59">
        <v>2.66621</v>
      </c>
      <c r="CY59">
        <v>1.3599899999999999E-3</v>
      </c>
      <c r="CZ59">
        <v>4.20229E-3</v>
      </c>
      <c r="DA59">
        <v>3.9037500000000001E-3</v>
      </c>
      <c r="DB59">
        <v>-2.1380400000000001E-2</v>
      </c>
      <c r="DC59">
        <v>21553.4</v>
      </c>
      <c r="DD59">
        <v>21871.5</v>
      </c>
      <c r="DE59">
        <v>23111.9</v>
      </c>
      <c r="DF59">
        <v>22317.5</v>
      </c>
      <c r="DG59">
        <v>29688.3</v>
      </c>
      <c r="DH59">
        <v>27182</v>
      </c>
      <c r="DI59">
        <v>40620.5</v>
      </c>
      <c r="DJ59">
        <v>36984.400000000001</v>
      </c>
      <c r="DK59">
        <v>2.08142</v>
      </c>
      <c r="DL59">
        <v>1.8024800000000001</v>
      </c>
      <c r="DM59">
        <v>1.7848599999999999E-2</v>
      </c>
      <c r="DN59">
        <v>0</v>
      </c>
      <c r="DO59">
        <v>27.102799999999998</v>
      </c>
      <c r="DP59">
        <v>999.9</v>
      </c>
      <c r="DQ59">
        <v>79</v>
      </c>
      <c r="DR59">
        <v>28.8</v>
      </c>
      <c r="DS59">
        <v>31.316199999999998</v>
      </c>
      <c r="DT59">
        <v>30.435500000000001</v>
      </c>
      <c r="DU59">
        <v>9.5953499999999998</v>
      </c>
      <c r="DV59">
        <v>1</v>
      </c>
      <c r="DW59">
        <v>0.23041500000000001</v>
      </c>
      <c r="DX59">
        <v>-0.112168</v>
      </c>
      <c r="DY59">
        <v>20.367899999999999</v>
      </c>
      <c r="DZ59">
        <v>5.2121399999999998</v>
      </c>
      <c r="EA59">
        <v>11.8485</v>
      </c>
      <c r="EB59">
        <v>4.9674399999999999</v>
      </c>
      <c r="EC59">
        <v>3.2921800000000001</v>
      </c>
      <c r="ED59">
        <v>894.7</v>
      </c>
      <c r="EE59">
        <v>0</v>
      </c>
      <c r="EF59">
        <v>5254</v>
      </c>
      <c r="EG59">
        <v>109.5</v>
      </c>
      <c r="EH59">
        <v>4.9716399999999998</v>
      </c>
      <c r="EI59">
        <v>1.8717999999999999</v>
      </c>
      <c r="EJ59">
        <v>1.8689</v>
      </c>
      <c r="EK59">
        <v>1.87134</v>
      </c>
      <c r="EL59">
        <v>1.86914</v>
      </c>
      <c r="EM59">
        <v>1.86808</v>
      </c>
      <c r="EN59">
        <v>1.86992</v>
      </c>
      <c r="EO59">
        <v>1.8716900000000001</v>
      </c>
      <c r="EP59">
        <v>0</v>
      </c>
      <c r="EQ59">
        <v>0</v>
      </c>
      <c r="ER59">
        <v>0</v>
      </c>
      <c r="ES59">
        <v>0</v>
      </c>
      <c r="ET59" t="s">
        <v>334</v>
      </c>
      <c r="EU59" t="s">
        <v>335</v>
      </c>
      <c r="EV59" t="s">
        <v>336</v>
      </c>
      <c r="EW59" t="s">
        <v>336</v>
      </c>
      <c r="EX59" t="s">
        <v>336</v>
      </c>
      <c r="EY59" t="s">
        <v>336</v>
      </c>
      <c r="EZ59">
        <v>0</v>
      </c>
      <c r="FA59">
        <v>100</v>
      </c>
      <c r="FB59">
        <v>100</v>
      </c>
      <c r="FC59">
        <v>8.0060000000000002</v>
      </c>
      <c r="FD59">
        <v>-0.98929999999999996</v>
      </c>
      <c r="FE59">
        <v>8.0392125000000014</v>
      </c>
      <c r="FF59">
        <v>0</v>
      </c>
      <c r="FG59">
        <v>0</v>
      </c>
      <c r="FH59">
        <v>0</v>
      </c>
      <c r="FI59">
        <v>-0.98927100000000023</v>
      </c>
      <c r="FJ59">
        <v>0</v>
      </c>
      <c r="FK59">
        <v>0</v>
      </c>
      <c r="FL59">
        <v>0</v>
      </c>
      <c r="FM59">
        <v>-1</v>
      </c>
      <c r="FN59">
        <v>-1</v>
      </c>
      <c r="FO59">
        <v>-1</v>
      </c>
      <c r="FP59">
        <v>-1</v>
      </c>
      <c r="FQ59">
        <v>0.7</v>
      </c>
      <c r="FR59">
        <v>43.2</v>
      </c>
      <c r="FS59">
        <v>0.144043</v>
      </c>
      <c r="FT59">
        <v>4.99756</v>
      </c>
      <c r="FU59">
        <v>1.5979000000000001</v>
      </c>
      <c r="FV59">
        <v>2.1606399999999999</v>
      </c>
      <c r="FW59">
        <v>1.5478499999999999</v>
      </c>
      <c r="FX59">
        <v>2.4560499999999998</v>
      </c>
      <c r="FY59">
        <v>33.512999999999998</v>
      </c>
      <c r="FZ59">
        <v>16.119599999999998</v>
      </c>
      <c r="GA59">
        <v>3</v>
      </c>
      <c r="GB59">
        <v>496.69499999999999</v>
      </c>
      <c r="GC59">
        <v>409.02600000000001</v>
      </c>
      <c r="GD59">
        <v>27.838799999999999</v>
      </c>
      <c r="GE59">
        <v>30.113199999999999</v>
      </c>
      <c r="GF59">
        <v>30.0001</v>
      </c>
      <c r="GG59">
        <v>30.42</v>
      </c>
      <c r="GH59">
        <v>30.468800000000002</v>
      </c>
      <c r="GI59">
        <v>-1</v>
      </c>
      <c r="GJ59">
        <v>0</v>
      </c>
      <c r="GK59">
        <v>100</v>
      </c>
      <c r="GL59">
        <v>27.844999999999999</v>
      </c>
      <c r="GM59">
        <v>432.1</v>
      </c>
      <c r="GN59">
        <v>68.912800000000004</v>
      </c>
      <c r="GO59">
        <v>102.246</v>
      </c>
      <c r="GP59">
        <v>96.507499999999993</v>
      </c>
    </row>
    <row r="60" spans="1:198" x14ac:dyDescent="0.35">
      <c r="A60">
        <v>44</v>
      </c>
      <c r="B60">
        <v>1775483618.5999999</v>
      </c>
      <c r="C60">
        <v>2580.099999904633</v>
      </c>
      <c r="D60" t="s">
        <v>463</v>
      </c>
      <c r="E60" t="s">
        <v>464</v>
      </c>
      <c r="F60">
        <v>60</v>
      </c>
      <c r="G60">
        <v>1775483610.849999</v>
      </c>
      <c r="H60">
        <f t="shared" si="0"/>
        <v>2.9259082069254803E-3</v>
      </c>
      <c r="I60">
        <f t="shared" si="1"/>
        <v>2.9259082069254805</v>
      </c>
      <c r="J60">
        <f t="shared" si="2"/>
        <v>1.2852516796708107</v>
      </c>
      <c r="K60">
        <f t="shared" si="3"/>
        <v>13.45067666666667</v>
      </c>
      <c r="L60">
        <f t="shared" si="4"/>
        <v>-12.978897623317396</v>
      </c>
      <c r="M60">
        <f t="shared" si="5"/>
        <v>-1.3021464462369623</v>
      </c>
      <c r="N60">
        <f t="shared" si="6"/>
        <v>1.3494790797575977</v>
      </c>
      <c r="O60">
        <f t="shared" si="7"/>
        <v>7.9068794378270996E-2</v>
      </c>
      <c r="P60">
        <f t="shared" si="8"/>
        <v>2.3968373965236927</v>
      </c>
      <c r="Q60">
        <f t="shared" si="9"/>
        <v>7.7647790896604882E-2</v>
      </c>
      <c r="R60">
        <f t="shared" si="10"/>
        <v>4.8655413691076198E-2</v>
      </c>
      <c r="S60">
        <f t="shared" si="11"/>
        <v>0</v>
      </c>
      <c r="T60">
        <f t="shared" si="12"/>
        <v>26.38972275582223</v>
      </c>
      <c r="U60">
        <f t="shared" si="13"/>
        <v>27.395976666666659</v>
      </c>
      <c r="V60">
        <f t="shared" si="14"/>
        <v>3.6632488752026684</v>
      </c>
      <c r="W60">
        <f t="shared" si="15"/>
        <v>-1.3501254164539531</v>
      </c>
      <c r="X60">
        <f t="shared" si="16"/>
        <v>-4.9197217798037603E-2</v>
      </c>
      <c r="Y60">
        <f t="shared" si="17"/>
        <v>3.6438998331912011</v>
      </c>
      <c r="Z60">
        <f t="shared" si="18"/>
        <v>3.7124460930007062</v>
      </c>
      <c r="AA60">
        <f t="shared" si="19"/>
        <v>-129.03255192541369</v>
      </c>
      <c r="AB60">
        <f t="shared" si="20"/>
        <v>-11.682195569331816</v>
      </c>
      <c r="AC60">
        <f t="shared" si="21"/>
        <v>-1.0555611106107488</v>
      </c>
      <c r="AD60">
        <f t="shared" si="22"/>
        <v>-141.77030860535623</v>
      </c>
      <c r="AE60">
        <v>14</v>
      </c>
      <c r="AF60">
        <v>3</v>
      </c>
      <c r="AG60">
        <f t="shared" si="23"/>
        <v>1</v>
      </c>
      <c r="AH60">
        <f t="shared" si="24"/>
        <v>0</v>
      </c>
      <c r="AI60">
        <f t="shared" si="25"/>
        <v>25619.525945848312</v>
      </c>
      <c r="AJ60">
        <f t="shared" si="26"/>
        <v>0</v>
      </c>
      <c r="AK60">
        <f t="shared" si="27"/>
        <v>0</v>
      </c>
      <c r="AL60">
        <f t="shared" si="28"/>
        <v>0</v>
      </c>
      <c r="AM60">
        <f t="shared" si="29"/>
        <v>0</v>
      </c>
      <c r="AN60">
        <v>3</v>
      </c>
      <c r="AO60">
        <v>0.5</v>
      </c>
      <c r="AP60" t="s">
        <v>331</v>
      </c>
      <c r="AQ60">
        <v>2</v>
      </c>
      <c r="AR60">
        <v>1775483610.849999</v>
      </c>
      <c r="AS60">
        <v>13.45067666666667</v>
      </c>
      <c r="AT60">
        <v>14.24541</v>
      </c>
      <c r="AU60">
        <v>-0.49036393333333328</v>
      </c>
      <c r="AV60">
        <v>-2.2467013333333341</v>
      </c>
      <c r="AW60">
        <v>5.436676666666667</v>
      </c>
      <c r="AX60">
        <v>0.49890699999999988</v>
      </c>
      <c r="AY60">
        <v>500.01946666666657</v>
      </c>
      <c r="AZ60">
        <v>100.2839666666666</v>
      </c>
      <c r="BA60">
        <v>4.4002936666666659E-2</v>
      </c>
      <c r="BB60">
        <v>27.305569999999989</v>
      </c>
      <c r="BC60">
        <v>27.395976666666659</v>
      </c>
      <c r="BD60">
        <v>999.9000000000002</v>
      </c>
      <c r="BE60">
        <v>0</v>
      </c>
      <c r="BF60">
        <v>0</v>
      </c>
      <c r="BG60">
        <v>5008.4833333333336</v>
      </c>
      <c r="BH60">
        <v>0.36391560000000012</v>
      </c>
      <c r="BI60">
        <v>0.23344266666666669</v>
      </c>
      <c r="BJ60">
        <v>-0.80243386666666672</v>
      </c>
      <c r="BK60">
        <v>13.43637666666667</v>
      </c>
      <c r="BL60">
        <v>14.213473333333329</v>
      </c>
      <c r="BM60">
        <v>1.756337666666667</v>
      </c>
      <c r="BN60">
        <v>14.24541</v>
      </c>
      <c r="BO60">
        <v>-2.2467013333333341</v>
      </c>
      <c r="BP60">
        <v>-4.9175689999999987E-2</v>
      </c>
      <c r="BQ60">
        <v>-0.22530843333333331</v>
      </c>
      <c r="BR60">
        <v>-99.900000000000034</v>
      </c>
      <c r="BS60">
        <v>-99.900000000000034</v>
      </c>
      <c r="BT60">
        <v>0</v>
      </c>
      <c r="BU60">
        <v>0</v>
      </c>
      <c r="BV60">
        <v>0</v>
      </c>
      <c r="BW60">
        <v>26</v>
      </c>
      <c r="BX60">
        <v>-1</v>
      </c>
      <c r="BY60">
        <v>1775483635.5999999</v>
      </c>
      <c r="BZ60" t="s">
        <v>465</v>
      </c>
      <c r="CA60">
        <v>1775483635.5999999</v>
      </c>
      <c r="CB60">
        <v>1775480969.5</v>
      </c>
      <c r="CC60">
        <v>45</v>
      </c>
      <c r="CD60">
        <v>7.0000000000000001E-3</v>
      </c>
      <c r="CE60">
        <v>0.19500000000000001</v>
      </c>
      <c r="CF60">
        <v>8.0139999999999993</v>
      </c>
      <c r="CG60">
        <v>-0.98899999999999999</v>
      </c>
      <c r="CH60">
        <v>14</v>
      </c>
      <c r="CI60">
        <v>-3</v>
      </c>
      <c r="CJ60">
        <v>0.14000000000000001</v>
      </c>
      <c r="CK60">
        <v>0.06</v>
      </c>
      <c r="CL60">
        <v>14.26164754098361</v>
      </c>
      <c r="CM60">
        <v>-0.14692416710734399</v>
      </c>
      <c r="CN60">
        <v>0.13952095512926629</v>
      </c>
      <c r="CO60">
        <v>-1</v>
      </c>
      <c r="CP60">
        <v>500.02852459016401</v>
      </c>
      <c r="CQ60">
        <v>-0.20747117927046821</v>
      </c>
      <c r="CR60">
        <v>0.1049648819582233</v>
      </c>
      <c r="CS60">
        <v>-1</v>
      </c>
      <c r="CT60">
        <v>0</v>
      </c>
      <c r="CU60">
        <v>0</v>
      </c>
      <c r="CV60" t="s">
        <v>333</v>
      </c>
      <c r="CW60">
        <v>3.1675900000000001</v>
      </c>
      <c r="CX60">
        <v>2.6651799999999999</v>
      </c>
      <c r="CY60">
        <v>1.65723E-3</v>
      </c>
      <c r="CZ60">
        <v>4.4646599999999996E-3</v>
      </c>
      <c r="DA60">
        <v>4.0134400000000001E-3</v>
      </c>
      <c r="DB60">
        <v>-2.1253500000000002E-2</v>
      </c>
      <c r="DC60">
        <v>21546.7</v>
      </c>
      <c r="DD60">
        <v>21865.9</v>
      </c>
      <c r="DE60">
        <v>23111.7</v>
      </c>
      <c r="DF60">
        <v>22317.599999999999</v>
      </c>
      <c r="DG60">
        <v>29684.7</v>
      </c>
      <c r="DH60">
        <v>27178.799999999999</v>
      </c>
      <c r="DI60">
        <v>40620.1</v>
      </c>
      <c r="DJ60">
        <v>36984.6</v>
      </c>
      <c r="DK60">
        <v>2.0817999999999999</v>
      </c>
      <c r="DL60">
        <v>1.80202</v>
      </c>
      <c r="DM60">
        <v>1.79291E-2</v>
      </c>
      <c r="DN60">
        <v>0</v>
      </c>
      <c r="DO60">
        <v>27.110099999999999</v>
      </c>
      <c r="DP60">
        <v>999.9</v>
      </c>
      <c r="DQ60">
        <v>78.900000000000006</v>
      </c>
      <c r="DR60">
        <v>28.8</v>
      </c>
      <c r="DS60">
        <v>31.2774</v>
      </c>
      <c r="DT60">
        <v>30.435500000000001</v>
      </c>
      <c r="DU60">
        <v>9.5632999999999999</v>
      </c>
      <c r="DV60">
        <v>1</v>
      </c>
      <c r="DW60">
        <v>0.23016700000000001</v>
      </c>
      <c r="DX60">
        <v>-5.9840999999999998E-2</v>
      </c>
      <c r="DY60">
        <v>20.367999999999999</v>
      </c>
      <c r="DZ60">
        <v>5.2120199999999999</v>
      </c>
      <c r="EA60">
        <v>11.8482</v>
      </c>
      <c r="EB60">
        <v>4.9677199999999999</v>
      </c>
      <c r="EC60">
        <v>3.2922400000000001</v>
      </c>
      <c r="ED60">
        <v>894.7</v>
      </c>
      <c r="EE60">
        <v>0</v>
      </c>
      <c r="EF60">
        <v>5284.1</v>
      </c>
      <c r="EG60">
        <v>109.5</v>
      </c>
      <c r="EH60">
        <v>4.9716100000000001</v>
      </c>
      <c r="EI60">
        <v>1.8717900000000001</v>
      </c>
      <c r="EJ60">
        <v>1.8689</v>
      </c>
      <c r="EK60">
        <v>1.87134</v>
      </c>
      <c r="EL60">
        <v>1.8691199999999999</v>
      </c>
      <c r="EM60">
        <v>1.8680600000000001</v>
      </c>
      <c r="EN60">
        <v>1.8698999999999999</v>
      </c>
      <c r="EO60">
        <v>1.8716600000000001</v>
      </c>
      <c r="EP60">
        <v>0</v>
      </c>
      <c r="EQ60">
        <v>0</v>
      </c>
      <c r="ER60">
        <v>0</v>
      </c>
      <c r="ES60">
        <v>0</v>
      </c>
      <c r="ET60" t="s">
        <v>334</v>
      </c>
      <c r="EU60" t="s">
        <v>335</v>
      </c>
      <c r="EV60" t="s">
        <v>336</v>
      </c>
      <c r="EW60" t="s">
        <v>336</v>
      </c>
      <c r="EX60" t="s">
        <v>336</v>
      </c>
      <c r="EY60" t="s">
        <v>336</v>
      </c>
      <c r="EZ60">
        <v>0</v>
      </c>
      <c r="FA60">
        <v>100</v>
      </c>
      <c r="FB60">
        <v>100</v>
      </c>
      <c r="FC60">
        <v>8.0139999999999993</v>
      </c>
      <c r="FD60">
        <v>-0.98929999999999996</v>
      </c>
      <c r="FE60">
        <v>8.006293809523811</v>
      </c>
      <c r="FF60">
        <v>0</v>
      </c>
      <c r="FG60">
        <v>0</v>
      </c>
      <c r="FH60">
        <v>0</v>
      </c>
      <c r="FI60">
        <v>-0.98927100000000023</v>
      </c>
      <c r="FJ60">
        <v>0</v>
      </c>
      <c r="FK60">
        <v>0</v>
      </c>
      <c r="FL60">
        <v>0</v>
      </c>
      <c r="FM60">
        <v>-1</v>
      </c>
      <c r="FN60">
        <v>-1</v>
      </c>
      <c r="FO60">
        <v>-1</v>
      </c>
      <c r="FP60">
        <v>-1</v>
      </c>
      <c r="FQ60">
        <v>0.7</v>
      </c>
      <c r="FR60">
        <v>44.2</v>
      </c>
      <c r="FS60">
        <v>0.144043</v>
      </c>
      <c r="FT60">
        <v>4.99756</v>
      </c>
      <c r="FU60">
        <v>1.5979000000000001</v>
      </c>
      <c r="FV60">
        <v>2.1606399999999999</v>
      </c>
      <c r="FW60">
        <v>1.5478499999999999</v>
      </c>
      <c r="FX60">
        <v>2.3950200000000001</v>
      </c>
      <c r="FY60">
        <v>33.535499999999999</v>
      </c>
      <c r="FZ60">
        <v>16.110900000000001</v>
      </c>
      <c r="GA60">
        <v>3</v>
      </c>
      <c r="GB60">
        <v>496.904</v>
      </c>
      <c r="GC60">
        <v>408.75599999999997</v>
      </c>
      <c r="GD60">
        <v>27.834599999999998</v>
      </c>
      <c r="GE60">
        <v>30.113199999999999</v>
      </c>
      <c r="GF60">
        <v>30.0001</v>
      </c>
      <c r="GG60">
        <v>30.418500000000002</v>
      </c>
      <c r="GH60">
        <v>30.468299999999999</v>
      </c>
      <c r="GI60">
        <v>-1</v>
      </c>
      <c r="GJ60">
        <v>0</v>
      </c>
      <c r="GK60">
        <v>100</v>
      </c>
      <c r="GL60">
        <v>27.8279</v>
      </c>
      <c r="GM60">
        <v>432.1</v>
      </c>
      <c r="GN60">
        <v>68.912800000000004</v>
      </c>
      <c r="GO60">
        <v>102.245</v>
      </c>
      <c r="GP60">
        <v>96.507999999999996</v>
      </c>
    </row>
    <row r="61" spans="1:198" x14ac:dyDescent="0.35">
      <c r="A61">
        <v>45</v>
      </c>
      <c r="B61">
        <v>1775483678.5999999</v>
      </c>
      <c r="C61">
        <v>2640.099999904633</v>
      </c>
      <c r="D61" t="s">
        <v>466</v>
      </c>
      <c r="E61" t="s">
        <v>467</v>
      </c>
      <c r="F61">
        <v>60</v>
      </c>
      <c r="G61">
        <v>1775483670.599999</v>
      </c>
      <c r="H61">
        <f t="shared" si="0"/>
        <v>2.8833604465918904E-3</v>
      </c>
      <c r="I61">
        <f t="shared" si="1"/>
        <v>2.8833604465918903</v>
      </c>
      <c r="J61">
        <f t="shared" si="2"/>
        <v>0.90406204368772858</v>
      </c>
      <c r="K61">
        <f t="shared" si="3"/>
        <v>13.440649032258071</v>
      </c>
      <c r="L61">
        <f t="shared" si="4"/>
        <v>-5.6503060432066681</v>
      </c>
      <c r="M61">
        <f t="shared" si="5"/>
        <v>-0.566882643718571</v>
      </c>
      <c r="N61">
        <f t="shared" si="6"/>
        <v>1.3484704365457363</v>
      </c>
      <c r="O61">
        <f t="shared" si="7"/>
        <v>7.789699158889879E-2</v>
      </c>
      <c r="P61">
        <f t="shared" si="8"/>
        <v>2.3919938611271734</v>
      </c>
      <c r="Q61">
        <f t="shared" si="9"/>
        <v>7.6514658490899889E-2</v>
      </c>
      <c r="R61">
        <f t="shared" si="10"/>
        <v>4.7943815460759751E-2</v>
      </c>
      <c r="S61">
        <f t="shared" si="11"/>
        <v>0</v>
      </c>
      <c r="T61">
        <f t="shared" si="12"/>
        <v>26.392953108914384</v>
      </c>
      <c r="U61">
        <f t="shared" si="13"/>
        <v>27.389822580645159</v>
      </c>
      <c r="V61">
        <f t="shared" si="14"/>
        <v>3.6619289253298821</v>
      </c>
      <c r="W61">
        <f t="shared" si="15"/>
        <v>-1.393650859830823</v>
      </c>
      <c r="X61">
        <f t="shared" si="16"/>
        <v>-5.0758233400831215E-2</v>
      </c>
      <c r="Y61">
        <f t="shared" si="17"/>
        <v>3.6421054127568806</v>
      </c>
      <c r="Z61">
        <f t="shared" si="18"/>
        <v>3.7126871587307133</v>
      </c>
      <c r="AA61">
        <f t="shared" si="19"/>
        <v>-127.15619569470236</v>
      </c>
      <c r="AB61">
        <f t="shared" si="20"/>
        <v>-11.948922059458818</v>
      </c>
      <c r="AC61">
        <f t="shared" si="21"/>
        <v>-1.0817690952282648</v>
      </c>
      <c r="AD61">
        <f t="shared" si="22"/>
        <v>-140.18688684938945</v>
      </c>
      <c r="AE61">
        <v>14</v>
      </c>
      <c r="AF61">
        <v>3</v>
      </c>
      <c r="AG61">
        <f t="shared" si="23"/>
        <v>1</v>
      </c>
      <c r="AH61">
        <f t="shared" si="24"/>
        <v>0</v>
      </c>
      <c r="AI61">
        <f t="shared" si="25"/>
        <v>25546.617764329429</v>
      </c>
      <c r="AJ61">
        <f t="shared" si="26"/>
        <v>0</v>
      </c>
      <c r="AK61">
        <f t="shared" si="27"/>
        <v>0</v>
      </c>
      <c r="AL61">
        <f t="shared" si="28"/>
        <v>0</v>
      </c>
      <c r="AM61">
        <f t="shared" si="29"/>
        <v>0</v>
      </c>
      <c r="AN61">
        <v>3</v>
      </c>
      <c r="AO61">
        <v>0.5</v>
      </c>
      <c r="AP61" t="s">
        <v>331</v>
      </c>
      <c r="AQ61">
        <v>2</v>
      </c>
      <c r="AR61">
        <v>1775483670.599999</v>
      </c>
      <c r="AS61">
        <v>13.440649032258071</v>
      </c>
      <c r="AT61">
        <v>14.006293548387101</v>
      </c>
      <c r="AU61">
        <v>-0.50592403225806448</v>
      </c>
      <c r="AV61">
        <v>-2.2366770967741929</v>
      </c>
      <c r="AW61">
        <v>5.4216490322580659</v>
      </c>
      <c r="AX61">
        <v>0.48334690322580642</v>
      </c>
      <c r="AY61">
        <v>500.04000000000008</v>
      </c>
      <c r="AZ61">
        <v>100.2831612903226</v>
      </c>
      <c r="BA61">
        <v>4.4615538709677417E-2</v>
      </c>
      <c r="BB61">
        <v>27.29716451612903</v>
      </c>
      <c r="BC61">
        <v>27.389822580645159</v>
      </c>
      <c r="BD61">
        <v>999.90000000000032</v>
      </c>
      <c r="BE61">
        <v>0</v>
      </c>
      <c r="BF61">
        <v>0</v>
      </c>
      <c r="BG61">
        <v>4996.0645161290322</v>
      </c>
      <c r="BH61">
        <v>0.37140699999999999</v>
      </c>
      <c r="BI61">
        <v>0.23331922580645159</v>
      </c>
      <c r="BJ61">
        <v>-0.57094816129032244</v>
      </c>
      <c r="BK61">
        <v>13.42856129032258</v>
      </c>
      <c r="BL61">
        <v>13.97503225806452</v>
      </c>
      <c r="BM61">
        <v>1.7307525806451609</v>
      </c>
      <c r="BN61">
        <v>14.006293548387101</v>
      </c>
      <c r="BO61">
        <v>-2.2366770967741929</v>
      </c>
      <c r="BP61">
        <v>-5.0735687096774187E-2</v>
      </c>
      <c r="BQ61">
        <v>-0.22430106451612911</v>
      </c>
      <c r="BR61">
        <v>-99.900000000000034</v>
      </c>
      <c r="BS61">
        <v>-99.900000000000034</v>
      </c>
      <c r="BT61">
        <v>0</v>
      </c>
      <c r="BU61">
        <v>0</v>
      </c>
      <c r="BV61">
        <v>0</v>
      </c>
      <c r="BW61">
        <v>26</v>
      </c>
      <c r="BX61">
        <v>-1</v>
      </c>
      <c r="BY61">
        <v>1775483695.5999999</v>
      </c>
      <c r="BZ61" t="s">
        <v>468</v>
      </c>
      <c r="CA61">
        <v>1775483695.5999999</v>
      </c>
      <c r="CB61">
        <v>1775480969.5</v>
      </c>
      <c r="CC61">
        <v>46</v>
      </c>
      <c r="CD61">
        <v>5.0000000000000001E-3</v>
      </c>
      <c r="CE61">
        <v>0.19500000000000001</v>
      </c>
      <c r="CF61">
        <v>8.0190000000000001</v>
      </c>
      <c r="CG61">
        <v>-0.98899999999999999</v>
      </c>
      <c r="CH61">
        <v>14</v>
      </c>
      <c r="CI61">
        <v>-3</v>
      </c>
      <c r="CJ61">
        <v>0.14000000000000001</v>
      </c>
      <c r="CK61">
        <v>0.06</v>
      </c>
      <c r="CL61">
        <v>14.170358333333329</v>
      </c>
      <c r="CM61">
        <v>-1.066093803834383</v>
      </c>
      <c r="CN61">
        <v>0.1644044994230861</v>
      </c>
      <c r="CO61">
        <v>-1</v>
      </c>
      <c r="CP61">
        <v>500.00725</v>
      </c>
      <c r="CQ61">
        <v>5.0557377049259333E-2</v>
      </c>
      <c r="CR61">
        <v>7.1459924666437885E-2</v>
      </c>
      <c r="CS61">
        <v>-1</v>
      </c>
      <c r="CT61">
        <v>0</v>
      </c>
      <c r="CU61">
        <v>0</v>
      </c>
      <c r="CV61" t="s">
        <v>333</v>
      </c>
      <c r="CW61">
        <v>3.16757</v>
      </c>
      <c r="CX61">
        <v>2.66622</v>
      </c>
      <c r="CY61">
        <v>1.5834899999999999E-3</v>
      </c>
      <c r="CZ61">
        <v>4.1551899999999996E-3</v>
      </c>
      <c r="DA61">
        <v>3.9240300000000002E-3</v>
      </c>
      <c r="DB61">
        <v>-2.1129100000000001E-2</v>
      </c>
      <c r="DC61">
        <v>21548.1</v>
      </c>
      <c r="DD61">
        <v>21872.6</v>
      </c>
      <c r="DE61">
        <v>23111.4</v>
      </c>
      <c r="DF61">
        <v>22317.5</v>
      </c>
      <c r="DG61">
        <v>29687.200000000001</v>
      </c>
      <c r="DH61">
        <v>27175.4</v>
      </c>
      <c r="DI61">
        <v>40619.800000000003</v>
      </c>
      <c r="DJ61">
        <v>36984.400000000001</v>
      </c>
      <c r="DK61">
        <v>2.0817399999999999</v>
      </c>
      <c r="DL61">
        <v>1.8020799999999999</v>
      </c>
      <c r="DM61">
        <v>1.6388300000000001E-2</v>
      </c>
      <c r="DN61">
        <v>0</v>
      </c>
      <c r="DO61">
        <v>27.1189</v>
      </c>
      <c r="DP61">
        <v>999.9</v>
      </c>
      <c r="DQ61">
        <v>78.900000000000006</v>
      </c>
      <c r="DR61">
        <v>28.9</v>
      </c>
      <c r="DS61">
        <v>31.4574</v>
      </c>
      <c r="DT61">
        <v>30.945499999999999</v>
      </c>
      <c r="DU61">
        <v>9.6193899999999992</v>
      </c>
      <c r="DV61">
        <v>1</v>
      </c>
      <c r="DW61">
        <v>0.230238</v>
      </c>
      <c r="DX61">
        <v>-9.1627399999999998E-2</v>
      </c>
      <c r="DY61">
        <v>20.367899999999999</v>
      </c>
      <c r="DZ61">
        <v>5.2126200000000003</v>
      </c>
      <c r="EA61">
        <v>11.8483</v>
      </c>
      <c r="EB61">
        <v>4.9677199999999999</v>
      </c>
      <c r="EC61">
        <v>3.2922400000000001</v>
      </c>
      <c r="ED61">
        <v>894.7</v>
      </c>
      <c r="EE61">
        <v>0</v>
      </c>
      <c r="EF61">
        <v>5314.2</v>
      </c>
      <c r="EG61">
        <v>109.6</v>
      </c>
      <c r="EH61">
        <v>4.97159</v>
      </c>
      <c r="EI61">
        <v>1.8717999999999999</v>
      </c>
      <c r="EJ61">
        <v>1.8689100000000001</v>
      </c>
      <c r="EK61">
        <v>1.87134</v>
      </c>
      <c r="EL61">
        <v>1.8691599999999999</v>
      </c>
      <c r="EM61">
        <v>1.8680300000000001</v>
      </c>
      <c r="EN61">
        <v>1.8699300000000001</v>
      </c>
      <c r="EO61">
        <v>1.8717200000000001</v>
      </c>
      <c r="EP61">
        <v>0</v>
      </c>
      <c r="EQ61">
        <v>0</v>
      </c>
      <c r="ER61">
        <v>0</v>
      </c>
      <c r="ES61">
        <v>0</v>
      </c>
      <c r="ET61" t="s">
        <v>334</v>
      </c>
      <c r="EU61" t="s">
        <v>335</v>
      </c>
      <c r="EV61" t="s">
        <v>336</v>
      </c>
      <c r="EW61" t="s">
        <v>336</v>
      </c>
      <c r="EX61" t="s">
        <v>336</v>
      </c>
      <c r="EY61" t="s">
        <v>336</v>
      </c>
      <c r="EZ61">
        <v>0</v>
      </c>
      <c r="FA61">
        <v>100</v>
      </c>
      <c r="FB61">
        <v>100</v>
      </c>
      <c r="FC61">
        <v>8.0190000000000001</v>
      </c>
      <c r="FD61">
        <v>-0.98929999999999996</v>
      </c>
      <c r="FE61">
        <v>8.0137</v>
      </c>
      <c r="FF61">
        <v>0</v>
      </c>
      <c r="FG61">
        <v>0</v>
      </c>
      <c r="FH61">
        <v>0</v>
      </c>
      <c r="FI61">
        <v>-0.98927100000000023</v>
      </c>
      <c r="FJ61">
        <v>0</v>
      </c>
      <c r="FK61">
        <v>0</v>
      </c>
      <c r="FL61">
        <v>0</v>
      </c>
      <c r="FM61">
        <v>-1</v>
      </c>
      <c r="FN61">
        <v>-1</v>
      </c>
      <c r="FO61">
        <v>-1</v>
      </c>
      <c r="FP61">
        <v>-1</v>
      </c>
      <c r="FQ61">
        <v>0.7</v>
      </c>
      <c r="FR61">
        <v>45.2</v>
      </c>
      <c r="FS61">
        <v>0.144043</v>
      </c>
      <c r="FT61">
        <v>4.99756</v>
      </c>
      <c r="FU61">
        <v>1.5979000000000001</v>
      </c>
      <c r="FV61">
        <v>2.1581999999999999</v>
      </c>
      <c r="FW61">
        <v>1.5478499999999999</v>
      </c>
      <c r="FX61">
        <v>2.34619</v>
      </c>
      <c r="FY61">
        <v>33.558</v>
      </c>
      <c r="FZ61">
        <v>16.1021</v>
      </c>
      <c r="GA61">
        <v>3</v>
      </c>
      <c r="GB61">
        <v>496.86200000000002</v>
      </c>
      <c r="GC61">
        <v>408.786</v>
      </c>
      <c r="GD61">
        <v>27.834700000000002</v>
      </c>
      <c r="GE61">
        <v>30.113199999999999</v>
      </c>
      <c r="GF61">
        <v>30.0001</v>
      </c>
      <c r="GG61">
        <v>30.4175</v>
      </c>
      <c r="GH61">
        <v>30.467400000000001</v>
      </c>
      <c r="GI61">
        <v>-1</v>
      </c>
      <c r="GJ61">
        <v>0</v>
      </c>
      <c r="GK61">
        <v>100</v>
      </c>
      <c r="GL61">
        <v>27.8354</v>
      </c>
      <c r="GM61">
        <v>432.1</v>
      </c>
      <c r="GN61">
        <v>68.912800000000004</v>
      </c>
      <c r="GO61">
        <v>102.244</v>
      </c>
      <c r="GP61">
        <v>96.507499999999993</v>
      </c>
    </row>
    <row r="62" spans="1:198" x14ac:dyDescent="0.35">
      <c r="A62">
        <v>46</v>
      </c>
      <c r="B62">
        <v>1775483738.5999999</v>
      </c>
      <c r="C62">
        <v>2700.099999904633</v>
      </c>
      <c r="D62" t="s">
        <v>469</v>
      </c>
      <c r="E62" t="s">
        <v>470</v>
      </c>
      <c r="F62">
        <v>60</v>
      </c>
      <c r="G62">
        <v>1775483730.599999</v>
      </c>
      <c r="H62">
        <f t="shared" si="0"/>
        <v>2.8674903787527422E-3</v>
      </c>
      <c r="I62">
        <f t="shared" si="1"/>
        <v>2.8674903787527422</v>
      </c>
      <c r="J62">
        <f t="shared" si="2"/>
        <v>1.7779061699612828</v>
      </c>
      <c r="K62">
        <f t="shared" si="3"/>
        <v>14.046181290322579</v>
      </c>
      <c r="L62">
        <f t="shared" si="4"/>
        <v>-22.970025020217342</v>
      </c>
      <c r="M62">
        <f t="shared" si="5"/>
        <v>-2.3045369008177783</v>
      </c>
      <c r="N62">
        <f t="shared" si="6"/>
        <v>1.4092254175010199</v>
      </c>
      <c r="O62">
        <f t="shared" si="7"/>
        <v>7.7469034846285548E-2</v>
      </c>
      <c r="P62">
        <f t="shared" si="8"/>
        <v>2.3934175130032198</v>
      </c>
      <c r="Q62">
        <f t="shared" si="9"/>
        <v>7.610250292316971E-2</v>
      </c>
      <c r="R62">
        <f t="shared" si="10"/>
        <v>4.7684833965284154E-2</v>
      </c>
      <c r="S62">
        <f t="shared" si="11"/>
        <v>0</v>
      </c>
      <c r="T62">
        <f t="shared" si="12"/>
        <v>26.400257276622945</v>
      </c>
      <c r="U62">
        <f t="shared" si="13"/>
        <v>27.387435483870959</v>
      </c>
      <c r="V62">
        <f t="shared" si="14"/>
        <v>3.6614170442125964</v>
      </c>
      <c r="W62">
        <f t="shared" si="15"/>
        <v>-1.3960779424265335</v>
      </c>
      <c r="X62">
        <f t="shared" si="16"/>
        <v>-5.0852099821624204E-2</v>
      </c>
      <c r="Y62">
        <f t="shared" si="17"/>
        <v>3.6424971898945544</v>
      </c>
      <c r="Z62">
        <f t="shared" si="18"/>
        <v>3.7122691440342206</v>
      </c>
      <c r="AA62">
        <f t="shared" si="19"/>
        <v>-126.45632570299593</v>
      </c>
      <c r="AB62">
        <f t="shared" si="20"/>
        <v>-11.411177589699143</v>
      </c>
      <c r="AC62">
        <f t="shared" si="21"/>
        <v>-1.032468248898875</v>
      </c>
      <c r="AD62">
        <f t="shared" si="22"/>
        <v>-138.89997154159394</v>
      </c>
      <c r="AE62">
        <v>14</v>
      </c>
      <c r="AF62">
        <v>3</v>
      </c>
      <c r="AG62">
        <f t="shared" si="23"/>
        <v>1</v>
      </c>
      <c r="AH62">
        <f t="shared" si="24"/>
        <v>0</v>
      </c>
      <c r="AI62">
        <f t="shared" si="25"/>
        <v>25568.083633040369</v>
      </c>
      <c r="AJ62">
        <f t="shared" si="26"/>
        <v>0</v>
      </c>
      <c r="AK62">
        <f t="shared" si="27"/>
        <v>0</v>
      </c>
      <c r="AL62">
        <f t="shared" si="28"/>
        <v>0</v>
      </c>
      <c r="AM62">
        <f t="shared" si="29"/>
        <v>0</v>
      </c>
      <c r="AN62">
        <v>3</v>
      </c>
      <c r="AO62">
        <v>0.5</v>
      </c>
      <c r="AP62" t="s">
        <v>331</v>
      </c>
      <c r="AQ62">
        <v>2</v>
      </c>
      <c r="AR62">
        <v>1775483730.599999</v>
      </c>
      <c r="AS62">
        <v>14.046181290322579</v>
      </c>
      <c r="AT62">
        <v>15.1371129032258</v>
      </c>
      <c r="AU62">
        <v>-0.50685845161290322</v>
      </c>
      <c r="AV62">
        <v>-2.2282587096774189</v>
      </c>
      <c r="AW62">
        <v>6.0521812903225811</v>
      </c>
      <c r="AX62">
        <v>0.48241254838709668</v>
      </c>
      <c r="AY62">
        <v>499.99012903225798</v>
      </c>
      <c r="AZ62">
        <v>100.2838064516129</v>
      </c>
      <c r="BA62">
        <v>4.4203587096774209E-2</v>
      </c>
      <c r="BB62">
        <v>27.298999999999989</v>
      </c>
      <c r="BC62">
        <v>27.387435483870959</v>
      </c>
      <c r="BD62">
        <v>999.90000000000032</v>
      </c>
      <c r="BE62">
        <v>0</v>
      </c>
      <c r="BF62">
        <v>0</v>
      </c>
      <c r="BG62">
        <v>4999.6935483870966</v>
      </c>
      <c r="BH62">
        <v>0.37507261290322569</v>
      </c>
      <c r="BI62">
        <v>0.22961599999999999</v>
      </c>
      <c r="BJ62">
        <v>-1.066330096774194</v>
      </c>
      <c r="BK62">
        <v>14.063654838709679</v>
      </c>
      <c r="BL62">
        <v>15.10347096774194</v>
      </c>
      <c r="BM62">
        <v>1.7214003225806449</v>
      </c>
      <c r="BN62">
        <v>15.1371129032258</v>
      </c>
      <c r="BO62">
        <v>-2.2282587096774189</v>
      </c>
      <c r="BP62">
        <v>-5.082970967741935E-2</v>
      </c>
      <c r="BQ62">
        <v>-0.22345812903225809</v>
      </c>
      <c r="BR62">
        <v>-99.900000000000034</v>
      </c>
      <c r="BS62">
        <v>-99.900000000000034</v>
      </c>
      <c r="BT62">
        <v>0</v>
      </c>
      <c r="BU62">
        <v>0</v>
      </c>
      <c r="BV62">
        <v>0</v>
      </c>
      <c r="BW62">
        <v>26</v>
      </c>
      <c r="BX62">
        <v>-1</v>
      </c>
      <c r="BY62">
        <v>1775483754.5999999</v>
      </c>
      <c r="BZ62" t="s">
        <v>471</v>
      </c>
      <c r="CA62">
        <v>1775483754.5999999</v>
      </c>
      <c r="CB62">
        <v>1775480969.5</v>
      </c>
      <c r="CC62">
        <v>47</v>
      </c>
      <c r="CD62">
        <v>-2.5000000000000001E-2</v>
      </c>
      <c r="CE62">
        <v>0.19500000000000001</v>
      </c>
      <c r="CF62">
        <v>7.9939999999999998</v>
      </c>
      <c r="CG62">
        <v>-0.98899999999999999</v>
      </c>
      <c r="CH62">
        <v>15</v>
      </c>
      <c r="CI62">
        <v>-3</v>
      </c>
      <c r="CJ62">
        <v>0.18</v>
      </c>
      <c r="CK62">
        <v>0.06</v>
      </c>
      <c r="CL62">
        <v>14.787076666666669</v>
      </c>
      <c r="CM62">
        <v>2.5362038343984601</v>
      </c>
      <c r="CN62">
        <v>0.3816179714350757</v>
      </c>
      <c r="CO62">
        <v>-1</v>
      </c>
      <c r="CP62">
        <v>499.99256666666668</v>
      </c>
      <c r="CQ62">
        <v>4.962711864418215E-2</v>
      </c>
      <c r="CR62">
        <v>7.6235679893923589E-2</v>
      </c>
      <c r="CS62">
        <v>-1</v>
      </c>
      <c r="CT62">
        <v>0</v>
      </c>
      <c r="CU62">
        <v>0</v>
      </c>
      <c r="CV62" t="s">
        <v>333</v>
      </c>
      <c r="CW62">
        <v>3.1673399999999998</v>
      </c>
      <c r="CX62">
        <v>2.6657299999999999</v>
      </c>
      <c r="CY62">
        <v>1.8997E-3</v>
      </c>
      <c r="CZ62">
        <v>4.5199799999999998E-3</v>
      </c>
      <c r="DA62">
        <v>3.87996E-3</v>
      </c>
      <c r="DB62">
        <v>-2.10399E-2</v>
      </c>
      <c r="DC62">
        <v>21541</v>
      </c>
      <c r="DD62">
        <v>21864.3</v>
      </c>
      <c r="DE62">
        <v>23111.200000000001</v>
      </c>
      <c r="DF62">
        <v>22317.200000000001</v>
      </c>
      <c r="DG62">
        <v>29688.3</v>
      </c>
      <c r="DH62">
        <v>27172.799999999999</v>
      </c>
      <c r="DI62">
        <v>40619.5</v>
      </c>
      <c r="DJ62">
        <v>36984</v>
      </c>
      <c r="DK62">
        <v>2.0815399999999999</v>
      </c>
      <c r="DL62">
        <v>1.8018400000000001</v>
      </c>
      <c r="DM62">
        <v>1.59323E-2</v>
      </c>
      <c r="DN62">
        <v>0</v>
      </c>
      <c r="DO62">
        <v>27.1189</v>
      </c>
      <c r="DP62">
        <v>999.9</v>
      </c>
      <c r="DQ62">
        <v>78.900000000000006</v>
      </c>
      <c r="DR62">
        <v>28.9</v>
      </c>
      <c r="DS62">
        <v>31.459399999999999</v>
      </c>
      <c r="DT62">
        <v>30.165500000000002</v>
      </c>
      <c r="DU62">
        <v>9.7676300000000005</v>
      </c>
      <c r="DV62">
        <v>1</v>
      </c>
      <c r="DW62">
        <v>0.23009599999999999</v>
      </c>
      <c r="DX62">
        <v>-9.9921599999999999E-2</v>
      </c>
      <c r="DY62">
        <v>20.367899999999999</v>
      </c>
      <c r="DZ62">
        <v>5.2127400000000002</v>
      </c>
      <c r="EA62">
        <v>11.8485</v>
      </c>
      <c r="EB62">
        <v>4.9676799999999997</v>
      </c>
      <c r="EC62">
        <v>3.2922600000000002</v>
      </c>
      <c r="ED62">
        <v>894.7</v>
      </c>
      <c r="EE62">
        <v>0</v>
      </c>
      <c r="EF62">
        <v>5339.4</v>
      </c>
      <c r="EG62">
        <v>109.6</v>
      </c>
      <c r="EH62">
        <v>4.9716300000000002</v>
      </c>
      <c r="EI62">
        <v>1.8717999999999999</v>
      </c>
      <c r="EJ62">
        <v>1.8689</v>
      </c>
      <c r="EK62">
        <v>1.87134</v>
      </c>
      <c r="EL62">
        <v>1.86913</v>
      </c>
      <c r="EM62">
        <v>1.8680000000000001</v>
      </c>
      <c r="EN62">
        <v>1.8698999999999999</v>
      </c>
      <c r="EO62">
        <v>1.8716900000000001</v>
      </c>
      <c r="EP62">
        <v>0</v>
      </c>
      <c r="EQ62">
        <v>0</v>
      </c>
      <c r="ER62">
        <v>0</v>
      </c>
      <c r="ES62">
        <v>0</v>
      </c>
      <c r="ET62" t="s">
        <v>334</v>
      </c>
      <c r="EU62" t="s">
        <v>335</v>
      </c>
      <c r="EV62" t="s">
        <v>336</v>
      </c>
      <c r="EW62" t="s">
        <v>336</v>
      </c>
      <c r="EX62" t="s">
        <v>336</v>
      </c>
      <c r="EY62" t="s">
        <v>336</v>
      </c>
      <c r="EZ62">
        <v>0</v>
      </c>
      <c r="FA62">
        <v>100</v>
      </c>
      <c r="FB62">
        <v>100</v>
      </c>
      <c r="FC62">
        <v>7.9939999999999998</v>
      </c>
      <c r="FD62">
        <v>-0.98929999999999996</v>
      </c>
      <c r="FE62">
        <v>8.0186080000000004</v>
      </c>
      <c r="FF62">
        <v>0</v>
      </c>
      <c r="FG62">
        <v>0</v>
      </c>
      <c r="FH62">
        <v>0</v>
      </c>
      <c r="FI62">
        <v>-0.98927100000000023</v>
      </c>
      <c r="FJ62">
        <v>0</v>
      </c>
      <c r="FK62">
        <v>0</v>
      </c>
      <c r="FL62">
        <v>0</v>
      </c>
      <c r="FM62">
        <v>-1</v>
      </c>
      <c r="FN62">
        <v>-1</v>
      </c>
      <c r="FO62">
        <v>-1</v>
      </c>
      <c r="FP62">
        <v>-1</v>
      </c>
      <c r="FQ62">
        <v>0.7</v>
      </c>
      <c r="FR62">
        <v>46.2</v>
      </c>
      <c r="FS62">
        <v>0.144043</v>
      </c>
      <c r="FT62">
        <v>4.99756</v>
      </c>
      <c r="FU62">
        <v>1.5979000000000001</v>
      </c>
      <c r="FV62">
        <v>2.1594199999999999</v>
      </c>
      <c r="FW62">
        <v>1.5478499999999999</v>
      </c>
      <c r="FX62">
        <v>2.34497</v>
      </c>
      <c r="FY62">
        <v>33.580399999999997</v>
      </c>
      <c r="FZ62">
        <v>16.1021</v>
      </c>
      <c r="GA62">
        <v>3</v>
      </c>
      <c r="GB62">
        <v>496.745</v>
      </c>
      <c r="GC62">
        <v>408.63799999999998</v>
      </c>
      <c r="GD62">
        <v>27.8461</v>
      </c>
      <c r="GE62">
        <v>30.113199999999999</v>
      </c>
      <c r="GF62">
        <v>30</v>
      </c>
      <c r="GG62">
        <v>30.417400000000001</v>
      </c>
      <c r="GH62">
        <v>30.466200000000001</v>
      </c>
      <c r="GI62">
        <v>-1</v>
      </c>
      <c r="GJ62">
        <v>0</v>
      </c>
      <c r="GK62">
        <v>100</v>
      </c>
      <c r="GL62">
        <v>27.847100000000001</v>
      </c>
      <c r="GM62">
        <v>432.1</v>
      </c>
      <c r="GN62">
        <v>68.912800000000004</v>
      </c>
      <c r="GO62">
        <v>102.24299999999999</v>
      </c>
      <c r="GP62">
        <v>96.506399999999999</v>
      </c>
    </row>
    <row r="63" spans="1:198" x14ac:dyDescent="0.35">
      <c r="A63">
        <v>47</v>
      </c>
      <c r="B63">
        <v>1775483798.5999999</v>
      </c>
      <c r="C63">
        <v>2760.099999904633</v>
      </c>
      <c r="D63" t="s">
        <v>472</v>
      </c>
      <c r="E63" t="s">
        <v>473</v>
      </c>
      <c r="F63">
        <v>60</v>
      </c>
      <c r="G63">
        <v>1775483790.599999</v>
      </c>
      <c r="H63">
        <f t="shared" si="0"/>
        <v>2.8445983699856179E-3</v>
      </c>
      <c r="I63">
        <f t="shared" si="1"/>
        <v>2.8445983699856181</v>
      </c>
      <c r="J63">
        <f t="shared" si="2"/>
        <v>1.1226752040977728</v>
      </c>
      <c r="K63">
        <f t="shared" si="3"/>
        <v>14.30299677419355</v>
      </c>
      <c r="L63">
        <f t="shared" si="4"/>
        <v>-9.5804805609718002</v>
      </c>
      <c r="M63">
        <f t="shared" si="5"/>
        <v>-0.96117235409187396</v>
      </c>
      <c r="N63">
        <f t="shared" si="6"/>
        <v>1.4349640388629521</v>
      </c>
      <c r="O63">
        <f t="shared" si="7"/>
        <v>7.6814755335018414E-2</v>
      </c>
      <c r="P63">
        <f t="shared" si="8"/>
        <v>2.391542332319796</v>
      </c>
      <c r="Q63">
        <f t="shared" si="9"/>
        <v>7.5469959001748063E-2</v>
      </c>
      <c r="R63">
        <f t="shared" si="10"/>
        <v>4.7287587950857926E-2</v>
      </c>
      <c r="S63">
        <f t="shared" si="11"/>
        <v>0</v>
      </c>
      <c r="T63">
        <f t="shared" si="12"/>
        <v>26.407401282266708</v>
      </c>
      <c r="U63">
        <f t="shared" si="13"/>
        <v>27.39178064516129</v>
      </c>
      <c r="V63">
        <f t="shared" si="14"/>
        <v>3.6623488528180337</v>
      </c>
      <c r="W63">
        <f t="shared" si="15"/>
        <v>-1.4018630693288152</v>
      </c>
      <c r="X63">
        <f t="shared" si="16"/>
        <v>-5.1064647311994366E-2</v>
      </c>
      <c r="Y63">
        <f t="shared" si="17"/>
        <v>3.6426273313871609</v>
      </c>
      <c r="Z63">
        <f t="shared" si="18"/>
        <v>3.7134135001300281</v>
      </c>
      <c r="AA63">
        <f t="shared" si="19"/>
        <v>-125.44678811636575</v>
      </c>
      <c r="AB63">
        <f t="shared" si="20"/>
        <v>-11.88386373508685</v>
      </c>
      <c r="AC63">
        <f t="shared" si="21"/>
        <v>-1.0761059769544428</v>
      </c>
      <c r="AD63">
        <f t="shared" si="22"/>
        <v>-138.40675782840705</v>
      </c>
      <c r="AE63">
        <v>14</v>
      </c>
      <c r="AF63">
        <v>3</v>
      </c>
      <c r="AG63">
        <f t="shared" si="23"/>
        <v>1</v>
      </c>
      <c r="AH63">
        <f t="shared" si="24"/>
        <v>0</v>
      </c>
      <c r="AI63">
        <f t="shared" si="25"/>
        <v>25539.59572595837</v>
      </c>
      <c r="AJ63">
        <f t="shared" si="26"/>
        <v>0</v>
      </c>
      <c r="AK63">
        <f t="shared" si="27"/>
        <v>0</v>
      </c>
      <c r="AL63">
        <f t="shared" si="28"/>
        <v>0</v>
      </c>
      <c r="AM63">
        <f t="shared" si="29"/>
        <v>0</v>
      </c>
      <c r="AN63">
        <v>3</v>
      </c>
      <c r="AO63">
        <v>0.5</v>
      </c>
      <c r="AP63" t="s">
        <v>331</v>
      </c>
      <c r="AQ63">
        <v>2</v>
      </c>
      <c r="AR63">
        <v>1775483790.599999</v>
      </c>
      <c r="AS63">
        <v>14.30299677419355</v>
      </c>
      <c r="AT63">
        <v>15.000987096774191</v>
      </c>
      <c r="AU63">
        <v>-0.50898661290322578</v>
      </c>
      <c r="AV63">
        <v>-2.2165493548387101</v>
      </c>
      <c r="AW63">
        <v>6.2889967741935484</v>
      </c>
      <c r="AX63">
        <v>0.48028438709677418</v>
      </c>
      <c r="AY63">
        <v>500.0190322580645</v>
      </c>
      <c r="AZ63">
        <v>100.2818709677419</v>
      </c>
      <c r="BA63">
        <v>4.423981290322581E-2</v>
      </c>
      <c r="BB63">
        <v>27.299609677419351</v>
      </c>
      <c r="BC63">
        <v>27.39178064516129</v>
      </c>
      <c r="BD63">
        <v>999.90000000000032</v>
      </c>
      <c r="BE63">
        <v>0</v>
      </c>
      <c r="BF63">
        <v>0</v>
      </c>
      <c r="BG63">
        <v>4994.9677419354839</v>
      </c>
      <c r="BH63">
        <v>0.36055677419354848</v>
      </c>
      <c r="BI63">
        <v>0.23331922580645159</v>
      </c>
      <c r="BJ63">
        <v>-0.71793596774193547</v>
      </c>
      <c r="BK63">
        <v>14.275780645161291</v>
      </c>
      <c r="BL63">
        <v>14.9677935483871</v>
      </c>
      <c r="BM63">
        <v>1.707562258064516</v>
      </c>
      <c r="BN63">
        <v>15.000987096774191</v>
      </c>
      <c r="BO63">
        <v>-2.2165493548387101</v>
      </c>
      <c r="BP63">
        <v>-5.1042122580645159E-2</v>
      </c>
      <c r="BQ63">
        <v>-0.22227961290322579</v>
      </c>
      <c r="BR63">
        <v>-99.900000000000034</v>
      </c>
      <c r="BS63">
        <v>-99.900000000000034</v>
      </c>
      <c r="BT63">
        <v>0</v>
      </c>
      <c r="BU63">
        <v>0</v>
      </c>
      <c r="BV63">
        <v>0</v>
      </c>
      <c r="BW63">
        <v>26</v>
      </c>
      <c r="BX63">
        <v>-0.98387112903225815</v>
      </c>
      <c r="BY63">
        <v>1775483815.5999999</v>
      </c>
      <c r="BZ63" t="s">
        <v>474</v>
      </c>
      <c r="CA63">
        <v>1775483815.5999999</v>
      </c>
      <c r="CB63">
        <v>1775480969.5</v>
      </c>
      <c r="CC63">
        <v>48</v>
      </c>
      <c r="CD63">
        <v>0.02</v>
      </c>
      <c r="CE63">
        <v>0.19500000000000001</v>
      </c>
      <c r="CF63">
        <v>8.0139999999999993</v>
      </c>
      <c r="CG63">
        <v>-0.98899999999999999</v>
      </c>
      <c r="CH63">
        <v>15</v>
      </c>
      <c r="CI63">
        <v>-3</v>
      </c>
      <c r="CJ63">
        <v>0.15</v>
      </c>
      <c r="CK63">
        <v>0.06</v>
      </c>
      <c r="CL63">
        <v>15.005488333333339</v>
      </c>
      <c r="CM63">
        <v>-2.9234454014992691E-2</v>
      </c>
      <c r="CN63">
        <v>4.0068163137611128E-2</v>
      </c>
      <c r="CO63">
        <v>-1</v>
      </c>
      <c r="CP63">
        <v>500.01233333333329</v>
      </c>
      <c r="CQ63">
        <v>9.6173381496060223E-2</v>
      </c>
      <c r="CR63">
        <v>5.5256874886497838E-2</v>
      </c>
      <c r="CS63">
        <v>-1</v>
      </c>
      <c r="CT63">
        <v>0</v>
      </c>
      <c r="CU63">
        <v>0</v>
      </c>
      <c r="CV63" t="s">
        <v>333</v>
      </c>
      <c r="CW63">
        <v>3.16743</v>
      </c>
      <c r="CX63">
        <v>2.6656300000000002</v>
      </c>
      <c r="CY63">
        <v>1.87498E-3</v>
      </c>
      <c r="CZ63">
        <v>4.4773599999999997E-3</v>
      </c>
      <c r="DA63">
        <v>3.8785299999999998E-3</v>
      </c>
      <c r="DB63">
        <v>-2.0903499999999998E-2</v>
      </c>
      <c r="DC63">
        <v>21541.3</v>
      </c>
      <c r="DD63">
        <v>21865.8</v>
      </c>
      <c r="DE63">
        <v>23110.799999999999</v>
      </c>
      <c r="DF63">
        <v>22317.8</v>
      </c>
      <c r="DG63">
        <v>29687.9</v>
      </c>
      <c r="DH63">
        <v>27169.9</v>
      </c>
      <c r="DI63">
        <v>40619</v>
      </c>
      <c r="DJ63">
        <v>36985.1</v>
      </c>
      <c r="DK63">
        <v>2.0815800000000002</v>
      </c>
      <c r="DL63">
        <v>1.8019000000000001</v>
      </c>
      <c r="DM63">
        <v>1.6733999999999999E-2</v>
      </c>
      <c r="DN63">
        <v>0</v>
      </c>
      <c r="DO63">
        <v>27.116599999999998</v>
      </c>
      <c r="DP63">
        <v>999.9</v>
      </c>
      <c r="DQ63">
        <v>78.8</v>
      </c>
      <c r="DR63">
        <v>28.9</v>
      </c>
      <c r="DS63">
        <v>31.419</v>
      </c>
      <c r="DT63">
        <v>30.255500000000001</v>
      </c>
      <c r="DU63">
        <v>9.5833399999999997</v>
      </c>
      <c r="DV63">
        <v>1</v>
      </c>
      <c r="DW63">
        <v>0.22983300000000001</v>
      </c>
      <c r="DX63">
        <v>-9.0978199999999995E-2</v>
      </c>
      <c r="DY63">
        <v>20.368099999999998</v>
      </c>
      <c r="DZ63">
        <v>5.2130999999999998</v>
      </c>
      <c r="EA63">
        <v>11.8485</v>
      </c>
      <c r="EB63">
        <v>4.9677600000000002</v>
      </c>
      <c r="EC63">
        <v>3.2924000000000002</v>
      </c>
      <c r="ED63">
        <v>894.7</v>
      </c>
      <c r="EE63">
        <v>0</v>
      </c>
      <c r="EF63">
        <v>5370.6</v>
      </c>
      <c r="EG63">
        <v>109.6</v>
      </c>
      <c r="EH63">
        <v>4.9716100000000001</v>
      </c>
      <c r="EI63">
        <v>1.8717999999999999</v>
      </c>
      <c r="EJ63">
        <v>1.8689100000000001</v>
      </c>
      <c r="EK63">
        <v>1.87134</v>
      </c>
      <c r="EL63">
        <v>1.8690899999999999</v>
      </c>
      <c r="EM63">
        <v>1.8680000000000001</v>
      </c>
      <c r="EN63">
        <v>1.86992</v>
      </c>
      <c r="EO63">
        <v>1.87168</v>
      </c>
      <c r="EP63">
        <v>0</v>
      </c>
      <c r="EQ63">
        <v>0</v>
      </c>
      <c r="ER63">
        <v>0</v>
      </c>
      <c r="ES63">
        <v>0</v>
      </c>
      <c r="ET63" t="s">
        <v>334</v>
      </c>
      <c r="EU63" t="s">
        <v>335</v>
      </c>
      <c r="EV63" t="s">
        <v>336</v>
      </c>
      <c r="EW63" t="s">
        <v>336</v>
      </c>
      <c r="EX63" t="s">
        <v>336</v>
      </c>
      <c r="EY63" t="s">
        <v>336</v>
      </c>
      <c r="EZ63">
        <v>0</v>
      </c>
      <c r="FA63">
        <v>100</v>
      </c>
      <c r="FB63">
        <v>100</v>
      </c>
      <c r="FC63">
        <v>8.0139999999999993</v>
      </c>
      <c r="FD63">
        <v>-0.98929999999999996</v>
      </c>
      <c r="FE63">
        <v>7.9940474999999971</v>
      </c>
      <c r="FF63">
        <v>0</v>
      </c>
      <c r="FG63">
        <v>0</v>
      </c>
      <c r="FH63">
        <v>0</v>
      </c>
      <c r="FI63">
        <v>-0.98927100000000023</v>
      </c>
      <c r="FJ63">
        <v>0</v>
      </c>
      <c r="FK63">
        <v>0</v>
      </c>
      <c r="FL63">
        <v>0</v>
      </c>
      <c r="FM63">
        <v>-1</v>
      </c>
      <c r="FN63">
        <v>-1</v>
      </c>
      <c r="FO63">
        <v>-1</v>
      </c>
      <c r="FP63">
        <v>-1</v>
      </c>
      <c r="FQ63">
        <v>0.7</v>
      </c>
      <c r="FR63">
        <v>47.2</v>
      </c>
      <c r="FS63">
        <v>0.144043</v>
      </c>
      <c r="FT63">
        <v>4.99756</v>
      </c>
      <c r="FU63">
        <v>1.5979000000000001</v>
      </c>
      <c r="FV63">
        <v>2.1581999999999999</v>
      </c>
      <c r="FW63">
        <v>1.5478499999999999</v>
      </c>
      <c r="FX63">
        <v>2.4072300000000002</v>
      </c>
      <c r="FY63">
        <v>33.580399999999997</v>
      </c>
      <c r="FZ63">
        <v>16.1021</v>
      </c>
      <c r="GA63">
        <v>3</v>
      </c>
      <c r="GB63">
        <v>496.72800000000001</v>
      </c>
      <c r="GC63">
        <v>408.64699999999999</v>
      </c>
      <c r="GD63">
        <v>27.836099999999998</v>
      </c>
      <c r="GE63">
        <v>30.108000000000001</v>
      </c>
      <c r="GF63">
        <v>30.0001</v>
      </c>
      <c r="GG63">
        <v>30.412299999999998</v>
      </c>
      <c r="GH63">
        <v>30.462299999999999</v>
      </c>
      <c r="GI63">
        <v>-1</v>
      </c>
      <c r="GJ63">
        <v>0</v>
      </c>
      <c r="GK63">
        <v>100</v>
      </c>
      <c r="GL63">
        <v>27.8371</v>
      </c>
      <c r="GM63">
        <v>432.1</v>
      </c>
      <c r="GN63">
        <v>68.912800000000004</v>
      </c>
      <c r="GO63">
        <v>102.242</v>
      </c>
      <c r="GP63">
        <v>96.509100000000004</v>
      </c>
    </row>
    <row r="64" spans="1:198" x14ac:dyDescent="0.35">
      <c r="A64">
        <v>48</v>
      </c>
      <c r="B64">
        <v>1775483858.5999999</v>
      </c>
      <c r="C64">
        <v>2820.099999904633</v>
      </c>
      <c r="D64" t="s">
        <v>475</v>
      </c>
      <c r="E64" t="s">
        <v>476</v>
      </c>
      <c r="F64">
        <v>60</v>
      </c>
      <c r="G64">
        <v>1775483850.599999</v>
      </c>
      <c r="H64">
        <f t="shared" si="0"/>
        <v>2.8291355218347781E-3</v>
      </c>
      <c r="I64">
        <f t="shared" si="1"/>
        <v>2.829135521834778</v>
      </c>
      <c r="J64">
        <f t="shared" si="2"/>
        <v>1.0732330238898633</v>
      </c>
      <c r="K64">
        <f t="shared" si="3"/>
        <v>14.36933774193548</v>
      </c>
      <c r="L64">
        <f t="shared" si="4"/>
        <v>-8.6195754987864586</v>
      </c>
      <c r="M64">
        <f t="shared" si="5"/>
        <v>-0.86477570963326278</v>
      </c>
      <c r="N64">
        <f t="shared" si="6"/>
        <v>1.4416318117396569</v>
      </c>
      <c r="O64">
        <f t="shared" si="7"/>
        <v>7.6403476582001126E-2</v>
      </c>
      <c r="P64">
        <f t="shared" si="8"/>
        <v>2.392984241449756</v>
      </c>
      <c r="Q64">
        <f t="shared" si="9"/>
        <v>7.5073694468754254E-2</v>
      </c>
      <c r="R64">
        <f t="shared" si="10"/>
        <v>4.7038606865350149E-2</v>
      </c>
      <c r="S64">
        <f t="shared" si="11"/>
        <v>0</v>
      </c>
      <c r="T64">
        <f t="shared" si="12"/>
        <v>26.41027198042076</v>
      </c>
      <c r="U64">
        <f t="shared" si="13"/>
        <v>27.388964516129029</v>
      </c>
      <c r="V64">
        <f t="shared" si="14"/>
        <v>3.6617449176304393</v>
      </c>
      <c r="W64">
        <f t="shared" si="15"/>
        <v>-1.4008177632913117</v>
      </c>
      <c r="X64">
        <f t="shared" si="16"/>
        <v>-5.1019192066932194E-2</v>
      </c>
      <c r="Y64">
        <f t="shared" si="17"/>
        <v>3.6421005932320072</v>
      </c>
      <c r="Z64">
        <f t="shared" si="18"/>
        <v>3.7127641096973716</v>
      </c>
      <c r="AA64">
        <f t="shared" si="19"/>
        <v>-124.76487651291372</v>
      </c>
      <c r="AB64">
        <f t="shared" si="20"/>
        <v>-11.846083139640598</v>
      </c>
      <c r="AC64">
        <f t="shared" si="21"/>
        <v>-1.072010230163057</v>
      </c>
      <c r="AD64">
        <f t="shared" si="22"/>
        <v>-137.68296988271737</v>
      </c>
      <c r="AE64">
        <v>14</v>
      </c>
      <c r="AF64">
        <v>3</v>
      </c>
      <c r="AG64">
        <f t="shared" si="23"/>
        <v>1</v>
      </c>
      <c r="AH64">
        <f t="shared" si="24"/>
        <v>0</v>
      </c>
      <c r="AI64">
        <f t="shared" si="25"/>
        <v>25561.706044477552</v>
      </c>
      <c r="AJ64">
        <f t="shared" si="26"/>
        <v>0</v>
      </c>
      <c r="AK64">
        <f t="shared" si="27"/>
        <v>0</v>
      </c>
      <c r="AL64">
        <f t="shared" si="28"/>
        <v>0</v>
      </c>
      <c r="AM64">
        <f t="shared" si="29"/>
        <v>0</v>
      </c>
      <c r="AN64">
        <v>3</v>
      </c>
      <c r="AO64">
        <v>0.5</v>
      </c>
      <c r="AP64" t="s">
        <v>331</v>
      </c>
      <c r="AQ64">
        <v>2</v>
      </c>
      <c r="AR64">
        <v>1775483850.599999</v>
      </c>
      <c r="AS64">
        <v>14.36933774193548</v>
      </c>
      <c r="AT64">
        <v>15.0377064516129</v>
      </c>
      <c r="AU64">
        <v>-0.50852929032258065</v>
      </c>
      <c r="AV64">
        <v>-2.206968387096774</v>
      </c>
      <c r="AW64">
        <v>6.3553377419354833</v>
      </c>
      <c r="AX64">
        <v>0.48074167741935481</v>
      </c>
      <c r="AY64">
        <v>499.97216129032262</v>
      </c>
      <c r="AZ64">
        <v>100.2824838709677</v>
      </c>
      <c r="BA64">
        <v>4.4464916129032257E-2</v>
      </c>
      <c r="BB64">
        <v>27.297141935483872</v>
      </c>
      <c r="BC64">
        <v>27.388964516129029</v>
      </c>
      <c r="BD64">
        <v>999.90000000000032</v>
      </c>
      <c r="BE64">
        <v>0</v>
      </c>
      <c r="BF64">
        <v>0</v>
      </c>
      <c r="BG64">
        <v>4998.6451612903229</v>
      </c>
      <c r="BH64">
        <v>0.38799270967741939</v>
      </c>
      <c r="BI64">
        <v>0.23331922580645159</v>
      </c>
      <c r="BJ64">
        <v>-0.66819174193548392</v>
      </c>
      <c r="BK64">
        <v>14.3622064516129</v>
      </c>
      <c r="BL64">
        <v>15.004587096774189</v>
      </c>
      <c r="BM64">
        <v>1.6984387096774189</v>
      </c>
      <c r="BN64">
        <v>15.0377064516129</v>
      </c>
      <c r="BO64">
        <v>-2.206968387096774</v>
      </c>
      <c r="BP64">
        <v>-5.0996554838709678E-2</v>
      </c>
      <c r="BQ64">
        <v>-0.22132016129032259</v>
      </c>
      <c r="BR64">
        <v>-99.900000000000034</v>
      </c>
      <c r="BS64">
        <v>-99.900000000000034</v>
      </c>
      <c r="BT64">
        <v>0</v>
      </c>
      <c r="BU64">
        <v>0</v>
      </c>
      <c r="BV64">
        <v>0</v>
      </c>
      <c r="BW64">
        <v>26</v>
      </c>
      <c r="BX64">
        <v>-1</v>
      </c>
      <c r="BY64">
        <v>1775483877.0999999</v>
      </c>
      <c r="BZ64" t="s">
        <v>477</v>
      </c>
      <c r="CA64">
        <v>1775483877.0999999</v>
      </c>
      <c r="CB64">
        <v>1775480969.5</v>
      </c>
      <c r="CC64">
        <v>49</v>
      </c>
      <c r="CD64">
        <v>0</v>
      </c>
      <c r="CE64">
        <v>0.19500000000000001</v>
      </c>
      <c r="CF64">
        <v>8.0139999999999993</v>
      </c>
      <c r="CG64">
        <v>-0.98899999999999999</v>
      </c>
      <c r="CH64">
        <v>15</v>
      </c>
      <c r="CI64">
        <v>-3</v>
      </c>
      <c r="CJ64">
        <v>0.19</v>
      </c>
      <c r="CK64">
        <v>0.06</v>
      </c>
      <c r="CL64">
        <v>15.033703333333341</v>
      </c>
      <c r="CM64">
        <v>-1.3458405112511821E-2</v>
      </c>
      <c r="CN64">
        <v>8.4150822865191641E-2</v>
      </c>
      <c r="CO64">
        <v>-1</v>
      </c>
      <c r="CP64">
        <v>499.98416666666668</v>
      </c>
      <c r="CQ64">
        <v>0.1134515143102376</v>
      </c>
      <c r="CR64">
        <v>8.9278247941789582E-2</v>
      </c>
      <c r="CS64">
        <v>-1</v>
      </c>
      <c r="CT64">
        <v>0</v>
      </c>
      <c r="CU64">
        <v>0</v>
      </c>
      <c r="CV64" t="s">
        <v>333</v>
      </c>
      <c r="CW64">
        <v>3.16764</v>
      </c>
      <c r="CX64">
        <v>2.6652200000000001</v>
      </c>
      <c r="CY64">
        <v>1.8758100000000001E-3</v>
      </c>
      <c r="CZ64">
        <v>4.4227800000000003E-3</v>
      </c>
      <c r="DA64">
        <v>3.8850299999999998E-3</v>
      </c>
      <c r="DB64">
        <v>-2.08139E-2</v>
      </c>
      <c r="DC64">
        <v>21540.7</v>
      </c>
      <c r="DD64">
        <v>21866.799999999999</v>
      </c>
      <c r="DE64">
        <v>23110.2</v>
      </c>
      <c r="DF64">
        <v>22317.599999999999</v>
      </c>
      <c r="DG64">
        <v>29687</v>
      </c>
      <c r="DH64">
        <v>27167.1</v>
      </c>
      <c r="DI64">
        <v>40617.9</v>
      </c>
      <c r="DJ64">
        <v>36984.400000000001</v>
      </c>
      <c r="DK64">
        <v>2.0819399999999999</v>
      </c>
      <c r="DL64">
        <v>1.80122</v>
      </c>
      <c r="DM64">
        <v>1.7026099999999999E-2</v>
      </c>
      <c r="DN64">
        <v>0</v>
      </c>
      <c r="DO64">
        <v>27.1097</v>
      </c>
      <c r="DP64">
        <v>999.9</v>
      </c>
      <c r="DQ64">
        <v>78.7</v>
      </c>
      <c r="DR64">
        <v>28.9</v>
      </c>
      <c r="DS64">
        <v>31.3809</v>
      </c>
      <c r="DT64">
        <v>30.435500000000001</v>
      </c>
      <c r="DU64">
        <v>9.5753199999999996</v>
      </c>
      <c r="DV64">
        <v>1</v>
      </c>
      <c r="DW64">
        <v>0.22940199999999999</v>
      </c>
      <c r="DX64">
        <v>-0.11812599999999999</v>
      </c>
      <c r="DY64">
        <v>20.367899999999999</v>
      </c>
      <c r="DZ64">
        <v>5.21286</v>
      </c>
      <c r="EA64">
        <v>11.848699999999999</v>
      </c>
      <c r="EB64">
        <v>4.9678000000000004</v>
      </c>
      <c r="EC64">
        <v>3.2923800000000001</v>
      </c>
      <c r="ED64">
        <v>894.7</v>
      </c>
      <c r="EE64">
        <v>0</v>
      </c>
      <c r="EF64">
        <v>5400.9</v>
      </c>
      <c r="EG64">
        <v>109.6</v>
      </c>
      <c r="EH64">
        <v>4.9716100000000001</v>
      </c>
      <c r="EI64">
        <v>1.8717999999999999</v>
      </c>
      <c r="EJ64">
        <v>1.86894</v>
      </c>
      <c r="EK64">
        <v>1.8713500000000001</v>
      </c>
      <c r="EL64">
        <v>1.86914</v>
      </c>
      <c r="EM64">
        <v>1.86805</v>
      </c>
      <c r="EN64">
        <v>1.8698900000000001</v>
      </c>
      <c r="EO64">
        <v>1.8716999999999999</v>
      </c>
      <c r="EP64">
        <v>0</v>
      </c>
      <c r="EQ64">
        <v>0</v>
      </c>
      <c r="ER64">
        <v>0</v>
      </c>
      <c r="ES64">
        <v>0</v>
      </c>
      <c r="ET64" t="s">
        <v>334</v>
      </c>
      <c r="EU64" t="s">
        <v>335</v>
      </c>
      <c r="EV64" t="s">
        <v>336</v>
      </c>
      <c r="EW64" t="s">
        <v>336</v>
      </c>
      <c r="EX64" t="s">
        <v>336</v>
      </c>
      <c r="EY64" t="s">
        <v>336</v>
      </c>
      <c r="EZ64">
        <v>0</v>
      </c>
      <c r="FA64">
        <v>100</v>
      </c>
      <c r="FB64">
        <v>100</v>
      </c>
      <c r="FC64">
        <v>8.0139999999999993</v>
      </c>
      <c r="FD64">
        <v>-0.98929999999999996</v>
      </c>
      <c r="FE64">
        <v>8.0141719999999985</v>
      </c>
      <c r="FF64">
        <v>0</v>
      </c>
      <c r="FG64">
        <v>0</v>
      </c>
      <c r="FH64">
        <v>0</v>
      </c>
      <c r="FI64">
        <v>-0.98927100000000023</v>
      </c>
      <c r="FJ64">
        <v>0</v>
      </c>
      <c r="FK64">
        <v>0</v>
      </c>
      <c r="FL64">
        <v>0</v>
      </c>
      <c r="FM64">
        <v>-1</v>
      </c>
      <c r="FN64">
        <v>-1</v>
      </c>
      <c r="FO64">
        <v>-1</v>
      </c>
      <c r="FP64">
        <v>-1</v>
      </c>
      <c r="FQ64">
        <v>0.7</v>
      </c>
      <c r="FR64">
        <v>48.2</v>
      </c>
      <c r="FS64">
        <v>0.144043</v>
      </c>
      <c r="FT64">
        <v>4.99756</v>
      </c>
      <c r="FU64">
        <v>1.5979000000000001</v>
      </c>
      <c r="FV64">
        <v>2.1594199999999999</v>
      </c>
      <c r="FW64">
        <v>1.5478499999999999</v>
      </c>
      <c r="FX64">
        <v>2.4548299999999998</v>
      </c>
      <c r="FY64">
        <v>33.602899999999998</v>
      </c>
      <c r="FZ64">
        <v>16.1021</v>
      </c>
      <c r="GA64">
        <v>3</v>
      </c>
      <c r="GB64">
        <v>496.91800000000001</v>
      </c>
      <c r="GC64">
        <v>408.23</v>
      </c>
      <c r="GD64">
        <v>27.856000000000002</v>
      </c>
      <c r="GE64">
        <v>30.102799999999998</v>
      </c>
      <c r="GF64">
        <v>30</v>
      </c>
      <c r="GG64">
        <v>30.409700000000001</v>
      </c>
      <c r="GH64">
        <v>30.458500000000001</v>
      </c>
      <c r="GI64">
        <v>-1</v>
      </c>
      <c r="GJ64">
        <v>0</v>
      </c>
      <c r="GK64">
        <v>100</v>
      </c>
      <c r="GL64">
        <v>27.8581</v>
      </c>
      <c r="GM64">
        <v>432.1</v>
      </c>
      <c r="GN64">
        <v>68.912800000000004</v>
      </c>
      <c r="GO64">
        <v>102.239</v>
      </c>
      <c r="GP64">
        <v>96.507599999999996</v>
      </c>
    </row>
    <row r="65" spans="1:198" x14ac:dyDescent="0.35">
      <c r="A65">
        <v>49</v>
      </c>
      <c r="B65">
        <v>1775483918.5999999</v>
      </c>
      <c r="C65">
        <v>2880.099999904633</v>
      </c>
      <c r="D65" t="s">
        <v>478</v>
      </c>
      <c r="E65" t="s">
        <v>479</v>
      </c>
      <c r="F65">
        <v>60</v>
      </c>
      <c r="G65">
        <v>1775483910.849999</v>
      </c>
      <c r="H65">
        <f t="shared" si="0"/>
        <v>2.8207515563783499E-3</v>
      </c>
      <c r="I65">
        <f t="shared" si="1"/>
        <v>2.8207515563783501</v>
      </c>
      <c r="J65">
        <f t="shared" si="2"/>
        <v>1.0916236958363637</v>
      </c>
      <c r="K65">
        <f t="shared" si="3"/>
        <v>14.653318000000001</v>
      </c>
      <c r="L65">
        <f t="shared" si="4"/>
        <v>-8.7996276426430349</v>
      </c>
      <c r="M65">
        <f t="shared" si="5"/>
        <v>-0.88284200187166684</v>
      </c>
      <c r="N65">
        <f t="shared" si="6"/>
        <v>1.4701263647215572</v>
      </c>
      <c r="O65">
        <f t="shared" si="7"/>
        <v>7.6169930471411768E-2</v>
      </c>
      <c r="P65">
        <f t="shared" si="8"/>
        <v>2.3941126486683135</v>
      </c>
      <c r="Q65">
        <f t="shared" si="9"/>
        <v>7.484880106732357E-2</v>
      </c>
      <c r="R65">
        <f t="shared" si="10"/>
        <v>4.6897290246115469E-2</v>
      </c>
      <c r="S65">
        <f t="shared" si="11"/>
        <v>0</v>
      </c>
      <c r="T65">
        <f t="shared" si="12"/>
        <v>26.41726335091764</v>
      </c>
      <c r="U65">
        <f t="shared" si="13"/>
        <v>27.391279999999998</v>
      </c>
      <c r="V65">
        <f t="shared" si="14"/>
        <v>3.662241480209397</v>
      </c>
      <c r="W65">
        <f t="shared" si="15"/>
        <v>-1.3899562794340063</v>
      </c>
      <c r="X65">
        <f t="shared" si="16"/>
        <v>-5.0635408691475509E-2</v>
      </c>
      <c r="Y65">
        <f t="shared" si="17"/>
        <v>3.642949741706579</v>
      </c>
      <c r="Z65">
        <f t="shared" si="18"/>
        <v>3.7128768889008725</v>
      </c>
      <c r="AA65">
        <f t="shared" si="19"/>
        <v>-124.39514363628523</v>
      </c>
      <c r="AB65">
        <f t="shared" si="20"/>
        <v>-11.63707752452861</v>
      </c>
      <c r="AC65">
        <f t="shared" si="21"/>
        <v>-1.0526330188421504</v>
      </c>
      <c r="AD65">
        <f t="shared" si="22"/>
        <v>-137.08485417965599</v>
      </c>
      <c r="AE65">
        <v>14</v>
      </c>
      <c r="AF65">
        <v>3</v>
      </c>
      <c r="AG65">
        <f t="shared" si="23"/>
        <v>1</v>
      </c>
      <c r="AH65">
        <f t="shared" si="24"/>
        <v>0</v>
      </c>
      <c r="AI65">
        <f t="shared" si="25"/>
        <v>25578.515148922925</v>
      </c>
      <c r="AJ65">
        <f t="shared" si="26"/>
        <v>0</v>
      </c>
      <c r="AK65">
        <f t="shared" si="27"/>
        <v>0</v>
      </c>
      <c r="AL65">
        <f t="shared" si="28"/>
        <v>0</v>
      </c>
      <c r="AM65">
        <f t="shared" si="29"/>
        <v>0</v>
      </c>
      <c r="AN65">
        <v>3</v>
      </c>
      <c r="AO65">
        <v>0.5</v>
      </c>
      <c r="AP65" t="s">
        <v>331</v>
      </c>
      <c r="AQ65">
        <v>2</v>
      </c>
      <c r="AR65">
        <v>1775483910.849999</v>
      </c>
      <c r="AS65">
        <v>14.653318000000001</v>
      </c>
      <c r="AT65">
        <v>15.333116666666671</v>
      </c>
      <c r="AU65">
        <v>-0.50470269999999995</v>
      </c>
      <c r="AV65">
        <v>-2.198068666666666</v>
      </c>
      <c r="AW65">
        <v>6.6353179999999998</v>
      </c>
      <c r="AX65">
        <v>0.48456826666666658</v>
      </c>
      <c r="AY65">
        <v>499.98203333333328</v>
      </c>
      <c r="AZ65">
        <v>100.2827666666667</v>
      </c>
      <c r="BA65">
        <v>4.4433269999999997E-2</v>
      </c>
      <c r="BB65">
        <v>27.301120000000001</v>
      </c>
      <c r="BC65">
        <v>27.391279999999998</v>
      </c>
      <c r="BD65">
        <v>999.9000000000002</v>
      </c>
      <c r="BE65">
        <v>0</v>
      </c>
      <c r="BF65">
        <v>0</v>
      </c>
      <c r="BG65">
        <v>5001.5333333333338</v>
      </c>
      <c r="BH65">
        <v>0.40978320000000001</v>
      </c>
      <c r="BI65">
        <v>0.23344266666666669</v>
      </c>
      <c r="BJ65">
        <v>-0.68353906666666675</v>
      </c>
      <c r="BK65">
        <v>14.64217</v>
      </c>
      <c r="BL65">
        <v>15.299480000000001</v>
      </c>
      <c r="BM65">
        <v>1.6933656666666661</v>
      </c>
      <c r="BN65">
        <v>15.333116666666671</v>
      </c>
      <c r="BO65">
        <v>-2.198068666666666</v>
      </c>
      <c r="BP65">
        <v>-5.0612943333333327E-2</v>
      </c>
      <c r="BQ65">
        <v>-0.22042826666666659</v>
      </c>
      <c r="BR65">
        <v>-99.900000000000034</v>
      </c>
      <c r="BS65">
        <v>-99.900000000000034</v>
      </c>
      <c r="BT65">
        <v>0</v>
      </c>
      <c r="BU65">
        <v>0</v>
      </c>
      <c r="BV65">
        <v>0</v>
      </c>
      <c r="BW65">
        <v>26</v>
      </c>
      <c r="BX65">
        <v>-0.98888900000000013</v>
      </c>
      <c r="BY65">
        <v>1775483935.5999999</v>
      </c>
      <c r="BZ65" t="s">
        <v>480</v>
      </c>
      <c r="CA65">
        <v>1775483935.5999999</v>
      </c>
      <c r="CB65">
        <v>1775480969.5</v>
      </c>
      <c r="CC65">
        <v>50</v>
      </c>
      <c r="CD65">
        <v>3.0000000000000001E-3</v>
      </c>
      <c r="CE65">
        <v>0.19500000000000001</v>
      </c>
      <c r="CF65">
        <v>8.0180000000000007</v>
      </c>
      <c r="CG65">
        <v>-0.98899999999999999</v>
      </c>
      <c r="CH65">
        <v>15</v>
      </c>
      <c r="CI65">
        <v>-3</v>
      </c>
      <c r="CJ65">
        <v>0.23</v>
      </c>
      <c r="CK65">
        <v>0.06</v>
      </c>
      <c r="CL65">
        <v>15.33746393442623</v>
      </c>
      <c r="CM65">
        <v>6.3785298783706451E-2</v>
      </c>
      <c r="CN65">
        <v>5.4072459075040567E-2</v>
      </c>
      <c r="CO65">
        <v>-1</v>
      </c>
      <c r="CP65">
        <v>500.00398360655743</v>
      </c>
      <c r="CQ65">
        <v>-0.1046303543094446</v>
      </c>
      <c r="CR65">
        <v>8.5789580895768214E-2</v>
      </c>
      <c r="CS65">
        <v>-1</v>
      </c>
      <c r="CT65">
        <v>0</v>
      </c>
      <c r="CU65">
        <v>0</v>
      </c>
      <c r="CV65" t="s">
        <v>333</v>
      </c>
      <c r="CW65">
        <v>3.1673399999999998</v>
      </c>
      <c r="CX65">
        <v>2.66588</v>
      </c>
      <c r="CY65">
        <v>1.9796000000000002E-3</v>
      </c>
      <c r="CZ65">
        <v>4.5802799999999999E-3</v>
      </c>
      <c r="DA65">
        <v>3.9256300000000003E-3</v>
      </c>
      <c r="DB65">
        <v>-2.0692800000000001E-2</v>
      </c>
      <c r="DC65">
        <v>21538.400000000001</v>
      </c>
      <c r="DD65">
        <v>21863.4</v>
      </c>
      <c r="DE65">
        <v>23110.1</v>
      </c>
      <c r="DF65">
        <v>22317.599999999999</v>
      </c>
      <c r="DG65">
        <v>29685.5</v>
      </c>
      <c r="DH65">
        <v>27164.400000000001</v>
      </c>
      <c r="DI65">
        <v>40617.5</v>
      </c>
      <c r="DJ65">
        <v>36985</v>
      </c>
      <c r="DK65">
        <v>2.0817999999999999</v>
      </c>
      <c r="DL65">
        <v>1.80158</v>
      </c>
      <c r="DM65">
        <v>1.6674399999999999E-2</v>
      </c>
      <c r="DN65">
        <v>0</v>
      </c>
      <c r="DO65">
        <v>27.112100000000002</v>
      </c>
      <c r="DP65">
        <v>999.9</v>
      </c>
      <c r="DQ65">
        <v>78.7</v>
      </c>
      <c r="DR65">
        <v>29</v>
      </c>
      <c r="DS65">
        <v>31.5608</v>
      </c>
      <c r="DT65">
        <v>30.555499999999999</v>
      </c>
      <c r="DU65">
        <v>9.9359000000000002</v>
      </c>
      <c r="DV65">
        <v>1</v>
      </c>
      <c r="DW65">
        <v>0.22883700000000001</v>
      </c>
      <c r="DX65">
        <v>-9.5248399999999997E-2</v>
      </c>
      <c r="DY65">
        <v>20.367899999999999</v>
      </c>
      <c r="DZ65">
        <v>5.2127400000000002</v>
      </c>
      <c r="EA65">
        <v>11.848599999999999</v>
      </c>
      <c r="EB65">
        <v>4.9678800000000001</v>
      </c>
      <c r="EC65">
        <v>3.2922799999999999</v>
      </c>
      <c r="ED65">
        <v>894.7</v>
      </c>
      <c r="EE65">
        <v>0</v>
      </c>
      <c r="EF65">
        <v>5425.7</v>
      </c>
      <c r="EG65">
        <v>109.6</v>
      </c>
      <c r="EH65">
        <v>4.9716100000000001</v>
      </c>
      <c r="EI65">
        <v>1.8717999999999999</v>
      </c>
      <c r="EJ65">
        <v>1.8689100000000001</v>
      </c>
      <c r="EK65">
        <v>1.87134</v>
      </c>
      <c r="EL65">
        <v>1.8690899999999999</v>
      </c>
      <c r="EM65">
        <v>1.8680399999999999</v>
      </c>
      <c r="EN65">
        <v>1.8698600000000001</v>
      </c>
      <c r="EO65">
        <v>1.8716699999999999</v>
      </c>
      <c r="EP65">
        <v>0</v>
      </c>
      <c r="EQ65">
        <v>0</v>
      </c>
      <c r="ER65">
        <v>0</v>
      </c>
      <c r="ES65">
        <v>0</v>
      </c>
      <c r="ET65" t="s">
        <v>334</v>
      </c>
      <c r="EU65" t="s">
        <v>335</v>
      </c>
      <c r="EV65" t="s">
        <v>336</v>
      </c>
      <c r="EW65" t="s">
        <v>336</v>
      </c>
      <c r="EX65" t="s">
        <v>336</v>
      </c>
      <c r="EY65" t="s">
        <v>336</v>
      </c>
      <c r="EZ65">
        <v>0</v>
      </c>
      <c r="FA65">
        <v>100</v>
      </c>
      <c r="FB65">
        <v>100</v>
      </c>
      <c r="FC65">
        <v>8.0180000000000007</v>
      </c>
      <c r="FD65">
        <v>-0.98929999999999996</v>
      </c>
      <c r="FE65">
        <v>8.0142480952380968</v>
      </c>
      <c r="FF65">
        <v>0</v>
      </c>
      <c r="FG65">
        <v>0</v>
      </c>
      <c r="FH65">
        <v>0</v>
      </c>
      <c r="FI65">
        <v>-0.98927100000000023</v>
      </c>
      <c r="FJ65">
        <v>0</v>
      </c>
      <c r="FK65">
        <v>0</v>
      </c>
      <c r="FL65">
        <v>0</v>
      </c>
      <c r="FM65">
        <v>-1</v>
      </c>
      <c r="FN65">
        <v>-1</v>
      </c>
      <c r="FO65">
        <v>-1</v>
      </c>
      <c r="FP65">
        <v>-1</v>
      </c>
      <c r="FQ65">
        <v>0.7</v>
      </c>
      <c r="FR65">
        <v>49.2</v>
      </c>
      <c r="FS65">
        <v>0.144043</v>
      </c>
      <c r="FT65">
        <v>4.99756</v>
      </c>
      <c r="FU65">
        <v>1.5979000000000001</v>
      </c>
      <c r="FV65">
        <v>2.1581999999999999</v>
      </c>
      <c r="FW65">
        <v>1.5478499999999999</v>
      </c>
      <c r="FX65">
        <v>2.3144499999999999</v>
      </c>
      <c r="FY65">
        <v>33.602899999999998</v>
      </c>
      <c r="FZ65">
        <v>16.093399999999999</v>
      </c>
      <c r="GA65">
        <v>3</v>
      </c>
      <c r="GB65">
        <v>496.79599999999999</v>
      </c>
      <c r="GC65">
        <v>408.40300000000002</v>
      </c>
      <c r="GD65">
        <v>27.843299999999999</v>
      </c>
      <c r="GE65">
        <v>30.094999999999999</v>
      </c>
      <c r="GF65">
        <v>30</v>
      </c>
      <c r="GG65">
        <v>30.404499999999999</v>
      </c>
      <c r="GH65">
        <v>30.453299999999999</v>
      </c>
      <c r="GI65">
        <v>-1</v>
      </c>
      <c r="GJ65">
        <v>0</v>
      </c>
      <c r="GK65">
        <v>100</v>
      </c>
      <c r="GL65">
        <v>27.842300000000002</v>
      </c>
      <c r="GM65">
        <v>432.1</v>
      </c>
      <c r="GN65">
        <v>68.912800000000004</v>
      </c>
      <c r="GO65">
        <v>102.238</v>
      </c>
      <c r="GP65">
        <v>96.508700000000005</v>
      </c>
    </row>
    <row r="66" spans="1:198" x14ac:dyDescent="0.35">
      <c r="A66">
        <v>50</v>
      </c>
      <c r="B66">
        <v>1775483978.5999999</v>
      </c>
      <c r="C66">
        <v>2940.099999904633</v>
      </c>
      <c r="D66" t="s">
        <v>481</v>
      </c>
      <c r="E66" t="s">
        <v>482</v>
      </c>
      <c r="F66">
        <v>60</v>
      </c>
      <c r="G66">
        <v>1775483970.599999</v>
      </c>
      <c r="H66">
        <f t="shared" si="0"/>
        <v>2.8053407467645095E-3</v>
      </c>
      <c r="I66">
        <f t="shared" si="1"/>
        <v>2.8053407467645095</v>
      </c>
      <c r="J66">
        <f t="shared" si="2"/>
        <v>1.2854829252017035</v>
      </c>
      <c r="K66">
        <f t="shared" si="3"/>
        <v>14.611080967741939</v>
      </c>
      <c r="L66">
        <f t="shared" si="4"/>
        <v>-12.99846193003947</v>
      </c>
      <c r="M66">
        <f t="shared" si="5"/>
        <v>-1.304097313268423</v>
      </c>
      <c r="N66">
        <f t="shared" si="6"/>
        <v>1.4658866207812784</v>
      </c>
      <c r="O66">
        <f t="shared" si="7"/>
        <v>7.5747434178954784E-2</v>
      </c>
      <c r="P66">
        <f t="shared" si="8"/>
        <v>2.395109306082555</v>
      </c>
      <c r="Q66">
        <f t="shared" si="9"/>
        <v>7.4441318207938825E-2</v>
      </c>
      <c r="R66">
        <f t="shared" si="10"/>
        <v>4.664129728322735E-2</v>
      </c>
      <c r="S66">
        <f t="shared" si="11"/>
        <v>0</v>
      </c>
      <c r="T66">
        <f t="shared" si="12"/>
        <v>26.42049334183589</v>
      </c>
      <c r="U66">
        <f t="shared" si="13"/>
        <v>27.390629032258069</v>
      </c>
      <c r="V66">
        <f t="shared" si="14"/>
        <v>3.6621018722533627</v>
      </c>
      <c r="W66">
        <f t="shared" si="15"/>
        <v>-1.3919183934255042</v>
      </c>
      <c r="X66">
        <f t="shared" si="16"/>
        <v>-5.0701144258954882E-2</v>
      </c>
      <c r="Y66">
        <f t="shared" si="17"/>
        <v>3.6425371270638665</v>
      </c>
      <c r="Z66">
        <f t="shared" si="18"/>
        <v>3.7128030165123174</v>
      </c>
      <c r="AA66">
        <f t="shared" si="19"/>
        <v>-123.71552693231487</v>
      </c>
      <c r="AB66">
        <f t="shared" si="20"/>
        <v>-11.807452072859807</v>
      </c>
      <c r="AC66">
        <f t="shared" si="21"/>
        <v>-1.0675860531073462</v>
      </c>
      <c r="AD66">
        <f t="shared" si="22"/>
        <v>-136.59056505828204</v>
      </c>
      <c r="AE66">
        <v>14</v>
      </c>
      <c r="AF66">
        <v>3</v>
      </c>
      <c r="AG66">
        <f t="shared" si="23"/>
        <v>1</v>
      </c>
      <c r="AH66">
        <f t="shared" si="24"/>
        <v>0</v>
      </c>
      <c r="AI66">
        <f t="shared" si="25"/>
        <v>25593.823224059252</v>
      </c>
      <c r="AJ66">
        <f t="shared" si="26"/>
        <v>0</v>
      </c>
      <c r="AK66">
        <f t="shared" si="27"/>
        <v>0</v>
      </c>
      <c r="AL66">
        <f t="shared" si="28"/>
        <v>0</v>
      </c>
      <c r="AM66">
        <f t="shared" si="29"/>
        <v>0</v>
      </c>
      <c r="AN66">
        <v>3</v>
      </c>
      <c r="AO66">
        <v>0.5</v>
      </c>
      <c r="AP66" t="s">
        <v>331</v>
      </c>
      <c r="AQ66">
        <v>2</v>
      </c>
      <c r="AR66">
        <v>1775483970.599999</v>
      </c>
      <c r="AS66">
        <v>14.611080967741939</v>
      </c>
      <c r="AT66">
        <v>15.40694516129032</v>
      </c>
      <c r="AU66">
        <v>-0.50535867741935481</v>
      </c>
      <c r="AV66">
        <v>-2.189373548387096</v>
      </c>
      <c r="AW66">
        <v>6.5880809677419361</v>
      </c>
      <c r="AX66">
        <v>0.48391232258064509</v>
      </c>
      <c r="AY66">
        <v>500.01193548387101</v>
      </c>
      <c r="AZ66">
        <v>100.2830967741935</v>
      </c>
      <c r="BA66">
        <v>4.395117096774194E-2</v>
      </c>
      <c r="BB66">
        <v>27.29918709677419</v>
      </c>
      <c r="BC66">
        <v>27.390629032258069</v>
      </c>
      <c r="BD66">
        <v>999.90000000000032</v>
      </c>
      <c r="BE66">
        <v>0</v>
      </c>
      <c r="BF66">
        <v>0</v>
      </c>
      <c r="BG66">
        <v>5004.0806451612907</v>
      </c>
      <c r="BH66">
        <v>0.34613064516129027</v>
      </c>
      <c r="BI66">
        <v>0.22961599999999999</v>
      </c>
      <c r="BJ66">
        <v>-0.8012737096774194</v>
      </c>
      <c r="BK66">
        <v>14.59829677419355</v>
      </c>
      <c r="BL66">
        <v>15.37328387096774</v>
      </c>
      <c r="BM66">
        <v>1.684015483870968</v>
      </c>
      <c r="BN66">
        <v>15.40694516129032</v>
      </c>
      <c r="BO66">
        <v>-2.189373548387096</v>
      </c>
      <c r="BP66">
        <v>-5.0678896774193537E-2</v>
      </c>
      <c r="BQ66">
        <v>-0.219557</v>
      </c>
      <c r="BR66">
        <v>-99.900000000000034</v>
      </c>
      <c r="BS66">
        <v>-99.900000000000034</v>
      </c>
      <c r="BT66">
        <v>0</v>
      </c>
      <c r="BU66">
        <v>0</v>
      </c>
      <c r="BV66">
        <v>0</v>
      </c>
      <c r="BW66">
        <v>26</v>
      </c>
      <c r="BX66">
        <v>-0.99247319354838714</v>
      </c>
      <c r="BY66">
        <v>1775483995.5999999</v>
      </c>
      <c r="BZ66" t="s">
        <v>483</v>
      </c>
      <c r="CA66">
        <v>1775483995.5999999</v>
      </c>
      <c r="CB66">
        <v>1775480969.5</v>
      </c>
      <c r="CC66">
        <v>51</v>
      </c>
      <c r="CD66">
        <v>6.0000000000000001E-3</v>
      </c>
      <c r="CE66">
        <v>0.19500000000000001</v>
      </c>
      <c r="CF66">
        <v>8.0229999999999997</v>
      </c>
      <c r="CG66">
        <v>-0.98899999999999999</v>
      </c>
      <c r="CH66">
        <v>16</v>
      </c>
      <c r="CI66">
        <v>-3</v>
      </c>
      <c r="CJ66">
        <v>0.1</v>
      </c>
      <c r="CK66">
        <v>0.06</v>
      </c>
      <c r="CL66">
        <v>15.27872950819672</v>
      </c>
      <c r="CM66">
        <v>0.8872448439978694</v>
      </c>
      <c r="CN66">
        <v>0.13889597516181509</v>
      </c>
      <c r="CO66">
        <v>-1</v>
      </c>
      <c r="CP66">
        <v>500.00203278688531</v>
      </c>
      <c r="CQ66">
        <v>7.7381279745623741E-2</v>
      </c>
      <c r="CR66">
        <v>5.0344051437921207E-2</v>
      </c>
      <c r="CS66">
        <v>-1</v>
      </c>
      <c r="CT66">
        <v>0</v>
      </c>
      <c r="CU66">
        <v>0</v>
      </c>
      <c r="CV66" t="s">
        <v>333</v>
      </c>
      <c r="CW66">
        <v>3.1675200000000001</v>
      </c>
      <c r="CX66">
        <v>2.6653500000000001</v>
      </c>
      <c r="CY66">
        <v>2.0101300000000002E-3</v>
      </c>
      <c r="CZ66">
        <v>4.6563200000000003E-3</v>
      </c>
      <c r="DA66">
        <v>3.8494699999999998E-3</v>
      </c>
      <c r="DB66">
        <v>-2.0627199999999998E-2</v>
      </c>
      <c r="DC66">
        <v>21537.7</v>
      </c>
      <c r="DD66">
        <v>21861.8</v>
      </c>
      <c r="DE66">
        <v>23110</v>
      </c>
      <c r="DF66">
        <v>22317.7</v>
      </c>
      <c r="DG66">
        <v>29687.8</v>
      </c>
      <c r="DH66">
        <v>27162.6</v>
      </c>
      <c r="DI66">
        <v>40617.5</v>
      </c>
      <c r="DJ66">
        <v>36985</v>
      </c>
      <c r="DK66">
        <v>2.0815800000000002</v>
      </c>
      <c r="DL66">
        <v>1.8016000000000001</v>
      </c>
      <c r="DM66">
        <v>1.6406199999999999E-2</v>
      </c>
      <c r="DN66">
        <v>0</v>
      </c>
      <c r="DO66">
        <v>27.121300000000002</v>
      </c>
      <c r="DP66">
        <v>999.9</v>
      </c>
      <c r="DQ66">
        <v>78.7</v>
      </c>
      <c r="DR66">
        <v>29</v>
      </c>
      <c r="DS66">
        <v>31.5627</v>
      </c>
      <c r="DT66">
        <v>30.645499999999998</v>
      </c>
      <c r="DU66">
        <v>9.6073699999999995</v>
      </c>
      <c r="DV66">
        <v>1</v>
      </c>
      <c r="DW66">
        <v>0.228709</v>
      </c>
      <c r="DX66">
        <v>-0.152196</v>
      </c>
      <c r="DY66">
        <v>20.367799999999999</v>
      </c>
      <c r="DZ66">
        <v>5.2110599999999998</v>
      </c>
      <c r="EA66">
        <v>11.8483</v>
      </c>
      <c r="EB66">
        <v>4.9677199999999999</v>
      </c>
      <c r="EC66">
        <v>3.2922799999999999</v>
      </c>
      <c r="ED66">
        <v>894.7</v>
      </c>
      <c r="EE66">
        <v>0</v>
      </c>
      <c r="EF66">
        <v>5457</v>
      </c>
      <c r="EG66">
        <v>109.6</v>
      </c>
      <c r="EH66">
        <v>4.9715800000000003</v>
      </c>
      <c r="EI66">
        <v>1.8717900000000001</v>
      </c>
      <c r="EJ66">
        <v>1.86893</v>
      </c>
      <c r="EK66">
        <v>1.87134</v>
      </c>
      <c r="EL66">
        <v>1.8690899999999999</v>
      </c>
      <c r="EM66">
        <v>1.8680000000000001</v>
      </c>
      <c r="EN66">
        <v>1.8698300000000001</v>
      </c>
      <c r="EO66">
        <v>1.87165</v>
      </c>
      <c r="EP66">
        <v>0</v>
      </c>
      <c r="EQ66">
        <v>0</v>
      </c>
      <c r="ER66">
        <v>0</v>
      </c>
      <c r="ES66">
        <v>0</v>
      </c>
      <c r="ET66" t="s">
        <v>334</v>
      </c>
      <c r="EU66" t="s">
        <v>335</v>
      </c>
      <c r="EV66" t="s">
        <v>336</v>
      </c>
      <c r="EW66" t="s">
        <v>336</v>
      </c>
      <c r="EX66" t="s">
        <v>336</v>
      </c>
      <c r="EY66" t="s">
        <v>336</v>
      </c>
      <c r="EZ66">
        <v>0</v>
      </c>
      <c r="FA66">
        <v>100</v>
      </c>
      <c r="FB66">
        <v>100</v>
      </c>
      <c r="FC66">
        <v>8.0229999999999997</v>
      </c>
      <c r="FD66">
        <v>-0.98929999999999996</v>
      </c>
      <c r="FE66">
        <v>8.0175915000000018</v>
      </c>
      <c r="FF66">
        <v>0</v>
      </c>
      <c r="FG66">
        <v>0</v>
      </c>
      <c r="FH66">
        <v>0</v>
      </c>
      <c r="FI66">
        <v>-0.98927100000000023</v>
      </c>
      <c r="FJ66">
        <v>0</v>
      </c>
      <c r="FK66">
        <v>0</v>
      </c>
      <c r="FL66">
        <v>0</v>
      </c>
      <c r="FM66">
        <v>-1</v>
      </c>
      <c r="FN66">
        <v>-1</v>
      </c>
      <c r="FO66">
        <v>-1</v>
      </c>
      <c r="FP66">
        <v>-1</v>
      </c>
      <c r="FQ66">
        <v>0.7</v>
      </c>
      <c r="FR66">
        <v>50.2</v>
      </c>
      <c r="FS66">
        <v>0.142822</v>
      </c>
      <c r="FT66">
        <v>4.99756</v>
      </c>
      <c r="FU66">
        <v>1.5979000000000001</v>
      </c>
      <c r="FV66">
        <v>2.1581999999999999</v>
      </c>
      <c r="FW66">
        <v>1.5478499999999999</v>
      </c>
      <c r="FX66">
        <v>2.4414099999999999</v>
      </c>
      <c r="FY66">
        <v>33.625399999999999</v>
      </c>
      <c r="FZ66">
        <v>16.1021</v>
      </c>
      <c r="GA66">
        <v>3</v>
      </c>
      <c r="GB66">
        <v>496.62799999999999</v>
      </c>
      <c r="GC66">
        <v>408.392</v>
      </c>
      <c r="GD66">
        <v>27.821100000000001</v>
      </c>
      <c r="GE66">
        <v>30.0898</v>
      </c>
      <c r="GF66">
        <v>30.0002</v>
      </c>
      <c r="GG66">
        <v>30.3993</v>
      </c>
      <c r="GH66">
        <v>30.4499</v>
      </c>
      <c r="GI66">
        <v>-1</v>
      </c>
      <c r="GJ66">
        <v>0</v>
      </c>
      <c r="GK66">
        <v>100</v>
      </c>
      <c r="GL66">
        <v>27.8339</v>
      </c>
      <c r="GM66">
        <v>432.1</v>
      </c>
      <c r="GN66">
        <v>68.912800000000004</v>
      </c>
      <c r="GO66">
        <v>102.238</v>
      </c>
      <c r="GP66">
        <v>96.508700000000005</v>
      </c>
    </row>
    <row r="67" spans="1:198" x14ac:dyDescent="0.35">
      <c r="A67">
        <v>51</v>
      </c>
      <c r="B67">
        <v>1775484039</v>
      </c>
      <c r="C67">
        <v>3000.5</v>
      </c>
      <c r="D67" t="s">
        <v>484</v>
      </c>
      <c r="E67" t="s">
        <v>485</v>
      </c>
      <c r="F67">
        <v>60</v>
      </c>
      <c r="G67">
        <v>1775484031.25</v>
      </c>
      <c r="H67">
        <f t="shared" si="0"/>
        <v>2.7956109182946821E-3</v>
      </c>
      <c r="I67">
        <f t="shared" si="1"/>
        <v>2.795610918294682</v>
      </c>
      <c r="J67">
        <f t="shared" si="2"/>
        <v>1.209203482732093</v>
      </c>
      <c r="K67">
        <f t="shared" si="3"/>
        <v>14.71582733333333</v>
      </c>
      <c r="L67">
        <f t="shared" si="4"/>
        <v>-11.397808965504755</v>
      </c>
      <c r="M67">
        <f t="shared" si="5"/>
        <v>-1.1435034042038306</v>
      </c>
      <c r="N67">
        <f t="shared" si="6"/>
        <v>1.4763889009081341</v>
      </c>
      <c r="O67">
        <f t="shared" si="7"/>
        <v>7.5486874448915497E-2</v>
      </c>
      <c r="P67">
        <f t="shared" si="8"/>
        <v>2.3945014096999397</v>
      </c>
      <c r="Q67">
        <f t="shared" si="9"/>
        <v>7.418932253322294E-2</v>
      </c>
      <c r="R67">
        <f t="shared" si="10"/>
        <v>4.6483048665811599E-2</v>
      </c>
      <c r="S67">
        <f t="shared" si="11"/>
        <v>0</v>
      </c>
      <c r="T67">
        <f t="shared" si="12"/>
        <v>26.425508207241219</v>
      </c>
      <c r="U67">
        <f t="shared" si="13"/>
        <v>27.39047333333334</v>
      </c>
      <c r="V67">
        <f t="shared" si="14"/>
        <v>3.662068481412065</v>
      </c>
      <c r="W67">
        <f t="shared" si="15"/>
        <v>-1.3835515199336239</v>
      </c>
      <c r="X67">
        <f t="shared" si="16"/>
        <v>-5.0402785544131037E-2</v>
      </c>
      <c r="Y67">
        <f t="shared" si="17"/>
        <v>3.643000265472522</v>
      </c>
      <c r="Z67">
        <f t="shared" si="18"/>
        <v>3.7124712669561961</v>
      </c>
      <c r="AA67">
        <f t="shared" si="19"/>
        <v>-123.28644149679548</v>
      </c>
      <c r="AB67">
        <f t="shared" si="20"/>
        <v>-11.504280815312145</v>
      </c>
      <c r="AC67">
        <f t="shared" si="21"/>
        <v>-1.0404489659708009</v>
      </c>
      <c r="AD67">
        <f t="shared" si="22"/>
        <v>-135.83117127807841</v>
      </c>
      <c r="AE67">
        <v>14</v>
      </c>
      <c r="AF67">
        <v>3</v>
      </c>
      <c r="AG67">
        <f t="shared" si="23"/>
        <v>1</v>
      </c>
      <c r="AH67">
        <f t="shared" si="24"/>
        <v>0</v>
      </c>
      <c r="AI67">
        <f t="shared" si="25"/>
        <v>25584.406887939007</v>
      </c>
      <c r="AJ67">
        <f t="shared" si="26"/>
        <v>0</v>
      </c>
      <c r="AK67">
        <f t="shared" si="27"/>
        <v>0</v>
      </c>
      <c r="AL67">
        <f t="shared" si="28"/>
        <v>0</v>
      </c>
      <c r="AM67">
        <f t="shared" si="29"/>
        <v>0</v>
      </c>
      <c r="AN67">
        <v>3</v>
      </c>
      <c r="AO67">
        <v>0.5</v>
      </c>
      <c r="AP67" t="s">
        <v>331</v>
      </c>
      <c r="AQ67">
        <v>2</v>
      </c>
      <c r="AR67">
        <v>1775484031.25</v>
      </c>
      <c r="AS67">
        <v>14.71582733333333</v>
      </c>
      <c r="AT67">
        <v>15.46605666666667</v>
      </c>
      <c r="AU67">
        <v>-0.50238706666666666</v>
      </c>
      <c r="AV67">
        <v>-2.180648666666666</v>
      </c>
      <c r="AW67">
        <v>6.7258273333333323</v>
      </c>
      <c r="AX67">
        <v>0.4868839333333333</v>
      </c>
      <c r="AY67">
        <v>499.98439999999999</v>
      </c>
      <c r="AZ67">
        <v>100.2827666666667</v>
      </c>
      <c r="BA67">
        <v>4.3831863333333332E-2</v>
      </c>
      <c r="BB67">
        <v>27.30135666666666</v>
      </c>
      <c r="BC67">
        <v>27.39047333333334</v>
      </c>
      <c r="BD67">
        <v>999.9000000000002</v>
      </c>
      <c r="BE67">
        <v>0</v>
      </c>
      <c r="BF67">
        <v>0</v>
      </c>
      <c r="BG67">
        <v>5002.5333333333338</v>
      </c>
      <c r="BH67">
        <v>0.35343813333333329</v>
      </c>
      <c r="BI67">
        <v>0.23344266666666669</v>
      </c>
      <c r="BJ67">
        <v>-0.71688836666666667</v>
      </c>
      <c r="BK67">
        <v>14.74175</v>
      </c>
      <c r="BL67">
        <v>15.432396666666669</v>
      </c>
      <c r="BM67">
        <v>1.678261</v>
      </c>
      <c r="BN67">
        <v>15.46605666666667</v>
      </c>
      <c r="BO67">
        <v>-2.180648666666666</v>
      </c>
      <c r="BP67">
        <v>-5.0380753333333327E-2</v>
      </c>
      <c r="BQ67">
        <v>-0.21868136666666671</v>
      </c>
      <c r="BR67">
        <v>-99.900000000000034</v>
      </c>
      <c r="BS67">
        <v>-99.900000000000034</v>
      </c>
      <c r="BT67">
        <v>0</v>
      </c>
      <c r="BU67">
        <v>0</v>
      </c>
      <c r="BV67">
        <v>0</v>
      </c>
      <c r="BW67">
        <v>26</v>
      </c>
      <c r="BX67">
        <v>-1</v>
      </c>
      <c r="BY67">
        <v>1775484056.5</v>
      </c>
      <c r="BZ67" t="s">
        <v>486</v>
      </c>
      <c r="CA67">
        <v>1775484056.5</v>
      </c>
      <c r="CB67">
        <v>1775480969.5</v>
      </c>
      <c r="CC67">
        <v>52</v>
      </c>
      <c r="CD67">
        <v>-3.3000000000000002E-2</v>
      </c>
      <c r="CE67">
        <v>0.19500000000000001</v>
      </c>
      <c r="CF67">
        <v>7.99</v>
      </c>
      <c r="CG67">
        <v>-0.98899999999999999</v>
      </c>
      <c r="CH67">
        <v>15</v>
      </c>
      <c r="CI67">
        <v>-3</v>
      </c>
      <c r="CJ67">
        <v>0.16</v>
      </c>
      <c r="CK67">
        <v>0.06</v>
      </c>
      <c r="CL67">
        <v>15.411011666666671</v>
      </c>
      <c r="CM67">
        <v>0.37644823562103041</v>
      </c>
      <c r="CN67">
        <v>6.2728773545762617E-2</v>
      </c>
      <c r="CO67">
        <v>-1</v>
      </c>
      <c r="CP67">
        <v>499.99565000000001</v>
      </c>
      <c r="CQ67">
        <v>-1.4894137259868309E-2</v>
      </c>
      <c r="CR67">
        <v>6.1082137323444891E-2</v>
      </c>
      <c r="CS67">
        <v>-1</v>
      </c>
      <c r="CT67">
        <v>0</v>
      </c>
      <c r="CU67">
        <v>0</v>
      </c>
      <c r="CV67" t="s">
        <v>333</v>
      </c>
      <c r="CW67">
        <v>3.1675300000000002</v>
      </c>
      <c r="CX67">
        <v>2.6658300000000001</v>
      </c>
      <c r="CY67">
        <v>2.0255899999999999E-3</v>
      </c>
      <c r="CZ67">
        <v>4.6198000000000003E-3</v>
      </c>
      <c r="DA67">
        <v>3.9125799999999997E-3</v>
      </c>
      <c r="DB67">
        <v>-2.0517899999999999E-2</v>
      </c>
      <c r="DC67">
        <v>21537.5</v>
      </c>
      <c r="DD67">
        <v>21862.3</v>
      </c>
      <c r="DE67">
        <v>23110.2</v>
      </c>
      <c r="DF67">
        <v>22317.4</v>
      </c>
      <c r="DG67">
        <v>29686.1</v>
      </c>
      <c r="DH67">
        <v>27159.5</v>
      </c>
      <c r="DI67">
        <v>40617.800000000003</v>
      </c>
      <c r="DJ67">
        <v>36984.699999999997</v>
      </c>
      <c r="DK67">
        <v>2.0817800000000002</v>
      </c>
      <c r="DL67">
        <v>1.80182</v>
      </c>
      <c r="DM67">
        <v>1.70767E-2</v>
      </c>
      <c r="DN67">
        <v>0</v>
      </c>
      <c r="DO67">
        <v>27.114000000000001</v>
      </c>
      <c r="DP67">
        <v>999.9</v>
      </c>
      <c r="DQ67">
        <v>78.599999999999994</v>
      </c>
      <c r="DR67">
        <v>29</v>
      </c>
      <c r="DS67">
        <v>31.521899999999999</v>
      </c>
      <c r="DT67">
        <v>30.595500000000001</v>
      </c>
      <c r="DU67">
        <v>9.6073699999999995</v>
      </c>
      <c r="DV67">
        <v>1</v>
      </c>
      <c r="DW67">
        <v>0.22815199999999999</v>
      </c>
      <c r="DX67">
        <v>-8.3039199999999994E-2</v>
      </c>
      <c r="DY67">
        <v>20.367999999999999</v>
      </c>
      <c r="DZ67">
        <v>5.2115400000000003</v>
      </c>
      <c r="EA67">
        <v>11.8489</v>
      </c>
      <c r="EB67">
        <v>4.9677600000000002</v>
      </c>
      <c r="EC67">
        <v>3.2921200000000002</v>
      </c>
      <c r="ED67">
        <v>894.7</v>
      </c>
      <c r="EE67">
        <v>0</v>
      </c>
      <c r="EF67">
        <v>5487.9</v>
      </c>
      <c r="EG67">
        <v>109.7</v>
      </c>
      <c r="EH67">
        <v>4.9715999999999996</v>
      </c>
      <c r="EI67">
        <v>1.8717900000000001</v>
      </c>
      <c r="EJ67">
        <v>1.8689</v>
      </c>
      <c r="EK67">
        <v>1.87134</v>
      </c>
      <c r="EL67">
        <v>1.8690800000000001</v>
      </c>
      <c r="EM67">
        <v>1.8680099999999999</v>
      </c>
      <c r="EN67">
        <v>1.86988</v>
      </c>
      <c r="EO67">
        <v>1.87168</v>
      </c>
      <c r="EP67">
        <v>0</v>
      </c>
      <c r="EQ67">
        <v>0</v>
      </c>
      <c r="ER67">
        <v>0</v>
      </c>
      <c r="ES67">
        <v>0</v>
      </c>
      <c r="ET67" t="s">
        <v>334</v>
      </c>
      <c r="EU67" t="s">
        <v>335</v>
      </c>
      <c r="EV67" t="s">
        <v>336</v>
      </c>
      <c r="EW67" t="s">
        <v>336</v>
      </c>
      <c r="EX67" t="s">
        <v>336</v>
      </c>
      <c r="EY67" t="s">
        <v>336</v>
      </c>
      <c r="EZ67">
        <v>0</v>
      </c>
      <c r="FA67">
        <v>100</v>
      </c>
      <c r="FB67">
        <v>100</v>
      </c>
      <c r="FC67">
        <v>7.99</v>
      </c>
      <c r="FD67">
        <v>-0.98929999999999996</v>
      </c>
      <c r="FE67">
        <v>8.0233320000000017</v>
      </c>
      <c r="FF67">
        <v>0</v>
      </c>
      <c r="FG67">
        <v>0</v>
      </c>
      <c r="FH67">
        <v>0</v>
      </c>
      <c r="FI67">
        <v>-0.98927100000000023</v>
      </c>
      <c r="FJ67">
        <v>0</v>
      </c>
      <c r="FK67">
        <v>0</v>
      </c>
      <c r="FL67">
        <v>0</v>
      </c>
      <c r="FM67">
        <v>-1</v>
      </c>
      <c r="FN67">
        <v>-1</v>
      </c>
      <c r="FO67">
        <v>-1</v>
      </c>
      <c r="FP67">
        <v>-1</v>
      </c>
      <c r="FQ67">
        <v>0.7</v>
      </c>
      <c r="FR67">
        <v>51.2</v>
      </c>
      <c r="FS67">
        <v>0.142822</v>
      </c>
      <c r="FT67">
        <v>4.99756</v>
      </c>
      <c r="FU67">
        <v>1.5979000000000001</v>
      </c>
      <c r="FV67">
        <v>2.1581999999999999</v>
      </c>
      <c r="FW67">
        <v>1.5478499999999999</v>
      </c>
      <c r="FX67">
        <v>2.4621599999999999</v>
      </c>
      <c r="FY67">
        <v>33.625399999999999</v>
      </c>
      <c r="FZ67">
        <v>16.093399999999999</v>
      </c>
      <c r="GA67">
        <v>3</v>
      </c>
      <c r="GB67">
        <v>496.70499999999998</v>
      </c>
      <c r="GC67">
        <v>408.49099999999999</v>
      </c>
      <c r="GD67">
        <v>27.838699999999999</v>
      </c>
      <c r="GE67">
        <v>30.084599999999998</v>
      </c>
      <c r="GF67">
        <v>30</v>
      </c>
      <c r="GG67">
        <v>30.394100000000002</v>
      </c>
      <c r="GH67">
        <v>30.445599999999999</v>
      </c>
      <c r="GI67">
        <v>-1</v>
      </c>
      <c r="GJ67">
        <v>0</v>
      </c>
      <c r="GK67">
        <v>100</v>
      </c>
      <c r="GL67">
        <v>27.8384</v>
      </c>
      <c r="GM67">
        <v>432.1</v>
      </c>
      <c r="GN67">
        <v>68.912800000000004</v>
      </c>
      <c r="GO67">
        <v>102.239</v>
      </c>
      <c r="GP67">
        <v>96.5077</v>
      </c>
    </row>
    <row r="68" spans="1:198" x14ac:dyDescent="0.35">
      <c r="A68">
        <v>52</v>
      </c>
      <c r="B68">
        <v>1775484099</v>
      </c>
      <c r="C68">
        <v>3060.5</v>
      </c>
      <c r="D68" t="s">
        <v>487</v>
      </c>
      <c r="E68" t="s">
        <v>488</v>
      </c>
      <c r="F68">
        <v>60</v>
      </c>
      <c r="G68">
        <v>1775484091.25</v>
      </c>
      <c r="H68">
        <f t="shared" si="0"/>
        <v>2.7835908915471732E-3</v>
      </c>
      <c r="I68">
        <f t="shared" si="1"/>
        <v>2.7835908915471732</v>
      </c>
      <c r="J68">
        <f t="shared" si="2"/>
        <v>1.3481882222766801</v>
      </c>
      <c r="K68">
        <f t="shared" si="3"/>
        <v>15.183705</v>
      </c>
      <c r="L68">
        <f t="shared" si="4"/>
        <v>-13.982433478256551</v>
      </c>
      <c r="M68">
        <f t="shared" si="5"/>
        <v>-1.4027997587726435</v>
      </c>
      <c r="N68">
        <f t="shared" si="6"/>
        <v>1.5233183654617186</v>
      </c>
      <c r="O68">
        <f t="shared" si="7"/>
        <v>7.5154334514035595E-2</v>
      </c>
      <c r="P68">
        <f t="shared" si="8"/>
        <v>2.3961728625420231</v>
      </c>
      <c r="Q68">
        <f t="shared" si="9"/>
        <v>7.3868965230848918E-2</v>
      </c>
      <c r="R68">
        <f t="shared" si="10"/>
        <v>4.628175743991976E-2</v>
      </c>
      <c r="S68">
        <f t="shared" si="11"/>
        <v>0</v>
      </c>
      <c r="T68">
        <f t="shared" si="12"/>
        <v>26.432033519215338</v>
      </c>
      <c r="U68">
        <f t="shared" si="13"/>
        <v>27.391033333333329</v>
      </c>
      <c r="V68">
        <f t="shared" si="14"/>
        <v>3.6621885789936743</v>
      </c>
      <c r="W68">
        <f t="shared" si="15"/>
        <v>-1.3811084426410771</v>
      </c>
      <c r="X68">
        <f t="shared" si="16"/>
        <v>-5.0320271116050676E-2</v>
      </c>
      <c r="Y68">
        <f t="shared" si="17"/>
        <v>3.6434699522815039</v>
      </c>
      <c r="Z68">
        <f t="shared" si="18"/>
        <v>3.712508850109725</v>
      </c>
      <c r="AA68">
        <f t="shared" si="19"/>
        <v>-122.75635831723034</v>
      </c>
      <c r="AB68">
        <f t="shared" si="20"/>
        <v>-11.300451986804838</v>
      </c>
      <c r="AC68">
        <f t="shared" si="21"/>
        <v>-1.0213158242730513</v>
      </c>
      <c r="AD68">
        <f t="shared" si="22"/>
        <v>-135.07812612830821</v>
      </c>
      <c r="AE68">
        <v>14</v>
      </c>
      <c r="AF68">
        <v>3</v>
      </c>
      <c r="AG68">
        <f t="shared" si="23"/>
        <v>1</v>
      </c>
      <c r="AH68">
        <f t="shared" si="24"/>
        <v>0</v>
      </c>
      <c r="AI68">
        <f t="shared" si="25"/>
        <v>25609.66509110844</v>
      </c>
      <c r="AJ68">
        <f t="shared" si="26"/>
        <v>0</v>
      </c>
      <c r="AK68">
        <f t="shared" si="27"/>
        <v>0</v>
      </c>
      <c r="AL68">
        <f t="shared" si="28"/>
        <v>0</v>
      </c>
      <c r="AM68">
        <f t="shared" si="29"/>
        <v>0</v>
      </c>
      <c r="AN68">
        <v>3</v>
      </c>
      <c r="AO68">
        <v>0.5</v>
      </c>
      <c r="AP68" t="s">
        <v>331</v>
      </c>
      <c r="AQ68">
        <v>2</v>
      </c>
      <c r="AR68">
        <v>1775484091.25</v>
      </c>
      <c r="AS68">
        <v>15.183705</v>
      </c>
      <c r="AT68">
        <v>16.017966666666659</v>
      </c>
      <c r="AU68">
        <v>-0.50156826666666676</v>
      </c>
      <c r="AV68">
        <v>-2.1725396666666672</v>
      </c>
      <c r="AW68">
        <v>7.1577050000000009</v>
      </c>
      <c r="AX68">
        <v>0.4877027333333333</v>
      </c>
      <c r="AY68">
        <v>500.00623333333328</v>
      </c>
      <c r="AZ68">
        <v>100.2821</v>
      </c>
      <c r="BA68">
        <v>4.3766806666666658E-2</v>
      </c>
      <c r="BB68">
        <v>27.303556666666658</v>
      </c>
      <c r="BC68">
        <v>27.391033333333329</v>
      </c>
      <c r="BD68">
        <v>999.9000000000002</v>
      </c>
      <c r="BE68">
        <v>0</v>
      </c>
      <c r="BF68">
        <v>0</v>
      </c>
      <c r="BG68">
        <v>5006.8666666666668</v>
      </c>
      <c r="BH68">
        <v>0.39532186666666658</v>
      </c>
      <c r="BI68">
        <v>0.23344266666666669</v>
      </c>
      <c r="BJ68">
        <v>-0.87036743333333333</v>
      </c>
      <c r="BK68">
        <v>15.140003333333331</v>
      </c>
      <c r="BL68">
        <v>15.98322666666667</v>
      </c>
      <c r="BM68">
        <v>1.670971666666667</v>
      </c>
      <c r="BN68">
        <v>16.017966666666659</v>
      </c>
      <c r="BO68">
        <v>-2.1725396666666672</v>
      </c>
      <c r="BP68">
        <v>-5.0298403333333339E-2</v>
      </c>
      <c r="BQ68">
        <v>-0.21786710000000001</v>
      </c>
      <c r="BR68">
        <v>-99.900000000000034</v>
      </c>
      <c r="BS68">
        <v>-99.900000000000034</v>
      </c>
      <c r="BT68">
        <v>0</v>
      </c>
      <c r="BU68">
        <v>0</v>
      </c>
      <c r="BV68">
        <v>0</v>
      </c>
      <c r="BW68">
        <v>26</v>
      </c>
      <c r="BX68">
        <v>-0.9955556000000001</v>
      </c>
      <c r="BY68">
        <v>1775484115</v>
      </c>
      <c r="BZ68" t="s">
        <v>489</v>
      </c>
      <c r="CA68">
        <v>1775484115</v>
      </c>
      <c r="CB68">
        <v>1775480969.5</v>
      </c>
      <c r="CC68">
        <v>53</v>
      </c>
      <c r="CD68">
        <v>3.5999999999999997E-2</v>
      </c>
      <c r="CE68">
        <v>0.19500000000000001</v>
      </c>
      <c r="CF68">
        <v>8.0259999999999998</v>
      </c>
      <c r="CG68">
        <v>-0.98899999999999999</v>
      </c>
      <c r="CH68">
        <v>16</v>
      </c>
      <c r="CI68">
        <v>-3</v>
      </c>
      <c r="CJ68">
        <v>0.18</v>
      </c>
      <c r="CK68">
        <v>0.06</v>
      </c>
      <c r="CL68">
        <v>15.910828333333329</v>
      </c>
      <c r="CM68">
        <v>0.72688557932759279</v>
      </c>
      <c r="CN68">
        <v>0.17557627316133079</v>
      </c>
      <c r="CO68">
        <v>-1</v>
      </c>
      <c r="CP68">
        <v>499.99818333333332</v>
      </c>
      <c r="CQ68">
        <v>1.9555432065432189E-2</v>
      </c>
      <c r="CR68">
        <v>4.809764085228671E-2</v>
      </c>
      <c r="CS68">
        <v>-1</v>
      </c>
      <c r="CT68">
        <v>0</v>
      </c>
      <c r="CU68">
        <v>0</v>
      </c>
      <c r="CV68" t="s">
        <v>333</v>
      </c>
      <c r="CW68">
        <v>3.1674600000000002</v>
      </c>
      <c r="CX68">
        <v>2.66493</v>
      </c>
      <c r="CY68">
        <v>2.2115400000000001E-3</v>
      </c>
      <c r="CZ68">
        <v>4.9133099999999997E-3</v>
      </c>
      <c r="DA68">
        <v>3.90238E-3</v>
      </c>
      <c r="DB68">
        <v>-2.04347E-2</v>
      </c>
      <c r="DC68">
        <v>21533.1</v>
      </c>
      <c r="DD68">
        <v>21855.7</v>
      </c>
      <c r="DE68">
        <v>23109.7</v>
      </c>
      <c r="DF68">
        <v>22317.200000000001</v>
      </c>
      <c r="DG68">
        <v>29686</v>
      </c>
      <c r="DH68">
        <v>27157</v>
      </c>
      <c r="DI68">
        <v>40617.199999999997</v>
      </c>
      <c r="DJ68">
        <v>36984.300000000003</v>
      </c>
      <c r="DK68">
        <v>2.0819000000000001</v>
      </c>
      <c r="DL68">
        <v>1.80182</v>
      </c>
      <c r="DM68">
        <v>1.6558199999999999E-2</v>
      </c>
      <c r="DN68">
        <v>0</v>
      </c>
      <c r="DO68">
        <v>27.1144</v>
      </c>
      <c r="DP68">
        <v>999.9</v>
      </c>
      <c r="DQ68">
        <v>78.599999999999994</v>
      </c>
      <c r="DR68">
        <v>29</v>
      </c>
      <c r="DS68">
        <v>31.522400000000001</v>
      </c>
      <c r="DT68">
        <v>30.5655</v>
      </c>
      <c r="DU68">
        <v>9.5673100000000009</v>
      </c>
      <c r="DV68">
        <v>1</v>
      </c>
      <c r="DW68">
        <v>0.227683</v>
      </c>
      <c r="DX68">
        <v>-6.0590400000000003E-2</v>
      </c>
      <c r="DY68">
        <v>20.367899999999999</v>
      </c>
      <c r="DZ68">
        <v>5.2119</v>
      </c>
      <c r="EA68">
        <v>11.8482</v>
      </c>
      <c r="EB68">
        <v>4.9678399999999998</v>
      </c>
      <c r="EC68">
        <v>3.2922400000000001</v>
      </c>
      <c r="ED68">
        <v>894.7</v>
      </c>
      <c r="EE68">
        <v>0</v>
      </c>
      <c r="EF68">
        <v>5518.3</v>
      </c>
      <c r="EG68">
        <v>109.7</v>
      </c>
      <c r="EH68">
        <v>4.9716199999999997</v>
      </c>
      <c r="EI68">
        <v>1.8717999999999999</v>
      </c>
      <c r="EJ68">
        <v>1.8689100000000001</v>
      </c>
      <c r="EK68">
        <v>1.87134</v>
      </c>
      <c r="EL68">
        <v>1.8691199999999999</v>
      </c>
      <c r="EM68">
        <v>1.86805</v>
      </c>
      <c r="EN68">
        <v>1.8698900000000001</v>
      </c>
      <c r="EO68">
        <v>1.8716999999999999</v>
      </c>
      <c r="EP68">
        <v>0</v>
      </c>
      <c r="EQ68">
        <v>0</v>
      </c>
      <c r="ER68">
        <v>0</v>
      </c>
      <c r="ES68">
        <v>0</v>
      </c>
      <c r="ET68" t="s">
        <v>334</v>
      </c>
      <c r="EU68" t="s">
        <v>335</v>
      </c>
      <c r="EV68" t="s">
        <v>336</v>
      </c>
      <c r="EW68" t="s">
        <v>336</v>
      </c>
      <c r="EX68" t="s">
        <v>336</v>
      </c>
      <c r="EY68" t="s">
        <v>336</v>
      </c>
      <c r="EZ68">
        <v>0</v>
      </c>
      <c r="FA68">
        <v>100</v>
      </c>
      <c r="FB68">
        <v>100</v>
      </c>
      <c r="FC68">
        <v>8.0259999999999998</v>
      </c>
      <c r="FD68">
        <v>-0.98929999999999996</v>
      </c>
      <c r="FE68">
        <v>7.9898880952380971</v>
      </c>
      <c r="FF68">
        <v>0</v>
      </c>
      <c r="FG68">
        <v>0</v>
      </c>
      <c r="FH68">
        <v>0</v>
      </c>
      <c r="FI68">
        <v>-0.98927100000000023</v>
      </c>
      <c r="FJ68">
        <v>0</v>
      </c>
      <c r="FK68">
        <v>0</v>
      </c>
      <c r="FL68">
        <v>0</v>
      </c>
      <c r="FM68">
        <v>-1</v>
      </c>
      <c r="FN68">
        <v>-1</v>
      </c>
      <c r="FO68">
        <v>-1</v>
      </c>
      <c r="FP68">
        <v>-1</v>
      </c>
      <c r="FQ68">
        <v>0.7</v>
      </c>
      <c r="FR68">
        <v>52.2</v>
      </c>
      <c r="FS68">
        <v>0.144043</v>
      </c>
      <c r="FT68">
        <v>4.99756</v>
      </c>
      <c r="FU68">
        <v>1.5979000000000001</v>
      </c>
      <c r="FV68">
        <v>2.1581999999999999</v>
      </c>
      <c r="FW68">
        <v>1.5478499999999999</v>
      </c>
      <c r="FX68">
        <v>2.4426299999999999</v>
      </c>
      <c r="FY68">
        <v>33.6479</v>
      </c>
      <c r="FZ68">
        <v>16.093399999999999</v>
      </c>
      <c r="GA68">
        <v>3</v>
      </c>
      <c r="GB68">
        <v>496.755</v>
      </c>
      <c r="GC68">
        <v>408.47399999999999</v>
      </c>
      <c r="GD68">
        <v>27.826599999999999</v>
      </c>
      <c r="GE68">
        <v>30.081900000000001</v>
      </c>
      <c r="GF68">
        <v>30.0001</v>
      </c>
      <c r="GG68">
        <v>30.391500000000001</v>
      </c>
      <c r="GH68">
        <v>30.443000000000001</v>
      </c>
      <c r="GI68">
        <v>-1</v>
      </c>
      <c r="GJ68">
        <v>0</v>
      </c>
      <c r="GK68">
        <v>100</v>
      </c>
      <c r="GL68">
        <v>27.822600000000001</v>
      </c>
      <c r="GM68">
        <v>432.1</v>
      </c>
      <c r="GN68">
        <v>68.912800000000004</v>
      </c>
      <c r="GO68">
        <v>102.23699999999999</v>
      </c>
      <c r="GP68">
        <v>96.506699999999995</v>
      </c>
    </row>
    <row r="69" spans="1:198" x14ac:dyDescent="0.35">
      <c r="A69">
        <v>53</v>
      </c>
      <c r="B69">
        <v>1775484159</v>
      </c>
      <c r="C69">
        <v>3120.5</v>
      </c>
      <c r="D69" t="s">
        <v>490</v>
      </c>
      <c r="E69" t="s">
        <v>491</v>
      </c>
      <c r="F69">
        <v>60</v>
      </c>
      <c r="G69">
        <v>1775484151</v>
      </c>
      <c r="H69">
        <f t="shared" si="0"/>
        <v>2.7495591453213595E-3</v>
      </c>
      <c r="I69">
        <f t="shared" si="1"/>
        <v>2.7495591453213595</v>
      </c>
      <c r="J69">
        <f t="shared" si="2"/>
        <v>0.98770102595648801</v>
      </c>
      <c r="K69">
        <f t="shared" si="3"/>
        <v>15.191229354838709</v>
      </c>
      <c r="L69">
        <f t="shared" si="4"/>
        <v>-6.6700442884621145</v>
      </c>
      <c r="M69">
        <f t="shared" si="5"/>
        <v>-0.66916861816077222</v>
      </c>
      <c r="N69">
        <f t="shared" si="6"/>
        <v>1.5240519426722718</v>
      </c>
      <c r="O69">
        <f t="shared" si="7"/>
        <v>7.4223791700907371E-2</v>
      </c>
      <c r="P69">
        <f t="shared" si="8"/>
        <v>2.3934803842207724</v>
      </c>
      <c r="Q69">
        <f t="shared" si="9"/>
        <v>7.2968384385383417E-2</v>
      </c>
      <c r="R69">
        <f t="shared" si="10"/>
        <v>4.5716264908786095E-2</v>
      </c>
      <c r="S69">
        <f t="shared" si="11"/>
        <v>0</v>
      </c>
      <c r="T69">
        <f t="shared" si="12"/>
        <v>26.43424170070956</v>
      </c>
      <c r="U69">
        <f t="shared" si="13"/>
        <v>27.384564516129029</v>
      </c>
      <c r="V69">
        <f t="shared" si="14"/>
        <v>3.6608014861277391</v>
      </c>
      <c r="W69">
        <f t="shared" si="15"/>
        <v>-1.4161891089224539</v>
      </c>
      <c r="X69">
        <f t="shared" si="16"/>
        <v>-5.1575590108714937E-2</v>
      </c>
      <c r="Y69">
        <f t="shared" si="17"/>
        <v>3.6418575586955075</v>
      </c>
      <c r="Z69">
        <f t="shared" si="18"/>
        <v>3.7123770762364541</v>
      </c>
      <c r="AA69">
        <f t="shared" si="19"/>
        <v>-121.25555830867195</v>
      </c>
      <c r="AB69">
        <f t="shared" si="20"/>
        <v>-11.427711069586428</v>
      </c>
      <c r="AC69">
        <f t="shared" si="21"/>
        <v>-1.0339067170715335</v>
      </c>
      <c r="AD69">
        <f t="shared" si="22"/>
        <v>-133.7171760953299</v>
      </c>
      <c r="AE69">
        <v>14</v>
      </c>
      <c r="AF69">
        <v>3</v>
      </c>
      <c r="AG69">
        <f t="shared" si="23"/>
        <v>1</v>
      </c>
      <c r="AH69">
        <f t="shared" si="24"/>
        <v>0</v>
      </c>
      <c r="AI69">
        <f t="shared" si="25"/>
        <v>25569.410415199847</v>
      </c>
      <c r="AJ69">
        <f t="shared" si="26"/>
        <v>0</v>
      </c>
      <c r="AK69">
        <f t="shared" si="27"/>
        <v>0</v>
      </c>
      <c r="AL69">
        <f t="shared" si="28"/>
        <v>0</v>
      </c>
      <c r="AM69">
        <f t="shared" si="29"/>
        <v>0</v>
      </c>
      <c r="AN69">
        <v>3</v>
      </c>
      <c r="AO69">
        <v>0.5</v>
      </c>
      <c r="AP69" t="s">
        <v>331</v>
      </c>
      <c r="AQ69">
        <v>2</v>
      </c>
      <c r="AR69">
        <v>1775484151</v>
      </c>
      <c r="AS69">
        <v>15.191229354838709</v>
      </c>
      <c r="AT69">
        <v>15.8088935483871</v>
      </c>
      <c r="AU69">
        <v>-0.51408787096774189</v>
      </c>
      <c r="AV69">
        <v>-2.1646235483870968</v>
      </c>
      <c r="AW69">
        <v>7.1602293548387097</v>
      </c>
      <c r="AX69">
        <v>0.47518312903225801</v>
      </c>
      <c r="AY69">
        <v>500.0145161290323</v>
      </c>
      <c r="AZ69">
        <v>100.2809032258065</v>
      </c>
      <c r="BA69">
        <v>4.3560783870967727E-2</v>
      </c>
      <c r="BB69">
        <v>27.296003225806459</v>
      </c>
      <c r="BC69">
        <v>27.384564516129029</v>
      </c>
      <c r="BD69">
        <v>999.90000000000032</v>
      </c>
      <c r="BE69">
        <v>0</v>
      </c>
      <c r="BF69">
        <v>0</v>
      </c>
      <c r="BG69">
        <v>5000</v>
      </c>
      <c r="BH69">
        <v>0.37125164516129039</v>
      </c>
      <c r="BI69">
        <v>0.23331922580645159</v>
      </c>
      <c r="BJ69">
        <v>-0.62238487096774198</v>
      </c>
      <c r="BK69">
        <v>15.17870967741935</v>
      </c>
      <c r="BL69">
        <v>15.77474838709677</v>
      </c>
      <c r="BM69">
        <v>1.6505358064516129</v>
      </c>
      <c r="BN69">
        <v>15.8088935483871</v>
      </c>
      <c r="BO69">
        <v>-2.1646235483870968</v>
      </c>
      <c r="BP69">
        <v>-5.1553219354838711E-2</v>
      </c>
      <c r="BQ69">
        <v>-0.2170704516129032</v>
      </c>
      <c r="BR69">
        <v>-99.900000000000034</v>
      </c>
      <c r="BS69">
        <v>-99.900000000000034</v>
      </c>
      <c r="BT69">
        <v>0</v>
      </c>
      <c r="BU69">
        <v>0</v>
      </c>
      <c r="BV69">
        <v>0</v>
      </c>
      <c r="BW69">
        <v>26</v>
      </c>
      <c r="BX69">
        <v>-1</v>
      </c>
      <c r="BY69">
        <v>1775484176</v>
      </c>
      <c r="BZ69" t="s">
        <v>492</v>
      </c>
      <c r="CA69">
        <v>1775484176</v>
      </c>
      <c r="CB69">
        <v>1775480969.5</v>
      </c>
      <c r="CC69">
        <v>54</v>
      </c>
      <c r="CD69">
        <v>5.0000000000000001E-3</v>
      </c>
      <c r="CE69">
        <v>0.19500000000000001</v>
      </c>
      <c r="CF69">
        <v>8.0310000000000006</v>
      </c>
      <c r="CG69">
        <v>-0.98899999999999999</v>
      </c>
      <c r="CH69">
        <v>16</v>
      </c>
      <c r="CI69">
        <v>-3</v>
      </c>
      <c r="CJ69">
        <v>0.23</v>
      </c>
      <c r="CK69">
        <v>0.06</v>
      </c>
      <c r="CL69">
        <v>15.80814833333333</v>
      </c>
      <c r="CM69">
        <v>4.3456404556816618E-2</v>
      </c>
      <c r="CN69">
        <v>2.797043970376973E-2</v>
      </c>
      <c r="CO69">
        <v>-1</v>
      </c>
      <c r="CP69">
        <v>500.01799999999997</v>
      </c>
      <c r="CQ69">
        <v>5.3081411517307093E-3</v>
      </c>
      <c r="CR69">
        <v>6.2203429701800629E-2</v>
      </c>
      <c r="CS69">
        <v>-1</v>
      </c>
      <c r="CT69">
        <v>0</v>
      </c>
      <c r="CU69">
        <v>0</v>
      </c>
      <c r="CV69" t="s">
        <v>333</v>
      </c>
      <c r="CW69">
        <v>3.1675300000000002</v>
      </c>
      <c r="CX69">
        <v>2.6654200000000001</v>
      </c>
      <c r="CY69">
        <v>2.13292E-3</v>
      </c>
      <c r="CZ69">
        <v>4.7453599999999997E-3</v>
      </c>
      <c r="DA69">
        <v>3.8872999999999998E-3</v>
      </c>
      <c r="DB69">
        <v>-2.0349300000000001E-2</v>
      </c>
      <c r="DC69">
        <v>21534.400000000001</v>
      </c>
      <c r="DD69">
        <v>21859.599999999999</v>
      </c>
      <c r="DE69">
        <v>23109.4</v>
      </c>
      <c r="DF69">
        <v>22317.4</v>
      </c>
      <c r="DG69">
        <v>29686.1</v>
      </c>
      <c r="DH69">
        <v>27154.9</v>
      </c>
      <c r="DI69">
        <v>40616.699999999997</v>
      </c>
      <c r="DJ69">
        <v>36984.5</v>
      </c>
      <c r="DK69">
        <v>2.08188</v>
      </c>
      <c r="DL69">
        <v>1.8016399999999999</v>
      </c>
      <c r="DM69">
        <v>1.78456E-2</v>
      </c>
      <c r="DN69">
        <v>0</v>
      </c>
      <c r="DO69">
        <v>27.098199999999999</v>
      </c>
      <c r="DP69">
        <v>999.9</v>
      </c>
      <c r="DQ69">
        <v>78.599999999999994</v>
      </c>
      <c r="DR69">
        <v>29.1</v>
      </c>
      <c r="DS69">
        <v>31.703700000000001</v>
      </c>
      <c r="DT69">
        <v>30.445499999999999</v>
      </c>
      <c r="DU69">
        <v>9.5272400000000008</v>
      </c>
      <c r="DV69">
        <v>1</v>
      </c>
      <c r="DW69">
        <v>0.22755900000000001</v>
      </c>
      <c r="DX69">
        <v>-0.135606</v>
      </c>
      <c r="DY69">
        <v>20.367899999999999</v>
      </c>
      <c r="DZ69">
        <v>5.2112999999999996</v>
      </c>
      <c r="EA69">
        <v>11.8483</v>
      </c>
      <c r="EB69">
        <v>4.9678399999999998</v>
      </c>
      <c r="EC69">
        <v>3.2921399999999998</v>
      </c>
      <c r="ED69">
        <v>894.7</v>
      </c>
      <c r="EE69">
        <v>0</v>
      </c>
      <c r="EF69">
        <v>5544</v>
      </c>
      <c r="EG69">
        <v>109.7</v>
      </c>
      <c r="EH69">
        <v>4.9716199999999997</v>
      </c>
      <c r="EI69">
        <v>1.8717999999999999</v>
      </c>
      <c r="EJ69">
        <v>1.8689100000000001</v>
      </c>
      <c r="EK69">
        <v>1.8713500000000001</v>
      </c>
      <c r="EL69">
        <v>1.8690800000000001</v>
      </c>
      <c r="EM69">
        <v>1.8680600000000001</v>
      </c>
      <c r="EN69">
        <v>1.8698999999999999</v>
      </c>
      <c r="EO69">
        <v>1.8716600000000001</v>
      </c>
      <c r="EP69">
        <v>0</v>
      </c>
      <c r="EQ69">
        <v>0</v>
      </c>
      <c r="ER69">
        <v>0</v>
      </c>
      <c r="ES69">
        <v>0</v>
      </c>
      <c r="ET69" t="s">
        <v>334</v>
      </c>
      <c r="EU69" t="s">
        <v>335</v>
      </c>
      <c r="EV69" t="s">
        <v>336</v>
      </c>
      <c r="EW69" t="s">
        <v>336</v>
      </c>
      <c r="EX69" t="s">
        <v>336</v>
      </c>
      <c r="EY69" t="s">
        <v>336</v>
      </c>
      <c r="EZ69">
        <v>0</v>
      </c>
      <c r="FA69">
        <v>100</v>
      </c>
      <c r="FB69">
        <v>100</v>
      </c>
      <c r="FC69">
        <v>8.0310000000000006</v>
      </c>
      <c r="FD69">
        <v>-0.98929999999999996</v>
      </c>
      <c r="FE69">
        <v>8.0262814999999978</v>
      </c>
      <c r="FF69">
        <v>0</v>
      </c>
      <c r="FG69">
        <v>0</v>
      </c>
      <c r="FH69">
        <v>0</v>
      </c>
      <c r="FI69">
        <v>-0.98927100000000023</v>
      </c>
      <c r="FJ69">
        <v>0</v>
      </c>
      <c r="FK69">
        <v>0</v>
      </c>
      <c r="FL69">
        <v>0</v>
      </c>
      <c r="FM69">
        <v>-1</v>
      </c>
      <c r="FN69">
        <v>-1</v>
      </c>
      <c r="FO69">
        <v>-1</v>
      </c>
      <c r="FP69">
        <v>-1</v>
      </c>
      <c r="FQ69">
        <v>0.7</v>
      </c>
      <c r="FR69">
        <v>53.2</v>
      </c>
      <c r="FS69">
        <v>0.144043</v>
      </c>
      <c r="FT69">
        <v>4.99756</v>
      </c>
      <c r="FU69">
        <v>1.5979000000000001</v>
      </c>
      <c r="FV69">
        <v>2.1581999999999999</v>
      </c>
      <c r="FW69">
        <v>1.5478499999999999</v>
      </c>
      <c r="FX69">
        <v>2.4169900000000002</v>
      </c>
      <c r="FY69">
        <v>33.670499999999997</v>
      </c>
      <c r="FZ69">
        <v>16.075800000000001</v>
      </c>
      <c r="GA69">
        <v>3</v>
      </c>
      <c r="GB69">
        <v>496.72300000000001</v>
      </c>
      <c r="GC69">
        <v>408.33600000000001</v>
      </c>
      <c r="GD69">
        <v>27.872199999999999</v>
      </c>
      <c r="GE69">
        <v>30.0793</v>
      </c>
      <c r="GF69">
        <v>30</v>
      </c>
      <c r="GG69">
        <v>30.3887</v>
      </c>
      <c r="GH69">
        <v>30.437899999999999</v>
      </c>
      <c r="GI69">
        <v>-1</v>
      </c>
      <c r="GJ69">
        <v>0</v>
      </c>
      <c r="GK69">
        <v>100</v>
      </c>
      <c r="GL69">
        <v>27.872900000000001</v>
      </c>
      <c r="GM69">
        <v>432.1</v>
      </c>
      <c r="GN69">
        <v>68.912800000000004</v>
      </c>
      <c r="GO69">
        <v>102.236</v>
      </c>
      <c r="GP69">
        <v>96.507499999999993</v>
      </c>
    </row>
    <row r="70" spans="1:198" x14ac:dyDescent="0.35">
      <c r="A70">
        <v>54</v>
      </c>
      <c r="B70">
        <v>1775484219</v>
      </c>
      <c r="C70">
        <v>3180.5</v>
      </c>
      <c r="D70" t="s">
        <v>493</v>
      </c>
      <c r="E70" t="s">
        <v>494</v>
      </c>
      <c r="F70">
        <v>60</v>
      </c>
      <c r="G70">
        <v>1775484211</v>
      </c>
      <c r="H70">
        <f t="shared" si="0"/>
        <v>2.7459933969491922E-3</v>
      </c>
      <c r="I70">
        <f t="shared" si="1"/>
        <v>2.7459933969491921</v>
      </c>
      <c r="J70">
        <f t="shared" si="2"/>
        <v>1.1554744787783482</v>
      </c>
      <c r="K70">
        <f t="shared" si="3"/>
        <v>15.36794516129032</v>
      </c>
      <c r="L70">
        <f t="shared" si="4"/>
        <v>-10.106123520936659</v>
      </c>
      <c r="M70">
        <f t="shared" si="5"/>
        <v>-1.0138912730467018</v>
      </c>
      <c r="N70">
        <f t="shared" si="6"/>
        <v>1.5417806294780394</v>
      </c>
      <c r="O70">
        <f t="shared" si="7"/>
        <v>7.4102322057897282E-2</v>
      </c>
      <c r="P70">
        <f t="shared" si="8"/>
        <v>2.3931881820612575</v>
      </c>
      <c r="Q70">
        <f t="shared" si="9"/>
        <v>7.2850833065543519E-2</v>
      </c>
      <c r="R70">
        <f t="shared" si="10"/>
        <v>4.5642451428645169E-2</v>
      </c>
      <c r="S70">
        <f t="shared" si="11"/>
        <v>0</v>
      </c>
      <c r="T70">
        <f t="shared" si="12"/>
        <v>26.442865096569971</v>
      </c>
      <c r="U70">
        <f t="shared" si="13"/>
        <v>27.39183870967743</v>
      </c>
      <c r="V70">
        <f t="shared" si="14"/>
        <v>3.6623613060045659</v>
      </c>
      <c r="W70">
        <f t="shared" si="15"/>
        <v>-1.4037630573383821</v>
      </c>
      <c r="X70">
        <f t="shared" si="16"/>
        <v>-5.114581507063401E-2</v>
      </c>
      <c r="Y70">
        <f t="shared" si="17"/>
        <v>3.6434792042190867</v>
      </c>
      <c r="Z70">
        <f t="shared" si="18"/>
        <v>3.7135071210752</v>
      </c>
      <c r="AA70">
        <f t="shared" si="19"/>
        <v>-121.09830880545938</v>
      </c>
      <c r="AB70">
        <f t="shared" si="20"/>
        <v>-11.384696087147198</v>
      </c>
      <c r="AC70">
        <f t="shared" si="21"/>
        <v>-1.0302172677550001</v>
      </c>
      <c r="AD70">
        <f t="shared" si="22"/>
        <v>-133.51322216036158</v>
      </c>
      <c r="AE70">
        <v>14</v>
      </c>
      <c r="AF70">
        <v>3</v>
      </c>
      <c r="AG70">
        <f t="shared" si="23"/>
        <v>1</v>
      </c>
      <c r="AH70">
        <f t="shared" si="24"/>
        <v>0</v>
      </c>
      <c r="AI70">
        <f t="shared" si="25"/>
        <v>25564.340905030236</v>
      </c>
      <c r="AJ70">
        <f t="shared" si="26"/>
        <v>0</v>
      </c>
      <c r="AK70">
        <f t="shared" si="27"/>
        <v>0</v>
      </c>
      <c r="AL70">
        <f t="shared" si="28"/>
        <v>0</v>
      </c>
      <c r="AM70">
        <f t="shared" si="29"/>
        <v>0</v>
      </c>
      <c r="AN70">
        <v>3</v>
      </c>
      <c r="AO70">
        <v>0.5</v>
      </c>
      <c r="AP70" t="s">
        <v>331</v>
      </c>
      <c r="AQ70">
        <v>2</v>
      </c>
      <c r="AR70">
        <v>1775484211</v>
      </c>
      <c r="AS70">
        <v>15.36794516129032</v>
      </c>
      <c r="AT70">
        <v>16.086532258064519</v>
      </c>
      <c r="AU70">
        <v>-0.50980409677419358</v>
      </c>
      <c r="AV70">
        <v>-2.1581993548387102</v>
      </c>
      <c r="AW70">
        <v>7.3619451612903237</v>
      </c>
      <c r="AX70">
        <v>0.47946690322580632</v>
      </c>
      <c r="AY70">
        <v>500.01235483870971</v>
      </c>
      <c r="AZ70">
        <v>100.28038709677421</v>
      </c>
      <c r="BA70">
        <v>4.4061832258064523E-2</v>
      </c>
      <c r="BB70">
        <v>27.303599999999989</v>
      </c>
      <c r="BC70">
        <v>27.39183870967743</v>
      </c>
      <c r="BD70">
        <v>999.90000000000032</v>
      </c>
      <c r="BE70">
        <v>0</v>
      </c>
      <c r="BF70">
        <v>0</v>
      </c>
      <c r="BG70">
        <v>4999.2741935483873</v>
      </c>
      <c r="BH70">
        <v>0.37307238709677432</v>
      </c>
      <c r="BI70">
        <v>0.23331922580645159</v>
      </c>
      <c r="BJ70">
        <v>-0.69371158064516136</v>
      </c>
      <c r="BK70">
        <v>15.384970967741941</v>
      </c>
      <c r="BL70">
        <v>16.051883870967739</v>
      </c>
      <c r="BM70">
        <v>1.648396774193549</v>
      </c>
      <c r="BN70">
        <v>16.086532258064519</v>
      </c>
      <c r="BO70">
        <v>-2.1581993548387102</v>
      </c>
      <c r="BP70">
        <v>-5.112334838709677E-2</v>
      </c>
      <c r="BQ70">
        <v>-0.2164251612903226</v>
      </c>
      <c r="BR70">
        <v>-99.900000000000034</v>
      </c>
      <c r="BS70">
        <v>-99.900000000000034</v>
      </c>
      <c r="BT70">
        <v>0</v>
      </c>
      <c r="BU70">
        <v>0</v>
      </c>
      <c r="BV70">
        <v>0</v>
      </c>
      <c r="BW70">
        <v>26</v>
      </c>
      <c r="BX70">
        <v>-1</v>
      </c>
      <c r="BY70">
        <v>1775484236</v>
      </c>
      <c r="BZ70" t="s">
        <v>495</v>
      </c>
      <c r="CA70">
        <v>1775484236</v>
      </c>
      <c r="CB70">
        <v>1775480969.5</v>
      </c>
      <c r="CC70">
        <v>55</v>
      </c>
      <c r="CD70">
        <v>-2.4E-2</v>
      </c>
      <c r="CE70">
        <v>0.19500000000000001</v>
      </c>
      <c r="CF70">
        <v>8.0060000000000002</v>
      </c>
      <c r="CG70">
        <v>-0.98899999999999999</v>
      </c>
      <c r="CH70">
        <v>16</v>
      </c>
      <c r="CI70">
        <v>-3</v>
      </c>
      <c r="CJ70">
        <v>0.19</v>
      </c>
      <c r="CK70">
        <v>0.06</v>
      </c>
      <c r="CL70">
        <v>16.030441666666668</v>
      </c>
      <c r="CM70">
        <v>0.41848124479025017</v>
      </c>
      <c r="CN70">
        <v>6.3339530288929372E-2</v>
      </c>
      <c r="CO70">
        <v>-1</v>
      </c>
      <c r="CP70">
        <v>500.00025000000011</v>
      </c>
      <c r="CQ70">
        <v>8.3023061997918881E-4</v>
      </c>
      <c r="CR70">
        <v>6.455556392235294E-2</v>
      </c>
      <c r="CS70">
        <v>-1</v>
      </c>
      <c r="CT70">
        <v>0</v>
      </c>
      <c r="CU70">
        <v>0</v>
      </c>
      <c r="CV70" t="s">
        <v>333</v>
      </c>
      <c r="CW70">
        <v>3.1676099999999998</v>
      </c>
      <c r="CX70">
        <v>2.6654800000000001</v>
      </c>
      <c r="CY70">
        <v>2.2151200000000001E-3</v>
      </c>
      <c r="CZ70">
        <v>4.8249199999999999E-3</v>
      </c>
      <c r="DA70">
        <v>3.9088300000000003E-3</v>
      </c>
      <c r="DB70">
        <v>-2.0236299999999999E-2</v>
      </c>
      <c r="DC70">
        <v>21532.5</v>
      </c>
      <c r="DD70">
        <v>21858</v>
      </c>
      <c r="DE70">
        <v>23109.1</v>
      </c>
      <c r="DF70">
        <v>22317.5</v>
      </c>
      <c r="DG70">
        <v>29684.9</v>
      </c>
      <c r="DH70">
        <v>27152.2</v>
      </c>
      <c r="DI70">
        <v>40616</v>
      </c>
      <c r="DJ70">
        <v>36984.9</v>
      </c>
      <c r="DK70">
        <v>2.0821000000000001</v>
      </c>
      <c r="DL70">
        <v>1.8014399999999999</v>
      </c>
      <c r="DM70">
        <v>1.78754E-2</v>
      </c>
      <c r="DN70">
        <v>0</v>
      </c>
      <c r="DO70">
        <v>27.102799999999998</v>
      </c>
      <c r="DP70">
        <v>999.9</v>
      </c>
      <c r="DQ70">
        <v>78.5</v>
      </c>
      <c r="DR70">
        <v>29.1</v>
      </c>
      <c r="DS70">
        <v>31.665800000000001</v>
      </c>
      <c r="DT70">
        <v>30.505500000000001</v>
      </c>
      <c r="DU70">
        <v>9.5152199999999993</v>
      </c>
      <c r="DV70">
        <v>1</v>
      </c>
      <c r="DW70">
        <v>0.22706299999999999</v>
      </c>
      <c r="DX70">
        <v>-6.8912899999999999E-2</v>
      </c>
      <c r="DY70">
        <v>20.368099999999998</v>
      </c>
      <c r="DZ70">
        <v>5.2110599999999998</v>
      </c>
      <c r="EA70">
        <v>11.8482</v>
      </c>
      <c r="EB70">
        <v>4.9676799999999997</v>
      </c>
      <c r="EC70">
        <v>3.2922600000000002</v>
      </c>
      <c r="ED70">
        <v>894.7</v>
      </c>
      <c r="EE70">
        <v>0</v>
      </c>
      <c r="EF70">
        <v>5575.4</v>
      </c>
      <c r="EG70">
        <v>109.7</v>
      </c>
      <c r="EH70">
        <v>4.9716399999999998</v>
      </c>
      <c r="EI70">
        <v>1.8717999999999999</v>
      </c>
      <c r="EJ70">
        <v>1.8689100000000001</v>
      </c>
      <c r="EK70">
        <v>1.8713500000000001</v>
      </c>
      <c r="EL70">
        <v>1.86913</v>
      </c>
      <c r="EM70">
        <v>1.8680699999999999</v>
      </c>
      <c r="EN70">
        <v>1.8699300000000001</v>
      </c>
      <c r="EO70">
        <v>1.8716699999999999</v>
      </c>
      <c r="EP70">
        <v>0</v>
      </c>
      <c r="EQ70">
        <v>0</v>
      </c>
      <c r="ER70">
        <v>0</v>
      </c>
      <c r="ES70">
        <v>0</v>
      </c>
      <c r="ET70" t="s">
        <v>334</v>
      </c>
      <c r="EU70" t="s">
        <v>335</v>
      </c>
      <c r="EV70" t="s">
        <v>336</v>
      </c>
      <c r="EW70" t="s">
        <v>336</v>
      </c>
      <c r="EX70" t="s">
        <v>336</v>
      </c>
      <c r="EY70" t="s">
        <v>336</v>
      </c>
      <c r="EZ70">
        <v>0</v>
      </c>
      <c r="FA70">
        <v>100</v>
      </c>
      <c r="FB70">
        <v>100</v>
      </c>
      <c r="FC70">
        <v>8.0060000000000002</v>
      </c>
      <c r="FD70">
        <v>-0.98929999999999996</v>
      </c>
      <c r="FE70">
        <v>8.0308755000000005</v>
      </c>
      <c r="FF70">
        <v>0</v>
      </c>
      <c r="FG70">
        <v>0</v>
      </c>
      <c r="FH70">
        <v>0</v>
      </c>
      <c r="FI70">
        <v>-0.98927100000000023</v>
      </c>
      <c r="FJ70">
        <v>0</v>
      </c>
      <c r="FK70">
        <v>0</v>
      </c>
      <c r="FL70">
        <v>0</v>
      </c>
      <c r="FM70">
        <v>-1</v>
      </c>
      <c r="FN70">
        <v>-1</v>
      </c>
      <c r="FO70">
        <v>-1</v>
      </c>
      <c r="FP70">
        <v>-1</v>
      </c>
      <c r="FQ70">
        <v>0.7</v>
      </c>
      <c r="FR70">
        <v>54.2</v>
      </c>
      <c r="FS70">
        <v>0.142822</v>
      </c>
      <c r="FT70">
        <v>4.99756</v>
      </c>
      <c r="FU70">
        <v>1.5979000000000001</v>
      </c>
      <c r="FV70">
        <v>2.1581999999999999</v>
      </c>
      <c r="FW70">
        <v>1.5478499999999999</v>
      </c>
      <c r="FX70">
        <v>2.4438499999999999</v>
      </c>
      <c r="FY70">
        <v>33.670499999999997</v>
      </c>
      <c r="FZ70">
        <v>16.084599999999998</v>
      </c>
      <c r="GA70">
        <v>3</v>
      </c>
      <c r="GB70">
        <v>496.81200000000001</v>
      </c>
      <c r="GC70">
        <v>408.20299999999997</v>
      </c>
      <c r="GD70">
        <v>27.827300000000001</v>
      </c>
      <c r="GE70">
        <v>30.076699999999999</v>
      </c>
      <c r="GF70">
        <v>30.0001</v>
      </c>
      <c r="GG70">
        <v>30.383700000000001</v>
      </c>
      <c r="GH70">
        <v>30.435199999999998</v>
      </c>
      <c r="GI70">
        <v>-1</v>
      </c>
      <c r="GJ70">
        <v>0</v>
      </c>
      <c r="GK70">
        <v>100</v>
      </c>
      <c r="GL70">
        <v>27.823499999999999</v>
      </c>
      <c r="GM70">
        <v>432.1</v>
      </c>
      <c r="GN70">
        <v>68.912800000000004</v>
      </c>
      <c r="GO70">
        <v>102.23399999999999</v>
      </c>
      <c r="GP70">
        <v>96.508200000000002</v>
      </c>
    </row>
    <row r="71" spans="1:198" x14ac:dyDescent="0.35">
      <c r="A71">
        <v>55</v>
      </c>
      <c r="B71">
        <v>1775484279</v>
      </c>
      <c r="C71">
        <v>3240.5</v>
      </c>
      <c r="D71" t="s">
        <v>496</v>
      </c>
      <c r="E71" t="s">
        <v>497</v>
      </c>
      <c r="F71">
        <v>60</v>
      </c>
      <c r="G71">
        <v>1775484271</v>
      </c>
      <c r="H71">
        <f t="shared" si="0"/>
        <v>2.7168564341785873E-3</v>
      </c>
      <c r="I71">
        <f t="shared" si="1"/>
        <v>2.7168564341785872</v>
      </c>
      <c r="J71">
        <f t="shared" si="2"/>
        <v>1.0345493836775297</v>
      </c>
      <c r="K71">
        <f t="shared" si="3"/>
        <v>15.6813464516129</v>
      </c>
      <c r="L71">
        <f t="shared" si="4"/>
        <v>-7.4638395191478235</v>
      </c>
      <c r="M71">
        <f t="shared" si="5"/>
        <v>-0.74880373263550204</v>
      </c>
      <c r="N71">
        <f t="shared" si="6"/>
        <v>1.5732185459768411</v>
      </c>
      <c r="O71">
        <f t="shared" si="7"/>
        <v>7.3340965592236435E-2</v>
      </c>
      <c r="P71">
        <f t="shared" si="8"/>
        <v>2.3943946615214933</v>
      </c>
      <c r="Q71">
        <f t="shared" si="9"/>
        <v>7.2115438392900882E-2</v>
      </c>
      <c r="R71">
        <f t="shared" si="10"/>
        <v>4.5180551942410996E-2</v>
      </c>
      <c r="S71">
        <f t="shared" si="11"/>
        <v>0</v>
      </c>
      <c r="T71">
        <f t="shared" si="12"/>
        <v>26.442539535302821</v>
      </c>
      <c r="U71">
        <f t="shared" si="13"/>
        <v>27.37766451612903</v>
      </c>
      <c r="V71">
        <f t="shared" si="14"/>
        <v>3.6593224411765131</v>
      </c>
      <c r="W71">
        <f t="shared" si="15"/>
        <v>-1.4367699083424987</v>
      </c>
      <c r="X71">
        <f t="shared" si="16"/>
        <v>-5.2318219438318103E-2</v>
      </c>
      <c r="Y71">
        <f t="shared" si="17"/>
        <v>3.6413777275356489</v>
      </c>
      <c r="Z71">
        <f t="shared" si="18"/>
        <v>3.7116406606148313</v>
      </c>
      <c r="AA71">
        <f t="shared" si="19"/>
        <v>-119.8133687472757</v>
      </c>
      <c r="AB71">
        <f t="shared" si="20"/>
        <v>-10.831615384033217</v>
      </c>
      <c r="AC71">
        <f t="shared" si="21"/>
        <v>-0.97955681118987126</v>
      </c>
      <c r="AD71">
        <f t="shared" si="22"/>
        <v>-131.62454094249878</v>
      </c>
      <c r="AE71">
        <v>14</v>
      </c>
      <c r="AF71">
        <v>3</v>
      </c>
      <c r="AG71">
        <f t="shared" si="23"/>
        <v>1</v>
      </c>
      <c r="AH71">
        <f t="shared" si="24"/>
        <v>0</v>
      </c>
      <c r="AI71">
        <f t="shared" si="25"/>
        <v>25583.533546932773</v>
      </c>
      <c r="AJ71">
        <f t="shared" si="26"/>
        <v>0</v>
      </c>
      <c r="AK71">
        <f t="shared" si="27"/>
        <v>0</v>
      </c>
      <c r="AL71">
        <f t="shared" si="28"/>
        <v>0</v>
      </c>
      <c r="AM71">
        <f t="shared" si="29"/>
        <v>0</v>
      </c>
      <c r="AN71">
        <v>3</v>
      </c>
      <c r="AO71">
        <v>0.5</v>
      </c>
      <c r="AP71" t="s">
        <v>331</v>
      </c>
      <c r="AQ71">
        <v>2</v>
      </c>
      <c r="AR71">
        <v>1775484271</v>
      </c>
      <c r="AS71">
        <v>15.6813464516129</v>
      </c>
      <c r="AT71">
        <v>16.327612903225809</v>
      </c>
      <c r="AU71">
        <v>-0.52149151612903233</v>
      </c>
      <c r="AV71">
        <v>-2.1523909677419351</v>
      </c>
      <c r="AW71">
        <v>7.6803464516129036</v>
      </c>
      <c r="AX71">
        <v>0.46777948387096779</v>
      </c>
      <c r="AY71">
        <v>500.01977419354841</v>
      </c>
      <c r="AZ71">
        <v>100.2801935483871</v>
      </c>
      <c r="BA71">
        <v>4.4006980645161287E-2</v>
      </c>
      <c r="BB71">
        <v>27.293754838709681</v>
      </c>
      <c r="BC71">
        <v>27.37766451612903</v>
      </c>
      <c r="BD71">
        <v>999.90000000000032</v>
      </c>
      <c r="BE71">
        <v>0</v>
      </c>
      <c r="BF71">
        <v>0</v>
      </c>
      <c r="BG71">
        <v>5002.3870967741932</v>
      </c>
      <c r="BH71">
        <v>0.38543358064516142</v>
      </c>
      <c r="BI71">
        <v>0.23331922580645159</v>
      </c>
      <c r="BJ71">
        <v>-0.6407704193548388</v>
      </c>
      <c r="BK71">
        <v>15.678654838709679</v>
      </c>
      <c r="BL71">
        <v>16.292538709677419</v>
      </c>
      <c r="BM71">
        <v>1.6308980645161291</v>
      </c>
      <c r="BN71">
        <v>16.327612903225809</v>
      </c>
      <c r="BO71">
        <v>-2.1523909677419351</v>
      </c>
      <c r="BP71">
        <v>-5.2295235483870967E-2</v>
      </c>
      <c r="BQ71">
        <v>-0.2158420322580645</v>
      </c>
      <c r="BR71">
        <v>-99.900000000000034</v>
      </c>
      <c r="BS71">
        <v>-99.900000000000034</v>
      </c>
      <c r="BT71">
        <v>0</v>
      </c>
      <c r="BU71">
        <v>0</v>
      </c>
      <c r="BV71">
        <v>0</v>
      </c>
      <c r="BW71">
        <v>26</v>
      </c>
      <c r="BX71">
        <v>-1</v>
      </c>
      <c r="BY71">
        <v>1775484295</v>
      </c>
      <c r="BZ71" t="s">
        <v>498</v>
      </c>
      <c r="CA71">
        <v>1775484295</v>
      </c>
      <c r="CB71">
        <v>1775480969.5</v>
      </c>
      <c r="CC71">
        <v>56</v>
      </c>
      <c r="CD71">
        <v>-6.0000000000000001E-3</v>
      </c>
      <c r="CE71">
        <v>0.19500000000000001</v>
      </c>
      <c r="CF71">
        <v>8.0009999999999994</v>
      </c>
      <c r="CG71">
        <v>-0.98899999999999999</v>
      </c>
      <c r="CH71">
        <v>16</v>
      </c>
      <c r="CI71">
        <v>-3</v>
      </c>
      <c r="CJ71">
        <v>0.19</v>
      </c>
      <c r="CK71">
        <v>0.06</v>
      </c>
      <c r="CL71">
        <v>16.29269508196721</v>
      </c>
      <c r="CM71">
        <v>4.4317503966156579E-2</v>
      </c>
      <c r="CN71">
        <v>0.12988185984500131</v>
      </c>
      <c r="CO71">
        <v>-1</v>
      </c>
      <c r="CP71">
        <v>500.00419672131142</v>
      </c>
      <c r="CQ71">
        <v>8.4685351665632819E-2</v>
      </c>
      <c r="CR71">
        <v>4.5171011911613948E-2</v>
      </c>
      <c r="CS71">
        <v>-1</v>
      </c>
      <c r="CT71">
        <v>0</v>
      </c>
      <c r="CU71">
        <v>0</v>
      </c>
      <c r="CV71" t="s">
        <v>333</v>
      </c>
      <c r="CW71">
        <v>3.1673900000000001</v>
      </c>
      <c r="CX71">
        <v>2.6654900000000001</v>
      </c>
      <c r="CY71">
        <v>2.27348E-3</v>
      </c>
      <c r="CZ71">
        <v>4.8405799999999997E-3</v>
      </c>
      <c r="DA71">
        <v>3.8136099999999998E-3</v>
      </c>
      <c r="DB71">
        <v>-2.0222299999999999E-2</v>
      </c>
      <c r="DC71">
        <v>21531</v>
      </c>
      <c r="DD71">
        <v>21857.4</v>
      </c>
      <c r="DE71">
        <v>23108.9</v>
      </c>
      <c r="DF71">
        <v>22317.3</v>
      </c>
      <c r="DG71">
        <v>29687.8</v>
      </c>
      <c r="DH71">
        <v>27151.5</v>
      </c>
      <c r="DI71">
        <v>40616.1</v>
      </c>
      <c r="DJ71">
        <v>36984.5</v>
      </c>
      <c r="DK71">
        <v>2.0817999999999999</v>
      </c>
      <c r="DL71">
        <v>1.80162</v>
      </c>
      <c r="DM71">
        <v>1.7482000000000001E-2</v>
      </c>
      <c r="DN71">
        <v>0</v>
      </c>
      <c r="DO71">
        <v>27.094899999999999</v>
      </c>
      <c r="DP71">
        <v>999.9</v>
      </c>
      <c r="DQ71">
        <v>78.5</v>
      </c>
      <c r="DR71">
        <v>29.1</v>
      </c>
      <c r="DS71">
        <v>31.6661</v>
      </c>
      <c r="DT71">
        <v>30.535499999999999</v>
      </c>
      <c r="DU71">
        <v>9.6073699999999995</v>
      </c>
      <c r="DV71">
        <v>1</v>
      </c>
      <c r="DW71">
        <v>0.22695699999999999</v>
      </c>
      <c r="DX71">
        <v>-0.13159899999999999</v>
      </c>
      <c r="DY71">
        <v>20.367799999999999</v>
      </c>
      <c r="DZ71">
        <v>5.2114200000000004</v>
      </c>
      <c r="EA71">
        <v>11.849399999999999</v>
      </c>
      <c r="EB71">
        <v>4.9676799999999997</v>
      </c>
      <c r="EC71">
        <v>3.2920799999999999</v>
      </c>
      <c r="ED71">
        <v>894.7</v>
      </c>
      <c r="EE71">
        <v>0</v>
      </c>
      <c r="EF71">
        <v>5606.3</v>
      </c>
      <c r="EG71">
        <v>109.7</v>
      </c>
      <c r="EH71">
        <v>4.9715999999999996</v>
      </c>
      <c r="EI71">
        <v>1.8717999999999999</v>
      </c>
      <c r="EJ71">
        <v>1.8689</v>
      </c>
      <c r="EK71">
        <v>1.8713500000000001</v>
      </c>
      <c r="EL71">
        <v>1.8690899999999999</v>
      </c>
      <c r="EM71">
        <v>1.8680600000000001</v>
      </c>
      <c r="EN71">
        <v>1.8698900000000001</v>
      </c>
      <c r="EO71">
        <v>1.8716600000000001</v>
      </c>
      <c r="EP71">
        <v>0</v>
      </c>
      <c r="EQ71">
        <v>0</v>
      </c>
      <c r="ER71">
        <v>0</v>
      </c>
      <c r="ES71">
        <v>0</v>
      </c>
      <c r="ET71" t="s">
        <v>334</v>
      </c>
      <c r="EU71" t="s">
        <v>335</v>
      </c>
      <c r="EV71" t="s">
        <v>336</v>
      </c>
      <c r="EW71" t="s">
        <v>336</v>
      </c>
      <c r="EX71" t="s">
        <v>336</v>
      </c>
      <c r="EY71" t="s">
        <v>336</v>
      </c>
      <c r="EZ71">
        <v>0</v>
      </c>
      <c r="FA71">
        <v>100</v>
      </c>
      <c r="FB71">
        <v>100</v>
      </c>
      <c r="FC71">
        <v>8.0009999999999994</v>
      </c>
      <c r="FD71">
        <v>-0.98929999999999996</v>
      </c>
      <c r="FE71">
        <v>8.0064894999999972</v>
      </c>
      <c r="FF71">
        <v>0</v>
      </c>
      <c r="FG71">
        <v>0</v>
      </c>
      <c r="FH71">
        <v>0</v>
      </c>
      <c r="FI71">
        <v>-0.98927100000000023</v>
      </c>
      <c r="FJ71">
        <v>0</v>
      </c>
      <c r="FK71">
        <v>0</v>
      </c>
      <c r="FL71">
        <v>0</v>
      </c>
      <c r="FM71">
        <v>-1</v>
      </c>
      <c r="FN71">
        <v>-1</v>
      </c>
      <c r="FO71">
        <v>-1</v>
      </c>
      <c r="FP71">
        <v>-1</v>
      </c>
      <c r="FQ71">
        <v>0.7</v>
      </c>
      <c r="FR71">
        <v>55.2</v>
      </c>
      <c r="FS71">
        <v>0.142822</v>
      </c>
      <c r="FT71">
        <v>4.99756</v>
      </c>
      <c r="FU71">
        <v>1.5979000000000001</v>
      </c>
      <c r="FV71">
        <v>2.1581999999999999</v>
      </c>
      <c r="FW71">
        <v>1.5478499999999999</v>
      </c>
      <c r="FX71">
        <v>2.4462899999999999</v>
      </c>
      <c r="FY71">
        <v>33.692999999999998</v>
      </c>
      <c r="FZ71">
        <v>16.084599999999998</v>
      </c>
      <c r="GA71">
        <v>3</v>
      </c>
      <c r="GB71">
        <v>496.61700000000002</v>
      </c>
      <c r="GC71">
        <v>408.291</v>
      </c>
      <c r="GD71">
        <v>27.857099999999999</v>
      </c>
      <c r="GE71">
        <v>30.074200000000001</v>
      </c>
      <c r="GF71">
        <v>30.0001</v>
      </c>
      <c r="GG71">
        <v>30.3811</v>
      </c>
      <c r="GH71">
        <v>30.432700000000001</v>
      </c>
      <c r="GI71">
        <v>-1</v>
      </c>
      <c r="GJ71">
        <v>0</v>
      </c>
      <c r="GK71">
        <v>100</v>
      </c>
      <c r="GL71">
        <v>27.860199999999999</v>
      </c>
      <c r="GM71">
        <v>432.1</v>
      </c>
      <c r="GN71">
        <v>68.912800000000004</v>
      </c>
      <c r="GO71">
        <v>102.23399999999999</v>
      </c>
      <c r="GP71">
        <v>96.507300000000001</v>
      </c>
    </row>
    <row r="72" spans="1:198" x14ac:dyDescent="0.35">
      <c r="A72">
        <v>56</v>
      </c>
      <c r="B72">
        <v>1775484339</v>
      </c>
      <c r="C72">
        <v>3300.5</v>
      </c>
      <c r="D72" t="s">
        <v>499</v>
      </c>
      <c r="E72" t="s">
        <v>500</v>
      </c>
      <c r="F72">
        <v>60</v>
      </c>
      <c r="G72">
        <v>1775484331</v>
      </c>
      <c r="H72">
        <f t="shared" si="0"/>
        <v>2.7330384602024301E-3</v>
      </c>
      <c r="I72">
        <f t="shared" si="1"/>
        <v>2.73303846020243</v>
      </c>
      <c r="J72">
        <f t="shared" si="2"/>
        <v>0.71977207399442189</v>
      </c>
      <c r="K72">
        <f t="shared" si="3"/>
        <v>15.384193225806451</v>
      </c>
      <c r="L72">
        <f t="shared" si="4"/>
        <v>-0.8879366428112152</v>
      </c>
      <c r="M72">
        <f t="shared" si="5"/>
        <v>-8.9082069178977458E-2</v>
      </c>
      <c r="N72">
        <f t="shared" si="6"/>
        <v>1.5434161618391731</v>
      </c>
      <c r="O72">
        <f t="shared" si="7"/>
        <v>7.3786488119026314E-2</v>
      </c>
      <c r="P72">
        <f t="shared" si="8"/>
        <v>2.3935079867836384</v>
      </c>
      <c r="Q72">
        <f t="shared" si="9"/>
        <v>7.2545710919836567E-2</v>
      </c>
      <c r="R72">
        <f t="shared" si="10"/>
        <v>4.5450810271980356E-2</v>
      </c>
      <c r="S72">
        <f t="shared" si="11"/>
        <v>0</v>
      </c>
      <c r="T72">
        <f t="shared" si="12"/>
        <v>26.443228109806871</v>
      </c>
      <c r="U72">
        <f t="shared" si="13"/>
        <v>27.385048387096781</v>
      </c>
      <c r="V72">
        <f t="shared" si="14"/>
        <v>3.6609052255436376</v>
      </c>
      <c r="W72">
        <f t="shared" si="15"/>
        <v>-1.3907153431388344</v>
      </c>
      <c r="X72">
        <f t="shared" si="16"/>
        <v>-5.0659142197050734E-2</v>
      </c>
      <c r="Y72">
        <f t="shared" si="17"/>
        <v>3.6426679583985475</v>
      </c>
      <c r="Z72">
        <f t="shared" si="18"/>
        <v>3.7115643677406882</v>
      </c>
      <c r="AA72">
        <f t="shared" si="19"/>
        <v>-120.52699609492717</v>
      </c>
      <c r="AB72">
        <f t="shared" si="20"/>
        <v>-11.000349793142751</v>
      </c>
      <c r="AC72">
        <f t="shared" si="21"/>
        <v>-0.9952515812443602</v>
      </c>
      <c r="AD72">
        <f t="shared" si="22"/>
        <v>-132.52259746931429</v>
      </c>
      <c r="AE72">
        <v>14</v>
      </c>
      <c r="AF72">
        <v>3</v>
      </c>
      <c r="AG72">
        <f t="shared" si="23"/>
        <v>1</v>
      </c>
      <c r="AH72">
        <f t="shared" si="24"/>
        <v>0</v>
      </c>
      <c r="AI72">
        <f t="shared" si="25"/>
        <v>25569.514572606822</v>
      </c>
      <c r="AJ72">
        <f t="shared" si="26"/>
        <v>0</v>
      </c>
      <c r="AK72">
        <f t="shared" si="27"/>
        <v>0</v>
      </c>
      <c r="AL72">
        <f t="shared" si="28"/>
        <v>0</v>
      </c>
      <c r="AM72">
        <f t="shared" si="29"/>
        <v>0</v>
      </c>
      <c r="AN72">
        <v>3</v>
      </c>
      <c r="AO72">
        <v>0.5</v>
      </c>
      <c r="AP72" t="s">
        <v>331</v>
      </c>
      <c r="AQ72">
        <v>2</v>
      </c>
      <c r="AR72">
        <v>1775484331</v>
      </c>
      <c r="AS72">
        <v>15.384193225806451</v>
      </c>
      <c r="AT72">
        <v>15.841254838709681</v>
      </c>
      <c r="AU72">
        <v>-0.50495132258064523</v>
      </c>
      <c r="AV72">
        <v>-2.145498387096775</v>
      </c>
      <c r="AW72">
        <v>7.364193225806452</v>
      </c>
      <c r="AX72">
        <v>0.48431967741935478</v>
      </c>
      <c r="AY72">
        <v>500.03170967741931</v>
      </c>
      <c r="AZ72">
        <v>100.2807096774194</v>
      </c>
      <c r="BA72">
        <v>4.4093787096774188E-2</v>
      </c>
      <c r="BB72">
        <v>27.299799999999991</v>
      </c>
      <c r="BC72">
        <v>27.385048387096781</v>
      </c>
      <c r="BD72">
        <v>999.90000000000032</v>
      </c>
      <c r="BE72">
        <v>0</v>
      </c>
      <c r="BF72">
        <v>0</v>
      </c>
      <c r="BG72">
        <v>5000.0806451612907</v>
      </c>
      <c r="BH72">
        <v>0.39070409677419349</v>
      </c>
      <c r="BI72">
        <v>0.22961599999999999</v>
      </c>
      <c r="BJ72">
        <v>-0.47613267741935489</v>
      </c>
      <c r="BK72">
        <v>15.35736774193548</v>
      </c>
      <c r="BL72">
        <v>15.80732580645161</v>
      </c>
      <c r="BM72">
        <v>1.6405474193548391</v>
      </c>
      <c r="BN72">
        <v>15.841254838709681</v>
      </c>
      <c r="BO72">
        <v>-2.145498387096775</v>
      </c>
      <c r="BP72">
        <v>-5.0636858064516128E-2</v>
      </c>
      <c r="BQ72">
        <v>-0.21515203225806451</v>
      </c>
      <c r="BR72">
        <v>-99.900000000000034</v>
      </c>
      <c r="BS72">
        <v>-99.900000000000034</v>
      </c>
      <c r="BT72">
        <v>0</v>
      </c>
      <c r="BU72">
        <v>0</v>
      </c>
      <c r="BV72">
        <v>0</v>
      </c>
      <c r="BW72">
        <v>26</v>
      </c>
      <c r="BX72">
        <v>-0.98494638709677429</v>
      </c>
      <c r="BY72">
        <v>1775484357</v>
      </c>
      <c r="BZ72" t="s">
        <v>501</v>
      </c>
      <c r="CA72">
        <v>1775484357</v>
      </c>
      <c r="CB72">
        <v>1775480969.5</v>
      </c>
      <c r="CC72">
        <v>57</v>
      </c>
      <c r="CD72">
        <v>1.9E-2</v>
      </c>
      <c r="CE72">
        <v>0.19500000000000001</v>
      </c>
      <c r="CF72">
        <v>8.02</v>
      </c>
      <c r="CG72">
        <v>-0.98899999999999999</v>
      </c>
      <c r="CH72">
        <v>16</v>
      </c>
      <c r="CI72">
        <v>-3</v>
      </c>
      <c r="CJ72">
        <v>0.26</v>
      </c>
      <c r="CK72">
        <v>0.06</v>
      </c>
      <c r="CL72">
        <v>16.06332950819672</v>
      </c>
      <c r="CM72">
        <v>-1.585835219460604</v>
      </c>
      <c r="CN72">
        <v>0.24945668591092091</v>
      </c>
      <c r="CO72">
        <v>-1</v>
      </c>
      <c r="CP72">
        <v>500.00498360655752</v>
      </c>
      <c r="CQ72">
        <v>0.20365732416606519</v>
      </c>
      <c r="CR72">
        <v>8.7413937404551875E-2</v>
      </c>
      <c r="CS72">
        <v>-1</v>
      </c>
      <c r="CT72">
        <v>0</v>
      </c>
      <c r="CU72">
        <v>0</v>
      </c>
      <c r="CV72" t="s">
        <v>333</v>
      </c>
      <c r="CW72">
        <v>3.1676000000000002</v>
      </c>
      <c r="CX72">
        <v>2.6656599999999999</v>
      </c>
      <c r="CY72">
        <v>2.1614099999999999E-3</v>
      </c>
      <c r="CZ72">
        <v>4.73509E-3</v>
      </c>
      <c r="DA72">
        <v>3.9492399999999997E-3</v>
      </c>
      <c r="DB72">
        <v>-2.0132199999999999E-2</v>
      </c>
      <c r="DC72">
        <v>21533.4</v>
      </c>
      <c r="DD72">
        <v>21860.1</v>
      </c>
      <c r="DE72">
        <v>23108.9</v>
      </c>
      <c r="DF72">
        <v>22317.7</v>
      </c>
      <c r="DG72">
        <v>29683.599999999999</v>
      </c>
      <c r="DH72">
        <v>27149.9</v>
      </c>
      <c r="DI72">
        <v>40615.800000000003</v>
      </c>
      <c r="DJ72">
        <v>36985.5</v>
      </c>
      <c r="DK72">
        <v>2.0823399999999999</v>
      </c>
      <c r="DL72">
        <v>1.8012600000000001</v>
      </c>
      <c r="DM72">
        <v>1.7857600000000001E-2</v>
      </c>
      <c r="DN72">
        <v>0</v>
      </c>
      <c r="DO72">
        <v>27.094200000000001</v>
      </c>
      <c r="DP72">
        <v>999.9</v>
      </c>
      <c r="DQ72">
        <v>78.400000000000006</v>
      </c>
      <c r="DR72">
        <v>29.1</v>
      </c>
      <c r="DS72">
        <v>31.6251</v>
      </c>
      <c r="DT72">
        <v>30.325500000000002</v>
      </c>
      <c r="DU72">
        <v>9.6474399999999996</v>
      </c>
      <c r="DV72">
        <v>1</v>
      </c>
      <c r="DW72">
        <v>0.22647400000000001</v>
      </c>
      <c r="DX72">
        <v>-0.10349</v>
      </c>
      <c r="DY72">
        <v>20.367599999999999</v>
      </c>
      <c r="DZ72">
        <v>5.2109399999999999</v>
      </c>
      <c r="EA72">
        <v>11.8483</v>
      </c>
      <c r="EB72">
        <v>4.9676799999999997</v>
      </c>
      <c r="EC72">
        <v>3.2922400000000001</v>
      </c>
      <c r="ED72">
        <v>894.7</v>
      </c>
      <c r="EE72">
        <v>0</v>
      </c>
      <c r="EF72">
        <v>5631.6</v>
      </c>
      <c r="EG72">
        <v>109.7</v>
      </c>
      <c r="EH72">
        <v>4.9715999999999996</v>
      </c>
      <c r="EI72">
        <v>1.8717999999999999</v>
      </c>
      <c r="EJ72">
        <v>1.8689100000000001</v>
      </c>
      <c r="EK72">
        <v>1.8713500000000001</v>
      </c>
      <c r="EL72">
        <v>1.8690899999999999</v>
      </c>
      <c r="EM72">
        <v>1.8680300000000001</v>
      </c>
      <c r="EN72">
        <v>1.8698699999999999</v>
      </c>
      <c r="EO72">
        <v>1.8716699999999999</v>
      </c>
      <c r="EP72">
        <v>0</v>
      </c>
      <c r="EQ72">
        <v>0</v>
      </c>
      <c r="ER72">
        <v>0</v>
      </c>
      <c r="ES72">
        <v>0</v>
      </c>
      <c r="ET72" t="s">
        <v>334</v>
      </c>
      <c r="EU72" t="s">
        <v>335</v>
      </c>
      <c r="EV72" t="s">
        <v>336</v>
      </c>
      <c r="EW72" t="s">
        <v>336</v>
      </c>
      <c r="EX72" t="s">
        <v>336</v>
      </c>
      <c r="EY72" t="s">
        <v>336</v>
      </c>
      <c r="EZ72">
        <v>0</v>
      </c>
      <c r="FA72">
        <v>100</v>
      </c>
      <c r="FB72">
        <v>100</v>
      </c>
      <c r="FC72">
        <v>8.02</v>
      </c>
      <c r="FD72">
        <v>-0.98929999999999996</v>
      </c>
      <c r="FE72">
        <v>8.0009204999999994</v>
      </c>
      <c r="FF72">
        <v>0</v>
      </c>
      <c r="FG72">
        <v>0</v>
      </c>
      <c r="FH72">
        <v>0</v>
      </c>
      <c r="FI72">
        <v>-0.98927100000000023</v>
      </c>
      <c r="FJ72">
        <v>0</v>
      </c>
      <c r="FK72">
        <v>0</v>
      </c>
      <c r="FL72">
        <v>0</v>
      </c>
      <c r="FM72">
        <v>-1</v>
      </c>
      <c r="FN72">
        <v>-1</v>
      </c>
      <c r="FO72">
        <v>-1</v>
      </c>
      <c r="FP72">
        <v>-1</v>
      </c>
      <c r="FQ72">
        <v>0.7</v>
      </c>
      <c r="FR72">
        <v>56.2</v>
      </c>
      <c r="FS72">
        <v>0.142822</v>
      </c>
      <c r="FT72">
        <v>4.99756</v>
      </c>
      <c r="FU72">
        <v>1.5979000000000001</v>
      </c>
      <c r="FV72">
        <v>2.1581999999999999</v>
      </c>
      <c r="FW72">
        <v>1.5478499999999999</v>
      </c>
      <c r="FX72">
        <v>2.4182100000000002</v>
      </c>
      <c r="FY72">
        <v>33.692999999999998</v>
      </c>
      <c r="FZ72">
        <v>16.084599999999998</v>
      </c>
      <c r="GA72">
        <v>3</v>
      </c>
      <c r="GB72">
        <v>496.91199999999998</v>
      </c>
      <c r="GC72">
        <v>408.05599999999998</v>
      </c>
      <c r="GD72">
        <v>27.8474</v>
      </c>
      <c r="GE72">
        <v>30.071400000000001</v>
      </c>
      <c r="GF72">
        <v>30.0001</v>
      </c>
      <c r="GG72">
        <v>30.378499999999999</v>
      </c>
      <c r="GH72">
        <v>30.4285</v>
      </c>
      <c r="GI72">
        <v>-1</v>
      </c>
      <c r="GJ72">
        <v>0</v>
      </c>
      <c r="GK72">
        <v>100</v>
      </c>
      <c r="GL72">
        <v>27.846800000000002</v>
      </c>
      <c r="GM72">
        <v>432.1</v>
      </c>
      <c r="GN72">
        <v>68.912800000000004</v>
      </c>
      <c r="GO72">
        <v>102.23399999999999</v>
      </c>
      <c r="GP72">
        <v>96.509600000000006</v>
      </c>
    </row>
    <row r="73" spans="1:198" x14ac:dyDescent="0.35">
      <c r="A73">
        <v>57</v>
      </c>
      <c r="B73">
        <v>1775484399</v>
      </c>
      <c r="C73">
        <v>3360.5</v>
      </c>
      <c r="D73" t="s">
        <v>502</v>
      </c>
      <c r="E73" t="s">
        <v>503</v>
      </c>
      <c r="F73">
        <v>60</v>
      </c>
      <c r="G73">
        <v>1775484391</v>
      </c>
      <c r="H73">
        <f t="shared" si="0"/>
        <v>2.7209372897966837E-3</v>
      </c>
      <c r="I73">
        <f t="shared" si="1"/>
        <v>2.7209372897966837</v>
      </c>
      <c r="J73">
        <f t="shared" si="2"/>
        <v>1.3340398176862072</v>
      </c>
      <c r="K73">
        <f t="shared" si="3"/>
        <v>15.756622580645161</v>
      </c>
      <c r="L73">
        <f t="shared" si="4"/>
        <v>-13.789929719247372</v>
      </c>
      <c r="M73">
        <f t="shared" si="5"/>
        <v>-1.3834853638147846</v>
      </c>
      <c r="N73">
        <f t="shared" si="6"/>
        <v>1.5807953461176794</v>
      </c>
      <c r="O73">
        <f t="shared" si="7"/>
        <v>7.3441035864284146E-2</v>
      </c>
      <c r="P73">
        <f t="shared" si="8"/>
        <v>2.3932200522940628</v>
      </c>
      <c r="Q73">
        <f t="shared" si="9"/>
        <v>7.2211600000600992E-2</v>
      </c>
      <c r="R73">
        <f t="shared" si="10"/>
        <v>4.5240995568310224E-2</v>
      </c>
      <c r="S73">
        <f t="shared" si="11"/>
        <v>0</v>
      </c>
      <c r="T73">
        <f t="shared" si="12"/>
        <v>26.448075892002169</v>
      </c>
      <c r="U73">
        <f t="shared" si="13"/>
        <v>27.38704516129032</v>
      </c>
      <c r="V73">
        <f t="shared" si="14"/>
        <v>3.661333350673182</v>
      </c>
      <c r="W73">
        <f t="shared" si="15"/>
        <v>-1.3979876652135823</v>
      </c>
      <c r="X73">
        <f t="shared" si="16"/>
        <v>-5.0927475876974569E-2</v>
      </c>
      <c r="Y73">
        <f t="shared" si="17"/>
        <v>3.642913106046179</v>
      </c>
      <c r="Z73">
        <f t="shared" si="18"/>
        <v>3.7122608265501564</v>
      </c>
      <c r="AA73">
        <f t="shared" si="19"/>
        <v>-119.99333448003375</v>
      </c>
      <c r="AB73">
        <f t="shared" si="20"/>
        <v>-11.108488157315296</v>
      </c>
      <c r="AC73">
        <f t="shared" si="21"/>
        <v>-1.005172057697622</v>
      </c>
      <c r="AD73">
        <f t="shared" si="22"/>
        <v>-132.10699469504667</v>
      </c>
      <c r="AE73">
        <v>14</v>
      </c>
      <c r="AF73">
        <v>3</v>
      </c>
      <c r="AG73">
        <f t="shared" si="23"/>
        <v>1</v>
      </c>
      <c r="AH73">
        <f t="shared" si="24"/>
        <v>0</v>
      </c>
      <c r="AI73">
        <f t="shared" si="25"/>
        <v>25564.972911313693</v>
      </c>
      <c r="AJ73">
        <f t="shared" si="26"/>
        <v>0</v>
      </c>
      <c r="AK73">
        <f t="shared" si="27"/>
        <v>0</v>
      </c>
      <c r="AL73">
        <f t="shared" si="28"/>
        <v>0</v>
      </c>
      <c r="AM73">
        <f t="shared" si="29"/>
        <v>0</v>
      </c>
      <c r="AN73">
        <v>3</v>
      </c>
      <c r="AO73">
        <v>0.5</v>
      </c>
      <c r="AP73" t="s">
        <v>331</v>
      </c>
      <c r="AQ73">
        <v>2</v>
      </c>
      <c r="AR73">
        <v>1775484391</v>
      </c>
      <c r="AS73">
        <v>15.756622580645161</v>
      </c>
      <c r="AT73">
        <v>16.582767741935491</v>
      </c>
      <c r="AU73">
        <v>-0.50762106451612909</v>
      </c>
      <c r="AV73">
        <v>-2.141007419354839</v>
      </c>
      <c r="AW73">
        <v>7.7466225806451634</v>
      </c>
      <c r="AX73">
        <v>0.48164990322580642</v>
      </c>
      <c r="AY73">
        <v>500.00145161290328</v>
      </c>
      <c r="AZ73">
        <v>100.28235483870969</v>
      </c>
      <c r="BA73">
        <v>4.3418532258064517E-2</v>
      </c>
      <c r="BB73">
        <v>27.300948387096781</v>
      </c>
      <c r="BC73">
        <v>27.38704516129032</v>
      </c>
      <c r="BD73">
        <v>999.90000000000032</v>
      </c>
      <c r="BE73">
        <v>0</v>
      </c>
      <c r="BF73">
        <v>0</v>
      </c>
      <c r="BG73">
        <v>4999.2580645161288</v>
      </c>
      <c r="BH73">
        <v>0.40047522580645151</v>
      </c>
      <c r="BI73">
        <v>0.23331922580645159</v>
      </c>
      <c r="BJ73">
        <v>-0.81608287096774179</v>
      </c>
      <c r="BK73">
        <v>15.758667741935479</v>
      </c>
      <c r="BL73">
        <v>16.54734516129032</v>
      </c>
      <c r="BM73">
        <v>1.6333864516129031</v>
      </c>
      <c r="BN73">
        <v>16.582767741935491</v>
      </c>
      <c r="BO73">
        <v>-2.141007419354839</v>
      </c>
      <c r="BP73">
        <v>-5.0905474193548392E-2</v>
      </c>
      <c r="BQ73">
        <v>-0.21470545161290319</v>
      </c>
      <c r="BR73">
        <v>-99.900000000000034</v>
      </c>
      <c r="BS73">
        <v>-99.900000000000034</v>
      </c>
      <c r="BT73">
        <v>0</v>
      </c>
      <c r="BU73">
        <v>0</v>
      </c>
      <c r="BV73">
        <v>0</v>
      </c>
      <c r="BW73">
        <v>26</v>
      </c>
      <c r="BX73">
        <v>-0.99354845161290317</v>
      </c>
      <c r="BY73">
        <v>1775484416</v>
      </c>
      <c r="BZ73" t="s">
        <v>504</v>
      </c>
      <c r="CA73">
        <v>1775484416</v>
      </c>
      <c r="CB73">
        <v>1775480969.5</v>
      </c>
      <c r="CC73">
        <v>58</v>
      </c>
      <c r="CD73">
        <v>-0.01</v>
      </c>
      <c r="CE73">
        <v>0.19500000000000001</v>
      </c>
      <c r="CF73">
        <v>8.01</v>
      </c>
      <c r="CG73">
        <v>-0.98899999999999999</v>
      </c>
      <c r="CH73">
        <v>17</v>
      </c>
      <c r="CI73">
        <v>-3</v>
      </c>
      <c r="CJ73">
        <v>0.18</v>
      </c>
      <c r="CK73">
        <v>0.06</v>
      </c>
      <c r="CL73">
        <v>16.3965</v>
      </c>
      <c r="CM73">
        <v>1.3578472765732521</v>
      </c>
      <c r="CN73">
        <v>0.20737323127438681</v>
      </c>
      <c r="CO73">
        <v>-1</v>
      </c>
      <c r="CP73">
        <v>499.99522950819681</v>
      </c>
      <c r="CQ73">
        <v>-5.4574299306163641E-3</v>
      </c>
      <c r="CR73">
        <v>4.5383030497478778E-2</v>
      </c>
      <c r="CS73">
        <v>-1</v>
      </c>
      <c r="CT73">
        <v>0</v>
      </c>
      <c r="CU73">
        <v>0</v>
      </c>
      <c r="CV73" t="s">
        <v>333</v>
      </c>
      <c r="CW73">
        <v>3.1674199999999999</v>
      </c>
      <c r="CX73">
        <v>2.66459</v>
      </c>
      <c r="CY73">
        <v>2.3646100000000001E-3</v>
      </c>
      <c r="CZ73">
        <v>4.95957E-3</v>
      </c>
      <c r="DA73">
        <v>3.82249E-3</v>
      </c>
      <c r="DB73">
        <v>-2.0078700000000001E-2</v>
      </c>
      <c r="DC73">
        <v>21529</v>
      </c>
      <c r="DD73">
        <v>21854.9</v>
      </c>
      <c r="DE73">
        <v>23108.9</v>
      </c>
      <c r="DF73">
        <v>22317.4</v>
      </c>
      <c r="DG73">
        <v>29687.3</v>
      </c>
      <c r="DH73">
        <v>27147.9</v>
      </c>
      <c r="DI73">
        <v>40615.699999999997</v>
      </c>
      <c r="DJ73">
        <v>36984.800000000003</v>
      </c>
      <c r="DK73">
        <v>2.0819999999999999</v>
      </c>
      <c r="DL73">
        <v>1.8014600000000001</v>
      </c>
      <c r="DM73">
        <v>1.7240599999999998E-2</v>
      </c>
      <c r="DN73">
        <v>0</v>
      </c>
      <c r="DO73">
        <v>27.112100000000002</v>
      </c>
      <c r="DP73">
        <v>999.9</v>
      </c>
      <c r="DQ73">
        <v>78.400000000000006</v>
      </c>
      <c r="DR73">
        <v>29.2</v>
      </c>
      <c r="DS73">
        <v>31.8093</v>
      </c>
      <c r="DT73">
        <v>30.865500000000001</v>
      </c>
      <c r="DU73">
        <v>9.8757999999999999</v>
      </c>
      <c r="DV73">
        <v>1</v>
      </c>
      <c r="DW73">
        <v>0.22653000000000001</v>
      </c>
      <c r="DX73">
        <v>-6.8427000000000002E-2</v>
      </c>
      <c r="DY73">
        <v>20.367699999999999</v>
      </c>
      <c r="DZ73">
        <v>5.2119</v>
      </c>
      <c r="EA73">
        <v>11.8485</v>
      </c>
      <c r="EB73">
        <v>4.9678399999999998</v>
      </c>
      <c r="EC73">
        <v>3.2920799999999999</v>
      </c>
      <c r="ED73">
        <v>894.7</v>
      </c>
      <c r="EE73">
        <v>0</v>
      </c>
      <c r="EF73">
        <v>5662.7</v>
      </c>
      <c r="EG73">
        <v>109.8</v>
      </c>
      <c r="EH73">
        <v>4.9716100000000001</v>
      </c>
      <c r="EI73">
        <v>1.8717999999999999</v>
      </c>
      <c r="EJ73">
        <v>1.8689199999999999</v>
      </c>
      <c r="EK73">
        <v>1.8713500000000001</v>
      </c>
      <c r="EL73">
        <v>1.8691500000000001</v>
      </c>
      <c r="EM73">
        <v>1.86802</v>
      </c>
      <c r="EN73">
        <v>1.8698600000000001</v>
      </c>
      <c r="EO73">
        <v>1.8717299999999999</v>
      </c>
      <c r="EP73">
        <v>0</v>
      </c>
      <c r="EQ73">
        <v>0</v>
      </c>
      <c r="ER73">
        <v>0</v>
      </c>
      <c r="ES73">
        <v>0</v>
      </c>
      <c r="ET73" t="s">
        <v>334</v>
      </c>
      <c r="EU73" t="s">
        <v>335</v>
      </c>
      <c r="EV73" t="s">
        <v>336</v>
      </c>
      <c r="EW73" t="s">
        <v>336</v>
      </c>
      <c r="EX73" t="s">
        <v>336</v>
      </c>
      <c r="EY73" t="s">
        <v>336</v>
      </c>
      <c r="EZ73">
        <v>0</v>
      </c>
      <c r="FA73">
        <v>100</v>
      </c>
      <c r="FB73">
        <v>100</v>
      </c>
      <c r="FC73">
        <v>8.01</v>
      </c>
      <c r="FD73">
        <v>-0.98929999999999996</v>
      </c>
      <c r="FE73">
        <v>8.0200595000000003</v>
      </c>
      <c r="FF73">
        <v>0</v>
      </c>
      <c r="FG73">
        <v>0</v>
      </c>
      <c r="FH73">
        <v>0</v>
      </c>
      <c r="FI73">
        <v>-0.98927100000000023</v>
      </c>
      <c r="FJ73">
        <v>0</v>
      </c>
      <c r="FK73">
        <v>0</v>
      </c>
      <c r="FL73">
        <v>0</v>
      </c>
      <c r="FM73">
        <v>-1</v>
      </c>
      <c r="FN73">
        <v>-1</v>
      </c>
      <c r="FO73">
        <v>-1</v>
      </c>
      <c r="FP73">
        <v>-1</v>
      </c>
      <c r="FQ73">
        <v>0.7</v>
      </c>
      <c r="FR73">
        <v>57.2</v>
      </c>
      <c r="FS73">
        <v>0.144043</v>
      </c>
      <c r="FT73">
        <v>4.99756</v>
      </c>
      <c r="FU73">
        <v>1.5979000000000001</v>
      </c>
      <c r="FV73">
        <v>2.1569799999999999</v>
      </c>
      <c r="FW73">
        <v>1.5478499999999999</v>
      </c>
      <c r="FX73">
        <v>2.36206</v>
      </c>
      <c r="FY73">
        <v>33.715499999999999</v>
      </c>
      <c r="FZ73">
        <v>16.075800000000001</v>
      </c>
      <c r="GA73">
        <v>3</v>
      </c>
      <c r="GB73">
        <v>496.69400000000002</v>
      </c>
      <c r="GC73">
        <v>408.16500000000002</v>
      </c>
      <c r="GD73">
        <v>27.817900000000002</v>
      </c>
      <c r="GE73">
        <v>30.068899999999999</v>
      </c>
      <c r="GF73">
        <v>30.0001</v>
      </c>
      <c r="GG73">
        <v>30.375900000000001</v>
      </c>
      <c r="GH73">
        <v>30.427600000000002</v>
      </c>
      <c r="GI73">
        <v>-1</v>
      </c>
      <c r="GJ73">
        <v>0</v>
      </c>
      <c r="GK73">
        <v>100</v>
      </c>
      <c r="GL73">
        <v>27.8184</v>
      </c>
      <c r="GM73">
        <v>432.1</v>
      </c>
      <c r="GN73">
        <v>68.912800000000004</v>
      </c>
      <c r="GO73">
        <v>102.233</v>
      </c>
      <c r="GP73">
        <v>96.507900000000006</v>
      </c>
    </row>
    <row r="74" spans="1:198" x14ac:dyDescent="0.35">
      <c r="A74">
        <v>58</v>
      </c>
      <c r="B74">
        <v>1775484459</v>
      </c>
      <c r="C74">
        <v>3420.5</v>
      </c>
      <c r="D74" t="s">
        <v>505</v>
      </c>
      <c r="E74" t="s">
        <v>506</v>
      </c>
      <c r="F74">
        <v>60</v>
      </c>
      <c r="G74">
        <v>1775484451</v>
      </c>
      <c r="H74">
        <f t="shared" si="0"/>
        <v>2.6944137145460761E-3</v>
      </c>
      <c r="I74">
        <f t="shared" si="1"/>
        <v>2.694413714546076</v>
      </c>
      <c r="J74">
        <f t="shared" si="2"/>
        <v>1.1957663367716336</v>
      </c>
      <c r="K74">
        <f t="shared" si="3"/>
        <v>16.49000580645161</v>
      </c>
      <c r="L74">
        <f t="shared" si="4"/>
        <v>-10.385897347095741</v>
      </c>
      <c r="M74">
        <f t="shared" si="5"/>
        <v>-1.0419792679930666</v>
      </c>
      <c r="N74">
        <f t="shared" si="6"/>
        <v>1.654382245960925</v>
      </c>
      <c r="O74">
        <f t="shared" si="7"/>
        <v>7.2711375852416646E-2</v>
      </c>
      <c r="P74">
        <f t="shared" si="8"/>
        <v>2.3940289831405455</v>
      </c>
      <c r="Q74">
        <f t="shared" si="9"/>
        <v>7.1506432177302917E-2</v>
      </c>
      <c r="R74">
        <f t="shared" si="10"/>
        <v>4.4798116240670469E-2</v>
      </c>
      <c r="S74">
        <f t="shared" si="11"/>
        <v>0</v>
      </c>
      <c r="T74">
        <f t="shared" si="12"/>
        <v>26.452784145368916</v>
      </c>
      <c r="U74">
        <f t="shared" si="13"/>
        <v>27.382848387096779</v>
      </c>
      <c r="V74">
        <f t="shared" si="14"/>
        <v>3.6604335776846657</v>
      </c>
      <c r="W74">
        <f t="shared" si="15"/>
        <v>-1.4263951139006954</v>
      </c>
      <c r="X74">
        <f t="shared" si="16"/>
        <v>-5.1950568131515384E-2</v>
      </c>
      <c r="Y74">
        <f t="shared" si="17"/>
        <v>3.6420882001936068</v>
      </c>
      <c r="Z74">
        <f t="shared" si="18"/>
        <v>3.712384145816181</v>
      </c>
      <c r="AA74">
        <f t="shared" si="19"/>
        <v>-118.82364481148196</v>
      </c>
      <c r="AB74">
        <f t="shared" si="20"/>
        <v>-11.069359415363278</v>
      </c>
      <c r="AC74">
        <f t="shared" si="21"/>
        <v>-1.0012526628636071</v>
      </c>
      <c r="AD74">
        <f t="shared" si="22"/>
        <v>-130.89425688970883</v>
      </c>
      <c r="AE74">
        <v>14</v>
      </c>
      <c r="AF74">
        <v>3</v>
      </c>
      <c r="AG74">
        <f t="shared" si="23"/>
        <v>1</v>
      </c>
      <c r="AH74">
        <f t="shared" si="24"/>
        <v>0</v>
      </c>
      <c r="AI74">
        <f t="shared" si="25"/>
        <v>25577.590183061147</v>
      </c>
      <c r="AJ74">
        <f t="shared" si="26"/>
        <v>0</v>
      </c>
      <c r="AK74">
        <f t="shared" si="27"/>
        <v>0</v>
      </c>
      <c r="AL74">
        <f t="shared" si="28"/>
        <v>0</v>
      </c>
      <c r="AM74">
        <f t="shared" si="29"/>
        <v>0</v>
      </c>
      <c r="AN74">
        <v>3</v>
      </c>
      <c r="AO74">
        <v>0.5</v>
      </c>
      <c r="AP74" t="s">
        <v>331</v>
      </c>
      <c r="AQ74">
        <v>2</v>
      </c>
      <c r="AR74">
        <v>1775484451</v>
      </c>
      <c r="AS74">
        <v>16.49000580645161</v>
      </c>
      <c r="AT74">
        <v>17.234083870967741</v>
      </c>
      <c r="AU74">
        <v>-0.51781574193548385</v>
      </c>
      <c r="AV74">
        <v>-2.1352135483870969</v>
      </c>
      <c r="AW74">
        <v>8.4930058064516114</v>
      </c>
      <c r="AX74">
        <v>0.47145522580645149</v>
      </c>
      <c r="AY74">
        <v>500.02706451612909</v>
      </c>
      <c r="AZ74">
        <v>100.2826774193549</v>
      </c>
      <c r="BA74">
        <v>4.3681793548387089E-2</v>
      </c>
      <c r="BB74">
        <v>27.297083870967739</v>
      </c>
      <c r="BC74">
        <v>27.382848387096779</v>
      </c>
      <c r="BD74">
        <v>999.90000000000032</v>
      </c>
      <c r="BE74">
        <v>0</v>
      </c>
      <c r="BF74">
        <v>0</v>
      </c>
      <c r="BG74">
        <v>5001.322580645161</v>
      </c>
      <c r="BH74">
        <v>0.37528803225806451</v>
      </c>
      <c r="BI74">
        <v>0.22961599999999999</v>
      </c>
      <c r="BJ74">
        <v>-0.73147506451612898</v>
      </c>
      <c r="BK74">
        <v>16.494077419354841</v>
      </c>
      <c r="BL74">
        <v>17.197374193548391</v>
      </c>
      <c r="BM74">
        <v>1.6173977419354839</v>
      </c>
      <c r="BN74">
        <v>17.234083870967741</v>
      </c>
      <c r="BO74">
        <v>-2.1352135483870969</v>
      </c>
      <c r="BP74">
        <v>-5.1927993548387098E-2</v>
      </c>
      <c r="BQ74">
        <v>-0.2141250967741935</v>
      </c>
      <c r="BR74">
        <v>-99.900000000000034</v>
      </c>
      <c r="BS74">
        <v>-99.900000000000034</v>
      </c>
      <c r="BT74">
        <v>0</v>
      </c>
      <c r="BU74">
        <v>0</v>
      </c>
      <c r="BV74">
        <v>0</v>
      </c>
      <c r="BW74">
        <v>26</v>
      </c>
      <c r="BX74">
        <v>-0.99784948387096783</v>
      </c>
      <c r="BY74">
        <v>1775484476</v>
      </c>
      <c r="BZ74" t="s">
        <v>507</v>
      </c>
      <c r="CA74">
        <v>1775484476</v>
      </c>
      <c r="CB74">
        <v>1775480969.5</v>
      </c>
      <c r="CC74">
        <v>59</v>
      </c>
      <c r="CD74">
        <v>-1.2E-2</v>
      </c>
      <c r="CE74">
        <v>0.19500000000000001</v>
      </c>
      <c r="CF74">
        <v>7.9969999999999999</v>
      </c>
      <c r="CG74">
        <v>-0.98899999999999999</v>
      </c>
      <c r="CH74">
        <v>17</v>
      </c>
      <c r="CI74">
        <v>-3</v>
      </c>
      <c r="CJ74">
        <v>0.19</v>
      </c>
      <c r="CK74">
        <v>0.06</v>
      </c>
      <c r="CL74">
        <v>17.156600000000001</v>
      </c>
      <c r="CM74">
        <v>0.67685330512955455</v>
      </c>
      <c r="CN74">
        <v>0.1273725618341594</v>
      </c>
      <c r="CO74">
        <v>-1</v>
      </c>
      <c r="CP74">
        <v>500.00439344262293</v>
      </c>
      <c r="CQ74">
        <v>0.235437334743718</v>
      </c>
      <c r="CR74">
        <v>5.296961043024509E-2</v>
      </c>
      <c r="CS74">
        <v>-1</v>
      </c>
      <c r="CT74">
        <v>0</v>
      </c>
      <c r="CU74">
        <v>0</v>
      </c>
      <c r="CV74" t="s">
        <v>333</v>
      </c>
      <c r="CW74">
        <v>3.1675800000000001</v>
      </c>
      <c r="CX74">
        <v>2.66547</v>
      </c>
      <c r="CY74">
        <v>2.5816200000000002E-3</v>
      </c>
      <c r="CZ74">
        <v>5.2062200000000001E-3</v>
      </c>
      <c r="DA74">
        <v>3.8112100000000002E-3</v>
      </c>
      <c r="DB74">
        <v>-1.9999699999999999E-2</v>
      </c>
      <c r="DC74">
        <v>21523.8</v>
      </c>
      <c r="DD74">
        <v>21849.4</v>
      </c>
      <c r="DE74">
        <v>23108.2</v>
      </c>
      <c r="DF74">
        <v>22317.3</v>
      </c>
      <c r="DG74">
        <v>29686.9</v>
      </c>
      <c r="DH74">
        <v>27145.7</v>
      </c>
      <c r="DI74">
        <v>40614.699999999997</v>
      </c>
      <c r="DJ74">
        <v>36984.6</v>
      </c>
      <c r="DK74">
        <v>2.0821399999999999</v>
      </c>
      <c r="DL74">
        <v>1.8013600000000001</v>
      </c>
      <c r="DM74">
        <v>1.7339E-2</v>
      </c>
      <c r="DN74">
        <v>0</v>
      </c>
      <c r="DO74">
        <v>27.1</v>
      </c>
      <c r="DP74">
        <v>999.9</v>
      </c>
      <c r="DQ74">
        <v>78.400000000000006</v>
      </c>
      <c r="DR74">
        <v>29.2</v>
      </c>
      <c r="DS74">
        <v>31.8109</v>
      </c>
      <c r="DT74">
        <v>30.445499999999999</v>
      </c>
      <c r="DU74">
        <v>9.5753199999999996</v>
      </c>
      <c r="DV74">
        <v>1</v>
      </c>
      <c r="DW74">
        <v>0.226608</v>
      </c>
      <c r="DX74">
        <v>-0.120861</v>
      </c>
      <c r="DY74">
        <v>20.367699999999999</v>
      </c>
      <c r="DZ74">
        <v>5.2107000000000001</v>
      </c>
      <c r="EA74">
        <v>11.8483</v>
      </c>
      <c r="EB74">
        <v>4.9677199999999999</v>
      </c>
      <c r="EC74">
        <v>3.2921</v>
      </c>
      <c r="ED74">
        <v>894.7</v>
      </c>
      <c r="EE74">
        <v>0</v>
      </c>
      <c r="EF74">
        <v>5694.1</v>
      </c>
      <c r="EG74">
        <v>109.8</v>
      </c>
      <c r="EH74">
        <v>4.9716100000000001</v>
      </c>
      <c r="EI74">
        <v>1.8717999999999999</v>
      </c>
      <c r="EJ74">
        <v>1.8689100000000001</v>
      </c>
      <c r="EK74">
        <v>1.8713500000000001</v>
      </c>
      <c r="EL74">
        <v>1.86911</v>
      </c>
      <c r="EM74">
        <v>1.86805</v>
      </c>
      <c r="EN74">
        <v>1.8698699999999999</v>
      </c>
      <c r="EO74">
        <v>1.8716999999999999</v>
      </c>
      <c r="EP74">
        <v>0</v>
      </c>
      <c r="EQ74">
        <v>0</v>
      </c>
      <c r="ER74">
        <v>0</v>
      </c>
      <c r="ES74">
        <v>0</v>
      </c>
      <c r="ET74" t="s">
        <v>334</v>
      </c>
      <c r="EU74" t="s">
        <v>335</v>
      </c>
      <c r="EV74" t="s">
        <v>336</v>
      </c>
      <c r="EW74" t="s">
        <v>336</v>
      </c>
      <c r="EX74" t="s">
        <v>336</v>
      </c>
      <c r="EY74" t="s">
        <v>336</v>
      </c>
      <c r="EZ74">
        <v>0</v>
      </c>
      <c r="FA74">
        <v>100</v>
      </c>
      <c r="FB74">
        <v>100</v>
      </c>
      <c r="FC74">
        <v>7.9969999999999999</v>
      </c>
      <c r="FD74">
        <v>-0.98929999999999996</v>
      </c>
      <c r="FE74">
        <v>8.0096109999999996</v>
      </c>
      <c r="FF74">
        <v>0</v>
      </c>
      <c r="FG74">
        <v>0</v>
      </c>
      <c r="FH74">
        <v>0</v>
      </c>
      <c r="FI74">
        <v>-0.98927100000000023</v>
      </c>
      <c r="FJ74">
        <v>0</v>
      </c>
      <c r="FK74">
        <v>0</v>
      </c>
      <c r="FL74">
        <v>0</v>
      </c>
      <c r="FM74">
        <v>-1</v>
      </c>
      <c r="FN74">
        <v>-1</v>
      </c>
      <c r="FO74">
        <v>-1</v>
      </c>
      <c r="FP74">
        <v>-1</v>
      </c>
      <c r="FQ74">
        <v>0.7</v>
      </c>
      <c r="FR74">
        <v>58.2</v>
      </c>
      <c r="FS74">
        <v>0.142822</v>
      </c>
      <c r="FT74">
        <v>4.99756</v>
      </c>
      <c r="FU74">
        <v>1.5979000000000001</v>
      </c>
      <c r="FV74">
        <v>2.1569799999999999</v>
      </c>
      <c r="FW74">
        <v>1.5478499999999999</v>
      </c>
      <c r="FX74">
        <v>2.4377399999999998</v>
      </c>
      <c r="FY74">
        <v>33.715499999999999</v>
      </c>
      <c r="FZ74">
        <v>16.075800000000001</v>
      </c>
      <c r="GA74">
        <v>3</v>
      </c>
      <c r="GB74">
        <v>496.76299999999998</v>
      </c>
      <c r="GC74">
        <v>408.09</v>
      </c>
      <c r="GD74">
        <v>27.855399999999999</v>
      </c>
      <c r="GE74">
        <v>30.068899999999999</v>
      </c>
      <c r="GF74">
        <v>30.0001</v>
      </c>
      <c r="GG74">
        <v>30.374199999999998</v>
      </c>
      <c r="GH74">
        <v>30.424900000000001</v>
      </c>
      <c r="GI74">
        <v>-1</v>
      </c>
      <c r="GJ74">
        <v>0</v>
      </c>
      <c r="GK74">
        <v>100</v>
      </c>
      <c r="GL74">
        <v>27.857199999999999</v>
      </c>
      <c r="GM74">
        <v>432.1</v>
      </c>
      <c r="GN74">
        <v>68.912800000000004</v>
      </c>
      <c r="GO74">
        <v>102.23099999999999</v>
      </c>
      <c r="GP74">
        <v>96.507400000000004</v>
      </c>
    </row>
    <row r="75" spans="1:198" x14ac:dyDescent="0.35">
      <c r="A75">
        <v>59</v>
      </c>
      <c r="B75">
        <v>1775484519</v>
      </c>
      <c r="C75">
        <v>3480.5</v>
      </c>
      <c r="D75" t="s">
        <v>508</v>
      </c>
      <c r="E75" t="s">
        <v>509</v>
      </c>
      <c r="F75">
        <v>60</v>
      </c>
      <c r="G75">
        <v>1775484511</v>
      </c>
      <c r="H75">
        <f t="shared" si="0"/>
        <v>2.687865685202912E-3</v>
      </c>
      <c r="I75">
        <f t="shared" si="1"/>
        <v>2.6878656852029121</v>
      </c>
      <c r="J75">
        <f t="shared" si="2"/>
        <v>1.1494802008320615</v>
      </c>
      <c r="K75">
        <f t="shared" si="3"/>
        <v>16.902599677419349</v>
      </c>
      <c r="L75">
        <f t="shared" si="4"/>
        <v>-9.0563932419811017</v>
      </c>
      <c r="M75">
        <f t="shared" si="5"/>
        <v>-0.90858534721359685</v>
      </c>
      <c r="N75">
        <f t="shared" si="6"/>
        <v>1.6957583429052845</v>
      </c>
      <c r="O75">
        <f t="shared" si="7"/>
        <v>7.2527166196036483E-2</v>
      </c>
      <c r="P75">
        <f t="shared" si="8"/>
        <v>2.3962735177438423</v>
      </c>
      <c r="Q75">
        <f t="shared" si="9"/>
        <v>7.1329368807571444E-2</v>
      </c>
      <c r="R75">
        <f t="shared" si="10"/>
        <v>4.4686825061057485E-2</v>
      </c>
      <c r="S75">
        <f t="shared" si="11"/>
        <v>0</v>
      </c>
      <c r="T75">
        <f t="shared" si="12"/>
        <v>26.458070964429311</v>
      </c>
      <c r="U75">
        <f t="shared" si="13"/>
        <v>27.384635483870969</v>
      </c>
      <c r="V75">
        <f t="shared" si="14"/>
        <v>3.6608167010815209</v>
      </c>
      <c r="W75">
        <f t="shared" si="15"/>
        <v>-1.4189305188923207</v>
      </c>
      <c r="X75">
        <f t="shared" si="16"/>
        <v>-5.1686302041512776E-2</v>
      </c>
      <c r="Y75">
        <f t="shared" si="17"/>
        <v>3.64262388843827</v>
      </c>
      <c r="Z75">
        <f t="shared" si="18"/>
        <v>3.7125030031230337</v>
      </c>
      <c r="AA75">
        <f t="shared" si="19"/>
        <v>-118.53487671744841</v>
      </c>
      <c r="AB75">
        <f t="shared" si="20"/>
        <v>-10.986388877540806</v>
      </c>
      <c r="AC75">
        <f t="shared" si="21"/>
        <v>-0.99283824398982712</v>
      </c>
      <c r="AD75">
        <f t="shared" si="22"/>
        <v>-130.51410383897905</v>
      </c>
      <c r="AE75">
        <v>14</v>
      </c>
      <c r="AF75">
        <v>3</v>
      </c>
      <c r="AG75">
        <f t="shared" si="23"/>
        <v>1</v>
      </c>
      <c r="AH75">
        <f t="shared" si="24"/>
        <v>0</v>
      </c>
      <c r="AI75">
        <f t="shared" si="25"/>
        <v>25611.536601210377</v>
      </c>
      <c r="AJ75">
        <f t="shared" si="26"/>
        <v>0</v>
      </c>
      <c r="AK75">
        <f t="shared" si="27"/>
        <v>0</v>
      </c>
      <c r="AL75">
        <f t="shared" si="28"/>
        <v>0</v>
      </c>
      <c r="AM75">
        <f t="shared" si="29"/>
        <v>0</v>
      </c>
      <c r="AN75">
        <v>3</v>
      </c>
      <c r="AO75">
        <v>0.5</v>
      </c>
      <c r="AP75" t="s">
        <v>331</v>
      </c>
      <c r="AQ75">
        <v>2</v>
      </c>
      <c r="AR75">
        <v>1775484511</v>
      </c>
      <c r="AS75">
        <v>16.902599677419349</v>
      </c>
      <c r="AT75">
        <v>17.619574193548392</v>
      </c>
      <c r="AU75">
        <v>-0.51518712903225805</v>
      </c>
      <c r="AV75">
        <v>-2.1287987096774201</v>
      </c>
      <c r="AW75">
        <v>8.9015996774193553</v>
      </c>
      <c r="AX75">
        <v>0.4740838709677419</v>
      </c>
      <c r="AY75">
        <v>499.98099999999999</v>
      </c>
      <c r="AZ75">
        <v>100.2820322580645</v>
      </c>
      <c r="BA75">
        <v>4.3265345161290318E-2</v>
      </c>
      <c r="BB75">
        <v>27.29959354838709</v>
      </c>
      <c r="BC75">
        <v>27.384635483870969</v>
      </c>
      <c r="BD75">
        <v>999.90000000000032</v>
      </c>
      <c r="BE75">
        <v>0</v>
      </c>
      <c r="BF75">
        <v>0</v>
      </c>
      <c r="BG75">
        <v>5007.1290322580644</v>
      </c>
      <c r="BH75">
        <v>0.37094545161290321</v>
      </c>
      <c r="BI75">
        <v>0.23331922580645159</v>
      </c>
      <c r="BJ75">
        <v>-0.72063590322580651</v>
      </c>
      <c r="BK75">
        <v>16.890238709677419</v>
      </c>
      <c r="BL75">
        <v>17.58213870967742</v>
      </c>
      <c r="BM75">
        <v>1.6136109677419359</v>
      </c>
      <c r="BN75">
        <v>17.619574193548392</v>
      </c>
      <c r="BO75">
        <v>-2.1287987096774201</v>
      </c>
      <c r="BP75">
        <v>-5.1664009677419347E-2</v>
      </c>
      <c r="BQ75">
        <v>-0.2134802258064516</v>
      </c>
      <c r="BR75">
        <v>-99.900000000000034</v>
      </c>
      <c r="BS75">
        <v>-99.900000000000034</v>
      </c>
      <c r="BT75">
        <v>0</v>
      </c>
      <c r="BU75">
        <v>0</v>
      </c>
      <c r="BV75">
        <v>0</v>
      </c>
      <c r="BW75">
        <v>26</v>
      </c>
      <c r="BX75">
        <v>-1</v>
      </c>
      <c r="BY75">
        <v>1775484542</v>
      </c>
      <c r="BZ75" t="s">
        <v>510</v>
      </c>
      <c r="CA75">
        <v>1775484542</v>
      </c>
      <c r="CB75">
        <v>1775480969.5</v>
      </c>
      <c r="CC75">
        <v>60</v>
      </c>
      <c r="CD75">
        <v>4.0000000000000001E-3</v>
      </c>
      <c r="CE75">
        <v>0.19500000000000001</v>
      </c>
      <c r="CF75">
        <v>8.0009999999999994</v>
      </c>
      <c r="CG75">
        <v>-0.98899999999999999</v>
      </c>
      <c r="CH75">
        <v>18</v>
      </c>
      <c r="CI75">
        <v>-3</v>
      </c>
      <c r="CJ75">
        <v>0.2</v>
      </c>
      <c r="CK75">
        <v>0.06</v>
      </c>
      <c r="CL75">
        <v>17.538957377049179</v>
      </c>
      <c r="CM75">
        <v>0.69615166578526422</v>
      </c>
      <c r="CN75">
        <v>0.1081168485361203</v>
      </c>
      <c r="CO75">
        <v>-1</v>
      </c>
      <c r="CP75">
        <v>499.98457377049169</v>
      </c>
      <c r="CQ75">
        <v>-1.7952406134220049E-2</v>
      </c>
      <c r="CR75">
        <v>5.3580782894797473E-2</v>
      </c>
      <c r="CS75">
        <v>-1</v>
      </c>
      <c r="CT75">
        <v>0</v>
      </c>
      <c r="CU75">
        <v>0</v>
      </c>
      <c r="CV75" t="s">
        <v>333</v>
      </c>
      <c r="CW75">
        <v>3.1674699999999998</v>
      </c>
      <c r="CX75">
        <v>2.66438</v>
      </c>
      <c r="CY75">
        <v>2.68535E-3</v>
      </c>
      <c r="CZ75">
        <v>5.2908599999999997E-3</v>
      </c>
      <c r="DA75">
        <v>3.7876899999999998E-3</v>
      </c>
      <c r="DB75">
        <v>-1.99493E-2</v>
      </c>
      <c r="DC75">
        <v>21521.599999999999</v>
      </c>
      <c r="DD75">
        <v>21847.599999999999</v>
      </c>
      <c r="DE75">
        <v>23108.3</v>
      </c>
      <c r="DF75">
        <v>22317.3</v>
      </c>
      <c r="DG75">
        <v>29687.7</v>
      </c>
      <c r="DH75">
        <v>27144.5</v>
      </c>
      <c r="DI75">
        <v>40614.9</v>
      </c>
      <c r="DJ75">
        <v>36984.800000000003</v>
      </c>
      <c r="DK75">
        <v>2.0823399999999999</v>
      </c>
      <c r="DL75">
        <v>1.80104</v>
      </c>
      <c r="DM75">
        <v>1.7291299999999999E-2</v>
      </c>
      <c r="DN75">
        <v>0</v>
      </c>
      <c r="DO75">
        <v>27.0959</v>
      </c>
      <c r="DP75">
        <v>999.9</v>
      </c>
      <c r="DQ75">
        <v>78.3</v>
      </c>
      <c r="DR75">
        <v>29.2</v>
      </c>
      <c r="DS75">
        <v>31.768799999999999</v>
      </c>
      <c r="DT75">
        <v>30.535499999999999</v>
      </c>
      <c r="DU75">
        <v>9.6714699999999993</v>
      </c>
      <c r="DV75">
        <v>1</v>
      </c>
      <c r="DW75">
        <v>0.22625600000000001</v>
      </c>
      <c r="DX75">
        <v>-0.113065</v>
      </c>
      <c r="DY75">
        <v>20.367799999999999</v>
      </c>
      <c r="DZ75">
        <v>5.2104600000000003</v>
      </c>
      <c r="EA75">
        <v>11.8483</v>
      </c>
      <c r="EB75">
        <v>4.9677600000000002</v>
      </c>
      <c r="EC75">
        <v>3.2920600000000002</v>
      </c>
      <c r="ED75">
        <v>894.7</v>
      </c>
      <c r="EE75">
        <v>0</v>
      </c>
      <c r="EF75">
        <v>5724.9</v>
      </c>
      <c r="EG75">
        <v>109.8</v>
      </c>
      <c r="EH75">
        <v>4.9716100000000001</v>
      </c>
      <c r="EI75">
        <v>1.8717999999999999</v>
      </c>
      <c r="EJ75">
        <v>1.8689199999999999</v>
      </c>
      <c r="EK75">
        <v>1.8713500000000001</v>
      </c>
      <c r="EL75">
        <v>1.8691199999999999</v>
      </c>
      <c r="EM75">
        <v>1.86808</v>
      </c>
      <c r="EN75">
        <v>1.8698900000000001</v>
      </c>
      <c r="EO75">
        <v>1.87168</v>
      </c>
      <c r="EP75">
        <v>0</v>
      </c>
      <c r="EQ75">
        <v>0</v>
      </c>
      <c r="ER75">
        <v>0</v>
      </c>
      <c r="ES75">
        <v>0</v>
      </c>
      <c r="ET75" t="s">
        <v>334</v>
      </c>
      <c r="EU75" t="s">
        <v>335</v>
      </c>
      <c r="EV75" t="s">
        <v>336</v>
      </c>
      <c r="EW75" t="s">
        <v>336</v>
      </c>
      <c r="EX75" t="s">
        <v>336</v>
      </c>
      <c r="EY75" t="s">
        <v>336</v>
      </c>
      <c r="EZ75">
        <v>0</v>
      </c>
      <c r="FA75">
        <v>100</v>
      </c>
      <c r="FB75">
        <v>100</v>
      </c>
      <c r="FC75">
        <v>8.0009999999999994</v>
      </c>
      <c r="FD75">
        <v>-0.98929999999999996</v>
      </c>
      <c r="FE75">
        <v>7.9973344999999991</v>
      </c>
      <c r="FF75">
        <v>0</v>
      </c>
      <c r="FG75">
        <v>0</v>
      </c>
      <c r="FH75">
        <v>0</v>
      </c>
      <c r="FI75">
        <v>-0.98927100000000023</v>
      </c>
      <c r="FJ75">
        <v>0</v>
      </c>
      <c r="FK75">
        <v>0</v>
      </c>
      <c r="FL75">
        <v>0</v>
      </c>
      <c r="FM75">
        <v>-1</v>
      </c>
      <c r="FN75">
        <v>-1</v>
      </c>
      <c r="FO75">
        <v>-1</v>
      </c>
      <c r="FP75">
        <v>-1</v>
      </c>
      <c r="FQ75">
        <v>0.7</v>
      </c>
      <c r="FR75">
        <v>59.2</v>
      </c>
      <c r="FS75">
        <v>0.142822</v>
      </c>
      <c r="FT75">
        <v>4.99756</v>
      </c>
      <c r="FU75">
        <v>1.5979000000000001</v>
      </c>
      <c r="FV75">
        <v>2.1569799999999999</v>
      </c>
      <c r="FW75">
        <v>1.5478499999999999</v>
      </c>
      <c r="FX75">
        <v>2.3974600000000001</v>
      </c>
      <c r="FY75">
        <v>33.738100000000003</v>
      </c>
      <c r="FZ75">
        <v>16.058299999999999</v>
      </c>
      <c r="GA75">
        <v>3</v>
      </c>
      <c r="GB75">
        <v>496.85199999999998</v>
      </c>
      <c r="GC75">
        <v>407.88799999999998</v>
      </c>
      <c r="GD75">
        <v>27.846699999999998</v>
      </c>
      <c r="GE75">
        <v>30.063700000000001</v>
      </c>
      <c r="GF75">
        <v>30.0002</v>
      </c>
      <c r="GG75">
        <v>30.370799999999999</v>
      </c>
      <c r="GH75">
        <v>30.4224</v>
      </c>
      <c r="GI75">
        <v>-1</v>
      </c>
      <c r="GJ75">
        <v>0</v>
      </c>
      <c r="GK75">
        <v>100</v>
      </c>
      <c r="GL75">
        <v>27.848800000000001</v>
      </c>
      <c r="GM75">
        <v>432.1</v>
      </c>
      <c r="GN75">
        <v>68.912800000000004</v>
      </c>
      <c r="GO75">
        <v>102.23099999999999</v>
      </c>
      <c r="GP75">
        <v>96.507800000000003</v>
      </c>
    </row>
    <row r="76" spans="1:198" x14ac:dyDescent="0.35">
      <c r="A76">
        <v>60</v>
      </c>
      <c r="B76">
        <v>1775484579</v>
      </c>
      <c r="C76">
        <v>3540.5</v>
      </c>
      <c r="D76" t="s">
        <v>511</v>
      </c>
      <c r="E76" t="s">
        <v>512</v>
      </c>
      <c r="F76">
        <v>60</v>
      </c>
      <c r="G76">
        <v>1775484571</v>
      </c>
      <c r="H76">
        <f t="shared" si="0"/>
        <v>2.6709323611444854E-3</v>
      </c>
      <c r="I76">
        <f t="shared" si="1"/>
        <v>2.6709323611444855</v>
      </c>
      <c r="J76">
        <f t="shared" si="2"/>
        <v>1.0740623731622529</v>
      </c>
      <c r="K76">
        <f t="shared" si="3"/>
        <v>16.98893806451613</v>
      </c>
      <c r="L76">
        <f t="shared" si="4"/>
        <v>-7.4854446299217852</v>
      </c>
      <c r="M76">
        <f t="shared" si="5"/>
        <v>-0.75098127594091968</v>
      </c>
      <c r="N76">
        <f t="shared" si="6"/>
        <v>1.7044243883084995</v>
      </c>
      <c r="O76">
        <f t="shared" si="7"/>
        <v>7.2061450318063741E-2</v>
      </c>
      <c r="P76">
        <f t="shared" si="8"/>
        <v>2.3955695244783985</v>
      </c>
      <c r="Q76">
        <f t="shared" si="9"/>
        <v>7.0878509690117358E-2</v>
      </c>
      <c r="R76">
        <f t="shared" si="10"/>
        <v>4.4403733520454486E-2</v>
      </c>
      <c r="S76">
        <f t="shared" si="11"/>
        <v>0</v>
      </c>
      <c r="T76">
        <f t="shared" si="12"/>
        <v>26.462691953004782</v>
      </c>
      <c r="U76">
        <f t="shared" si="13"/>
        <v>27.384487096774201</v>
      </c>
      <c r="V76">
        <f t="shared" si="14"/>
        <v>3.6607848880592853</v>
      </c>
      <c r="W76">
        <f t="shared" si="15"/>
        <v>-1.4223150275036183</v>
      </c>
      <c r="X76">
        <f t="shared" si="16"/>
        <v>-5.1808206035185995E-2</v>
      </c>
      <c r="Y76">
        <f t="shared" si="17"/>
        <v>3.6425267984489604</v>
      </c>
      <c r="Z76">
        <f t="shared" si="18"/>
        <v>3.7125930940944714</v>
      </c>
      <c r="AA76">
        <f t="shared" si="19"/>
        <v>-117.7881171264718</v>
      </c>
      <c r="AB76">
        <f t="shared" si="20"/>
        <v>-11.022739431423537</v>
      </c>
      <c r="AC76">
        <f t="shared" si="21"/>
        <v>-0.9964129698582781</v>
      </c>
      <c r="AD76">
        <f t="shared" si="22"/>
        <v>-129.80726952775362</v>
      </c>
      <c r="AE76">
        <v>14</v>
      </c>
      <c r="AF76">
        <v>3</v>
      </c>
      <c r="AG76">
        <f t="shared" si="23"/>
        <v>1</v>
      </c>
      <c r="AH76">
        <f t="shared" si="24"/>
        <v>0</v>
      </c>
      <c r="AI76">
        <f t="shared" si="25"/>
        <v>25600.872540034041</v>
      </c>
      <c r="AJ76">
        <f t="shared" si="26"/>
        <v>0</v>
      </c>
      <c r="AK76">
        <f t="shared" si="27"/>
        <v>0</v>
      </c>
      <c r="AL76">
        <f t="shared" si="28"/>
        <v>0</v>
      </c>
      <c r="AM76">
        <f t="shared" si="29"/>
        <v>0</v>
      </c>
      <c r="AN76">
        <v>3</v>
      </c>
      <c r="AO76">
        <v>0.5</v>
      </c>
      <c r="AP76" t="s">
        <v>331</v>
      </c>
      <c r="AQ76">
        <v>2</v>
      </c>
      <c r="AR76">
        <v>1775484571</v>
      </c>
      <c r="AS76">
        <v>16.98893806451613</v>
      </c>
      <c r="AT76">
        <v>17.660580645161289</v>
      </c>
      <c r="AU76">
        <v>-0.51640096774193556</v>
      </c>
      <c r="AV76">
        <v>-2.119738709677419</v>
      </c>
      <c r="AW76">
        <v>8.9789380645161305</v>
      </c>
      <c r="AX76">
        <v>0.47287000000000001</v>
      </c>
      <c r="AY76">
        <v>500.01535483870958</v>
      </c>
      <c r="AZ76">
        <v>100.281935483871</v>
      </c>
      <c r="BA76">
        <v>4.3604690322580637E-2</v>
      </c>
      <c r="BB76">
        <v>27.299138709677418</v>
      </c>
      <c r="BC76">
        <v>27.384487096774201</v>
      </c>
      <c r="BD76">
        <v>999.90000000000032</v>
      </c>
      <c r="BE76">
        <v>0</v>
      </c>
      <c r="BF76">
        <v>0</v>
      </c>
      <c r="BG76">
        <v>5005.322580645161</v>
      </c>
      <c r="BH76">
        <v>0.38407551612903229</v>
      </c>
      <c r="BI76">
        <v>0.22961599999999999</v>
      </c>
      <c r="BJ76">
        <v>-0.68024629032258077</v>
      </c>
      <c r="BK76">
        <v>16.971564516129028</v>
      </c>
      <c r="BL76">
        <v>17.623225806451611</v>
      </c>
      <c r="BM76">
        <v>1.603337741935484</v>
      </c>
      <c r="BN76">
        <v>17.660580645161289</v>
      </c>
      <c r="BO76">
        <v>-2.119738709677419</v>
      </c>
      <c r="BP76">
        <v>-5.1785703225806452E-2</v>
      </c>
      <c r="BQ76">
        <v>-0.2125715483870968</v>
      </c>
      <c r="BR76">
        <v>-99.900000000000034</v>
      </c>
      <c r="BS76">
        <v>-99.900000000000034</v>
      </c>
      <c r="BT76">
        <v>0</v>
      </c>
      <c r="BU76">
        <v>0</v>
      </c>
      <c r="BV76">
        <v>0</v>
      </c>
      <c r="BW76">
        <v>26</v>
      </c>
      <c r="BX76">
        <v>-1</v>
      </c>
      <c r="BY76">
        <v>1775484596</v>
      </c>
      <c r="BZ76" t="s">
        <v>513</v>
      </c>
      <c r="CA76">
        <v>1775484596</v>
      </c>
      <c r="CB76">
        <v>1775480969.5</v>
      </c>
      <c r="CC76">
        <v>61</v>
      </c>
      <c r="CD76">
        <v>8.0000000000000002E-3</v>
      </c>
      <c r="CE76">
        <v>0.19500000000000001</v>
      </c>
      <c r="CF76">
        <v>8.01</v>
      </c>
      <c r="CG76">
        <v>-0.98899999999999999</v>
      </c>
      <c r="CH76">
        <v>18</v>
      </c>
      <c r="CI76">
        <v>-3</v>
      </c>
      <c r="CJ76">
        <v>0.16</v>
      </c>
      <c r="CK76">
        <v>0.06</v>
      </c>
      <c r="CL76">
        <v>17.61720166666667</v>
      </c>
      <c r="CM76">
        <v>0.39184717977217137</v>
      </c>
      <c r="CN76">
        <v>6.2265168143102977E-2</v>
      </c>
      <c r="CO76">
        <v>-1</v>
      </c>
      <c r="CP76">
        <v>500.10018333333329</v>
      </c>
      <c r="CQ76">
        <v>-1.015852181160606</v>
      </c>
      <c r="CR76">
        <v>0.33442370787504222</v>
      </c>
      <c r="CS76">
        <v>-1</v>
      </c>
      <c r="CT76">
        <v>0</v>
      </c>
      <c r="CU76">
        <v>0</v>
      </c>
      <c r="CV76" t="s">
        <v>333</v>
      </c>
      <c r="CW76">
        <v>3.1674799999999999</v>
      </c>
      <c r="CX76">
        <v>2.66493</v>
      </c>
      <c r="CY76">
        <v>2.6981700000000002E-3</v>
      </c>
      <c r="CZ76">
        <v>5.31095E-3</v>
      </c>
      <c r="DA76">
        <v>3.8715500000000001E-3</v>
      </c>
      <c r="DB76">
        <v>-1.98183E-2</v>
      </c>
      <c r="DC76">
        <v>21521.1</v>
      </c>
      <c r="DD76">
        <v>21847</v>
      </c>
      <c r="DE76">
        <v>23108.1</v>
      </c>
      <c r="DF76">
        <v>22317.1</v>
      </c>
      <c r="DG76">
        <v>29685</v>
      </c>
      <c r="DH76">
        <v>27140.799999999999</v>
      </c>
      <c r="DI76">
        <v>40614.6</v>
      </c>
      <c r="DJ76">
        <v>36984.5</v>
      </c>
      <c r="DK76">
        <v>2.0822400000000001</v>
      </c>
      <c r="DL76">
        <v>1.8006800000000001</v>
      </c>
      <c r="DM76">
        <v>1.8748600000000001E-2</v>
      </c>
      <c r="DN76">
        <v>0</v>
      </c>
      <c r="DO76">
        <v>27.081199999999999</v>
      </c>
      <c r="DP76">
        <v>999.9</v>
      </c>
      <c r="DQ76">
        <v>78.2</v>
      </c>
      <c r="DR76">
        <v>29.2</v>
      </c>
      <c r="DS76">
        <v>31.7258</v>
      </c>
      <c r="DT76">
        <v>30.985499999999998</v>
      </c>
      <c r="DU76">
        <v>9.9318899999999992</v>
      </c>
      <c r="DV76">
        <v>1</v>
      </c>
      <c r="DW76">
        <v>0.22599</v>
      </c>
      <c r="DX76">
        <v>-0.12656200000000001</v>
      </c>
      <c r="DY76">
        <v>20.367699999999999</v>
      </c>
      <c r="DZ76">
        <v>5.2111799999999997</v>
      </c>
      <c r="EA76">
        <v>11.8491</v>
      </c>
      <c r="EB76">
        <v>4.9677600000000002</v>
      </c>
      <c r="EC76">
        <v>3.29216</v>
      </c>
      <c r="ED76">
        <v>894.7</v>
      </c>
      <c r="EE76">
        <v>0</v>
      </c>
      <c r="EF76">
        <v>5750</v>
      </c>
      <c r="EG76">
        <v>109.8</v>
      </c>
      <c r="EH76">
        <v>4.9716199999999997</v>
      </c>
      <c r="EI76">
        <v>1.8717999999999999</v>
      </c>
      <c r="EJ76">
        <v>1.8689899999999999</v>
      </c>
      <c r="EK76">
        <v>1.87137</v>
      </c>
      <c r="EL76">
        <v>1.8691899999999999</v>
      </c>
      <c r="EM76">
        <v>1.8681099999999999</v>
      </c>
      <c r="EN76">
        <v>1.86995</v>
      </c>
      <c r="EO76">
        <v>1.87174</v>
      </c>
      <c r="EP76">
        <v>0</v>
      </c>
      <c r="EQ76">
        <v>0</v>
      </c>
      <c r="ER76">
        <v>0</v>
      </c>
      <c r="ES76">
        <v>0</v>
      </c>
      <c r="ET76" t="s">
        <v>334</v>
      </c>
      <c r="EU76" t="s">
        <v>335</v>
      </c>
      <c r="EV76" t="s">
        <v>336</v>
      </c>
      <c r="EW76" t="s">
        <v>336</v>
      </c>
      <c r="EX76" t="s">
        <v>336</v>
      </c>
      <c r="EY76" t="s">
        <v>336</v>
      </c>
      <c r="EZ76">
        <v>0</v>
      </c>
      <c r="FA76">
        <v>100</v>
      </c>
      <c r="FB76">
        <v>100</v>
      </c>
      <c r="FC76">
        <v>8.01</v>
      </c>
      <c r="FD76">
        <v>-0.98929999999999996</v>
      </c>
      <c r="FE76">
        <v>8.0013929999999984</v>
      </c>
      <c r="FF76">
        <v>0</v>
      </c>
      <c r="FG76">
        <v>0</v>
      </c>
      <c r="FH76">
        <v>0</v>
      </c>
      <c r="FI76">
        <v>-0.98927100000000023</v>
      </c>
      <c r="FJ76">
        <v>0</v>
      </c>
      <c r="FK76">
        <v>0</v>
      </c>
      <c r="FL76">
        <v>0</v>
      </c>
      <c r="FM76">
        <v>-1</v>
      </c>
      <c r="FN76">
        <v>-1</v>
      </c>
      <c r="FO76">
        <v>-1</v>
      </c>
      <c r="FP76">
        <v>-1</v>
      </c>
      <c r="FQ76">
        <v>0.6</v>
      </c>
      <c r="FR76">
        <v>60.2</v>
      </c>
      <c r="FS76">
        <v>0.142822</v>
      </c>
      <c r="FT76">
        <v>4.99756</v>
      </c>
      <c r="FU76">
        <v>1.5979000000000001</v>
      </c>
      <c r="FV76">
        <v>2.1569799999999999</v>
      </c>
      <c r="FW76">
        <v>1.5478499999999999</v>
      </c>
      <c r="FX76">
        <v>2.323</v>
      </c>
      <c r="FY76">
        <v>33.738100000000003</v>
      </c>
      <c r="FZ76">
        <v>16.0671</v>
      </c>
      <c r="GA76">
        <v>3</v>
      </c>
      <c r="GB76">
        <v>496.774</v>
      </c>
      <c r="GC76">
        <v>407.64699999999999</v>
      </c>
      <c r="GD76">
        <v>27.868400000000001</v>
      </c>
      <c r="GE76">
        <v>30.058499999999999</v>
      </c>
      <c r="GF76">
        <v>30.0001</v>
      </c>
      <c r="GG76">
        <v>30.368200000000002</v>
      </c>
      <c r="GH76">
        <v>30.417200000000001</v>
      </c>
      <c r="GI76">
        <v>-1</v>
      </c>
      <c r="GJ76">
        <v>0</v>
      </c>
      <c r="GK76">
        <v>100</v>
      </c>
      <c r="GL76">
        <v>27.867899999999999</v>
      </c>
      <c r="GM76">
        <v>432.1</v>
      </c>
      <c r="GN76">
        <v>68.912800000000004</v>
      </c>
      <c r="GO76">
        <v>102.23</v>
      </c>
      <c r="GP76">
        <v>96.507000000000005</v>
      </c>
    </row>
    <row r="77" spans="1:198" x14ac:dyDescent="0.35">
      <c r="A77">
        <v>61</v>
      </c>
      <c r="B77">
        <v>1775484639</v>
      </c>
      <c r="C77">
        <v>3600.5</v>
      </c>
      <c r="D77" t="s">
        <v>514</v>
      </c>
      <c r="E77" t="s">
        <v>515</v>
      </c>
      <c r="F77">
        <v>60</v>
      </c>
      <c r="G77">
        <v>1775484631</v>
      </c>
      <c r="H77">
        <f t="shared" si="0"/>
        <v>2.6776113886803408E-3</v>
      </c>
      <c r="I77">
        <f t="shared" si="1"/>
        <v>2.677611388680341</v>
      </c>
      <c r="J77">
        <f t="shared" si="2"/>
        <v>1.1452616365920447</v>
      </c>
      <c r="K77">
        <f t="shared" si="3"/>
        <v>17.406595483870969</v>
      </c>
      <c r="L77">
        <f t="shared" si="4"/>
        <v>-8.5818721250225032</v>
      </c>
      <c r="M77">
        <f t="shared" si="5"/>
        <v>-0.86098299204733808</v>
      </c>
      <c r="N77">
        <f t="shared" si="6"/>
        <v>1.7463302229082807</v>
      </c>
      <c r="O77">
        <f t="shared" si="7"/>
        <v>7.2258570800677074E-2</v>
      </c>
      <c r="P77">
        <f t="shared" si="8"/>
        <v>2.3925107195425515</v>
      </c>
      <c r="Q77">
        <f t="shared" si="9"/>
        <v>7.1067713576670827E-2</v>
      </c>
      <c r="R77">
        <f t="shared" si="10"/>
        <v>4.4522679978248755E-2</v>
      </c>
      <c r="S77">
        <f t="shared" si="11"/>
        <v>0</v>
      </c>
      <c r="T77">
        <f t="shared" si="12"/>
        <v>26.462645098169293</v>
      </c>
      <c r="U77">
        <f t="shared" si="13"/>
        <v>27.386180645161289</v>
      </c>
      <c r="V77">
        <f t="shared" si="14"/>
        <v>3.6611479858029186</v>
      </c>
      <c r="W77">
        <f t="shared" si="15"/>
        <v>-1.3944808424637354</v>
      </c>
      <c r="X77">
        <f t="shared" si="16"/>
        <v>-5.0803345782577905E-2</v>
      </c>
      <c r="Y77">
        <f t="shared" si="17"/>
        <v>3.6431727303488635</v>
      </c>
      <c r="Z77">
        <f t="shared" si="18"/>
        <v>3.7119513315854964</v>
      </c>
      <c r="AA77">
        <f t="shared" si="19"/>
        <v>-118.08266224080303</v>
      </c>
      <c r="AB77">
        <f t="shared" si="20"/>
        <v>-10.836823588443764</v>
      </c>
      <c r="AC77">
        <f t="shared" si="21"/>
        <v>-0.98088243499406014</v>
      </c>
      <c r="AD77">
        <f t="shared" si="22"/>
        <v>-129.90036826424085</v>
      </c>
      <c r="AE77">
        <v>14</v>
      </c>
      <c r="AF77">
        <v>3</v>
      </c>
      <c r="AG77">
        <f t="shared" si="23"/>
        <v>1</v>
      </c>
      <c r="AH77">
        <f t="shared" si="24"/>
        <v>0</v>
      </c>
      <c r="AI77">
        <f t="shared" si="25"/>
        <v>25554.071907630019</v>
      </c>
      <c r="AJ77">
        <f t="shared" si="26"/>
        <v>0</v>
      </c>
      <c r="AK77">
        <f t="shared" si="27"/>
        <v>0</v>
      </c>
      <c r="AL77">
        <f t="shared" si="28"/>
        <v>0</v>
      </c>
      <c r="AM77">
        <f t="shared" si="29"/>
        <v>0</v>
      </c>
      <c r="AN77">
        <v>3</v>
      </c>
      <c r="AO77">
        <v>0.5</v>
      </c>
      <c r="AP77" t="s">
        <v>331</v>
      </c>
      <c r="AQ77">
        <v>2</v>
      </c>
      <c r="AR77">
        <v>1775484631</v>
      </c>
      <c r="AS77">
        <v>17.406595483870969</v>
      </c>
      <c r="AT77">
        <v>18.12171935483871</v>
      </c>
      <c r="AU77">
        <v>-0.50638377419354841</v>
      </c>
      <c r="AV77">
        <v>-2.1137687096774189</v>
      </c>
      <c r="AW77">
        <v>9.3835954838709661</v>
      </c>
      <c r="AX77">
        <v>0.48288725806451621</v>
      </c>
      <c r="AY77">
        <v>499.99858064516121</v>
      </c>
      <c r="AZ77">
        <v>100.2826451612904</v>
      </c>
      <c r="BA77">
        <v>4.3132187096774202E-2</v>
      </c>
      <c r="BB77">
        <v>27.302164516129029</v>
      </c>
      <c r="BC77">
        <v>27.386180645161289</v>
      </c>
      <c r="BD77">
        <v>999.90000000000032</v>
      </c>
      <c r="BE77">
        <v>0</v>
      </c>
      <c r="BF77">
        <v>0</v>
      </c>
      <c r="BG77">
        <v>4997.4193548387093</v>
      </c>
      <c r="BH77">
        <v>0.3898993870967743</v>
      </c>
      <c r="BI77">
        <v>0.23331922580645159</v>
      </c>
      <c r="BJ77">
        <v>-0.72851141935483865</v>
      </c>
      <c r="BK77">
        <v>17.384399999999999</v>
      </c>
      <c r="BL77">
        <v>18.0834935483871</v>
      </c>
      <c r="BM77">
        <v>1.607384838709677</v>
      </c>
      <c r="BN77">
        <v>18.12171935483871</v>
      </c>
      <c r="BO77">
        <v>-2.1137687096774189</v>
      </c>
      <c r="BP77">
        <v>-5.0781487096774193E-2</v>
      </c>
      <c r="BQ77">
        <v>-0.21197432258064519</v>
      </c>
      <c r="BR77">
        <v>-99.900000000000034</v>
      </c>
      <c r="BS77">
        <v>-99.900000000000034</v>
      </c>
      <c r="BT77">
        <v>0</v>
      </c>
      <c r="BU77">
        <v>0</v>
      </c>
      <c r="BV77">
        <v>0</v>
      </c>
      <c r="BW77">
        <v>26</v>
      </c>
      <c r="BX77">
        <v>-1</v>
      </c>
      <c r="BY77">
        <v>1775484657</v>
      </c>
      <c r="BZ77" t="s">
        <v>516</v>
      </c>
      <c r="CA77">
        <v>1775484657</v>
      </c>
      <c r="CB77">
        <v>1775480969.5</v>
      </c>
      <c r="CC77">
        <v>62</v>
      </c>
      <c r="CD77">
        <v>1.2999999999999999E-2</v>
      </c>
      <c r="CE77">
        <v>0.19500000000000001</v>
      </c>
      <c r="CF77">
        <v>8.0229999999999997</v>
      </c>
      <c r="CG77">
        <v>-0.98899999999999999</v>
      </c>
      <c r="CH77">
        <v>18</v>
      </c>
      <c r="CI77">
        <v>-3</v>
      </c>
      <c r="CJ77">
        <v>0.23</v>
      </c>
      <c r="CK77">
        <v>0.06</v>
      </c>
      <c r="CL77">
        <v>18.044866666666671</v>
      </c>
      <c r="CM77">
        <v>0.47160900250069698</v>
      </c>
      <c r="CN77">
        <v>8.8357209980598414E-2</v>
      </c>
      <c r="CO77">
        <v>-1</v>
      </c>
      <c r="CP77">
        <v>499.98916666666662</v>
      </c>
      <c r="CQ77">
        <v>0.1098771881085463</v>
      </c>
      <c r="CR77">
        <v>7.6569830147971196E-2</v>
      </c>
      <c r="CS77">
        <v>-1</v>
      </c>
      <c r="CT77">
        <v>0</v>
      </c>
      <c r="CU77">
        <v>0</v>
      </c>
      <c r="CV77" t="s">
        <v>333</v>
      </c>
      <c r="CW77">
        <v>3.1674799999999999</v>
      </c>
      <c r="CX77">
        <v>2.6644899999999998</v>
      </c>
      <c r="CY77">
        <v>2.83826E-3</v>
      </c>
      <c r="CZ77">
        <v>5.4553600000000002E-3</v>
      </c>
      <c r="DA77">
        <v>3.9004199999999999E-3</v>
      </c>
      <c r="DB77">
        <v>-1.9795199999999999E-2</v>
      </c>
      <c r="DC77">
        <v>21517.8</v>
      </c>
      <c r="DD77">
        <v>21843.5</v>
      </c>
      <c r="DE77">
        <v>23107.7</v>
      </c>
      <c r="DF77">
        <v>22316.799999999999</v>
      </c>
      <c r="DG77">
        <v>29683.5</v>
      </c>
      <c r="DH77">
        <v>27139.8</v>
      </c>
      <c r="DI77">
        <v>40613.699999999997</v>
      </c>
      <c r="DJ77">
        <v>36983.9</v>
      </c>
      <c r="DK77">
        <v>2.0822400000000001</v>
      </c>
      <c r="DL77">
        <v>1.8012600000000001</v>
      </c>
      <c r="DM77">
        <v>1.8143699999999999E-2</v>
      </c>
      <c r="DN77">
        <v>0</v>
      </c>
      <c r="DO77">
        <v>27.089099999999998</v>
      </c>
      <c r="DP77">
        <v>999.9</v>
      </c>
      <c r="DQ77">
        <v>78.2</v>
      </c>
      <c r="DR77">
        <v>29.2</v>
      </c>
      <c r="DS77">
        <v>31.725000000000001</v>
      </c>
      <c r="DT77">
        <v>30.625499999999999</v>
      </c>
      <c r="DU77">
        <v>9.7235600000000009</v>
      </c>
      <c r="DV77">
        <v>1</v>
      </c>
      <c r="DW77">
        <v>0.225717</v>
      </c>
      <c r="DX77">
        <v>-9.2708100000000002E-2</v>
      </c>
      <c r="DY77">
        <v>20.367699999999999</v>
      </c>
      <c r="DZ77">
        <v>5.2109399999999999</v>
      </c>
      <c r="EA77">
        <v>11.8482</v>
      </c>
      <c r="EB77">
        <v>4.9677600000000002</v>
      </c>
      <c r="EC77">
        <v>3.2919999999999998</v>
      </c>
      <c r="ED77">
        <v>894.7</v>
      </c>
      <c r="EE77">
        <v>0</v>
      </c>
      <c r="EF77">
        <v>5781.7</v>
      </c>
      <c r="EG77">
        <v>109.8</v>
      </c>
      <c r="EH77">
        <v>4.9716100000000001</v>
      </c>
      <c r="EI77">
        <v>1.8717999999999999</v>
      </c>
      <c r="EJ77">
        <v>1.86897</v>
      </c>
      <c r="EK77">
        <v>1.8713599999999999</v>
      </c>
      <c r="EL77">
        <v>1.8691800000000001</v>
      </c>
      <c r="EM77">
        <v>1.8681000000000001</v>
      </c>
      <c r="EN77">
        <v>1.8699300000000001</v>
      </c>
      <c r="EO77">
        <v>1.8716999999999999</v>
      </c>
      <c r="EP77">
        <v>0</v>
      </c>
      <c r="EQ77">
        <v>0</v>
      </c>
      <c r="ER77">
        <v>0</v>
      </c>
      <c r="ES77">
        <v>0</v>
      </c>
      <c r="ET77" t="s">
        <v>334</v>
      </c>
      <c r="EU77" t="s">
        <v>335</v>
      </c>
      <c r="EV77" t="s">
        <v>336</v>
      </c>
      <c r="EW77" t="s">
        <v>336</v>
      </c>
      <c r="EX77" t="s">
        <v>336</v>
      </c>
      <c r="EY77" t="s">
        <v>336</v>
      </c>
      <c r="EZ77">
        <v>0</v>
      </c>
      <c r="FA77">
        <v>100</v>
      </c>
      <c r="FB77">
        <v>100</v>
      </c>
      <c r="FC77">
        <v>8.0229999999999997</v>
      </c>
      <c r="FD77">
        <v>-0.98929999999999996</v>
      </c>
      <c r="FE77">
        <v>8.0096105000000044</v>
      </c>
      <c r="FF77">
        <v>0</v>
      </c>
      <c r="FG77">
        <v>0</v>
      </c>
      <c r="FH77">
        <v>0</v>
      </c>
      <c r="FI77">
        <v>-0.98927100000000023</v>
      </c>
      <c r="FJ77">
        <v>0</v>
      </c>
      <c r="FK77">
        <v>0</v>
      </c>
      <c r="FL77">
        <v>0</v>
      </c>
      <c r="FM77">
        <v>-1</v>
      </c>
      <c r="FN77">
        <v>-1</v>
      </c>
      <c r="FO77">
        <v>-1</v>
      </c>
      <c r="FP77">
        <v>-1</v>
      </c>
      <c r="FQ77">
        <v>0.7</v>
      </c>
      <c r="FR77">
        <v>61.2</v>
      </c>
      <c r="FS77">
        <v>0.142822</v>
      </c>
      <c r="FT77">
        <v>4.99756</v>
      </c>
      <c r="FU77">
        <v>1.5979000000000001</v>
      </c>
      <c r="FV77">
        <v>2.1569799999999999</v>
      </c>
      <c r="FW77">
        <v>1.5478499999999999</v>
      </c>
      <c r="FX77">
        <v>2.4072300000000002</v>
      </c>
      <c r="FY77">
        <v>33.760599999999997</v>
      </c>
      <c r="FZ77">
        <v>16.0671</v>
      </c>
      <c r="GA77">
        <v>3</v>
      </c>
      <c r="GB77">
        <v>496.738</v>
      </c>
      <c r="GC77">
        <v>407.964</v>
      </c>
      <c r="GD77">
        <v>27.845400000000001</v>
      </c>
      <c r="GE77">
        <v>30.056000000000001</v>
      </c>
      <c r="GF77">
        <v>30</v>
      </c>
      <c r="GG77">
        <v>30.363399999999999</v>
      </c>
      <c r="GH77">
        <v>30.4146</v>
      </c>
      <c r="GI77">
        <v>-1</v>
      </c>
      <c r="GJ77">
        <v>0</v>
      </c>
      <c r="GK77">
        <v>100</v>
      </c>
      <c r="GL77">
        <v>27.842600000000001</v>
      </c>
      <c r="GM77">
        <v>432.1</v>
      </c>
      <c r="GN77">
        <v>68.912800000000004</v>
      </c>
      <c r="GO77">
        <v>102.22799999999999</v>
      </c>
      <c r="GP77">
        <v>96.505499999999998</v>
      </c>
    </row>
    <row r="78" spans="1:198" x14ac:dyDescent="0.35">
      <c r="A78">
        <v>62</v>
      </c>
      <c r="B78">
        <v>1775484699</v>
      </c>
      <c r="C78">
        <v>3660.5</v>
      </c>
      <c r="D78" t="s">
        <v>517</v>
      </c>
      <c r="E78" t="s">
        <v>518</v>
      </c>
      <c r="F78">
        <v>60</v>
      </c>
      <c r="G78">
        <v>1775484691</v>
      </c>
      <c r="H78">
        <f t="shared" si="0"/>
        <v>2.6543410676324844E-3</v>
      </c>
      <c r="I78">
        <f t="shared" si="1"/>
        <v>2.6543410676324846</v>
      </c>
      <c r="J78">
        <f t="shared" si="2"/>
        <v>1.1548546194545797</v>
      </c>
      <c r="K78">
        <f t="shared" si="3"/>
        <v>17.84907451612904</v>
      </c>
      <c r="L78">
        <f t="shared" si="4"/>
        <v>-8.5978547908308069</v>
      </c>
      <c r="M78">
        <f t="shared" si="5"/>
        <v>-0.86257881940185943</v>
      </c>
      <c r="N78">
        <f t="shared" si="6"/>
        <v>1.7907064027131203</v>
      </c>
      <c r="O78">
        <f t="shared" si="7"/>
        <v>7.1612905926920947E-2</v>
      </c>
      <c r="P78">
        <f t="shared" si="8"/>
        <v>2.3952121838279248</v>
      </c>
      <c r="Q78">
        <f t="shared" si="9"/>
        <v>7.0444345870224009E-2</v>
      </c>
      <c r="R78">
        <f t="shared" si="10"/>
        <v>4.413111829087505E-2</v>
      </c>
      <c r="S78">
        <f t="shared" si="11"/>
        <v>0</v>
      </c>
      <c r="T78">
        <f t="shared" si="12"/>
        <v>26.46763525096225</v>
      </c>
      <c r="U78">
        <f t="shared" si="13"/>
        <v>27.38309677419355</v>
      </c>
      <c r="V78">
        <f t="shared" si="14"/>
        <v>3.6604868255935417</v>
      </c>
      <c r="W78">
        <f t="shared" si="15"/>
        <v>-1.4211124757936913</v>
      </c>
      <c r="X78">
        <f t="shared" si="16"/>
        <v>-5.1763981996026137E-2</v>
      </c>
      <c r="Y78">
        <f t="shared" si="17"/>
        <v>3.6424971898945544</v>
      </c>
      <c r="Z78">
        <f t="shared" si="18"/>
        <v>3.7122508075895677</v>
      </c>
      <c r="AA78">
        <f t="shared" si="19"/>
        <v>-117.05644108259256</v>
      </c>
      <c r="AB78">
        <f t="shared" si="20"/>
        <v>-10.859473574729508</v>
      </c>
      <c r="AC78">
        <f t="shared" si="21"/>
        <v>-0.98179332304240119</v>
      </c>
      <c r="AD78">
        <f t="shared" si="22"/>
        <v>-128.89770798036446</v>
      </c>
      <c r="AE78">
        <v>14</v>
      </c>
      <c r="AF78">
        <v>3</v>
      </c>
      <c r="AG78">
        <f t="shared" si="23"/>
        <v>1</v>
      </c>
      <c r="AH78">
        <f t="shared" si="24"/>
        <v>0</v>
      </c>
      <c r="AI78">
        <f t="shared" si="25"/>
        <v>25595.462732234904</v>
      </c>
      <c r="AJ78">
        <f t="shared" si="26"/>
        <v>0</v>
      </c>
      <c r="AK78">
        <f t="shared" si="27"/>
        <v>0</v>
      </c>
      <c r="AL78">
        <f t="shared" si="28"/>
        <v>0</v>
      </c>
      <c r="AM78">
        <f t="shared" si="29"/>
        <v>0</v>
      </c>
      <c r="AN78">
        <v>3</v>
      </c>
      <c r="AO78">
        <v>0.5</v>
      </c>
      <c r="AP78" t="s">
        <v>331</v>
      </c>
      <c r="AQ78">
        <v>2</v>
      </c>
      <c r="AR78">
        <v>1775484691</v>
      </c>
      <c r="AS78">
        <v>17.84907451612904</v>
      </c>
      <c r="AT78">
        <v>18.570396774193551</v>
      </c>
      <c r="AU78">
        <v>-0.51596351612903235</v>
      </c>
      <c r="AV78">
        <v>-2.1093522580645159</v>
      </c>
      <c r="AW78">
        <v>9.8230745161290365</v>
      </c>
      <c r="AX78">
        <v>0.47330748387096783</v>
      </c>
      <c r="AY78">
        <v>500.01180645161281</v>
      </c>
      <c r="AZ78">
        <v>100.28161290322581</v>
      </c>
      <c r="BA78">
        <v>4.3275151612903233E-2</v>
      </c>
      <c r="BB78">
        <v>27.298999999999989</v>
      </c>
      <c r="BC78">
        <v>27.38309677419355</v>
      </c>
      <c r="BD78">
        <v>999.90000000000032</v>
      </c>
      <c r="BE78">
        <v>0</v>
      </c>
      <c r="BF78">
        <v>0</v>
      </c>
      <c r="BG78">
        <v>5004.4193548387093</v>
      </c>
      <c r="BH78">
        <v>0.38817516129032259</v>
      </c>
      <c r="BI78">
        <v>0.22961599999999999</v>
      </c>
      <c r="BJ78">
        <v>-0.72481322580645136</v>
      </c>
      <c r="BK78">
        <v>17.836377419354839</v>
      </c>
      <c r="BL78">
        <v>18.531306451612899</v>
      </c>
      <c r="BM78">
        <v>1.59338870967742</v>
      </c>
      <c r="BN78">
        <v>18.570396774193551</v>
      </c>
      <c r="BO78">
        <v>-2.1093522580645159</v>
      </c>
      <c r="BP78">
        <v>-5.1741651612903221E-2</v>
      </c>
      <c r="BQ78">
        <v>-0.21152919354838709</v>
      </c>
      <c r="BR78">
        <v>-99.900000000000034</v>
      </c>
      <c r="BS78">
        <v>-99.900000000000034</v>
      </c>
      <c r="BT78">
        <v>0</v>
      </c>
      <c r="BU78">
        <v>0</v>
      </c>
      <c r="BV78">
        <v>0</v>
      </c>
      <c r="BW78">
        <v>26</v>
      </c>
      <c r="BX78">
        <v>-1</v>
      </c>
      <c r="BY78">
        <v>1775484716</v>
      </c>
      <c r="BZ78" t="s">
        <v>519</v>
      </c>
      <c r="CA78">
        <v>1775484716</v>
      </c>
      <c r="CB78">
        <v>1775480969.5</v>
      </c>
      <c r="CC78">
        <v>63</v>
      </c>
      <c r="CD78">
        <v>4.0000000000000001E-3</v>
      </c>
      <c r="CE78">
        <v>0.19500000000000001</v>
      </c>
      <c r="CF78">
        <v>8.0259999999999998</v>
      </c>
      <c r="CG78">
        <v>-0.98899999999999999</v>
      </c>
      <c r="CH78">
        <v>19</v>
      </c>
      <c r="CI78">
        <v>-3</v>
      </c>
      <c r="CJ78">
        <v>0.2</v>
      </c>
      <c r="CK78">
        <v>0.06</v>
      </c>
      <c r="CL78">
        <v>18.473520000000001</v>
      </c>
      <c r="CM78">
        <v>0.70349741594889537</v>
      </c>
      <c r="CN78">
        <v>0.11472032194283011</v>
      </c>
      <c r="CO78">
        <v>-1</v>
      </c>
      <c r="CP78">
        <v>500.00698333333338</v>
      </c>
      <c r="CQ78">
        <v>1.6701305919576789E-2</v>
      </c>
      <c r="CR78">
        <v>3.8546721290171712E-2</v>
      </c>
      <c r="CS78">
        <v>-1</v>
      </c>
      <c r="CT78">
        <v>0</v>
      </c>
      <c r="CU78">
        <v>0</v>
      </c>
      <c r="CV78" t="s">
        <v>333</v>
      </c>
      <c r="CW78">
        <v>3.16737</v>
      </c>
      <c r="CX78">
        <v>2.66438</v>
      </c>
      <c r="CY78">
        <v>2.9601300000000001E-3</v>
      </c>
      <c r="CZ78">
        <v>5.6042599999999998E-3</v>
      </c>
      <c r="DA78">
        <v>3.8392399999999998E-3</v>
      </c>
      <c r="DB78">
        <v>-1.97279E-2</v>
      </c>
      <c r="DC78">
        <v>21515</v>
      </c>
      <c r="DD78">
        <v>21840.2</v>
      </c>
      <c r="DE78">
        <v>23107.599999999999</v>
      </c>
      <c r="DF78">
        <v>22316.799999999999</v>
      </c>
      <c r="DG78">
        <v>29685.4</v>
      </c>
      <c r="DH78">
        <v>27138</v>
      </c>
      <c r="DI78">
        <v>40613.800000000003</v>
      </c>
      <c r="DJ78">
        <v>36983.9</v>
      </c>
      <c r="DK78">
        <v>2.0819999999999999</v>
      </c>
      <c r="DL78">
        <v>1.80142</v>
      </c>
      <c r="DM78">
        <v>1.8557899999999999E-2</v>
      </c>
      <c r="DN78">
        <v>0</v>
      </c>
      <c r="DO78">
        <v>27.084399999999999</v>
      </c>
      <c r="DP78">
        <v>999.9</v>
      </c>
      <c r="DQ78">
        <v>78.2</v>
      </c>
      <c r="DR78">
        <v>29.3</v>
      </c>
      <c r="DS78">
        <v>31.910799999999998</v>
      </c>
      <c r="DT78">
        <v>30.1755</v>
      </c>
      <c r="DU78">
        <v>9.5512800000000002</v>
      </c>
      <c r="DV78">
        <v>1</v>
      </c>
      <c r="DW78">
        <v>0.22573799999999999</v>
      </c>
      <c r="DX78">
        <v>-0.10838100000000001</v>
      </c>
      <c r="DY78">
        <v>20.367699999999999</v>
      </c>
      <c r="DZ78">
        <v>5.21082</v>
      </c>
      <c r="EA78">
        <v>11.8485</v>
      </c>
      <c r="EB78">
        <v>4.9678000000000004</v>
      </c>
      <c r="EC78">
        <v>3.2921399999999998</v>
      </c>
      <c r="ED78">
        <v>894.7</v>
      </c>
      <c r="EE78">
        <v>0</v>
      </c>
      <c r="EF78">
        <v>5812.9</v>
      </c>
      <c r="EG78">
        <v>109.8</v>
      </c>
      <c r="EH78">
        <v>4.9716100000000001</v>
      </c>
      <c r="EI78">
        <v>1.8717999999999999</v>
      </c>
      <c r="EJ78">
        <v>1.8689499999999999</v>
      </c>
      <c r="EK78">
        <v>1.8713599999999999</v>
      </c>
      <c r="EL78">
        <v>1.86917</v>
      </c>
      <c r="EM78">
        <v>1.86809</v>
      </c>
      <c r="EN78">
        <v>1.8698900000000001</v>
      </c>
      <c r="EO78">
        <v>1.87171</v>
      </c>
      <c r="EP78">
        <v>0</v>
      </c>
      <c r="EQ78">
        <v>0</v>
      </c>
      <c r="ER78">
        <v>0</v>
      </c>
      <c r="ES78">
        <v>0</v>
      </c>
      <c r="ET78" t="s">
        <v>334</v>
      </c>
      <c r="EU78" t="s">
        <v>335</v>
      </c>
      <c r="EV78" t="s">
        <v>336</v>
      </c>
      <c r="EW78" t="s">
        <v>336</v>
      </c>
      <c r="EX78" t="s">
        <v>336</v>
      </c>
      <c r="EY78" t="s">
        <v>336</v>
      </c>
      <c r="EZ78">
        <v>0</v>
      </c>
      <c r="FA78">
        <v>100</v>
      </c>
      <c r="FB78">
        <v>100</v>
      </c>
      <c r="FC78">
        <v>8.0259999999999998</v>
      </c>
      <c r="FD78">
        <v>-0.98929999999999996</v>
      </c>
      <c r="FE78">
        <v>8.0225100000000005</v>
      </c>
      <c r="FF78">
        <v>0</v>
      </c>
      <c r="FG78">
        <v>0</v>
      </c>
      <c r="FH78">
        <v>0</v>
      </c>
      <c r="FI78">
        <v>-0.98927100000000023</v>
      </c>
      <c r="FJ78">
        <v>0</v>
      </c>
      <c r="FK78">
        <v>0</v>
      </c>
      <c r="FL78">
        <v>0</v>
      </c>
      <c r="FM78">
        <v>-1</v>
      </c>
      <c r="FN78">
        <v>-1</v>
      </c>
      <c r="FO78">
        <v>-1</v>
      </c>
      <c r="FP78">
        <v>-1</v>
      </c>
      <c r="FQ78">
        <v>0.7</v>
      </c>
      <c r="FR78">
        <v>62.2</v>
      </c>
      <c r="FS78">
        <v>0.142822</v>
      </c>
      <c r="FT78">
        <v>4.99756</v>
      </c>
      <c r="FU78">
        <v>1.5979000000000001</v>
      </c>
      <c r="FV78">
        <v>2.1569799999999999</v>
      </c>
      <c r="FW78">
        <v>1.5478499999999999</v>
      </c>
      <c r="FX78">
        <v>2.4572799999999999</v>
      </c>
      <c r="FY78">
        <v>33.760599999999997</v>
      </c>
      <c r="FZ78">
        <v>16.0671</v>
      </c>
      <c r="GA78">
        <v>3</v>
      </c>
      <c r="GB78">
        <v>496.59</v>
      </c>
      <c r="GC78">
        <v>408.04</v>
      </c>
      <c r="GD78">
        <v>27.847100000000001</v>
      </c>
      <c r="GE78">
        <v>30.053699999999999</v>
      </c>
      <c r="GF78">
        <v>30.0001</v>
      </c>
      <c r="GG78">
        <v>30.362300000000001</v>
      </c>
      <c r="GH78">
        <v>30.412099999999999</v>
      </c>
      <c r="GI78">
        <v>-1</v>
      </c>
      <c r="GJ78">
        <v>0</v>
      </c>
      <c r="GK78">
        <v>100</v>
      </c>
      <c r="GL78">
        <v>27.847899999999999</v>
      </c>
      <c r="GM78">
        <v>432.1</v>
      </c>
      <c r="GN78">
        <v>68.912800000000004</v>
      </c>
      <c r="GO78">
        <v>102.22799999999999</v>
      </c>
      <c r="GP78">
        <v>96.505499999999998</v>
      </c>
    </row>
    <row r="79" spans="1:198" x14ac:dyDescent="0.35">
      <c r="A79">
        <v>63</v>
      </c>
      <c r="B79">
        <v>1775484759</v>
      </c>
      <c r="C79">
        <v>3720.5</v>
      </c>
      <c r="D79" t="s">
        <v>520</v>
      </c>
      <c r="E79" t="s">
        <v>521</v>
      </c>
      <c r="F79">
        <v>60</v>
      </c>
      <c r="G79">
        <v>1775484751</v>
      </c>
      <c r="H79">
        <f t="shared" si="0"/>
        <v>2.6619359905643582E-3</v>
      </c>
      <c r="I79">
        <f t="shared" si="1"/>
        <v>2.6619359905643583</v>
      </c>
      <c r="J79">
        <f t="shared" si="2"/>
        <v>1.1628664518444969</v>
      </c>
      <c r="K79">
        <f t="shared" si="3"/>
        <v>19.47176774193548</v>
      </c>
      <c r="L79">
        <f t="shared" si="4"/>
        <v>-7.1665737896112827</v>
      </c>
      <c r="M79">
        <f t="shared" si="5"/>
        <v>-0.71898913873241077</v>
      </c>
      <c r="N79">
        <f t="shared" si="6"/>
        <v>1.9535122262560409</v>
      </c>
      <c r="O79">
        <f t="shared" si="7"/>
        <v>7.1839992158424237E-2</v>
      </c>
      <c r="P79">
        <f t="shared" si="8"/>
        <v>2.3936214015848152</v>
      </c>
      <c r="Q79">
        <f t="shared" si="9"/>
        <v>7.0663307182402005E-2</v>
      </c>
      <c r="R79">
        <f t="shared" si="10"/>
        <v>4.4268682033911405E-2</v>
      </c>
      <c r="S79">
        <f t="shared" si="11"/>
        <v>0</v>
      </c>
      <c r="T79">
        <f t="shared" si="12"/>
        <v>26.467120908457957</v>
      </c>
      <c r="U79">
        <f t="shared" si="13"/>
        <v>27.384129032258059</v>
      </c>
      <c r="V79">
        <f t="shared" si="14"/>
        <v>3.6607081228470069</v>
      </c>
      <c r="W79">
        <f t="shared" si="15"/>
        <v>-1.3895412547035655</v>
      </c>
      <c r="X79">
        <f t="shared" si="16"/>
        <v>-5.0621034020717555E-2</v>
      </c>
      <c r="Y79">
        <f t="shared" si="17"/>
        <v>3.6430033184956914</v>
      </c>
      <c r="Z79">
        <f t="shared" si="18"/>
        <v>3.7113291568677242</v>
      </c>
      <c r="AA79">
        <f t="shared" si="19"/>
        <v>-117.3913771838882</v>
      </c>
      <c r="AB79">
        <f t="shared" si="20"/>
        <v>-10.679507566749765</v>
      </c>
      <c r="AC79">
        <f t="shared" si="21"/>
        <v>-0.96618089004423113</v>
      </c>
      <c r="AD79">
        <f t="shared" si="22"/>
        <v>-129.03706564068219</v>
      </c>
      <c r="AE79">
        <v>14</v>
      </c>
      <c r="AF79">
        <v>3</v>
      </c>
      <c r="AG79">
        <f t="shared" si="23"/>
        <v>1</v>
      </c>
      <c r="AH79">
        <f t="shared" si="24"/>
        <v>0</v>
      </c>
      <c r="AI79">
        <f t="shared" si="25"/>
        <v>25571.039949103055</v>
      </c>
      <c r="AJ79">
        <f t="shared" si="26"/>
        <v>0</v>
      </c>
      <c r="AK79">
        <f t="shared" si="27"/>
        <v>0</v>
      </c>
      <c r="AL79">
        <f t="shared" si="28"/>
        <v>0</v>
      </c>
      <c r="AM79">
        <f t="shared" si="29"/>
        <v>0</v>
      </c>
      <c r="AN79">
        <v>3</v>
      </c>
      <c r="AO79">
        <v>0.5</v>
      </c>
      <c r="AP79" t="s">
        <v>331</v>
      </c>
      <c r="AQ79">
        <v>2</v>
      </c>
      <c r="AR79">
        <v>1775484751</v>
      </c>
      <c r="AS79">
        <v>19.47176774193548</v>
      </c>
      <c r="AT79">
        <v>20.200606451612899</v>
      </c>
      <c r="AU79">
        <v>-0.5045686451612903</v>
      </c>
      <c r="AV79">
        <v>-2.102578387096774</v>
      </c>
      <c r="AW79">
        <v>11.45576774193548</v>
      </c>
      <c r="AX79">
        <v>0.48470235483870971</v>
      </c>
      <c r="AY79">
        <v>499.98677419354829</v>
      </c>
      <c r="AZ79">
        <v>100.28235483870969</v>
      </c>
      <c r="BA79">
        <v>4.3011206451612903E-2</v>
      </c>
      <c r="BB79">
        <v>27.301370967741931</v>
      </c>
      <c r="BC79">
        <v>27.384129032258059</v>
      </c>
      <c r="BD79">
        <v>999.90000000000032</v>
      </c>
      <c r="BE79">
        <v>0</v>
      </c>
      <c r="BF79">
        <v>0</v>
      </c>
      <c r="BG79">
        <v>5000.2903225806449</v>
      </c>
      <c r="BH79">
        <v>0.37501464516129029</v>
      </c>
      <c r="BI79">
        <v>0.22961599999999999</v>
      </c>
      <c r="BJ79">
        <v>-0.71838593548387097</v>
      </c>
      <c r="BK79">
        <v>19.4724</v>
      </c>
      <c r="BL79">
        <v>20.15822903225807</v>
      </c>
      <c r="BM79">
        <v>1.598010322580645</v>
      </c>
      <c r="BN79">
        <v>20.200606451612899</v>
      </c>
      <c r="BO79">
        <v>-2.102578387096774</v>
      </c>
      <c r="BP79">
        <v>-5.0599348387096781E-2</v>
      </c>
      <c r="BQ79">
        <v>-0.21085161290322579</v>
      </c>
      <c r="BR79">
        <v>-99.900000000000034</v>
      </c>
      <c r="BS79">
        <v>-99.900000000000034</v>
      </c>
      <c r="BT79">
        <v>0</v>
      </c>
      <c r="BU79">
        <v>0</v>
      </c>
      <c r="BV79">
        <v>0</v>
      </c>
      <c r="BW79">
        <v>26</v>
      </c>
      <c r="BX79">
        <v>-0.98924741935483884</v>
      </c>
      <c r="BY79">
        <v>1775484775.5</v>
      </c>
      <c r="BZ79" t="s">
        <v>522</v>
      </c>
      <c r="CA79">
        <v>1775484775.5</v>
      </c>
      <c r="CB79">
        <v>1775480969.5</v>
      </c>
      <c r="CC79">
        <v>64</v>
      </c>
      <c r="CD79">
        <v>-0.01</v>
      </c>
      <c r="CE79">
        <v>0.19500000000000001</v>
      </c>
      <c r="CF79">
        <v>8.016</v>
      </c>
      <c r="CG79">
        <v>-0.98899999999999999</v>
      </c>
      <c r="CH79">
        <v>20</v>
      </c>
      <c r="CI79">
        <v>-3</v>
      </c>
      <c r="CJ79">
        <v>0.2</v>
      </c>
      <c r="CK79">
        <v>0.06</v>
      </c>
      <c r="CL79">
        <v>20.148084999999998</v>
      </c>
      <c r="CM79">
        <v>0.51570891914425832</v>
      </c>
      <c r="CN79">
        <v>8.3171745653196391E-2</v>
      </c>
      <c r="CO79">
        <v>-1</v>
      </c>
      <c r="CP79">
        <v>499.98766666666671</v>
      </c>
      <c r="CQ79">
        <v>3.6236732426403608E-2</v>
      </c>
      <c r="CR79">
        <v>4.0592144833972048E-2</v>
      </c>
      <c r="CS79">
        <v>-1</v>
      </c>
      <c r="CT79">
        <v>0</v>
      </c>
      <c r="CU79">
        <v>0</v>
      </c>
      <c r="CV79" t="s">
        <v>333</v>
      </c>
      <c r="CW79">
        <v>3.1674799999999999</v>
      </c>
      <c r="CX79">
        <v>2.66465</v>
      </c>
      <c r="CY79">
        <v>3.4367199999999999E-3</v>
      </c>
      <c r="CZ79">
        <v>6.0216599999999999E-3</v>
      </c>
      <c r="DA79">
        <v>3.8816499999999999E-3</v>
      </c>
      <c r="DB79">
        <v>-1.9675700000000001E-2</v>
      </c>
      <c r="DC79">
        <v>21504.3</v>
      </c>
      <c r="DD79">
        <v>21830.6</v>
      </c>
      <c r="DE79">
        <v>23107.1</v>
      </c>
      <c r="DF79">
        <v>22316.3</v>
      </c>
      <c r="DG79">
        <v>29683.5</v>
      </c>
      <c r="DH79">
        <v>27136.2</v>
      </c>
      <c r="DI79">
        <v>40612.9</v>
      </c>
      <c r="DJ79">
        <v>36983.300000000003</v>
      </c>
      <c r="DK79">
        <v>2.0821800000000001</v>
      </c>
      <c r="DL79">
        <v>1.8006200000000001</v>
      </c>
      <c r="DM79">
        <v>1.79559E-2</v>
      </c>
      <c r="DN79">
        <v>0</v>
      </c>
      <c r="DO79">
        <v>27.0913</v>
      </c>
      <c r="DP79">
        <v>999.9</v>
      </c>
      <c r="DQ79">
        <v>78.2</v>
      </c>
      <c r="DR79">
        <v>29.3</v>
      </c>
      <c r="DS79">
        <v>31.911300000000001</v>
      </c>
      <c r="DT79">
        <v>30.7455</v>
      </c>
      <c r="DU79">
        <v>9.5472800000000007</v>
      </c>
      <c r="DV79">
        <v>1</v>
      </c>
      <c r="DW79">
        <v>0.225553</v>
      </c>
      <c r="DX79">
        <v>-9.3496700000000002E-2</v>
      </c>
      <c r="DY79">
        <v>20.367599999999999</v>
      </c>
      <c r="DZ79">
        <v>5.2110599999999998</v>
      </c>
      <c r="EA79">
        <v>11.8485</v>
      </c>
      <c r="EB79">
        <v>4.9676799999999997</v>
      </c>
      <c r="EC79">
        <v>3.2921399999999998</v>
      </c>
      <c r="ED79">
        <v>894.7</v>
      </c>
      <c r="EE79">
        <v>0</v>
      </c>
      <c r="EF79">
        <v>5838.2</v>
      </c>
      <c r="EG79">
        <v>109.9</v>
      </c>
      <c r="EH79">
        <v>4.9715999999999996</v>
      </c>
      <c r="EI79">
        <v>1.8717999999999999</v>
      </c>
      <c r="EJ79">
        <v>1.86896</v>
      </c>
      <c r="EK79">
        <v>1.8713500000000001</v>
      </c>
      <c r="EL79">
        <v>1.86917</v>
      </c>
      <c r="EM79">
        <v>1.8680699999999999</v>
      </c>
      <c r="EN79">
        <v>1.86992</v>
      </c>
      <c r="EO79">
        <v>1.87168</v>
      </c>
      <c r="EP79">
        <v>0</v>
      </c>
      <c r="EQ79">
        <v>0</v>
      </c>
      <c r="ER79">
        <v>0</v>
      </c>
      <c r="ES79">
        <v>0</v>
      </c>
      <c r="ET79" t="s">
        <v>334</v>
      </c>
      <c r="EU79" t="s">
        <v>335</v>
      </c>
      <c r="EV79" t="s">
        <v>336</v>
      </c>
      <c r="EW79" t="s">
        <v>336</v>
      </c>
      <c r="EX79" t="s">
        <v>336</v>
      </c>
      <c r="EY79" t="s">
        <v>336</v>
      </c>
      <c r="EZ79">
        <v>0</v>
      </c>
      <c r="FA79">
        <v>100</v>
      </c>
      <c r="FB79">
        <v>100</v>
      </c>
      <c r="FC79">
        <v>8.016</v>
      </c>
      <c r="FD79">
        <v>-0.98929999999999996</v>
      </c>
      <c r="FE79">
        <v>8.0264600000000002</v>
      </c>
      <c r="FF79">
        <v>0</v>
      </c>
      <c r="FG79">
        <v>0</v>
      </c>
      <c r="FH79">
        <v>0</v>
      </c>
      <c r="FI79">
        <v>-0.98927100000000023</v>
      </c>
      <c r="FJ79">
        <v>0</v>
      </c>
      <c r="FK79">
        <v>0</v>
      </c>
      <c r="FL79">
        <v>0</v>
      </c>
      <c r="FM79">
        <v>-1</v>
      </c>
      <c r="FN79">
        <v>-1</v>
      </c>
      <c r="FO79">
        <v>-1</v>
      </c>
      <c r="FP79">
        <v>-1</v>
      </c>
      <c r="FQ79">
        <v>0.7</v>
      </c>
      <c r="FR79">
        <v>63.2</v>
      </c>
      <c r="FS79">
        <v>0.142822</v>
      </c>
      <c r="FT79">
        <v>4.99756</v>
      </c>
      <c r="FU79">
        <v>1.5979000000000001</v>
      </c>
      <c r="FV79">
        <v>2.1569799999999999</v>
      </c>
      <c r="FW79">
        <v>1.5478499999999999</v>
      </c>
      <c r="FX79">
        <v>2.4511699999999998</v>
      </c>
      <c r="FY79">
        <v>33.783200000000001</v>
      </c>
      <c r="FZ79">
        <v>16.0671</v>
      </c>
      <c r="GA79">
        <v>3</v>
      </c>
      <c r="GB79">
        <v>496.68</v>
      </c>
      <c r="GC79">
        <v>407.57799999999997</v>
      </c>
      <c r="GD79">
        <v>27.848099999999999</v>
      </c>
      <c r="GE79">
        <v>30.0533</v>
      </c>
      <c r="GF79">
        <v>30</v>
      </c>
      <c r="GG79">
        <v>30.360399999999998</v>
      </c>
      <c r="GH79">
        <v>30.412099999999999</v>
      </c>
      <c r="GI79">
        <v>-1</v>
      </c>
      <c r="GJ79">
        <v>0</v>
      </c>
      <c r="GK79">
        <v>100</v>
      </c>
      <c r="GL79">
        <v>27.8475</v>
      </c>
      <c r="GM79">
        <v>432.1</v>
      </c>
      <c r="GN79">
        <v>68.912800000000004</v>
      </c>
      <c r="GO79">
        <v>102.226</v>
      </c>
      <c r="GP79">
        <v>96.503799999999998</v>
      </c>
    </row>
    <row r="80" spans="1:198" x14ac:dyDescent="0.35">
      <c r="A80">
        <v>64</v>
      </c>
      <c r="B80">
        <v>1775484819</v>
      </c>
      <c r="C80">
        <v>3780.5</v>
      </c>
      <c r="D80" t="s">
        <v>523</v>
      </c>
      <c r="E80" t="s">
        <v>524</v>
      </c>
      <c r="F80">
        <v>60</v>
      </c>
      <c r="G80">
        <v>1775484811.25</v>
      </c>
      <c r="H80">
        <f t="shared" si="0"/>
        <v>2.6193276987644858E-3</v>
      </c>
      <c r="I80">
        <f t="shared" si="1"/>
        <v>2.619327698764486</v>
      </c>
      <c r="J80">
        <f t="shared" si="2"/>
        <v>1.2188370006516962</v>
      </c>
      <c r="K80">
        <f t="shared" si="3"/>
        <v>19.239540000000002</v>
      </c>
      <c r="L80">
        <f t="shared" si="4"/>
        <v>-9.0479479974098407</v>
      </c>
      <c r="M80">
        <f t="shared" si="5"/>
        <v>-0.90774234746795346</v>
      </c>
      <c r="N80">
        <f t="shared" si="6"/>
        <v>1.9302216600717834</v>
      </c>
      <c r="O80">
        <f t="shared" si="7"/>
        <v>7.067391356479355E-2</v>
      </c>
      <c r="P80">
        <f t="shared" si="8"/>
        <v>2.3907950157872921</v>
      </c>
      <c r="Q80">
        <f t="shared" si="9"/>
        <v>6.9533467806028176E-2</v>
      </c>
      <c r="R80">
        <f t="shared" si="10"/>
        <v>4.3559348938229062E-2</v>
      </c>
      <c r="S80">
        <f t="shared" si="11"/>
        <v>0</v>
      </c>
      <c r="T80">
        <f t="shared" si="12"/>
        <v>26.473252499815395</v>
      </c>
      <c r="U80">
        <f t="shared" si="13"/>
        <v>27.37444</v>
      </c>
      <c r="V80">
        <f t="shared" si="14"/>
        <v>3.6586314309729442</v>
      </c>
      <c r="W80">
        <f t="shared" si="15"/>
        <v>-1.4478555444334216</v>
      </c>
      <c r="X80">
        <f t="shared" si="16"/>
        <v>-5.2725870526935857E-2</v>
      </c>
      <c r="Y80">
        <f t="shared" si="17"/>
        <v>3.6416527000674419</v>
      </c>
      <c r="Z80">
        <f t="shared" si="18"/>
        <v>3.7113573014998802</v>
      </c>
      <c r="AA80">
        <f t="shared" si="19"/>
        <v>-115.51235151551383</v>
      </c>
      <c r="AB80">
        <f t="shared" si="20"/>
        <v>-10.233638104951527</v>
      </c>
      <c r="AC80">
        <f t="shared" si="21"/>
        <v>-0.92686321577938258</v>
      </c>
      <c r="AD80">
        <f t="shared" si="22"/>
        <v>-126.67285283624473</v>
      </c>
      <c r="AE80">
        <v>14</v>
      </c>
      <c r="AF80">
        <v>3</v>
      </c>
      <c r="AG80">
        <f t="shared" si="23"/>
        <v>1</v>
      </c>
      <c r="AH80">
        <f t="shared" si="24"/>
        <v>0</v>
      </c>
      <c r="AI80">
        <f t="shared" si="25"/>
        <v>25528.584407712187</v>
      </c>
      <c r="AJ80">
        <f t="shared" si="26"/>
        <v>0</v>
      </c>
      <c r="AK80">
        <f t="shared" si="27"/>
        <v>0</v>
      </c>
      <c r="AL80">
        <f t="shared" si="28"/>
        <v>0</v>
      </c>
      <c r="AM80">
        <f t="shared" si="29"/>
        <v>0</v>
      </c>
      <c r="AN80">
        <v>3</v>
      </c>
      <c r="AO80">
        <v>0.5</v>
      </c>
      <c r="AP80" t="s">
        <v>331</v>
      </c>
      <c r="AQ80">
        <v>2</v>
      </c>
      <c r="AR80">
        <v>1775484811.25</v>
      </c>
      <c r="AS80">
        <v>19.239540000000002</v>
      </c>
      <c r="AT80">
        <v>20.001106666666669</v>
      </c>
      <c r="AU80">
        <v>-0.5255466333333334</v>
      </c>
      <c r="AV80">
        <v>-2.0980263333333342</v>
      </c>
      <c r="AW80">
        <v>11.227539999999999</v>
      </c>
      <c r="AX80">
        <v>0.46372429999999998</v>
      </c>
      <c r="AY80">
        <v>499.98183333333333</v>
      </c>
      <c r="AZ80">
        <v>100.28279999999999</v>
      </c>
      <c r="BA80">
        <v>4.2969746666666669E-2</v>
      </c>
      <c r="BB80">
        <v>27.295043333333339</v>
      </c>
      <c r="BC80">
        <v>27.37444</v>
      </c>
      <c r="BD80">
        <v>999.9000000000002</v>
      </c>
      <c r="BE80">
        <v>0</v>
      </c>
      <c r="BF80">
        <v>0</v>
      </c>
      <c r="BG80">
        <v>4993</v>
      </c>
      <c r="BH80">
        <v>0.35856696666666671</v>
      </c>
      <c r="BI80">
        <v>0.23344266666666669</v>
      </c>
      <c r="BJ80">
        <v>-0.75755356666666651</v>
      </c>
      <c r="BK80">
        <v>19.23343333333333</v>
      </c>
      <c r="BL80">
        <v>19.95923333333333</v>
      </c>
      <c r="BM80">
        <v>1.5724800000000001</v>
      </c>
      <c r="BN80">
        <v>20.001106666666669</v>
      </c>
      <c r="BO80">
        <v>-2.0980263333333342</v>
      </c>
      <c r="BP80">
        <v>-5.2703296666666663E-2</v>
      </c>
      <c r="BQ80">
        <v>-0.210396</v>
      </c>
      <c r="BR80">
        <v>-99.900000000000034</v>
      </c>
      <c r="BS80">
        <v>-99.900000000000034</v>
      </c>
      <c r="BT80">
        <v>0</v>
      </c>
      <c r="BU80">
        <v>0</v>
      </c>
      <c r="BV80">
        <v>0</v>
      </c>
      <c r="BW80">
        <v>26</v>
      </c>
      <c r="BX80">
        <v>-1</v>
      </c>
      <c r="BY80">
        <v>1775484837.5</v>
      </c>
      <c r="BZ80" t="s">
        <v>525</v>
      </c>
      <c r="CA80">
        <v>1775484837.5</v>
      </c>
      <c r="CB80">
        <v>1775480969.5</v>
      </c>
      <c r="CC80">
        <v>65</v>
      </c>
      <c r="CD80">
        <v>-4.0000000000000001E-3</v>
      </c>
      <c r="CE80">
        <v>0.19500000000000001</v>
      </c>
      <c r="CF80">
        <v>8.0120000000000005</v>
      </c>
      <c r="CG80">
        <v>-0.98899999999999999</v>
      </c>
      <c r="CH80">
        <v>20</v>
      </c>
      <c r="CI80">
        <v>-3</v>
      </c>
      <c r="CJ80">
        <v>0.28999999999999998</v>
      </c>
      <c r="CK80">
        <v>0.06</v>
      </c>
      <c r="CL80">
        <v>19.819011666666661</v>
      </c>
      <c r="CM80">
        <v>1.671604667963408</v>
      </c>
      <c r="CN80">
        <v>0.26088299107177432</v>
      </c>
      <c r="CO80">
        <v>-1</v>
      </c>
      <c r="CP80">
        <v>499.99849999999998</v>
      </c>
      <c r="CQ80">
        <v>-0.10596276743424719</v>
      </c>
      <c r="CR80">
        <v>4.1290232904809827E-2</v>
      </c>
      <c r="CS80">
        <v>-1</v>
      </c>
      <c r="CT80">
        <v>0</v>
      </c>
      <c r="CU80">
        <v>0</v>
      </c>
      <c r="CV80" t="s">
        <v>333</v>
      </c>
      <c r="CW80">
        <v>3.1675200000000001</v>
      </c>
      <c r="CX80">
        <v>2.6645300000000001</v>
      </c>
      <c r="CY80">
        <v>3.39668E-3</v>
      </c>
      <c r="CZ80">
        <v>5.9977399999999997E-3</v>
      </c>
      <c r="DA80">
        <v>3.8096100000000002E-3</v>
      </c>
      <c r="DB80">
        <v>-1.9595899999999999E-2</v>
      </c>
      <c r="DC80">
        <v>21505.4</v>
      </c>
      <c r="DD80">
        <v>21831.4</v>
      </c>
      <c r="DE80">
        <v>23107.3</v>
      </c>
      <c r="DF80">
        <v>22316.6</v>
      </c>
      <c r="DG80">
        <v>29686</v>
      </c>
      <c r="DH80">
        <v>27134.5</v>
      </c>
      <c r="DI80">
        <v>40613.300000000003</v>
      </c>
      <c r="DJ80">
        <v>36983.800000000003</v>
      </c>
      <c r="DK80">
        <v>2.0821000000000001</v>
      </c>
      <c r="DL80">
        <v>1.8010200000000001</v>
      </c>
      <c r="DM80">
        <v>1.8125800000000001E-2</v>
      </c>
      <c r="DN80">
        <v>0</v>
      </c>
      <c r="DO80">
        <v>27.084399999999999</v>
      </c>
      <c r="DP80">
        <v>999.9</v>
      </c>
      <c r="DQ80">
        <v>78.099999999999994</v>
      </c>
      <c r="DR80">
        <v>29.3</v>
      </c>
      <c r="DS80">
        <v>31.869399999999999</v>
      </c>
      <c r="DT80">
        <v>30.685500000000001</v>
      </c>
      <c r="DU80">
        <v>9.5392600000000005</v>
      </c>
      <c r="DV80">
        <v>1</v>
      </c>
      <c r="DW80">
        <v>0.225498</v>
      </c>
      <c r="DX80">
        <v>-0.14167099999999999</v>
      </c>
      <c r="DY80">
        <v>20.367599999999999</v>
      </c>
      <c r="DZ80">
        <v>5.2111799999999997</v>
      </c>
      <c r="EA80">
        <v>11.8482</v>
      </c>
      <c r="EB80">
        <v>4.9678000000000004</v>
      </c>
      <c r="EC80">
        <v>3.2920600000000002</v>
      </c>
      <c r="ED80">
        <v>894.7</v>
      </c>
      <c r="EE80">
        <v>0</v>
      </c>
      <c r="EF80">
        <v>5869.9</v>
      </c>
      <c r="EG80">
        <v>109.9</v>
      </c>
      <c r="EH80">
        <v>4.9716100000000001</v>
      </c>
      <c r="EI80">
        <v>1.8717999999999999</v>
      </c>
      <c r="EJ80">
        <v>1.8689899999999999</v>
      </c>
      <c r="EK80">
        <v>1.8713500000000001</v>
      </c>
      <c r="EL80">
        <v>1.86911</v>
      </c>
      <c r="EM80">
        <v>1.8681099999999999</v>
      </c>
      <c r="EN80">
        <v>1.8698999999999999</v>
      </c>
      <c r="EO80">
        <v>1.8716699999999999</v>
      </c>
      <c r="EP80">
        <v>0</v>
      </c>
      <c r="EQ80">
        <v>0</v>
      </c>
      <c r="ER80">
        <v>0</v>
      </c>
      <c r="ES80">
        <v>0</v>
      </c>
      <c r="ET80" t="s">
        <v>334</v>
      </c>
      <c r="EU80" t="s">
        <v>335</v>
      </c>
      <c r="EV80" t="s">
        <v>336</v>
      </c>
      <c r="EW80" t="s">
        <v>336</v>
      </c>
      <c r="EX80" t="s">
        <v>336</v>
      </c>
      <c r="EY80" t="s">
        <v>336</v>
      </c>
      <c r="EZ80">
        <v>0</v>
      </c>
      <c r="FA80">
        <v>100</v>
      </c>
      <c r="FB80">
        <v>100</v>
      </c>
      <c r="FC80">
        <v>8.0120000000000005</v>
      </c>
      <c r="FD80">
        <v>-0.98929999999999996</v>
      </c>
      <c r="FE80">
        <v>8.0160142857142844</v>
      </c>
      <c r="FF80">
        <v>0</v>
      </c>
      <c r="FG80">
        <v>0</v>
      </c>
      <c r="FH80">
        <v>0</v>
      </c>
      <c r="FI80">
        <v>-0.98927100000000023</v>
      </c>
      <c r="FJ80">
        <v>0</v>
      </c>
      <c r="FK80">
        <v>0</v>
      </c>
      <c r="FL80">
        <v>0</v>
      </c>
      <c r="FM80">
        <v>-1</v>
      </c>
      <c r="FN80">
        <v>-1</v>
      </c>
      <c r="FO80">
        <v>-1</v>
      </c>
      <c r="FP80">
        <v>-1</v>
      </c>
      <c r="FQ80">
        <v>0.7</v>
      </c>
      <c r="FR80">
        <v>64.2</v>
      </c>
      <c r="FS80">
        <v>0.142822</v>
      </c>
      <c r="FT80">
        <v>4.99756</v>
      </c>
      <c r="FU80">
        <v>1.5979000000000001</v>
      </c>
      <c r="FV80">
        <v>2.1569799999999999</v>
      </c>
      <c r="FW80">
        <v>1.5478499999999999</v>
      </c>
      <c r="FX80">
        <v>2.4511699999999998</v>
      </c>
      <c r="FY80">
        <v>33.783200000000001</v>
      </c>
      <c r="FZ80">
        <v>16.049600000000002</v>
      </c>
      <c r="GA80">
        <v>3</v>
      </c>
      <c r="GB80">
        <v>496.613</v>
      </c>
      <c r="GC80">
        <v>407.79199999999997</v>
      </c>
      <c r="GD80">
        <v>27.869599999999998</v>
      </c>
      <c r="GE80">
        <v>30.0533</v>
      </c>
      <c r="GF80">
        <v>30</v>
      </c>
      <c r="GG80">
        <v>30.357800000000001</v>
      </c>
      <c r="GH80">
        <v>30.409500000000001</v>
      </c>
      <c r="GI80">
        <v>-1</v>
      </c>
      <c r="GJ80">
        <v>0</v>
      </c>
      <c r="GK80">
        <v>100</v>
      </c>
      <c r="GL80">
        <v>27.871200000000002</v>
      </c>
      <c r="GM80">
        <v>432.1</v>
      </c>
      <c r="GN80">
        <v>68.912800000000004</v>
      </c>
      <c r="GO80">
        <v>102.227</v>
      </c>
      <c r="GP80">
        <v>96.504999999999995</v>
      </c>
    </row>
    <row r="81" spans="1:198" x14ac:dyDescent="0.35">
      <c r="A81">
        <v>65</v>
      </c>
      <c r="B81">
        <v>1775484879</v>
      </c>
      <c r="C81">
        <v>3840.5</v>
      </c>
      <c r="D81" t="s">
        <v>526</v>
      </c>
      <c r="E81" t="s">
        <v>527</v>
      </c>
      <c r="F81">
        <v>60</v>
      </c>
      <c r="G81">
        <v>1775484871.25</v>
      </c>
      <c r="H81">
        <f t="shared" ref="H81:H144" si="30">(I81)/1000</f>
        <v>2.6361182615564937E-3</v>
      </c>
      <c r="I81">
        <f t="shared" ref="I81:I144" si="31">1000*AY81*AG81*(AU81-AV81)/(100*AN81*(1000-AG81*AU81))</f>
        <v>2.6361182615564935</v>
      </c>
      <c r="J81">
        <f t="shared" ref="J81:J144" si="32">AY81*AG81*(AT81-AS81*(1000-AG81*AV81)/(1000-AG81*AU81))/(100*AN81)</f>
        <v>1.1427530847435923</v>
      </c>
      <c r="K81">
        <f t="shared" ref="K81:K144" si="33">AS81 - IF(AG81&gt;1, J81*AN81*100/(AI81), 0)</f>
        <v>19.503593333333331</v>
      </c>
      <c r="L81">
        <f t="shared" ref="L81:L144" si="34">((R81-H81/2)*K81-J81)/(R81+H81/2)</f>
        <v>-6.9508031533977706</v>
      </c>
      <c r="M81">
        <f t="shared" ref="M81:M144" si="35">L81*(AZ81+BA81)/1000</f>
        <v>-0.6973469212523743</v>
      </c>
      <c r="N81">
        <f t="shared" ref="N81:N144" si="36">(AS81 - IF(AG81&gt;1, J81*AN81*100/(AI81), 0))*(AZ81+BA81)/1000</f>
        <v>1.9567193120279698</v>
      </c>
      <c r="O81">
        <f t="shared" ref="O81:O144" si="37">2/((1/Q81-1/P81)+SIGN(Q81)*SQRT((1/Q81-1/P81)*(1/Q81-1/P81) + 4*AO81/((AO81+1)*(AO81+1))*(2*1/Q81*1/P81-1/P81*1/P81)))</f>
        <v>7.1105748849040612E-2</v>
      </c>
      <c r="P81">
        <f t="shared" ref="P81:P144" si="38">IF(LEFT(AP81,1)&lt;&gt;"0",IF(LEFT(AP81,1)="1",3,AQ81),$D$5+$E$5*(BG81*AZ81/($K$5*1000))+$F$5*(BG81*AZ81/($K$5*1000))*MAX(MIN(AN81,$J$5),$I$5)*MAX(MIN(AN81,$J$5),$I$5)+$G$5*MAX(MIN(AN81,$J$5),$I$5)*(BG81*AZ81/($K$5*1000))+$H$5*(BG81*AZ81/($K$5*1000))*(BG81*AZ81/($K$5*1000)))</f>
        <v>2.3936227728119643</v>
      </c>
      <c r="Q81">
        <f t="shared" ref="Q81:Q144" si="39">H81*(1000-(1000*0.61365*EXP(17.502*U81/(240.97+U81))/(AZ81+BA81)+AU81)/2)/(1000*0.61365*EXP(17.502*U81/(240.97+U81))/(AZ81+BA81)-AU81)</f>
        <v>6.995278622118023E-2</v>
      </c>
      <c r="R81">
        <f t="shared" ref="R81:R144" si="40">1/((AO81+1)/(O81/1.6)+1/(P81/1.37)) + AO81/((AO81+1)/(O81/1.6) + AO81/(P81/1.37))</f>
        <v>4.3822523225524213E-2</v>
      </c>
      <c r="S81">
        <f t="shared" ref="S81:S144" si="41">(AJ81*AM81)</f>
        <v>0</v>
      </c>
      <c r="T81">
        <f t="shared" ref="T81:T144" si="42">(BB81+(S81+2*0.95*0.0000000567*(((BB81+$B$7)+273)^4-(BB81+273)^4)-44100*H81)/(1.84*29.3*P81+8*0.95*0.0000000567*(BB81+273)^3))</f>
        <v>26.475141595843347</v>
      </c>
      <c r="U81">
        <f t="shared" ref="U81:U144" si="43">($C$7*BC81+$D$7*BD81+$E$7*T81)</f>
        <v>27.388909999999999</v>
      </c>
      <c r="V81">
        <f t="shared" ref="V81:V144" si="44">0.61365*EXP(17.502*U81/(240.97+U81))</f>
        <v>3.6617332271883369</v>
      </c>
      <c r="W81">
        <f t="shared" ref="W81:W144" si="45">(X81/Y81*100)</f>
        <v>-1.3984503973654534</v>
      </c>
      <c r="X81">
        <f t="shared" ref="X81:X144" si="46">AU81*(AZ81+BA81)/1000</f>
        <v>-5.0945382513849162E-2</v>
      </c>
      <c r="Y81">
        <f t="shared" ref="Y81:Y144" si="47">0.61365*EXP(17.502*BB81/(240.97+BB81))</f>
        <v>3.6429881681771037</v>
      </c>
      <c r="Z81">
        <f t="shared" ref="Z81:Z144" si="48">(V81-AU81*(AZ81+BA81)/1000)</f>
        <v>3.712678609702186</v>
      </c>
      <c r="AA81">
        <f t="shared" ref="AA81:AA144" si="49">(-H81*44100)</f>
        <v>-116.25281533464137</v>
      </c>
      <c r="AB81">
        <f t="shared" ref="AB81:AB144" si="50">2*29.3*P81*0.92*(BB81-U81)</f>
        <v>-11.305631655189055</v>
      </c>
      <c r="AC81">
        <f t="shared" ref="AC81:AC144" si="51">2*0.95*0.0000000567*(((BB81+$B$7)+273)^4-(U81+273)^4)</f>
        <v>-1.0228501553987874</v>
      </c>
      <c r="AD81">
        <f t="shared" ref="AD81:AD144" si="52">S81+AC81+AA81+AB81</f>
        <v>-128.5812971452292</v>
      </c>
      <c r="AE81">
        <v>14</v>
      </c>
      <c r="AF81">
        <v>3</v>
      </c>
      <c r="AG81">
        <f t="shared" ref="AG81:AG144" si="53">IF(AE81*$H$13&gt;=AI81,1,(AI81/(AI81-AE81*$H$13)))</f>
        <v>1</v>
      </c>
      <c r="AH81">
        <f t="shared" ref="AH81:AH144" si="54">(AG81-1)*100</f>
        <v>0</v>
      </c>
      <c r="AI81">
        <f t="shared" ref="AI81:AI144" si="55">MAX(0,($B$13+$C$13*BG81)/(1+$D$13*BG81)*AZ81/(BB81+273)*$E$13)</f>
        <v>25571.045143761155</v>
      </c>
      <c r="AJ81">
        <f t="shared" ref="AJ81:AJ144" si="56">$B$11*BH81+$C$11*BI81+$D$11*BT81</f>
        <v>0</v>
      </c>
      <c r="AK81">
        <f t="shared" ref="AK81:AK144" si="57">AJ81*AL81</f>
        <v>0</v>
      </c>
      <c r="AL81">
        <f t="shared" ref="AL81:AL144" si="58">($B$11*$D$9+$C$11*$D$9+$D$11*(BU81*$E$9+BV81*$G$9))/($B$11+$C$11+$D$11)</f>
        <v>0</v>
      </c>
      <c r="AM81">
        <f t="shared" ref="AM81:AM144" si="59">($B$11*$K$9+$C$11*$K$9+$D$11*(BU81*$L$9+BV81*$N$9))/($B$11+$C$11+$D$11)</f>
        <v>0</v>
      </c>
      <c r="AN81">
        <v>3</v>
      </c>
      <c r="AO81">
        <v>0.5</v>
      </c>
      <c r="AP81" t="s">
        <v>331</v>
      </c>
      <c r="AQ81">
        <v>2</v>
      </c>
      <c r="AR81">
        <v>1775484871.25</v>
      </c>
      <c r="AS81">
        <v>19.503593333333331</v>
      </c>
      <c r="AT81">
        <v>20.220116666666669</v>
      </c>
      <c r="AU81">
        <v>-0.50779793333333334</v>
      </c>
      <c r="AV81">
        <v>-2.090323333333334</v>
      </c>
      <c r="AW81">
        <v>11.486593333333341</v>
      </c>
      <c r="AX81">
        <v>0.48147306666666673</v>
      </c>
      <c r="AY81">
        <v>499.98379999999997</v>
      </c>
      <c r="AZ81">
        <v>100.2829</v>
      </c>
      <c r="BA81">
        <v>4.3192663333333339E-2</v>
      </c>
      <c r="BB81">
        <v>27.301299999999991</v>
      </c>
      <c r="BC81">
        <v>27.388909999999999</v>
      </c>
      <c r="BD81">
        <v>999.9000000000002</v>
      </c>
      <c r="BE81">
        <v>0</v>
      </c>
      <c r="BF81">
        <v>0</v>
      </c>
      <c r="BG81">
        <v>5000.2666666666664</v>
      </c>
      <c r="BH81">
        <v>0.36331196666666671</v>
      </c>
      <c r="BI81">
        <v>0.23344266666666669</v>
      </c>
      <c r="BJ81">
        <v>-0.72153776666666658</v>
      </c>
      <c r="BK81">
        <v>19.48867666666667</v>
      </c>
      <c r="BL81">
        <v>20.177936666666671</v>
      </c>
      <c r="BM81">
        <v>1.5825253333333329</v>
      </c>
      <c r="BN81">
        <v>20.220116666666669</v>
      </c>
      <c r="BO81">
        <v>-2.090323333333334</v>
      </c>
      <c r="BP81">
        <v>-5.092344E-2</v>
      </c>
      <c r="BQ81">
        <v>-0.20962363333333339</v>
      </c>
      <c r="BR81">
        <v>-99.900000000000034</v>
      </c>
      <c r="BS81">
        <v>-99.900000000000034</v>
      </c>
      <c r="BT81">
        <v>0</v>
      </c>
      <c r="BU81">
        <v>0</v>
      </c>
      <c r="BV81">
        <v>0</v>
      </c>
      <c r="BW81">
        <v>26</v>
      </c>
      <c r="BX81">
        <v>-1</v>
      </c>
      <c r="BY81">
        <v>1775484895</v>
      </c>
      <c r="BZ81" t="s">
        <v>528</v>
      </c>
      <c r="CA81">
        <v>1775484895</v>
      </c>
      <c r="CB81">
        <v>1775480969.5</v>
      </c>
      <c r="CC81">
        <v>66</v>
      </c>
      <c r="CD81">
        <v>5.0000000000000001E-3</v>
      </c>
      <c r="CE81">
        <v>0.19500000000000001</v>
      </c>
      <c r="CF81">
        <v>8.0169999999999995</v>
      </c>
      <c r="CG81">
        <v>-0.98899999999999999</v>
      </c>
      <c r="CH81">
        <v>20</v>
      </c>
      <c r="CI81">
        <v>-3</v>
      </c>
      <c r="CJ81">
        <v>0.16</v>
      </c>
      <c r="CK81">
        <v>0.06</v>
      </c>
      <c r="CL81">
        <v>20.146791666666669</v>
      </c>
      <c r="CM81">
        <v>0.54410080577940267</v>
      </c>
      <c r="CN81">
        <v>8.324838194957429E-2</v>
      </c>
      <c r="CO81">
        <v>-1</v>
      </c>
      <c r="CP81">
        <v>499.98804999999999</v>
      </c>
      <c r="CQ81">
        <v>3.7977215901401338E-3</v>
      </c>
      <c r="CR81">
        <v>5.1607953198453647E-2</v>
      </c>
      <c r="CS81">
        <v>-1</v>
      </c>
      <c r="CT81">
        <v>0</v>
      </c>
      <c r="CU81">
        <v>0</v>
      </c>
      <c r="CV81" t="s">
        <v>333</v>
      </c>
      <c r="CW81">
        <v>3.16757</v>
      </c>
      <c r="CX81">
        <v>2.66445</v>
      </c>
      <c r="CY81">
        <v>3.45283E-3</v>
      </c>
      <c r="CZ81">
        <v>6.0563500000000003E-3</v>
      </c>
      <c r="DA81">
        <v>3.8675200000000002E-3</v>
      </c>
      <c r="DB81">
        <v>-1.95386E-2</v>
      </c>
      <c r="DC81">
        <v>21503.5</v>
      </c>
      <c r="DD81">
        <v>21830.2</v>
      </c>
      <c r="DE81">
        <v>23106.6</v>
      </c>
      <c r="DF81">
        <v>22316.7</v>
      </c>
      <c r="DG81">
        <v>29683.200000000001</v>
      </c>
      <c r="DH81">
        <v>27132.9</v>
      </c>
      <c r="DI81">
        <v>40611.9</v>
      </c>
      <c r="DJ81">
        <v>36983.699999999997</v>
      </c>
      <c r="DK81">
        <v>2.0823999999999998</v>
      </c>
      <c r="DL81">
        <v>1.80074</v>
      </c>
      <c r="DM81">
        <v>1.8587699999999999E-2</v>
      </c>
      <c r="DN81">
        <v>0</v>
      </c>
      <c r="DO81">
        <v>27.087700000000002</v>
      </c>
      <c r="DP81">
        <v>999.9</v>
      </c>
      <c r="DQ81">
        <v>78.099999999999994</v>
      </c>
      <c r="DR81">
        <v>29.3</v>
      </c>
      <c r="DS81">
        <v>31.866299999999999</v>
      </c>
      <c r="DT81">
        <v>30.5655</v>
      </c>
      <c r="DU81">
        <v>9.6634600000000006</v>
      </c>
      <c r="DV81">
        <v>1</v>
      </c>
      <c r="DW81">
        <v>0.22539200000000001</v>
      </c>
      <c r="DX81">
        <v>-0.101436</v>
      </c>
      <c r="DY81">
        <v>20.367999999999999</v>
      </c>
      <c r="DZ81">
        <v>5.2110599999999998</v>
      </c>
      <c r="EA81">
        <v>11.8482</v>
      </c>
      <c r="EB81">
        <v>4.9677600000000002</v>
      </c>
      <c r="EC81">
        <v>3.2921200000000002</v>
      </c>
      <c r="ED81">
        <v>894.7</v>
      </c>
      <c r="EE81">
        <v>0</v>
      </c>
      <c r="EF81">
        <v>5901.3</v>
      </c>
      <c r="EG81">
        <v>109.9</v>
      </c>
      <c r="EH81">
        <v>4.9716100000000001</v>
      </c>
      <c r="EI81">
        <v>1.8717999999999999</v>
      </c>
      <c r="EJ81">
        <v>1.86893</v>
      </c>
      <c r="EK81">
        <v>1.8713500000000001</v>
      </c>
      <c r="EL81">
        <v>1.8691500000000001</v>
      </c>
      <c r="EM81">
        <v>1.86809</v>
      </c>
      <c r="EN81">
        <v>1.8699399999999999</v>
      </c>
      <c r="EO81">
        <v>1.87168</v>
      </c>
      <c r="EP81">
        <v>0</v>
      </c>
      <c r="EQ81">
        <v>0</v>
      </c>
      <c r="ER81">
        <v>0</v>
      </c>
      <c r="ES81">
        <v>0</v>
      </c>
      <c r="ET81" t="s">
        <v>334</v>
      </c>
      <c r="EU81" t="s">
        <v>335</v>
      </c>
      <c r="EV81" t="s">
        <v>336</v>
      </c>
      <c r="EW81" t="s">
        <v>336</v>
      </c>
      <c r="EX81" t="s">
        <v>336</v>
      </c>
      <c r="EY81" t="s">
        <v>336</v>
      </c>
      <c r="EZ81">
        <v>0</v>
      </c>
      <c r="FA81">
        <v>100</v>
      </c>
      <c r="FB81">
        <v>100</v>
      </c>
      <c r="FC81">
        <v>8.0169999999999995</v>
      </c>
      <c r="FD81">
        <v>-0.98929999999999996</v>
      </c>
      <c r="FE81">
        <v>8.0119857142857178</v>
      </c>
      <c r="FF81">
        <v>0</v>
      </c>
      <c r="FG81">
        <v>0</v>
      </c>
      <c r="FH81">
        <v>0</v>
      </c>
      <c r="FI81">
        <v>-0.98927100000000023</v>
      </c>
      <c r="FJ81">
        <v>0</v>
      </c>
      <c r="FK81">
        <v>0</v>
      </c>
      <c r="FL81">
        <v>0</v>
      </c>
      <c r="FM81">
        <v>-1</v>
      </c>
      <c r="FN81">
        <v>-1</v>
      </c>
      <c r="FO81">
        <v>-1</v>
      </c>
      <c r="FP81">
        <v>-1</v>
      </c>
      <c r="FQ81">
        <v>0.7</v>
      </c>
      <c r="FR81">
        <v>65.2</v>
      </c>
      <c r="FS81">
        <v>0.142822</v>
      </c>
      <c r="FT81">
        <v>4.99756</v>
      </c>
      <c r="FU81">
        <v>1.5979000000000001</v>
      </c>
      <c r="FV81">
        <v>2.1569799999999999</v>
      </c>
      <c r="FW81">
        <v>1.5478499999999999</v>
      </c>
      <c r="FX81">
        <v>2.4084500000000002</v>
      </c>
      <c r="FY81">
        <v>33.805700000000002</v>
      </c>
      <c r="FZ81">
        <v>16.058299999999999</v>
      </c>
      <c r="GA81">
        <v>3</v>
      </c>
      <c r="GB81">
        <v>496.78800000000001</v>
      </c>
      <c r="GC81">
        <v>407.63</v>
      </c>
      <c r="GD81">
        <v>27.853000000000002</v>
      </c>
      <c r="GE81">
        <v>30.050799999999999</v>
      </c>
      <c r="GF81">
        <v>30.0001</v>
      </c>
      <c r="GG81">
        <v>30.357800000000001</v>
      </c>
      <c r="GH81">
        <v>30.409500000000001</v>
      </c>
      <c r="GI81">
        <v>-1</v>
      </c>
      <c r="GJ81">
        <v>0</v>
      </c>
      <c r="GK81">
        <v>100</v>
      </c>
      <c r="GL81">
        <v>27.851600000000001</v>
      </c>
      <c r="GM81">
        <v>432.1</v>
      </c>
      <c r="GN81">
        <v>68.912800000000004</v>
      </c>
      <c r="GO81">
        <v>102.224</v>
      </c>
      <c r="GP81">
        <v>96.504999999999995</v>
      </c>
    </row>
    <row r="82" spans="1:198" x14ac:dyDescent="0.35">
      <c r="A82">
        <v>66</v>
      </c>
      <c r="B82">
        <v>1775484939</v>
      </c>
      <c r="C82">
        <v>3900.5</v>
      </c>
      <c r="D82" t="s">
        <v>529</v>
      </c>
      <c r="E82" t="s">
        <v>530</v>
      </c>
      <c r="F82">
        <v>60</v>
      </c>
      <c r="G82">
        <v>1775484931</v>
      </c>
      <c r="H82">
        <f t="shared" si="30"/>
        <v>2.6082460343982393E-3</v>
      </c>
      <c r="I82">
        <f t="shared" si="31"/>
        <v>2.6082460343982392</v>
      </c>
      <c r="J82">
        <f t="shared" si="32"/>
        <v>0.86008175143707166</v>
      </c>
      <c r="K82">
        <f t="shared" si="33"/>
        <v>19.809370967741931</v>
      </c>
      <c r="L82">
        <f t="shared" si="34"/>
        <v>-0.61190453662844702</v>
      </c>
      <c r="M82">
        <f t="shared" si="35"/>
        <v>-6.1389236749538625E-2</v>
      </c>
      <c r="N82">
        <f t="shared" si="36"/>
        <v>1.9873723618698396</v>
      </c>
      <c r="O82">
        <f t="shared" si="37"/>
        <v>7.0316970635419918E-2</v>
      </c>
      <c r="P82">
        <f t="shared" si="38"/>
        <v>2.3929460262112969</v>
      </c>
      <c r="Q82">
        <f t="shared" si="39"/>
        <v>6.9188913708922564E-2</v>
      </c>
      <c r="R82">
        <f t="shared" si="40"/>
        <v>4.3342915044281602E-2</v>
      </c>
      <c r="S82">
        <f t="shared" si="41"/>
        <v>0</v>
      </c>
      <c r="T82">
        <f t="shared" si="42"/>
        <v>26.48366474301891</v>
      </c>
      <c r="U82">
        <f t="shared" si="43"/>
        <v>27.388083870967741</v>
      </c>
      <c r="V82">
        <f t="shared" si="44"/>
        <v>3.661556076013992</v>
      </c>
      <c r="W82">
        <f t="shared" si="45"/>
        <v>-1.4386009567607896</v>
      </c>
      <c r="X82">
        <f t="shared" si="46"/>
        <v>-5.2408062642078181E-2</v>
      </c>
      <c r="Y82">
        <f t="shared" si="47"/>
        <v>3.6429881681771037</v>
      </c>
      <c r="Z82">
        <f t="shared" si="48"/>
        <v>3.71396413865607</v>
      </c>
      <c r="AA82">
        <f t="shared" si="49"/>
        <v>-115.02365011696236</v>
      </c>
      <c r="AB82">
        <f t="shared" si="50"/>
        <v>-11.195857552774516</v>
      </c>
      <c r="AC82">
        <f t="shared" si="51"/>
        <v>-1.0132008860551267</v>
      </c>
      <c r="AD82">
        <f t="shared" si="52"/>
        <v>-127.232708555792</v>
      </c>
      <c r="AE82">
        <v>14</v>
      </c>
      <c r="AF82">
        <v>3</v>
      </c>
      <c r="AG82">
        <f t="shared" si="53"/>
        <v>1</v>
      </c>
      <c r="AH82">
        <f t="shared" si="54"/>
        <v>0</v>
      </c>
      <c r="AI82">
        <f t="shared" si="55"/>
        <v>25560.797989185397</v>
      </c>
      <c r="AJ82">
        <f t="shared" si="56"/>
        <v>0</v>
      </c>
      <c r="AK82">
        <f t="shared" si="57"/>
        <v>0</v>
      </c>
      <c r="AL82">
        <f t="shared" si="58"/>
        <v>0</v>
      </c>
      <c r="AM82">
        <f t="shared" si="59"/>
        <v>0</v>
      </c>
      <c r="AN82">
        <v>3</v>
      </c>
      <c r="AO82">
        <v>0.5</v>
      </c>
      <c r="AP82" t="s">
        <v>331</v>
      </c>
      <c r="AQ82">
        <v>2</v>
      </c>
      <c r="AR82">
        <v>1775484931</v>
      </c>
      <c r="AS82">
        <v>19.809370967741931</v>
      </c>
      <c r="AT82">
        <v>20.356416129032262</v>
      </c>
      <c r="AU82">
        <v>-0.52238361290322588</v>
      </c>
      <c r="AV82">
        <v>-2.0881358064516129</v>
      </c>
      <c r="AW82">
        <v>11.750370967741929</v>
      </c>
      <c r="AX82">
        <v>0.46688738709677408</v>
      </c>
      <c r="AY82">
        <v>500.00412903225799</v>
      </c>
      <c r="AZ82">
        <v>100.28180645161289</v>
      </c>
      <c r="BA82">
        <v>4.3053187096774199E-2</v>
      </c>
      <c r="BB82">
        <v>27.301299999999991</v>
      </c>
      <c r="BC82">
        <v>27.388083870967741</v>
      </c>
      <c r="BD82">
        <v>999.90000000000032</v>
      </c>
      <c r="BE82">
        <v>0</v>
      </c>
      <c r="BF82">
        <v>0</v>
      </c>
      <c r="BG82">
        <v>4998.5806451612907</v>
      </c>
      <c r="BH82">
        <v>0.39702041935483878</v>
      </c>
      <c r="BI82">
        <v>0.22961599999999999</v>
      </c>
      <c r="BJ82">
        <v>-0.58934964516129018</v>
      </c>
      <c r="BK82">
        <v>19.75674193548387</v>
      </c>
      <c r="BL82">
        <v>20.313996774193551</v>
      </c>
      <c r="BM82">
        <v>1.5657532258064519</v>
      </c>
      <c r="BN82">
        <v>20.356416129032262</v>
      </c>
      <c r="BO82">
        <v>-2.0881358064516129</v>
      </c>
      <c r="BP82">
        <v>-5.2385606451612901E-2</v>
      </c>
      <c r="BQ82">
        <v>-0.20940216129032249</v>
      </c>
      <c r="BR82">
        <v>-99.900000000000034</v>
      </c>
      <c r="BS82">
        <v>-99.900000000000034</v>
      </c>
      <c r="BT82">
        <v>0</v>
      </c>
      <c r="BU82">
        <v>0</v>
      </c>
      <c r="BV82">
        <v>0</v>
      </c>
      <c r="BW82">
        <v>26</v>
      </c>
      <c r="BX82">
        <v>-1</v>
      </c>
      <c r="BY82">
        <v>1775484956</v>
      </c>
      <c r="BZ82" t="s">
        <v>531</v>
      </c>
      <c r="CA82">
        <v>1775484956</v>
      </c>
      <c r="CB82">
        <v>1775480969.5</v>
      </c>
      <c r="CC82">
        <v>67</v>
      </c>
      <c r="CD82">
        <v>4.2000000000000003E-2</v>
      </c>
      <c r="CE82">
        <v>0.19500000000000001</v>
      </c>
      <c r="CF82">
        <v>8.0589999999999993</v>
      </c>
      <c r="CG82">
        <v>-0.98899999999999999</v>
      </c>
      <c r="CH82">
        <v>22</v>
      </c>
      <c r="CI82">
        <v>-3</v>
      </c>
      <c r="CJ82">
        <v>0.19</v>
      </c>
      <c r="CK82">
        <v>0.06</v>
      </c>
      <c r="CL82">
        <v>20.407273333333329</v>
      </c>
      <c r="CM82">
        <v>-0.22365412614610339</v>
      </c>
      <c r="CN82">
        <v>9.8537916334554068E-2</v>
      </c>
      <c r="CO82">
        <v>-1</v>
      </c>
      <c r="CP82">
        <v>499.99691666666672</v>
      </c>
      <c r="CQ82">
        <v>2.6117254794757148E-2</v>
      </c>
      <c r="CR82">
        <v>3.6197279670657632E-2</v>
      </c>
      <c r="CS82">
        <v>-1</v>
      </c>
      <c r="CT82">
        <v>0</v>
      </c>
      <c r="CU82">
        <v>0</v>
      </c>
      <c r="CV82" t="s">
        <v>333</v>
      </c>
      <c r="CW82">
        <v>3.16757</v>
      </c>
      <c r="CX82">
        <v>2.6643699999999999</v>
      </c>
      <c r="CY82">
        <v>3.5183900000000001E-3</v>
      </c>
      <c r="CZ82">
        <v>6.0987100000000002E-3</v>
      </c>
      <c r="DA82">
        <v>3.7536499999999999E-3</v>
      </c>
      <c r="DB82">
        <v>-1.9506200000000001E-2</v>
      </c>
      <c r="DC82">
        <v>21501.9</v>
      </c>
      <c r="DD82">
        <v>21829</v>
      </c>
      <c r="DE82">
        <v>23106.3</v>
      </c>
      <c r="DF82">
        <v>22316.400000000001</v>
      </c>
      <c r="DG82">
        <v>29686.400000000001</v>
      </c>
      <c r="DH82">
        <v>27131.8</v>
      </c>
      <c r="DI82">
        <v>40611.599999999999</v>
      </c>
      <c r="DJ82">
        <v>36983.4</v>
      </c>
      <c r="DK82">
        <v>2.0823200000000002</v>
      </c>
      <c r="DL82">
        <v>1.80064</v>
      </c>
      <c r="DM82">
        <v>1.8501299999999998E-2</v>
      </c>
      <c r="DN82">
        <v>0</v>
      </c>
      <c r="DO82">
        <v>27.0867</v>
      </c>
      <c r="DP82">
        <v>999.9</v>
      </c>
      <c r="DQ82">
        <v>78.099999999999994</v>
      </c>
      <c r="DR82">
        <v>29.3</v>
      </c>
      <c r="DS82">
        <v>31.8672</v>
      </c>
      <c r="DT82">
        <v>30.775500000000001</v>
      </c>
      <c r="DU82">
        <v>9.9318899999999992</v>
      </c>
      <c r="DV82">
        <v>1</v>
      </c>
      <c r="DW82">
        <v>0.22523000000000001</v>
      </c>
      <c r="DX82">
        <v>-0.101564</v>
      </c>
      <c r="DY82">
        <v>20.367699999999999</v>
      </c>
      <c r="DZ82">
        <v>5.2105800000000002</v>
      </c>
      <c r="EA82">
        <v>11.848599999999999</v>
      </c>
      <c r="EB82">
        <v>4.9677199999999999</v>
      </c>
      <c r="EC82">
        <v>3.2920600000000002</v>
      </c>
      <c r="ED82">
        <v>894.7</v>
      </c>
      <c r="EE82">
        <v>0</v>
      </c>
      <c r="EF82">
        <v>5932.2</v>
      </c>
      <c r="EG82">
        <v>109.9</v>
      </c>
      <c r="EH82">
        <v>4.9715999999999996</v>
      </c>
      <c r="EI82">
        <v>1.8717999999999999</v>
      </c>
      <c r="EJ82">
        <v>1.86893</v>
      </c>
      <c r="EK82">
        <v>1.87134</v>
      </c>
      <c r="EL82">
        <v>1.8691500000000001</v>
      </c>
      <c r="EM82">
        <v>1.8680300000000001</v>
      </c>
      <c r="EN82">
        <v>1.86992</v>
      </c>
      <c r="EO82">
        <v>1.8716999999999999</v>
      </c>
      <c r="EP82">
        <v>0</v>
      </c>
      <c r="EQ82">
        <v>0</v>
      </c>
      <c r="ER82">
        <v>0</v>
      </c>
      <c r="ES82">
        <v>0</v>
      </c>
      <c r="ET82" t="s">
        <v>334</v>
      </c>
      <c r="EU82" t="s">
        <v>335</v>
      </c>
      <c r="EV82" t="s">
        <v>336</v>
      </c>
      <c r="EW82" t="s">
        <v>336</v>
      </c>
      <c r="EX82" t="s">
        <v>336</v>
      </c>
      <c r="EY82" t="s">
        <v>336</v>
      </c>
      <c r="EZ82">
        <v>0</v>
      </c>
      <c r="FA82">
        <v>100</v>
      </c>
      <c r="FB82">
        <v>100</v>
      </c>
      <c r="FC82">
        <v>8.0589999999999993</v>
      </c>
      <c r="FD82">
        <v>-0.98929999999999996</v>
      </c>
      <c r="FE82">
        <v>8.016689999999997</v>
      </c>
      <c r="FF82">
        <v>0</v>
      </c>
      <c r="FG82">
        <v>0</v>
      </c>
      <c r="FH82">
        <v>0</v>
      </c>
      <c r="FI82">
        <v>-0.98927100000000023</v>
      </c>
      <c r="FJ82">
        <v>0</v>
      </c>
      <c r="FK82">
        <v>0</v>
      </c>
      <c r="FL82">
        <v>0</v>
      </c>
      <c r="FM82">
        <v>-1</v>
      </c>
      <c r="FN82">
        <v>-1</v>
      </c>
      <c r="FO82">
        <v>-1</v>
      </c>
      <c r="FP82">
        <v>-1</v>
      </c>
      <c r="FQ82">
        <v>0.7</v>
      </c>
      <c r="FR82">
        <v>66.2</v>
      </c>
      <c r="FS82">
        <v>0.142822</v>
      </c>
      <c r="FT82">
        <v>4.99756</v>
      </c>
      <c r="FU82">
        <v>1.5979000000000001</v>
      </c>
      <c r="FV82">
        <v>2.1569799999999999</v>
      </c>
      <c r="FW82">
        <v>1.5478499999999999</v>
      </c>
      <c r="FX82">
        <v>2.3327599999999999</v>
      </c>
      <c r="FY82">
        <v>33.805700000000002</v>
      </c>
      <c r="FZ82">
        <v>16.049600000000002</v>
      </c>
      <c r="GA82">
        <v>3</v>
      </c>
      <c r="GB82">
        <v>496.721</v>
      </c>
      <c r="GC82">
        <v>407.55599999999998</v>
      </c>
      <c r="GD82">
        <v>27.848199999999999</v>
      </c>
      <c r="GE82">
        <v>30.050799999999999</v>
      </c>
      <c r="GF82">
        <v>30.0001</v>
      </c>
      <c r="GG82">
        <v>30.3552</v>
      </c>
      <c r="GH82">
        <v>30.4069</v>
      </c>
      <c r="GI82">
        <v>-1</v>
      </c>
      <c r="GJ82">
        <v>0</v>
      </c>
      <c r="GK82">
        <v>100</v>
      </c>
      <c r="GL82">
        <v>27.847000000000001</v>
      </c>
      <c r="GM82">
        <v>432.1</v>
      </c>
      <c r="GN82">
        <v>68.912800000000004</v>
      </c>
      <c r="GO82">
        <v>102.223</v>
      </c>
      <c r="GP82">
        <v>96.504099999999994</v>
      </c>
    </row>
    <row r="83" spans="1:198" x14ac:dyDescent="0.35">
      <c r="A83">
        <v>67</v>
      </c>
      <c r="B83">
        <v>1775484999</v>
      </c>
      <c r="C83">
        <v>3960.5</v>
      </c>
      <c r="D83" t="s">
        <v>532</v>
      </c>
      <c r="E83" t="s">
        <v>533</v>
      </c>
      <c r="F83">
        <v>60</v>
      </c>
      <c r="G83">
        <v>1775484991</v>
      </c>
      <c r="H83">
        <f t="shared" si="30"/>
        <v>2.6055849625597266E-3</v>
      </c>
      <c r="I83">
        <f t="shared" si="31"/>
        <v>2.6055849625597265</v>
      </c>
      <c r="J83">
        <f t="shared" si="32"/>
        <v>1.1343959014058171</v>
      </c>
      <c r="K83">
        <f t="shared" si="33"/>
        <v>21.72340322580645</v>
      </c>
      <c r="L83">
        <f t="shared" si="34"/>
        <v>-4.9623359603137134</v>
      </c>
      <c r="M83">
        <f t="shared" si="35"/>
        <v>-0.49783480069131808</v>
      </c>
      <c r="N83">
        <f t="shared" si="36"/>
        <v>2.1793498468759052</v>
      </c>
      <c r="O83">
        <f t="shared" si="37"/>
        <v>7.0292081182141947E-2</v>
      </c>
      <c r="P83">
        <f t="shared" si="38"/>
        <v>2.3926664467666408</v>
      </c>
      <c r="Q83">
        <f t="shared" si="39"/>
        <v>6.9164686347383111E-2</v>
      </c>
      <c r="R83">
        <f t="shared" si="40"/>
        <v>4.3327714692606628E-2</v>
      </c>
      <c r="S83">
        <f t="shared" si="41"/>
        <v>0</v>
      </c>
      <c r="T83">
        <f t="shared" si="42"/>
        <v>26.482374552426446</v>
      </c>
      <c r="U83">
        <f t="shared" si="43"/>
        <v>27.379393548387089</v>
      </c>
      <c r="V83">
        <f t="shared" si="44"/>
        <v>3.6596930177688463</v>
      </c>
      <c r="W83">
        <f t="shared" si="45"/>
        <v>-1.4199181961855867</v>
      </c>
      <c r="X83">
        <f t="shared" si="46"/>
        <v>-5.172128212336248E-2</v>
      </c>
      <c r="Y83">
        <f t="shared" si="47"/>
        <v>3.6425536529008875</v>
      </c>
      <c r="Z83">
        <f t="shared" si="48"/>
        <v>3.7114142998922088</v>
      </c>
      <c r="AA83">
        <f t="shared" si="49"/>
        <v>-114.90629684888394</v>
      </c>
      <c r="AB83">
        <f t="shared" si="50"/>
        <v>-10.336118992243314</v>
      </c>
      <c r="AC83">
        <f t="shared" si="51"/>
        <v>-0.93545559136872669</v>
      </c>
      <c r="AD83">
        <f t="shared" si="52"/>
        <v>-126.17787143249598</v>
      </c>
      <c r="AE83">
        <v>14</v>
      </c>
      <c r="AF83">
        <v>3</v>
      </c>
      <c r="AG83">
        <f t="shared" si="53"/>
        <v>1</v>
      </c>
      <c r="AH83">
        <f t="shared" si="54"/>
        <v>0</v>
      </c>
      <c r="AI83">
        <f t="shared" si="55"/>
        <v>25556.804809435842</v>
      </c>
      <c r="AJ83">
        <f t="shared" si="56"/>
        <v>0</v>
      </c>
      <c r="AK83">
        <f t="shared" si="57"/>
        <v>0</v>
      </c>
      <c r="AL83">
        <f t="shared" si="58"/>
        <v>0</v>
      </c>
      <c r="AM83">
        <f t="shared" si="59"/>
        <v>0</v>
      </c>
      <c r="AN83">
        <v>3</v>
      </c>
      <c r="AO83">
        <v>0.5</v>
      </c>
      <c r="AP83" t="s">
        <v>331</v>
      </c>
      <c r="AQ83">
        <v>2</v>
      </c>
      <c r="AR83">
        <v>1775484991</v>
      </c>
      <c r="AS83">
        <v>21.72340322580645</v>
      </c>
      <c r="AT83">
        <v>22.438009677419348</v>
      </c>
      <c r="AU83">
        <v>-0.51554929032258068</v>
      </c>
      <c r="AV83">
        <v>-2.079722903225806</v>
      </c>
      <c r="AW83">
        <v>13.69840322580645</v>
      </c>
      <c r="AX83">
        <v>0.47372170967741939</v>
      </c>
      <c r="AY83">
        <v>499.99467741935479</v>
      </c>
      <c r="AZ83">
        <v>100.2796774193549</v>
      </c>
      <c r="BA83">
        <v>4.2994135483870967E-2</v>
      </c>
      <c r="BB83">
        <v>27.299264516129028</v>
      </c>
      <c r="BC83">
        <v>27.379393548387089</v>
      </c>
      <c r="BD83">
        <v>999.90000000000032</v>
      </c>
      <c r="BE83">
        <v>0</v>
      </c>
      <c r="BF83">
        <v>0</v>
      </c>
      <c r="BG83">
        <v>4997.9677419354839</v>
      </c>
      <c r="BH83">
        <v>0.36841677419354829</v>
      </c>
      <c r="BI83">
        <v>0.23331922580645159</v>
      </c>
      <c r="BJ83">
        <v>-0.68105183870967734</v>
      </c>
      <c r="BK83">
        <v>21.74575161290322</v>
      </c>
      <c r="BL83">
        <v>22.39144838709678</v>
      </c>
      <c r="BM83">
        <v>1.5641735483870971</v>
      </c>
      <c r="BN83">
        <v>22.438009677419348</v>
      </c>
      <c r="BO83">
        <v>-2.079722903225806</v>
      </c>
      <c r="BP83">
        <v>-5.1699112903225812E-2</v>
      </c>
      <c r="BQ83">
        <v>-0.20855396774193541</v>
      </c>
      <c r="BR83">
        <v>-99.900000000000034</v>
      </c>
      <c r="BS83">
        <v>-99.900000000000034</v>
      </c>
      <c r="BT83">
        <v>0</v>
      </c>
      <c r="BU83">
        <v>0</v>
      </c>
      <c r="BV83">
        <v>0</v>
      </c>
      <c r="BW83">
        <v>26</v>
      </c>
      <c r="BX83">
        <v>-1</v>
      </c>
      <c r="BY83">
        <v>1775485016</v>
      </c>
      <c r="BZ83" t="s">
        <v>534</v>
      </c>
      <c r="CA83">
        <v>1775485016</v>
      </c>
      <c r="CB83">
        <v>1775480969.5</v>
      </c>
      <c r="CC83">
        <v>68</v>
      </c>
      <c r="CD83">
        <v>-3.3000000000000002E-2</v>
      </c>
      <c r="CE83">
        <v>0.19500000000000001</v>
      </c>
      <c r="CF83">
        <v>8.0250000000000004</v>
      </c>
      <c r="CG83">
        <v>-0.98899999999999999</v>
      </c>
      <c r="CH83">
        <v>22</v>
      </c>
      <c r="CI83">
        <v>-3</v>
      </c>
      <c r="CJ83">
        <v>0.13</v>
      </c>
      <c r="CK83">
        <v>0.06</v>
      </c>
      <c r="CL83">
        <v>22.344275</v>
      </c>
      <c r="CM83">
        <v>0.7097121422617767</v>
      </c>
      <c r="CN83">
        <v>0.1507900843612294</v>
      </c>
      <c r="CO83">
        <v>-1</v>
      </c>
      <c r="CP83">
        <v>500.00386666666662</v>
      </c>
      <c r="CQ83">
        <v>-2.4400111141822219E-2</v>
      </c>
      <c r="CR83">
        <v>3.7237734744323778E-2</v>
      </c>
      <c r="CS83">
        <v>-1</v>
      </c>
      <c r="CT83">
        <v>0</v>
      </c>
      <c r="CU83">
        <v>0</v>
      </c>
      <c r="CV83" t="s">
        <v>333</v>
      </c>
      <c r="CW83">
        <v>3.1674199999999999</v>
      </c>
      <c r="CX83">
        <v>2.6640899999999998</v>
      </c>
      <c r="CY83">
        <v>4.0924100000000003E-3</v>
      </c>
      <c r="CZ83">
        <v>6.6601999999999998E-3</v>
      </c>
      <c r="DA83">
        <v>3.8484399999999998E-3</v>
      </c>
      <c r="DB83">
        <v>-1.9421999999999998E-2</v>
      </c>
      <c r="DC83">
        <v>21489.4</v>
      </c>
      <c r="DD83">
        <v>21816.5</v>
      </c>
      <c r="DE83">
        <v>23106.2</v>
      </c>
      <c r="DF83">
        <v>22316.2</v>
      </c>
      <c r="DG83">
        <v>29683.5</v>
      </c>
      <c r="DH83">
        <v>27129.5</v>
      </c>
      <c r="DI83">
        <v>40611.5</v>
      </c>
      <c r="DJ83">
        <v>36983.300000000003</v>
      </c>
      <c r="DK83">
        <v>2.0822799999999999</v>
      </c>
      <c r="DL83">
        <v>1.80074</v>
      </c>
      <c r="DM83">
        <v>1.8638399999999999E-2</v>
      </c>
      <c r="DN83">
        <v>0</v>
      </c>
      <c r="DO83">
        <v>27.082699999999999</v>
      </c>
      <c r="DP83">
        <v>999.9</v>
      </c>
      <c r="DQ83">
        <v>78.099999999999994</v>
      </c>
      <c r="DR83">
        <v>29.4</v>
      </c>
      <c r="DS83">
        <v>32.054499999999997</v>
      </c>
      <c r="DT83">
        <v>30.595500000000001</v>
      </c>
      <c r="DU83">
        <v>9.7155500000000004</v>
      </c>
      <c r="DV83">
        <v>1</v>
      </c>
      <c r="DW83">
        <v>0.22538800000000001</v>
      </c>
      <c r="DX83">
        <v>-0.118935</v>
      </c>
      <c r="DY83">
        <v>20.367599999999999</v>
      </c>
      <c r="DZ83">
        <v>5.2112999999999996</v>
      </c>
      <c r="EA83">
        <v>11.8482</v>
      </c>
      <c r="EB83">
        <v>4.9676799999999997</v>
      </c>
      <c r="EC83">
        <v>3.29216</v>
      </c>
      <c r="ED83">
        <v>894.7</v>
      </c>
      <c r="EE83">
        <v>0</v>
      </c>
      <c r="EF83">
        <v>5957.9</v>
      </c>
      <c r="EG83">
        <v>109.9</v>
      </c>
      <c r="EH83">
        <v>4.9716100000000001</v>
      </c>
      <c r="EI83">
        <v>1.8717999999999999</v>
      </c>
      <c r="EJ83">
        <v>1.8689199999999999</v>
      </c>
      <c r="EK83">
        <v>1.87137</v>
      </c>
      <c r="EL83">
        <v>1.8691500000000001</v>
      </c>
      <c r="EM83">
        <v>1.8680600000000001</v>
      </c>
      <c r="EN83">
        <v>1.86995</v>
      </c>
      <c r="EO83">
        <v>1.87171</v>
      </c>
      <c r="EP83">
        <v>0</v>
      </c>
      <c r="EQ83">
        <v>0</v>
      </c>
      <c r="ER83">
        <v>0</v>
      </c>
      <c r="ES83">
        <v>0</v>
      </c>
      <c r="ET83" t="s">
        <v>334</v>
      </c>
      <c r="EU83" t="s">
        <v>335</v>
      </c>
      <c r="EV83" t="s">
        <v>336</v>
      </c>
      <c r="EW83" t="s">
        <v>336</v>
      </c>
      <c r="EX83" t="s">
        <v>336</v>
      </c>
      <c r="EY83" t="s">
        <v>336</v>
      </c>
      <c r="EZ83">
        <v>0</v>
      </c>
      <c r="FA83">
        <v>100</v>
      </c>
      <c r="FB83">
        <v>100</v>
      </c>
      <c r="FC83">
        <v>8.0250000000000004</v>
      </c>
      <c r="FD83">
        <v>-0.98929999999999996</v>
      </c>
      <c r="FE83">
        <v>8.0585599999999964</v>
      </c>
      <c r="FF83">
        <v>0</v>
      </c>
      <c r="FG83">
        <v>0</v>
      </c>
      <c r="FH83">
        <v>0</v>
      </c>
      <c r="FI83">
        <v>-0.98927100000000023</v>
      </c>
      <c r="FJ83">
        <v>0</v>
      </c>
      <c r="FK83">
        <v>0</v>
      </c>
      <c r="FL83">
        <v>0</v>
      </c>
      <c r="FM83">
        <v>-1</v>
      </c>
      <c r="FN83">
        <v>-1</v>
      </c>
      <c r="FO83">
        <v>-1</v>
      </c>
      <c r="FP83">
        <v>-1</v>
      </c>
      <c r="FQ83">
        <v>0.7</v>
      </c>
      <c r="FR83">
        <v>67.2</v>
      </c>
      <c r="FS83">
        <v>0.142822</v>
      </c>
      <c r="FT83">
        <v>4.99756</v>
      </c>
      <c r="FU83">
        <v>1.5979000000000001</v>
      </c>
      <c r="FV83">
        <v>2.1557599999999999</v>
      </c>
      <c r="FW83">
        <v>1.5478499999999999</v>
      </c>
      <c r="FX83">
        <v>2.4316399999999998</v>
      </c>
      <c r="FY83">
        <v>33.828299999999999</v>
      </c>
      <c r="FZ83">
        <v>16.049600000000002</v>
      </c>
      <c r="GA83">
        <v>3</v>
      </c>
      <c r="GB83">
        <v>496.69799999999998</v>
      </c>
      <c r="GC83">
        <v>407.61</v>
      </c>
      <c r="GD83">
        <v>27.8613</v>
      </c>
      <c r="GE83">
        <v>30.048100000000002</v>
      </c>
      <c r="GF83">
        <v>30.0001</v>
      </c>
      <c r="GG83">
        <v>30.3552</v>
      </c>
      <c r="GH83">
        <v>30.406400000000001</v>
      </c>
      <c r="GI83">
        <v>-1</v>
      </c>
      <c r="GJ83">
        <v>0</v>
      </c>
      <c r="GK83">
        <v>100</v>
      </c>
      <c r="GL83">
        <v>27.8612</v>
      </c>
      <c r="GM83">
        <v>432.1</v>
      </c>
      <c r="GN83">
        <v>68.912800000000004</v>
      </c>
      <c r="GO83">
        <v>102.223</v>
      </c>
      <c r="GP83">
        <v>96.503600000000006</v>
      </c>
    </row>
    <row r="84" spans="1:198" x14ac:dyDescent="0.35">
      <c r="A84">
        <v>68</v>
      </c>
      <c r="B84">
        <v>1775485059</v>
      </c>
      <c r="C84">
        <v>4020.5</v>
      </c>
      <c r="D84" t="s">
        <v>535</v>
      </c>
      <c r="E84" t="s">
        <v>536</v>
      </c>
      <c r="F84">
        <v>60</v>
      </c>
      <c r="G84">
        <v>1775485051</v>
      </c>
      <c r="H84">
        <f t="shared" si="30"/>
        <v>2.5999458986826381E-3</v>
      </c>
      <c r="I84">
        <f t="shared" si="31"/>
        <v>2.599945898682638</v>
      </c>
      <c r="J84">
        <f t="shared" si="32"/>
        <v>1.0204369343959123</v>
      </c>
      <c r="K84">
        <f t="shared" si="33"/>
        <v>21.401780645161288</v>
      </c>
      <c r="L84">
        <f t="shared" si="34"/>
        <v>-2.7671284723301723</v>
      </c>
      <c r="M84">
        <f t="shared" si="35"/>
        <v>-0.27760774879203914</v>
      </c>
      <c r="N84">
        <f t="shared" si="36"/>
        <v>2.147099494820762</v>
      </c>
      <c r="O84">
        <f t="shared" si="37"/>
        <v>7.0119496833423528E-2</v>
      </c>
      <c r="P84">
        <f t="shared" si="38"/>
        <v>2.3949557947421152</v>
      </c>
      <c r="Q84">
        <f t="shared" si="39"/>
        <v>6.8998637591600534E-2</v>
      </c>
      <c r="R84">
        <f t="shared" si="40"/>
        <v>4.3223360767447191E-2</v>
      </c>
      <c r="S84">
        <f t="shared" si="41"/>
        <v>0</v>
      </c>
      <c r="T84">
        <f t="shared" si="42"/>
        <v>26.488114110195575</v>
      </c>
      <c r="U84">
        <f t="shared" si="43"/>
        <v>27.384164516129029</v>
      </c>
      <c r="V84">
        <f t="shared" si="44"/>
        <v>3.6607157301476732</v>
      </c>
      <c r="W84">
        <f t="shared" si="45"/>
        <v>-1.4158900179645295</v>
      </c>
      <c r="X84">
        <f t="shared" si="46"/>
        <v>-5.1584391640669872E-2</v>
      </c>
      <c r="Y84">
        <f t="shared" si="47"/>
        <v>3.643248485841232</v>
      </c>
      <c r="Z84">
        <f t="shared" si="48"/>
        <v>3.7123001217883429</v>
      </c>
      <c r="AA84">
        <f t="shared" si="49"/>
        <v>-114.65761413190434</v>
      </c>
      <c r="AB84">
        <f t="shared" si="50"/>
        <v>-10.541766599237313</v>
      </c>
      <c r="AC84">
        <f t="shared" si="51"/>
        <v>-0.95319364263717976</v>
      </c>
      <c r="AD84">
        <f t="shared" si="52"/>
        <v>-126.15257437377883</v>
      </c>
      <c r="AE84">
        <v>14</v>
      </c>
      <c r="AF84">
        <v>3</v>
      </c>
      <c r="AG84">
        <f t="shared" si="53"/>
        <v>1</v>
      </c>
      <c r="AH84">
        <f t="shared" si="54"/>
        <v>0</v>
      </c>
      <c r="AI84">
        <f t="shared" si="55"/>
        <v>25591.300909239784</v>
      </c>
      <c r="AJ84">
        <f t="shared" si="56"/>
        <v>0</v>
      </c>
      <c r="AK84">
        <f t="shared" si="57"/>
        <v>0</v>
      </c>
      <c r="AL84">
        <f t="shared" si="58"/>
        <v>0</v>
      </c>
      <c r="AM84">
        <f t="shared" si="59"/>
        <v>0</v>
      </c>
      <c r="AN84">
        <v>3</v>
      </c>
      <c r="AO84">
        <v>0.5</v>
      </c>
      <c r="AP84" t="s">
        <v>331</v>
      </c>
      <c r="AQ84">
        <v>2</v>
      </c>
      <c r="AR84">
        <v>1775485051</v>
      </c>
      <c r="AS84">
        <v>21.401780645161288</v>
      </c>
      <c r="AT84">
        <v>22.04742580645161</v>
      </c>
      <c r="AU84">
        <v>-0.51418103225806444</v>
      </c>
      <c r="AV84">
        <v>-2.074943225806452</v>
      </c>
      <c r="AW84">
        <v>13.36678064516129</v>
      </c>
      <c r="AX84">
        <v>0.47508996774193551</v>
      </c>
      <c r="AY84">
        <v>500.00238709677421</v>
      </c>
      <c r="AZ84">
        <v>100.2806774193549</v>
      </c>
      <c r="BA84">
        <v>4.2726993548387091E-2</v>
      </c>
      <c r="BB84">
        <v>27.302519354838701</v>
      </c>
      <c r="BC84">
        <v>27.384164516129029</v>
      </c>
      <c r="BD84">
        <v>999.90000000000032</v>
      </c>
      <c r="BE84">
        <v>0</v>
      </c>
      <c r="BF84">
        <v>0</v>
      </c>
      <c r="BG84">
        <v>5003.8064516129034</v>
      </c>
      <c r="BH84">
        <v>0.36108032258064521</v>
      </c>
      <c r="BI84">
        <v>0.23331922580645159</v>
      </c>
      <c r="BJ84">
        <v>-0.6554062903225808</v>
      </c>
      <c r="BK84">
        <v>21.381025806451611</v>
      </c>
      <c r="BL84">
        <v>22.001777419354841</v>
      </c>
      <c r="BM84">
        <v>1.560761935483872</v>
      </c>
      <c r="BN84">
        <v>22.04742580645161</v>
      </c>
      <c r="BO84">
        <v>-2.074943225806452</v>
      </c>
      <c r="BP84">
        <v>-5.1562432258064513E-2</v>
      </c>
      <c r="BQ84">
        <v>-0.20807667741935479</v>
      </c>
      <c r="BR84">
        <v>-99.900000000000034</v>
      </c>
      <c r="BS84">
        <v>-99.900000000000034</v>
      </c>
      <c r="BT84">
        <v>0</v>
      </c>
      <c r="BU84">
        <v>0</v>
      </c>
      <c r="BV84">
        <v>0</v>
      </c>
      <c r="BW84">
        <v>26</v>
      </c>
      <c r="BX84">
        <v>-1</v>
      </c>
      <c r="BY84">
        <v>1775485075</v>
      </c>
      <c r="BZ84" t="s">
        <v>537</v>
      </c>
      <c r="CA84">
        <v>1775485075</v>
      </c>
      <c r="CB84">
        <v>1775480969.5</v>
      </c>
      <c r="CC84">
        <v>69</v>
      </c>
      <c r="CD84">
        <v>0.01</v>
      </c>
      <c r="CE84">
        <v>0.19500000000000001</v>
      </c>
      <c r="CF84">
        <v>8.0350000000000001</v>
      </c>
      <c r="CG84">
        <v>-0.98899999999999999</v>
      </c>
      <c r="CH84">
        <v>22</v>
      </c>
      <c r="CI84">
        <v>-3</v>
      </c>
      <c r="CJ84">
        <v>0.25</v>
      </c>
      <c r="CK84">
        <v>0.06</v>
      </c>
      <c r="CL84">
        <v>22.006776666666671</v>
      </c>
      <c r="CM84">
        <v>0.34800466796336199</v>
      </c>
      <c r="CN84">
        <v>9.6338270980724727E-2</v>
      </c>
      <c r="CO84">
        <v>-1</v>
      </c>
      <c r="CP84">
        <v>499.99756666666673</v>
      </c>
      <c r="CQ84">
        <v>8.0022229581797218E-5</v>
      </c>
      <c r="CR84">
        <v>4.8426358754526201E-2</v>
      </c>
      <c r="CS84">
        <v>-1</v>
      </c>
      <c r="CT84">
        <v>0</v>
      </c>
      <c r="CU84">
        <v>0</v>
      </c>
      <c r="CV84" t="s">
        <v>333</v>
      </c>
      <c r="CW84">
        <v>3.1674600000000002</v>
      </c>
      <c r="CX84">
        <v>2.6639900000000001</v>
      </c>
      <c r="CY84">
        <v>4.0080699999999999E-3</v>
      </c>
      <c r="CZ84">
        <v>6.6066199999999997E-3</v>
      </c>
      <c r="DA84">
        <v>3.83089E-3</v>
      </c>
      <c r="DB84">
        <v>-1.93645E-2</v>
      </c>
      <c r="DC84">
        <v>21491</v>
      </c>
      <c r="DD84">
        <v>21817.5</v>
      </c>
      <c r="DE84">
        <v>23106</v>
      </c>
      <c r="DF84">
        <v>22316.1</v>
      </c>
      <c r="DG84">
        <v>29683.8</v>
      </c>
      <c r="DH84">
        <v>27127.8</v>
      </c>
      <c r="DI84">
        <v>40611.199999999997</v>
      </c>
      <c r="DJ84">
        <v>36983</v>
      </c>
      <c r="DK84">
        <v>2.0823999999999998</v>
      </c>
      <c r="DL84">
        <v>1.8007200000000001</v>
      </c>
      <c r="DM84">
        <v>1.8301600000000001E-2</v>
      </c>
      <c r="DN84">
        <v>0</v>
      </c>
      <c r="DO84">
        <v>27.089099999999998</v>
      </c>
      <c r="DP84">
        <v>999.9</v>
      </c>
      <c r="DQ84">
        <v>78</v>
      </c>
      <c r="DR84">
        <v>29.4</v>
      </c>
      <c r="DS84">
        <v>32.012500000000003</v>
      </c>
      <c r="DT84">
        <v>30.715499999999999</v>
      </c>
      <c r="DU84">
        <v>9.5472800000000007</v>
      </c>
      <c r="DV84">
        <v>1</v>
      </c>
      <c r="DW84">
        <v>0.22525200000000001</v>
      </c>
      <c r="DX84">
        <v>-7.6531600000000005E-2</v>
      </c>
      <c r="DY84">
        <v>20.367699999999999</v>
      </c>
      <c r="DZ84">
        <v>5.2115400000000003</v>
      </c>
      <c r="EA84">
        <v>11.8485</v>
      </c>
      <c r="EB84">
        <v>4.9677600000000002</v>
      </c>
      <c r="EC84">
        <v>3.2921999999999998</v>
      </c>
      <c r="ED84">
        <v>894.7</v>
      </c>
      <c r="EE84">
        <v>0</v>
      </c>
      <c r="EF84">
        <v>5989.9</v>
      </c>
      <c r="EG84">
        <v>109.9</v>
      </c>
      <c r="EH84">
        <v>4.9715999999999996</v>
      </c>
      <c r="EI84">
        <v>1.8717999999999999</v>
      </c>
      <c r="EJ84">
        <v>1.8689100000000001</v>
      </c>
      <c r="EK84">
        <v>1.8713500000000001</v>
      </c>
      <c r="EL84">
        <v>1.86914</v>
      </c>
      <c r="EM84">
        <v>1.86805</v>
      </c>
      <c r="EN84">
        <v>1.86995</v>
      </c>
      <c r="EO84">
        <v>1.87174</v>
      </c>
      <c r="EP84">
        <v>0</v>
      </c>
      <c r="EQ84">
        <v>0</v>
      </c>
      <c r="ER84">
        <v>0</v>
      </c>
      <c r="ES84">
        <v>0</v>
      </c>
      <c r="ET84" t="s">
        <v>334</v>
      </c>
      <c r="EU84" t="s">
        <v>335</v>
      </c>
      <c r="EV84" t="s">
        <v>336</v>
      </c>
      <c r="EW84" t="s">
        <v>336</v>
      </c>
      <c r="EX84" t="s">
        <v>336</v>
      </c>
      <c r="EY84" t="s">
        <v>336</v>
      </c>
      <c r="EZ84">
        <v>0</v>
      </c>
      <c r="FA84">
        <v>100</v>
      </c>
      <c r="FB84">
        <v>100</v>
      </c>
      <c r="FC84">
        <v>8.0350000000000001</v>
      </c>
      <c r="FD84">
        <v>-0.98929999999999996</v>
      </c>
      <c r="FE84">
        <v>8.0252400000000037</v>
      </c>
      <c r="FF84">
        <v>0</v>
      </c>
      <c r="FG84">
        <v>0</v>
      </c>
      <c r="FH84">
        <v>0</v>
      </c>
      <c r="FI84">
        <v>-0.98927100000000023</v>
      </c>
      <c r="FJ84">
        <v>0</v>
      </c>
      <c r="FK84">
        <v>0</v>
      </c>
      <c r="FL84">
        <v>0</v>
      </c>
      <c r="FM84">
        <v>-1</v>
      </c>
      <c r="FN84">
        <v>-1</v>
      </c>
      <c r="FO84">
        <v>-1</v>
      </c>
      <c r="FP84">
        <v>-1</v>
      </c>
      <c r="FQ84">
        <v>0.7</v>
      </c>
      <c r="FR84">
        <v>68.2</v>
      </c>
      <c r="FS84">
        <v>0.142822</v>
      </c>
      <c r="FT84">
        <v>4.99756</v>
      </c>
      <c r="FU84">
        <v>1.5979000000000001</v>
      </c>
      <c r="FV84">
        <v>2.1569799999999999</v>
      </c>
      <c r="FW84">
        <v>1.5478499999999999</v>
      </c>
      <c r="FX84">
        <v>2.4511699999999998</v>
      </c>
      <c r="FY84">
        <v>33.828299999999999</v>
      </c>
      <c r="FZ84">
        <v>16.049600000000002</v>
      </c>
      <c r="GA84">
        <v>3</v>
      </c>
      <c r="GB84">
        <v>496.76799999999997</v>
      </c>
      <c r="GC84">
        <v>407.60199999999998</v>
      </c>
      <c r="GD84">
        <v>27.829599999999999</v>
      </c>
      <c r="GE84">
        <v>30.050799999999999</v>
      </c>
      <c r="GF84">
        <v>30.0001</v>
      </c>
      <c r="GG84">
        <v>30.3552</v>
      </c>
      <c r="GH84">
        <v>30.4069</v>
      </c>
      <c r="GI84">
        <v>-1</v>
      </c>
      <c r="GJ84">
        <v>0</v>
      </c>
      <c r="GK84">
        <v>100</v>
      </c>
      <c r="GL84">
        <v>27.826499999999999</v>
      </c>
      <c r="GM84">
        <v>432.1</v>
      </c>
      <c r="GN84">
        <v>68.912800000000004</v>
      </c>
      <c r="GO84">
        <v>102.22199999999999</v>
      </c>
      <c r="GP84">
        <v>96.502799999999993</v>
      </c>
    </row>
    <row r="85" spans="1:198" x14ac:dyDescent="0.35">
      <c r="A85">
        <v>69</v>
      </c>
      <c r="B85">
        <v>1775485119</v>
      </c>
      <c r="C85">
        <v>4080.5</v>
      </c>
      <c r="D85" t="s">
        <v>538</v>
      </c>
      <c r="E85" t="s">
        <v>539</v>
      </c>
      <c r="F85">
        <v>60</v>
      </c>
      <c r="G85">
        <v>1775485111</v>
      </c>
      <c r="H85">
        <f t="shared" si="30"/>
        <v>2.578196473215783E-3</v>
      </c>
      <c r="I85">
        <f t="shared" si="31"/>
        <v>2.5781964732157832</v>
      </c>
      <c r="J85">
        <f t="shared" si="32"/>
        <v>1.0139027002128191</v>
      </c>
      <c r="K85">
        <f t="shared" si="33"/>
        <v>21.469948387096771</v>
      </c>
      <c r="L85">
        <f t="shared" si="34"/>
        <v>-2.7505807098762012</v>
      </c>
      <c r="M85">
        <f t="shared" si="35"/>
        <v>-0.27593970338953988</v>
      </c>
      <c r="N85">
        <f t="shared" si="36"/>
        <v>2.153876513585693</v>
      </c>
      <c r="O85">
        <f t="shared" si="37"/>
        <v>6.9518487635618617E-2</v>
      </c>
      <c r="P85">
        <f t="shared" si="38"/>
        <v>2.3936542435925308</v>
      </c>
      <c r="Q85">
        <f t="shared" si="39"/>
        <v>6.8416008616963828E-2</v>
      </c>
      <c r="R85">
        <f t="shared" si="40"/>
        <v>4.2857602322389811E-2</v>
      </c>
      <c r="S85">
        <f t="shared" si="41"/>
        <v>0</v>
      </c>
      <c r="T85">
        <f t="shared" si="42"/>
        <v>26.488662188483488</v>
      </c>
      <c r="U85">
        <f t="shared" si="43"/>
        <v>27.381077419354838</v>
      </c>
      <c r="V85">
        <f t="shared" si="44"/>
        <v>3.6600539466016779</v>
      </c>
      <c r="W85">
        <f t="shared" si="45"/>
        <v>-1.4404577981229052</v>
      </c>
      <c r="X85">
        <f t="shared" si="46"/>
        <v>-5.2461444306842638E-2</v>
      </c>
      <c r="Y85">
        <f t="shared" si="47"/>
        <v>3.6419980075227749</v>
      </c>
      <c r="Z85">
        <f t="shared" si="48"/>
        <v>3.7125153909085205</v>
      </c>
      <c r="AA85">
        <f t="shared" si="49"/>
        <v>-113.69846446881603</v>
      </c>
      <c r="AB85">
        <f t="shared" si="50"/>
        <v>-10.893621829986289</v>
      </c>
      <c r="AC85">
        <f t="shared" si="51"/>
        <v>-0.98550020197015098</v>
      </c>
      <c r="AD85">
        <f t="shared" si="52"/>
        <v>-125.57758650077247</v>
      </c>
      <c r="AE85">
        <v>14</v>
      </c>
      <c r="AF85">
        <v>3</v>
      </c>
      <c r="AG85">
        <f t="shared" si="53"/>
        <v>1</v>
      </c>
      <c r="AH85">
        <f t="shared" si="54"/>
        <v>0</v>
      </c>
      <c r="AI85">
        <f t="shared" si="55"/>
        <v>25572.117595544569</v>
      </c>
      <c r="AJ85">
        <f t="shared" si="56"/>
        <v>0</v>
      </c>
      <c r="AK85">
        <f t="shared" si="57"/>
        <v>0</v>
      </c>
      <c r="AL85">
        <f t="shared" si="58"/>
        <v>0</v>
      </c>
      <c r="AM85">
        <f t="shared" si="59"/>
        <v>0</v>
      </c>
      <c r="AN85">
        <v>3</v>
      </c>
      <c r="AO85">
        <v>0.5</v>
      </c>
      <c r="AP85" t="s">
        <v>331</v>
      </c>
      <c r="AQ85">
        <v>2</v>
      </c>
      <c r="AR85">
        <v>1775485111</v>
      </c>
      <c r="AS85">
        <v>21.469948387096771</v>
      </c>
      <c r="AT85">
        <v>22.11152580645161</v>
      </c>
      <c r="AU85">
        <v>-0.52293829032258077</v>
      </c>
      <c r="AV85">
        <v>-2.0707219354838711</v>
      </c>
      <c r="AW85">
        <v>13.45594838709677</v>
      </c>
      <c r="AX85">
        <v>0.4663327096774193</v>
      </c>
      <c r="AY85">
        <v>499.98164516129032</v>
      </c>
      <c r="AZ85">
        <v>100.2779032258064</v>
      </c>
      <c r="BA85">
        <v>4.2622690322580647E-2</v>
      </c>
      <c r="BB85">
        <v>27.296661290322579</v>
      </c>
      <c r="BC85">
        <v>27.381077419354838</v>
      </c>
      <c r="BD85">
        <v>999.90000000000032</v>
      </c>
      <c r="BE85">
        <v>0</v>
      </c>
      <c r="BF85">
        <v>0</v>
      </c>
      <c r="BG85">
        <v>5000.5967741935483</v>
      </c>
      <c r="BH85">
        <v>0.38549287096774187</v>
      </c>
      <c r="BI85">
        <v>0.23331922580645159</v>
      </c>
      <c r="BJ85">
        <v>-0.62018958064516128</v>
      </c>
      <c r="BK85">
        <v>21.48010967741935</v>
      </c>
      <c r="BL85">
        <v>22.065829032258069</v>
      </c>
      <c r="BM85">
        <v>1.5477832258064519</v>
      </c>
      <c r="BN85">
        <v>22.11152580645161</v>
      </c>
      <c r="BO85">
        <v>-2.0707219354838711</v>
      </c>
      <c r="BP85">
        <v>-5.2439177419354839E-2</v>
      </c>
      <c r="BQ85">
        <v>-0.2076478064516129</v>
      </c>
      <c r="BR85">
        <v>-99.900000000000034</v>
      </c>
      <c r="BS85">
        <v>-99.900000000000034</v>
      </c>
      <c r="BT85">
        <v>0</v>
      </c>
      <c r="BU85">
        <v>0</v>
      </c>
      <c r="BV85">
        <v>0</v>
      </c>
      <c r="BW85">
        <v>26</v>
      </c>
      <c r="BX85">
        <v>-0.98924741935483884</v>
      </c>
      <c r="BY85">
        <v>1775485140</v>
      </c>
      <c r="BZ85" t="s">
        <v>540</v>
      </c>
      <c r="CA85">
        <v>1775485140</v>
      </c>
      <c r="CB85">
        <v>1775480969.5</v>
      </c>
      <c r="CC85">
        <v>70</v>
      </c>
      <c r="CD85">
        <v>-2.1000000000000001E-2</v>
      </c>
      <c r="CE85">
        <v>0.19500000000000001</v>
      </c>
      <c r="CF85">
        <v>8.0139999999999993</v>
      </c>
      <c r="CG85">
        <v>-0.98899999999999999</v>
      </c>
      <c r="CH85">
        <v>23</v>
      </c>
      <c r="CI85">
        <v>-3</v>
      </c>
      <c r="CJ85">
        <v>0.19</v>
      </c>
      <c r="CK85">
        <v>0.06</v>
      </c>
      <c r="CL85">
        <v>22.06129833333333</v>
      </c>
      <c r="CM85">
        <v>0.46168591275350701</v>
      </c>
      <c r="CN85">
        <v>0.1051661375977184</v>
      </c>
      <c r="CO85">
        <v>-1</v>
      </c>
      <c r="CP85">
        <v>499.9945166666667</v>
      </c>
      <c r="CQ85">
        <v>4.8580161165243307E-3</v>
      </c>
      <c r="CR85">
        <v>5.2072222814938757E-2</v>
      </c>
      <c r="CS85">
        <v>-1</v>
      </c>
      <c r="CT85">
        <v>0</v>
      </c>
      <c r="CU85">
        <v>0</v>
      </c>
      <c r="CV85" t="s">
        <v>333</v>
      </c>
      <c r="CW85">
        <v>3.16744</v>
      </c>
      <c r="CX85">
        <v>2.6638999999999999</v>
      </c>
      <c r="CY85">
        <v>4.01667E-3</v>
      </c>
      <c r="CZ85">
        <v>6.5938799999999999E-3</v>
      </c>
      <c r="DA85">
        <v>3.73668E-3</v>
      </c>
      <c r="DB85">
        <v>-1.93311E-2</v>
      </c>
      <c r="DC85">
        <v>21490.799999999999</v>
      </c>
      <c r="DD85">
        <v>21817.3</v>
      </c>
      <c r="DE85">
        <v>23106</v>
      </c>
      <c r="DF85">
        <v>22315.599999999999</v>
      </c>
      <c r="DG85">
        <v>29686.5</v>
      </c>
      <c r="DH85">
        <v>27126.400000000001</v>
      </c>
      <c r="DI85">
        <v>40611.1</v>
      </c>
      <c r="DJ85">
        <v>36982.400000000001</v>
      </c>
      <c r="DK85">
        <v>2.0823800000000001</v>
      </c>
      <c r="DL85">
        <v>1.80088</v>
      </c>
      <c r="DM85">
        <v>1.7824799999999998E-2</v>
      </c>
      <c r="DN85">
        <v>0</v>
      </c>
      <c r="DO85">
        <v>27.089099999999998</v>
      </c>
      <c r="DP85">
        <v>999.9</v>
      </c>
      <c r="DQ85">
        <v>78</v>
      </c>
      <c r="DR85">
        <v>29.4</v>
      </c>
      <c r="DS85">
        <v>32.014699999999998</v>
      </c>
      <c r="DT85">
        <v>30.715499999999999</v>
      </c>
      <c r="DU85">
        <v>9.9959900000000008</v>
      </c>
      <c r="DV85">
        <v>1</v>
      </c>
      <c r="DW85">
        <v>0.225636</v>
      </c>
      <c r="DX85">
        <v>-0.103952</v>
      </c>
      <c r="DY85">
        <v>20.367699999999999</v>
      </c>
      <c r="DZ85">
        <v>5.2114200000000004</v>
      </c>
      <c r="EA85">
        <v>11.8482</v>
      </c>
      <c r="EB85">
        <v>4.9678000000000004</v>
      </c>
      <c r="EC85">
        <v>3.2921200000000002</v>
      </c>
      <c r="ED85">
        <v>894.7</v>
      </c>
      <c r="EE85">
        <v>0</v>
      </c>
      <c r="EF85">
        <v>6021.3</v>
      </c>
      <c r="EG85">
        <v>110</v>
      </c>
      <c r="EH85">
        <v>4.9715999999999996</v>
      </c>
      <c r="EI85">
        <v>1.8717999999999999</v>
      </c>
      <c r="EJ85">
        <v>1.8689100000000001</v>
      </c>
      <c r="EK85">
        <v>1.8713599999999999</v>
      </c>
      <c r="EL85">
        <v>1.86914</v>
      </c>
      <c r="EM85">
        <v>1.86809</v>
      </c>
      <c r="EN85">
        <v>1.86992</v>
      </c>
      <c r="EO85">
        <v>1.8717200000000001</v>
      </c>
      <c r="EP85">
        <v>0</v>
      </c>
      <c r="EQ85">
        <v>0</v>
      </c>
      <c r="ER85">
        <v>0</v>
      </c>
      <c r="ES85">
        <v>0</v>
      </c>
      <c r="ET85" t="s">
        <v>334</v>
      </c>
      <c r="EU85" t="s">
        <v>335</v>
      </c>
      <c r="EV85" t="s">
        <v>336</v>
      </c>
      <c r="EW85" t="s">
        <v>336</v>
      </c>
      <c r="EX85" t="s">
        <v>336</v>
      </c>
      <c r="EY85" t="s">
        <v>336</v>
      </c>
      <c r="EZ85">
        <v>0</v>
      </c>
      <c r="FA85">
        <v>100</v>
      </c>
      <c r="FB85">
        <v>100</v>
      </c>
      <c r="FC85">
        <v>8.0139999999999993</v>
      </c>
      <c r="FD85">
        <v>-0.98929999999999996</v>
      </c>
      <c r="FE85">
        <v>8.0353799999999964</v>
      </c>
      <c r="FF85">
        <v>0</v>
      </c>
      <c r="FG85">
        <v>0</v>
      </c>
      <c r="FH85">
        <v>0</v>
      </c>
      <c r="FI85">
        <v>-0.98927100000000023</v>
      </c>
      <c r="FJ85">
        <v>0</v>
      </c>
      <c r="FK85">
        <v>0</v>
      </c>
      <c r="FL85">
        <v>0</v>
      </c>
      <c r="FM85">
        <v>-1</v>
      </c>
      <c r="FN85">
        <v>-1</v>
      </c>
      <c r="FO85">
        <v>-1</v>
      </c>
      <c r="FP85">
        <v>-1</v>
      </c>
      <c r="FQ85">
        <v>0.7</v>
      </c>
      <c r="FR85">
        <v>69.2</v>
      </c>
      <c r="FS85">
        <v>0.142822</v>
      </c>
      <c r="FT85">
        <v>4.99756</v>
      </c>
      <c r="FU85">
        <v>1.5979000000000001</v>
      </c>
      <c r="FV85">
        <v>2.1557599999999999</v>
      </c>
      <c r="FW85">
        <v>1.5478499999999999</v>
      </c>
      <c r="FX85">
        <v>2.34619</v>
      </c>
      <c r="FY85">
        <v>33.850900000000003</v>
      </c>
      <c r="FZ85">
        <v>16.0321</v>
      </c>
      <c r="GA85">
        <v>3</v>
      </c>
      <c r="GB85">
        <v>496.76299999999998</v>
      </c>
      <c r="GC85">
        <v>407.69499999999999</v>
      </c>
      <c r="GD85">
        <v>27.8399</v>
      </c>
      <c r="GE85">
        <v>30.0533</v>
      </c>
      <c r="GF85">
        <v>30.0001</v>
      </c>
      <c r="GG85">
        <v>30.356100000000001</v>
      </c>
      <c r="GH85">
        <v>30.4069</v>
      </c>
      <c r="GI85">
        <v>-1</v>
      </c>
      <c r="GJ85">
        <v>0</v>
      </c>
      <c r="GK85">
        <v>100</v>
      </c>
      <c r="GL85">
        <v>27.8416</v>
      </c>
      <c r="GM85">
        <v>432.1</v>
      </c>
      <c r="GN85">
        <v>68.912800000000004</v>
      </c>
      <c r="GO85">
        <v>102.22199999999999</v>
      </c>
      <c r="GP85">
        <v>96.501000000000005</v>
      </c>
    </row>
    <row r="86" spans="1:198" x14ac:dyDescent="0.35">
      <c r="A86">
        <v>70</v>
      </c>
      <c r="B86">
        <v>1775485179</v>
      </c>
      <c r="C86">
        <v>4140.5</v>
      </c>
      <c r="D86" t="s">
        <v>541</v>
      </c>
      <c r="E86" t="s">
        <v>542</v>
      </c>
      <c r="F86">
        <v>60</v>
      </c>
      <c r="G86">
        <v>1775485171</v>
      </c>
      <c r="H86">
        <f t="shared" si="30"/>
        <v>2.5646888924555941E-3</v>
      </c>
      <c r="I86">
        <f t="shared" si="31"/>
        <v>2.5646888924555942</v>
      </c>
      <c r="J86">
        <f t="shared" si="32"/>
        <v>1.0789230202347384</v>
      </c>
      <c r="K86">
        <f t="shared" si="33"/>
        <v>22.285299999999999</v>
      </c>
      <c r="L86">
        <f t="shared" si="34"/>
        <v>-3.588120811002542</v>
      </c>
      <c r="M86">
        <f t="shared" si="35"/>
        <v>-0.3599636737401008</v>
      </c>
      <c r="N86">
        <f t="shared" si="36"/>
        <v>2.2356823755214923</v>
      </c>
      <c r="O86">
        <f t="shared" si="37"/>
        <v>6.913832593609176E-2</v>
      </c>
      <c r="P86">
        <f t="shared" si="38"/>
        <v>2.3949903840122935</v>
      </c>
      <c r="Q86">
        <f t="shared" si="39"/>
        <v>6.8048367854282643E-2</v>
      </c>
      <c r="R86">
        <f t="shared" si="40"/>
        <v>4.2626726948253896E-2</v>
      </c>
      <c r="S86">
        <f t="shared" si="41"/>
        <v>0</v>
      </c>
      <c r="T86">
        <f t="shared" si="42"/>
        <v>26.496799313963873</v>
      </c>
      <c r="U86">
        <f t="shared" si="43"/>
        <v>27.38255483870967</v>
      </c>
      <c r="V86">
        <f t="shared" si="44"/>
        <v>3.6603706492093568</v>
      </c>
      <c r="W86">
        <f t="shared" si="45"/>
        <v>-1.4456190267431934</v>
      </c>
      <c r="X86">
        <f t="shared" si="46"/>
        <v>-5.2660186136401436E-2</v>
      </c>
      <c r="Y86">
        <f t="shared" si="47"/>
        <v>3.6427430161208196</v>
      </c>
      <c r="Z86">
        <f t="shared" si="48"/>
        <v>3.7130308353457582</v>
      </c>
      <c r="AA86">
        <f t="shared" si="49"/>
        <v>-113.1027801572917</v>
      </c>
      <c r="AB86">
        <f t="shared" si="50"/>
        <v>-10.639799170433246</v>
      </c>
      <c r="AC86">
        <f t="shared" si="51"/>
        <v>-0.96202480951447378</v>
      </c>
      <c r="AD86">
        <f t="shared" si="52"/>
        <v>-124.70460413723943</v>
      </c>
      <c r="AE86">
        <v>14</v>
      </c>
      <c r="AF86">
        <v>3</v>
      </c>
      <c r="AG86">
        <f t="shared" si="53"/>
        <v>1</v>
      </c>
      <c r="AH86">
        <f t="shared" si="54"/>
        <v>0</v>
      </c>
      <c r="AI86">
        <f t="shared" si="55"/>
        <v>25592.137753871331</v>
      </c>
      <c r="AJ86">
        <f t="shared" si="56"/>
        <v>0</v>
      </c>
      <c r="AK86">
        <f t="shared" si="57"/>
        <v>0</v>
      </c>
      <c r="AL86">
        <f t="shared" si="58"/>
        <v>0</v>
      </c>
      <c r="AM86">
        <f t="shared" si="59"/>
        <v>0</v>
      </c>
      <c r="AN86">
        <v>3</v>
      </c>
      <c r="AO86">
        <v>0.5</v>
      </c>
      <c r="AP86" t="s">
        <v>331</v>
      </c>
      <c r="AQ86">
        <v>2</v>
      </c>
      <c r="AR86">
        <v>1775485171</v>
      </c>
      <c r="AS86">
        <v>22.285299999999999</v>
      </c>
      <c r="AT86">
        <v>22.96694193548387</v>
      </c>
      <c r="AU86">
        <v>-0.52491716129032262</v>
      </c>
      <c r="AV86">
        <v>-2.064527419354838</v>
      </c>
      <c r="AW86">
        <v>14.2563</v>
      </c>
      <c r="AX86">
        <v>0.46435380645161278</v>
      </c>
      <c r="AY86">
        <v>500.00351612903222</v>
      </c>
      <c r="AZ86">
        <v>100.27793548387091</v>
      </c>
      <c r="BA86">
        <v>4.3010409677419363E-2</v>
      </c>
      <c r="BB86">
        <v>27.300151612903221</v>
      </c>
      <c r="BC86">
        <v>27.38255483870967</v>
      </c>
      <c r="BD86">
        <v>999.90000000000032</v>
      </c>
      <c r="BE86">
        <v>0</v>
      </c>
      <c r="BF86">
        <v>0</v>
      </c>
      <c r="BG86">
        <v>5004.0322580645161</v>
      </c>
      <c r="BH86">
        <v>0.37205409677419371</v>
      </c>
      <c r="BI86">
        <v>0.22961599999999999</v>
      </c>
      <c r="BJ86">
        <v>-0.69637609677419354</v>
      </c>
      <c r="BK86">
        <v>22.258887096774199</v>
      </c>
      <c r="BL86">
        <v>22.919625806451609</v>
      </c>
      <c r="BM86">
        <v>1.5396106451612901</v>
      </c>
      <c r="BN86">
        <v>22.96694193548387</v>
      </c>
      <c r="BO86">
        <v>-2.064527419354838</v>
      </c>
      <c r="BP86">
        <v>-5.2637619354838718E-2</v>
      </c>
      <c r="BQ86">
        <v>-0.20702654838709669</v>
      </c>
      <c r="BR86">
        <v>-99.900000000000034</v>
      </c>
      <c r="BS86">
        <v>-99.900000000000034</v>
      </c>
      <c r="BT86">
        <v>0</v>
      </c>
      <c r="BU86">
        <v>0</v>
      </c>
      <c r="BV86">
        <v>0</v>
      </c>
      <c r="BW86">
        <v>26</v>
      </c>
      <c r="BX86">
        <v>-1</v>
      </c>
      <c r="BY86">
        <v>1775485196</v>
      </c>
      <c r="BZ86" t="s">
        <v>543</v>
      </c>
      <c r="CA86">
        <v>1775485196</v>
      </c>
      <c r="CB86">
        <v>1775480969.5</v>
      </c>
      <c r="CC86">
        <v>71</v>
      </c>
      <c r="CD86">
        <v>1.4999999999999999E-2</v>
      </c>
      <c r="CE86">
        <v>0.19500000000000001</v>
      </c>
      <c r="CF86">
        <v>8.0289999999999999</v>
      </c>
      <c r="CG86">
        <v>-0.98899999999999999</v>
      </c>
      <c r="CH86">
        <v>23</v>
      </c>
      <c r="CI86">
        <v>-3</v>
      </c>
      <c r="CJ86">
        <v>0.19</v>
      </c>
      <c r="CK86">
        <v>0.06</v>
      </c>
      <c r="CL86">
        <v>22.89093166666667</v>
      </c>
      <c r="CM86">
        <v>0.60907218671859509</v>
      </c>
      <c r="CN86">
        <v>0.10546379867307799</v>
      </c>
      <c r="CO86">
        <v>-1</v>
      </c>
      <c r="CP86">
        <v>500.01299999999998</v>
      </c>
      <c r="CQ86">
        <v>-9.8974159487762725E-2</v>
      </c>
      <c r="CR86">
        <v>6.288216493304824E-2</v>
      </c>
      <c r="CS86">
        <v>-1</v>
      </c>
      <c r="CT86">
        <v>0</v>
      </c>
      <c r="CU86">
        <v>0</v>
      </c>
      <c r="CV86" t="s">
        <v>333</v>
      </c>
      <c r="CW86">
        <v>3.1674000000000002</v>
      </c>
      <c r="CX86">
        <v>2.6644100000000002</v>
      </c>
      <c r="CY86">
        <v>4.2872300000000004E-3</v>
      </c>
      <c r="CZ86">
        <v>6.8849899999999997E-3</v>
      </c>
      <c r="DA86">
        <v>3.7872100000000001E-3</v>
      </c>
      <c r="DB86">
        <v>-1.9236799999999998E-2</v>
      </c>
      <c r="DC86">
        <v>21484.6</v>
      </c>
      <c r="DD86">
        <v>21811.200000000001</v>
      </c>
      <c r="DE86">
        <v>23105.599999999999</v>
      </c>
      <c r="DF86">
        <v>22315.9</v>
      </c>
      <c r="DG86">
        <v>29684.5</v>
      </c>
      <c r="DH86">
        <v>27124.3</v>
      </c>
      <c r="DI86">
        <v>40610.5</v>
      </c>
      <c r="DJ86">
        <v>36982.800000000003</v>
      </c>
      <c r="DK86">
        <v>2.0819399999999999</v>
      </c>
      <c r="DL86">
        <v>1.8002</v>
      </c>
      <c r="DM86">
        <v>1.9028799999999998E-2</v>
      </c>
      <c r="DN86">
        <v>0</v>
      </c>
      <c r="DO86">
        <v>27.075299999999999</v>
      </c>
      <c r="DP86">
        <v>999.9</v>
      </c>
      <c r="DQ86">
        <v>78</v>
      </c>
      <c r="DR86">
        <v>29.4</v>
      </c>
      <c r="DS86">
        <v>32.012300000000003</v>
      </c>
      <c r="DT86">
        <v>30.3855</v>
      </c>
      <c r="DU86">
        <v>9.6234000000000002</v>
      </c>
      <c r="DV86">
        <v>1</v>
      </c>
      <c r="DW86">
        <v>0.22545299999999999</v>
      </c>
      <c r="DX86">
        <v>-4.0298500000000001E-2</v>
      </c>
      <c r="DY86">
        <v>20.3675</v>
      </c>
      <c r="DZ86">
        <v>5.2117800000000001</v>
      </c>
      <c r="EA86">
        <v>11.8482</v>
      </c>
      <c r="EB86">
        <v>4.9677600000000002</v>
      </c>
      <c r="EC86">
        <v>3.2920199999999999</v>
      </c>
      <c r="ED86">
        <v>894.7</v>
      </c>
      <c r="EE86">
        <v>0</v>
      </c>
      <c r="EF86">
        <v>6046.7</v>
      </c>
      <c r="EG86">
        <v>110</v>
      </c>
      <c r="EH86">
        <v>4.9716199999999997</v>
      </c>
      <c r="EI86">
        <v>1.8717999999999999</v>
      </c>
      <c r="EJ86">
        <v>1.8689100000000001</v>
      </c>
      <c r="EK86">
        <v>1.8713599999999999</v>
      </c>
      <c r="EL86">
        <v>1.8691199999999999</v>
      </c>
      <c r="EM86">
        <v>1.86805</v>
      </c>
      <c r="EN86">
        <v>1.8699399999999999</v>
      </c>
      <c r="EO86">
        <v>1.8717299999999999</v>
      </c>
      <c r="EP86">
        <v>0</v>
      </c>
      <c r="EQ86">
        <v>0</v>
      </c>
      <c r="ER86">
        <v>0</v>
      </c>
      <c r="ES86">
        <v>0</v>
      </c>
      <c r="ET86" t="s">
        <v>334</v>
      </c>
      <c r="EU86" t="s">
        <v>335</v>
      </c>
      <c r="EV86" t="s">
        <v>336</v>
      </c>
      <c r="EW86" t="s">
        <v>336</v>
      </c>
      <c r="EX86" t="s">
        <v>336</v>
      </c>
      <c r="EY86" t="s">
        <v>336</v>
      </c>
      <c r="EZ86">
        <v>0</v>
      </c>
      <c r="FA86">
        <v>100</v>
      </c>
      <c r="FB86">
        <v>100</v>
      </c>
      <c r="FC86">
        <v>8.0289999999999999</v>
      </c>
      <c r="FD86">
        <v>-0.98929999999999996</v>
      </c>
      <c r="FE86">
        <v>8.0142699999999998</v>
      </c>
      <c r="FF86">
        <v>0</v>
      </c>
      <c r="FG86">
        <v>0</v>
      </c>
      <c r="FH86">
        <v>0</v>
      </c>
      <c r="FI86">
        <v>-0.98927100000000023</v>
      </c>
      <c r="FJ86">
        <v>0</v>
      </c>
      <c r="FK86">
        <v>0</v>
      </c>
      <c r="FL86">
        <v>0</v>
      </c>
      <c r="FM86">
        <v>-1</v>
      </c>
      <c r="FN86">
        <v>-1</v>
      </c>
      <c r="FO86">
        <v>-1</v>
      </c>
      <c r="FP86">
        <v>-1</v>
      </c>
      <c r="FQ86">
        <v>0.7</v>
      </c>
      <c r="FR86">
        <v>70.2</v>
      </c>
      <c r="FS86">
        <v>0.142822</v>
      </c>
      <c r="FT86">
        <v>4.99756</v>
      </c>
      <c r="FU86">
        <v>1.5979000000000001</v>
      </c>
      <c r="FV86">
        <v>2.1557599999999999</v>
      </c>
      <c r="FW86">
        <v>1.5478499999999999</v>
      </c>
      <c r="FX86">
        <v>2.4572799999999999</v>
      </c>
      <c r="FY86">
        <v>33.8735</v>
      </c>
      <c r="FZ86">
        <v>16.040800000000001</v>
      </c>
      <c r="GA86">
        <v>3</v>
      </c>
      <c r="GB86">
        <v>496.50799999999998</v>
      </c>
      <c r="GC86">
        <v>407.30200000000002</v>
      </c>
      <c r="GD86">
        <v>27.865600000000001</v>
      </c>
      <c r="GE86">
        <v>30.0533</v>
      </c>
      <c r="GF86">
        <v>30.0001</v>
      </c>
      <c r="GG86">
        <v>30.356100000000001</v>
      </c>
      <c r="GH86">
        <v>30.4069</v>
      </c>
      <c r="GI86">
        <v>-1</v>
      </c>
      <c r="GJ86">
        <v>0</v>
      </c>
      <c r="GK86">
        <v>100</v>
      </c>
      <c r="GL86">
        <v>27.854500000000002</v>
      </c>
      <c r="GM86">
        <v>432.1</v>
      </c>
      <c r="GN86">
        <v>68.912800000000004</v>
      </c>
      <c r="GO86">
        <v>102.22</v>
      </c>
      <c r="GP86">
        <v>96.502300000000005</v>
      </c>
    </row>
    <row r="87" spans="1:198" x14ac:dyDescent="0.35">
      <c r="A87">
        <v>71</v>
      </c>
      <c r="B87">
        <v>1775485239</v>
      </c>
      <c r="C87">
        <v>4200.5</v>
      </c>
      <c r="D87" t="s">
        <v>544</v>
      </c>
      <c r="E87" t="s">
        <v>545</v>
      </c>
      <c r="F87">
        <v>60</v>
      </c>
      <c r="G87">
        <v>1775485231</v>
      </c>
      <c r="H87">
        <f t="shared" si="30"/>
        <v>2.5447854033119476E-3</v>
      </c>
      <c r="I87">
        <f t="shared" si="31"/>
        <v>2.5447854033119475</v>
      </c>
      <c r="J87">
        <f t="shared" si="32"/>
        <v>0.59754476082060048</v>
      </c>
      <c r="K87">
        <f t="shared" si="33"/>
        <v>22.293509677419351</v>
      </c>
      <c r="L87">
        <f t="shared" si="34"/>
        <v>7.2696899841440974</v>
      </c>
      <c r="M87">
        <f t="shared" si="35"/>
        <v>0.72931197939575143</v>
      </c>
      <c r="N87">
        <f t="shared" si="36"/>
        <v>2.2365360429370917</v>
      </c>
      <c r="O87">
        <f t="shared" si="37"/>
        <v>6.8562351284873216E-2</v>
      </c>
      <c r="P87">
        <f t="shared" si="38"/>
        <v>2.3972789694773939</v>
      </c>
      <c r="Q87">
        <f t="shared" si="39"/>
        <v>6.749133229247134E-2</v>
      </c>
      <c r="R87">
        <f t="shared" si="40"/>
        <v>4.2276915809357968E-2</v>
      </c>
      <c r="S87">
        <f t="shared" si="41"/>
        <v>0</v>
      </c>
      <c r="T87">
        <f t="shared" si="42"/>
        <v>26.505058433734863</v>
      </c>
      <c r="U87">
        <f t="shared" si="43"/>
        <v>27.384538709677411</v>
      </c>
      <c r="V87">
        <f t="shared" si="44"/>
        <v>3.6607959534309544</v>
      </c>
      <c r="W87">
        <f t="shared" si="45"/>
        <v>-1.479350046331255</v>
      </c>
      <c r="X87">
        <f t="shared" si="46"/>
        <v>-5.3893107470908058E-2</v>
      </c>
      <c r="Y87">
        <f t="shared" si="47"/>
        <v>3.6430260440766808</v>
      </c>
      <c r="Z87">
        <f t="shared" si="48"/>
        <v>3.7146890609018626</v>
      </c>
      <c r="AA87">
        <f t="shared" si="49"/>
        <v>-112.22503628605689</v>
      </c>
      <c r="AB87">
        <f t="shared" si="50"/>
        <v>-10.735015905837939</v>
      </c>
      <c r="AC87">
        <f t="shared" si="51"/>
        <v>-0.96972347962564942</v>
      </c>
      <c r="AD87">
        <f t="shared" si="52"/>
        <v>-123.92977567152047</v>
      </c>
      <c r="AE87">
        <v>14</v>
      </c>
      <c r="AF87">
        <v>3</v>
      </c>
      <c r="AG87">
        <f t="shared" si="53"/>
        <v>1</v>
      </c>
      <c r="AH87">
        <f t="shared" si="54"/>
        <v>0</v>
      </c>
      <c r="AI87">
        <f t="shared" si="55"/>
        <v>25626.765373573464</v>
      </c>
      <c r="AJ87">
        <f t="shared" si="56"/>
        <v>0</v>
      </c>
      <c r="AK87">
        <f t="shared" si="57"/>
        <v>0</v>
      </c>
      <c r="AL87">
        <f t="shared" si="58"/>
        <v>0</v>
      </c>
      <c r="AM87">
        <f t="shared" si="59"/>
        <v>0</v>
      </c>
      <c r="AN87">
        <v>3</v>
      </c>
      <c r="AO87">
        <v>0.5</v>
      </c>
      <c r="AP87" t="s">
        <v>331</v>
      </c>
      <c r="AQ87">
        <v>2</v>
      </c>
      <c r="AR87">
        <v>1775485231</v>
      </c>
      <c r="AS87">
        <v>22.293509677419351</v>
      </c>
      <c r="AT87">
        <v>22.686061290322581</v>
      </c>
      <c r="AU87">
        <v>-0.53719970967741937</v>
      </c>
      <c r="AV87">
        <v>-2.0648345161290331</v>
      </c>
      <c r="AW87">
        <v>14.24150967741935</v>
      </c>
      <c r="AX87">
        <v>0.45207129032258059</v>
      </c>
      <c r="AY87">
        <v>500.0185483870967</v>
      </c>
      <c r="AZ87">
        <v>100.2795806451613</v>
      </c>
      <c r="BA87">
        <v>4.2713838709677418E-2</v>
      </c>
      <c r="BB87">
        <v>27.301477419354828</v>
      </c>
      <c r="BC87">
        <v>27.384538709677411</v>
      </c>
      <c r="BD87">
        <v>999.90000000000032</v>
      </c>
      <c r="BE87">
        <v>0</v>
      </c>
      <c r="BF87">
        <v>0</v>
      </c>
      <c r="BG87">
        <v>5009.8387096774204</v>
      </c>
      <c r="BH87">
        <v>0.38290480645161279</v>
      </c>
      <c r="BI87">
        <v>0.22961599999999999</v>
      </c>
      <c r="BJ87">
        <v>-0.41568770967741941</v>
      </c>
      <c r="BK87">
        <v>22.258419354838711</v>
      </c>
      <c r="BL87">
        <v>22.639309677419359</v>
      </c>
      <c r="BM87">
        <v>1.527636129032258</v>
      </c>
      <c r="BN87">
        <v>22.686061290322581</v>
      </c>
      <c r="BO87">
        <v>-2.0648345161290331</v>
      </c>
      <c r="BP87">
        <v>-5.3870122580645149E-2</v>
      </c>
      <c r="BQ87">
        <v>-0.2070606129032258</v>
      </c>
      <c r="BR87">
        <v>-99.900000000000034</v>
      </c>
      <c r="BS87">
        <v>-99.900000000000034</v>
      </c>
      <c r="BT87">
        <v>0</v>
      </c>
      <c r="BU87">
        <v>0</v>
      </c>
      <c r="BV87">
        <v>0</v>
      </c>
      <c r="BW87">
        <v>26</v>
      </c>
      <c r="BX87">
        <v>-1</v>
      </c>
      <c r="BY87">
        <v>1775485256</v>
      </c>
      <c r="BZ87" t="s">
        <v>546</v>
      </c>
      <c r="CA87">
        <v>1775485256</v>
      </c>
      <c r="CB87">
        <v>1775480969.5</v>
      </c>
      <c r="CC87">
        <v>72</v>
      </c>
      <c r="CD87">
        <v>2.4E-2</v>
      </c>
      <c r="CE87">
        <v>0.19500000000000001</v>
      </c>
      <c r="CF87">
        <v>8.0519999999999996</v>
      </c>
      <c r="CG87">
        <v>-0.98899999999999999</v>
      </c>
      <c r="CH87">
        <v>24</v>
      </c>
      <c r="CI87">
        <v>-3</v>
      </c>
      <c r="CJ87">
        <v>0.12</v>
      </c>
      <c r="CK87">
        <v>0.06</v>
      </c>
      <c r="CL87">
        <v>22.879026666666672</v>
      </c>
      <c r="CM87">
        <v>-1.295563212003316</v>
      </c>
      <c r="CN87">
        <v>0.2178536923921395</v>
      </c>
      <c r="CO87">
        <v>-1</v>
      </c>
      <c r="CP87">
        <v>500.01006666666672</v>
      </c>
      <c r="CQ87">
        <v>1.3403723257295009E-2</v>
      </c>
      <c r="CR87">
        <v>3.3780105913921832E-2</v>
      </c>
      <c r="CS87">
        <v>-1</v>
      </c>
      <c r="CT87">
        <v>0</v>
      </c>
      <c r="CU87">
        <v>0</v>
      </c>
      <c r="CV87" t="s">
        <v>333</v>
      </c>
      <c r="CW87">
        <v>3.1675</v>
      </c>
      <c r="CX87">
        <v>2.66404</v>
      </c>
      <c r="CY87">
        <v>4.2206199999999996E-3</v>
      </c>
      <c r="CZ87">
        <v>6.8478499999999999E-3</v>
      </c>
      <c r="DA87">
        <v>3.6300299999999998E-3</v>
      </c>
      <c r="DB87">
        <v>-1.92243E-2</v>
      </c>
      <c r="DC87">
        <v>21485.599999999999</v>
      </c>
      <c r="DD87">
        <v>21812</v>
      </c>
      <c r="DE87">
        <v>23105.200000000001</v>
      </c>
      <c r="DF87">
        <v>22315.8</v>
      </c>
      <c r="DG87">
        <v>29688.5</v>
      </c>
      <c r="DH87">
        <v>27123.8</v>
      </c>
      <c r="DI87">
        <v>40609.5</v>
      </c>
      <c r="DJ87">
        <v>36982.699999999997</v>
      </c>
      <c r="DK87">
        <v>2.0824400000000001</v>
      </c>
      <c r="DL87">
        <v>1.7999799999999999</v>
      </c>
      <c r="DM87">
        <v>1.8915499999999998E-2</v>
      </c>
      <c r="DN87">
        <v>0</v>
      </c>
      <c r="DO87">
        <v>27.075299999999999</v>
      </c>
      <c r="DP87">
        <v>999.9</v>
      </c>
      <c r="DQ87">
        <v>77.900000000000006</v>
      </c>
      <c r="DR87">
        <v>29.4</v>
      </c>
      <c r="DS87">
        <v>31.971800000000002</v>
      </c>
      <c r="DT87">
        <v>30.3855</v>
      </c>
      <c r="DU87">
        <v>9.8798100000000009</v>
      </c>
      <c r="DV87">
        <v>1</v>
      </c>
      <c r="DW87">
        <v>0.22520499999999999</v>
      </c>
      <c r="DX87">
        <v>-0.102381</v>
      </c>
      <c r="DY87">
        <v>20.367599999999999</v>
      </c>
      <c r="DZ87">
        <v>5.2117800000000001</v>
      </c>
      <c r="EA87">
        <v>11.8483</v>
      </c>
      <c r="EB87">
        <v>4.9677199999999999</v>
      </c>
      <c r="EC87">
        <v>3.2921200000000002</v>
      </c>
      <c r="ED87">
        <v>894.7</v>
      </c>
      <c r="EE87">
        <v>0</v>
      </c>
      <c r="EF87">
        <v>6078.5</v>
      </c>
      <c r="EG87">
        <v>110</v>
      </c>
      <c r="EH87">
        <v>4.9715999999999996</v>
      </c>
      <c r="EI87">
        <v>1.8717900000000001</v>
      </c>
      <c r="EJ87">
        <v>1.8689100000000001</v>
      </c>
      <c r="EK87">
        <v>1.87138</v>
      </c>
      <c r="EL87">
        <v>1.8691800000000001</v>
      </c>
      <c r="EM87">
        <v>1.8680699999999999</v>
      </c>
      <c r="EN87">
        <v>1.8698999999999999</v>
      </c>
      <c r="EO87">
        <v>1.87171</v>
      </c>
      <c r="EP87">
        <v>0</v>
      </c>
      <c r="EQ87">
        <v>0</v>
      </c>
      <c r="ER87">
        <v>0</v>
      </c>
      <c r="ES87">
        <v>0</v>
      </c>
      <c r="ET87" t="s">
        <v>334</v>
      </c>
      <c r="EU87" t="s">
        <v>335</v>
      </c>
      <c r="EV87" t="s">
        <v>336</v>
      </c>
      <c r="EW87" t="s">
        <v>336</v>
      </c>
      <c r="EX87" t="s">
        <v>336</v>
      </c>
      <c r="EY87" t="s">
        <v>336</v>
      </c>
      <c r="EZ87">
        <v>0</v>
      </c>
      <c r="FA87">
        <v>100</v>
      </c>
      <c r="FB87">
        <v>100</v>
      </c>
      <c r="FC87">
        <v>8.0519999999999996</v>
      </c>
      <c r="FD87">
        <v>-0.98929999999999996</v>
      </c>
      <c r="FE87">
        <v>8.0288700000000031</v>
      </c>
      <c r="FF87">
        <v>0</v>
      </c>
      <c r="FG87">
        <v>0</v>
      </c>
      <c r="FH87">
        <v>0</v>
      </c>
      <c r="FI87">
        <v>-0.98927100000000023</v>
      </c>
      <c r="FJ87">
        <v>0</v>
      </c>
      <c r="FK87">
        <v>0</v>
      </c>
      <c r="FL87">
        <v>0</v>
      </c>
      <c r="FM87">
        <v>-1</v>
      </c>
      <c r="FN87">
        <v>-1</v>
      </c>
      <c r="FO87">
        <v>-1</v>
      </c>
      <c r="FP87">
        <v>-1</v>
      </c>
      <c r="FQ87">
        <v>0.7</v>
      </c>
      <c r="FR87">
        <v>71.2</v>
      </c>
      <c r="FS87">
        <v>0.142822</v>
      </c>
      <c r="FT87">
        <v>4.99756</v>
      </c>
      <c r="FU87">
        <v>1.5979000000000001</v>
      </c>
      <c r="FV87">
        <v>2.1557599999999999</v>
      </c>
      <c r="FW87">
        <v>1.5478499999999999</v>
      </c>
      <c r="FX87">
        <v>2.2985799999999998</v>
      </c>
      <c r="FY87">
        <v>33.8735</v>
      </c>
      <c r="FZ87">
        <v>16.0321</v>
      </c>
      <c r="GA87">
        <v>3</v>
      </c>
      <c r="GB87">
        <v>496.77100000000002</v>
      </c>
      <c r="GC87">
        <v>407.15899999999999</v>
      </c>
      <c r="GD87">
        <v>27.8445</v>
      </c>
      <c r="GE87">
        <v>30.0533</v>
      </c>
      <c r="GF87">
        <v>30.0001</v>
      </c>
      <c r="GG87">
        <v>30.352599999999999</v>
      </c>
      <c r="GH87">
        <v>30.404399999999999</v>
      </c>
      <c r="GI87">
        <v>-1</v>
      </c>
      <c r="GJ87">
        <v>0</v>
      </c>
      <c r="GK87">
        <v>100</v>
      </c>
      <c r="GL87">
        <v>27.8444</v>
      </c>
      <c r="GM87">
        <v>432.1</v>
      </c>
      <c r="GN87">
        <v>68.912800000000004</v>
      </c>
      <c r="GO87">
        <v>102.218</v>
      </c>
      <c r="GP87">
        <v>96.501900000000006</v>
      </c>
    </row>
    <row r="88" spans="1:198" x14ac:dyDescent="0.35">
      <c r="A88">
        <v>72</v>
      </c>
      <c r="B88">
        <v>1775485299</v>
      </c>
      <c r="C88">
        <v>4260.5</v>
      </c>
      <c r="D88" t="s">
        <v>547</v>
      </c>
      <c r="E88" t="s">
        <v>548</v>
      </c>
      <c r="F88">
        <v>60</v>
      </c>
      <c r="G88">
        <v>1775485291</v>
      </c>
      <c r="H88">
        <f t="shared" si="30"/>
        <v>2.5628356466896752E-3</v>
      </c>
      <c r="I88">
        <f t="shared" si="31"/>
        <v>2.5628356466896753</v>
      </c>
      <c r="J88">
        <f t="shared" si="32"/>
        <v>1.0299372322340996</v>
      </c>
      <c r="K88">
        <f t="shared" si="33"/>
        <v>23.15194838709677</v>
      </c>
      <c r="L88">
        <f t="shared" si="34"/>
        <v>-1.6718607756240127</v>
      </c>
      <c r="M88">
        <f t="shared" si="35"/>
        <v>-0.16772778703628985</v>
      </c>
      <c r="N88">
        <f t="shared" si="36"/>
        <v>2.3226964381030766</v>
      </c>
      <c r="O88">
        <f t="shared" si="37"/>
        <v>6.9092921583180672E-2</v>
      </c>
      <c r="P88">
        <f t="shared" si="38"/>
        <v>2.3933129246091696</v>
      </c>
      <c r="Q88">
        <f t="shared" si="39"/>
        <v>6.8003632487592253E-2</v>
      </c>
      <c r="R88">
        <f t="shared" si="40"/>
        <v>4.2598708055429944E-2</v>
      </c>
      <c r="S88">
        <f t="shared" si="41"/>
        <v>0</v>
      </c>
      <c r="T88">
        <f t="shared" si="42"/>
        <v>26.500934276151444</v>
      </c>
      <c r="U88">
        <f t="shared" si="43"/>
        <v>27.387570967741929</v>
      </c>
      <c r="V88">
        <f t="shared" si="44"/>
        <v>3.6614460952530004</v>
      </c>
      <c r="W88">
        <f t="shared" si="45"/>
        <v>-1.4110854012808121</v>
      </c>
      <c r="X88">
        <f t="shared" si="46"/>
        <v>-5.1414469145788511E-2</v>
      </c>
      <c r="Y88">
        <f t="shared" si="47"/>
        <v>3.6436114425902706</v>
      </c>
      <c r="Z88">
        <f t="shared" si="48"/>
        <v>3.7128605643987891</v>
      </c>
      <c r="AA88">
        <f t="shared" si="49"/>
        <v>-113.02105201901468</v>
      </c>
      <c r="AB88">
        <f t="shared" si="50"/>
        <v>-10.754715780873742</v>
      </c>
      <c r="AC88">
        <f t="shared" si="51"/>
        <v>-0.9731409990639347</v>
      </c>
      <c r="AD88">
        <f t="shared" si="52"/>
        <v>-124.74890879895234</v>
      </c>
      <c r="AE88">
        <v>14</v>
      </c>
      <c r="AF88">
        <v>3</v>
      </c>
      <c r="AG88">
        <f t="shared" si="53"/>
        <v>1</v>
      </c>
      <c r="AH88">
        <f t="shared" si="54"/>
        <v>0</v>
      </c>
      <c r="AI88">
        <f t="shared" si="55"/>
        <v>25566.14776078883</v>
      </c>
      <c r="AJ88">
        <f t="shared" si="56"/>
        <v>0</v>
      </c>
      <c r="AK88">
        <f t="shared" si="57"/>
        <v>0</v>
      </c>
      <c r="AL88">
        <f t="shared" si="58"/>
        <v>0</v>
      </c>
      <c r="AM88">
        <f t="shared" si="59"/>
        <v>0</v>
      </c>
      <c r="AN88">
        <v>3</v>
      </c>
      <c r="AO88">
        <v>0.5</v>
      </c>
      <c r="AP88" t="s">
        <v>331</v>
      </c>
      <c r="AQ88">
        <v>2</v>
      </c>
      <c r="AR88">
        <v>1775485291</v>
      </c>
      <c r="AS88">
        <v>23.15194838709677</v>
      </c>
      <c r="AT88">
        <v>23.8054870967742</v>
      </c>
      <c r="AU88">
        <v>-0.51248416129032259</v>
      </c>
      <c r="AV88">
        <v>-2.0509161290322582</v>
      </c>
      <c r="AW88">
        <v>15.125948387096781</v>
      </c>
      <c r="AX88">
        <v>0.47678683870967731</v>
      </c>
      <c r="AY88">
        <v>500.0186774193549</v>
      </c>
      <c r="AZ88">
        <v>100.2813225806452</v>
      </c>
      <c r="BA88">
        <v>4.2693319354838721E-2</v>
      </c>
      <c r="BB88">
        <v>27.3042193548387</v>
      </c>
      <c r="BC88">
        <v>27.387570967741929</v>
      </c>
      <c r="BD88">
        <v>999.90000000000032</v>
      </c>
      <c r="BE88">
        <v>0</v>
      </c>
      <c r="BF88">
        <v>0</v>
      </c>
      <c r="BG88">
        <v>4999.5483870967746</v>
      </c>
      <c r="BH88">
        <v>0.37196167741935487</v>
      </c>
      <c r="BI88">
        <v>0.22961599999999999</v>
      </c>
      <c r="BJ88">
        <v>-0.62715677419354832</v>
      </c>
      <c r="BK88">
        <v>23.166454838709679</v>
      </c>
      <c r="BL88">
        <v>23.756758064516131</v>
      </c>
      <c r="BM88">
        <v>1.5384316129032261</v>
      </c>
      <c r="BN88">
        <v>23.8054870967742</v>
      </c>
      <c r="BO88">
        <v>-2.0509161290322582</v>
      </c>
      <c r="BP88">
        <v>-5.13926064516129E-2</v>
      </c>
      <c r="BQ88">
        <v>-0.20566870967741929</v>
      </c>
      <c r="BR88">
        <v>-99.900000000000034</v>
      </c>
      <c r="BS88">
        <v>-99.900000000000034</v>
      </c>
      <c r="BT88">
        <v>0</v>
      </c>
      <c r="BU88">
        <v>0</v>
      </c>
      <c r="BV88">
        <v>0</v>
      </c>
      <c r="BW88">
        <v>26</v>
      </c>
      <c r="BX88">
        <v>-0.99462370967741942</v>
      </c>
      <c r="BY88">
        <v>1775485316.5</v>
      </c>
      <c r="BZ88" t="s">
        <v>549</v>
      </c>
      <c r="CA88">
        <v>1775485316.5</v>
      </c>
      <c r="CB88">
        <v>1775480969.5</v>
      </c>
      <c r="CC88">
        <v>73</v>
      </c>
      <c r="CD88">
        <v>-2.5999999999999999E-2</v>
      </c>
      <c r="CE88">
        <v>0.19500000000000001</v>
      </c>
      <c r="CF88">
        <v>8.0259999999999998</v>
      </c>
      <c r="CG88">
        <v>-0.98899999999999999</v>
      </c>
      <c r="CH88">
        <v>24</v>
      </c>
      <c r="CI88">
        <v>-3</v>
      </c>
      <c r="CJ88">
        <v>0.27</v>
      </c>
      <c r="CK88">
        <v>0.06</v>
      </c>
      <c r="CL88">
        <v>23.748527868852459</v>
      </c>
      <c r="CM88">
        <v>0.40492416710734408</v>
      </c>
      <c r="CN88">
        <v>6.1719195226385297E-2</v>
      </c>
      <c r="CO88">
        <v>-1</v>
      </c>
      <c r="CP88">
        <v>500.00247540983599</v>
      </c>
      <c r="CQ88">
        <v>7.8745637228328058E-2</v>
      </c>
      <c r="CR88">
        <v>2.901757893290011E-2</v>
      </c>
      <c r="CS88">
        <v>-1</v>
      </c>
      <c r="CT88">
        <v>0</v>
      </c>
      <c r="CU88">
        <v>0</v>
      </c>
      <c r="CV88" t="s">
        <v>333</v>
      </c>
      <c r="CW88">
        <v>3.1674799999999999</v>
      </c>
      <c r="CX88">
        <v>2.6639699999999999</v>
      </c>
      <c r="CY88">
        <v>4.5300399999999999E-3</v>
      </c>
      <c r="CZ88">
        <v>7.1057200000000003E-3</v>
      </c>
      <c r="DA88">
        <v>3.8353900000000002E-3</v>
      </c>
      <c r="DB88">
        <v>-1.9127600000000002E-2</v>
      </c>
      <c r="DC88">
        <v>21479</v>
      </c>
      <c r="DD88">
        <v>21805.9</v>
      </c>
      <c r="DE88">
        <v>23105.200000000001</v>
      </c>
      <c r="DF88">
        <v>22315.3</v>
      </c>
      <c r="DG88">
        <v>29682.7</v>
      </c>
      <c r="DH88">
        <v>27120.7</v>
      </c>
      <c r="DI88">
        <v>40609.9</v>
      </c>
      <c r="DJ88">
        <v>36981.9</v>
      </c>
      <c r="DK88">
        <v>2.0824199999999999</v>
      </c>
      <c r="DL88">
        <v>1.80002</v>
      </c>
      <c r="DM88">
        <v>1.8549E-2</v>
      </c>
      <c r="DN88">
        <v>0</v>
      </c>
      <c r="DO88">
        <v>27.0822</v>
      </c>
      <c r="DP88">
        <v>999.9</v>
      </c>
      <c r="DQ88">
        <v>77.900000000000006</v>
      </c>
      <c r="DR88">
        <v>29.4</v>
      </c>
      <c r="DS88">
        <v>31.971399999999999</v>
      </c>
      <c r="DT88">
        <v>30.6555</v>
      </c>
      <c r="DU88">
        <v>9.5713100000000004</v>
      </c>
      <c r="DV88">
        <v>1</v>
      </c>
      <c r="DW88">
        <v>0.224693</v>
      </c>
      <c r="DX88">
        <v>-7.0104600000000003E-2</v>
      </c>
      <c r="DY88">
        <v>20.367799999999999</v>
      </c>
      <c r="DZ88">
        <v>5.2116600000000002</v>
      </c>
      <c r="EA88">
        <v>11.8492</v>
      </c>
      <c r="EB88">
        <v>4.9677600000000002</v>
      </c>
      <c r="EC88">
        <v>3.2921399999999998</v>
      </c>
      <c r="ED88">
        <v>894.7</v>
      </c>
      <c r="EE88">
        <v>0</v>
      </c>
      <c r="EF88">
        <v>6110.3</v>
      </c>
      <c r="EG88">
        <v>110</v>
      </c>
      <c r="EH88">
        <v>4.9716300000000002</v>
      </c>
      <c r="EI88">
        <v>1.8717999999999999</v>
      </c>
      <c r="EJ88">
        <v>1.8689100000000001</v>
      </c>
      <c r="EK88">
        <v>1.87138</v>
      </c>
      <c r="EL88">
        <v>1.8691800000000001</v>
      </c>
      <c r="EM88">
        <v>1.86809</v>
      </c>
      <c r="EN88">
        <v>1.86988</v>
      </c>
      <c r="EO88">
        <v>1.8716999999999999</v>
      </c>
      <c r="EP88">
        <v>0</v>
      </c>
      <c r="EQ88">
        <v>0</v>
      </c>
      <c r="ER88">
        <v>0</v>
      </c>
      <c r="ES88">
        <v>0</v>
      </c>
      <c r="ET88" t="s">
        <v>334</v>
      </c>
      <c r="EU88" t="s">
        <v>335</v>
      </c>
      <c r="EV88" t="s">
        <v>336</v>
      </c>
      <c r="EW88" t="s">
        <v>336</v>
      </c>
      <c r="EX88" t="s">
        <v>336</v>
      </c>
      <c r="EY88" t="s">
        <v>336</v>
      </c>
      <c r="EZ88">
        <v>0</v>
      </c>
      <c r="FA88">
        <v>100</v>
      </c>
      <c r="FB88">
        <v>100</v>
      </c>
      <c r="FC88">
        <v>8.0259999999999998</v>
      </c>
      <c r="FD88">
        <v>-0.98929999999999996</v>
      </c>
      <c r="FE88">
        <v>8.0523800000000065</v>
      </c>
      <c r="FF88">
        <v>0</v>
      </c>
      <c r="FG88">
        <v>0</v>
      </c>
      <c r="FH88">
        <v>0</v>
      </c>
      <c r="FI88">
        <v>-0.98927100000000023</v>
      </c>
      <c r="FJ88">
        <v>0</v>
      </c>
      <c r="FK88">
        <v>0</v>
      </c>
      <c r="FL88">
        <v>0</v>
      </c>
      <c r="FM88">
        <v>-1</v>
      </c>
      <c r="FN88">
        <v>-1</v>
      </c>
      <c r="FO88">
        <v>-1</v>
      </c>
      <c r="FP88">
        <v>-1</v>
      </c>
      <c r="FQ88">
        <v>0.7</v>
      </c>
      <c r="FR88">
        <v>72.2</v>
      </c>
      <c r="FS88">
        <v>0.142822</v>
      </c>
      <c r="FT88">
        <v>4.99756</v>
      </c>
      <c r="FU88">
        <v>1.5979000000000001</v>
      </c>
      <c r="FV88">
        <v>2.1569799999999999</v>
      </c>
      <c r="FW88">
        <v>1.5478499999999999</v>
      </c>
      <c r="FX88">
        <v>2.4377399999999998</v>
      </c>
      <c r="FY88">
        <v>33.896099999999997</v>
      </c>
      <c r="FZ88">
        <v>16.0321</v>
      </c>
      <c r="GA88">
        <v>3</v>
      </c>
      <c r="GB88">
        <v>496.76</v>
      </c>
      <c r="GC88">
        <v>407.16500000000002</v>
      </c>
      <c r="GD88">
        <v>27.832599999999999</v>
      </c>
      <c r="GE88">
        <v>30.050799999999999</v>
      </c>
      <c r="GF88">
        <v>30.0001</v>
      </c>
      <c r="GG88">
        <v>30.352599999999999</v>
      </c>
      <c r="GH88">
        <v>30.401800000000001</v>
      </c>
      <c r="GI88">
        <v>-1</v>
      </c>
      <c r="GJ88">
        <v>0</v>
      </c>
      <c r="GK88">
        <v>100</v>
      </c>
      <c r="GL88">
        <v>27.828499999999998</v>
      </c>
      <c r="GM88">
        <v>432.1</v>
      </c>
      <c r="GN88">
        <v>68.912800000000004</v>
      </c>
      <c r="GO88">
        <v>102.218</v>
      </c>
      <c r="GP88">
        <v>96.499799999999993</v>
      </c>
    </row>
    <row r="89" spans="1:198" x14ac:dyDescent="0.35">
      <c r="A89">
        <v>73</v>
      </c>
      <c r="B89">
        <v>1775485359</v>
      </c>
      <c r="C89">
        <v>4320.5</v>
      </c>
      <c r="D89" t="s">
        <v>550</v>
      </c>
      <c r="E89" t="s">
        <v>551</v>
      </c>
      <c r="F89">
        <v>60</v>
      </c>
      <c r="G89">
        <v>1775485351.25</v>
      </c>
      <c r="H89">
        <f t="shared" si="30"/>
        <v>2.5343265777057348E-3</v>
      </c>
      <c r="I89">
        <f t="shared" si="31"/>
        <v>2.5343265777057349</v>
      </c>
      <c r="J89">
        <f t="shared" si="32"/>
        <v>0.92283945398365996</v>
      </c>
      <c r="K89">
        <f t="shared" si="33"/>
        <v>23.38088333333333</v>
      </c>
      <c r="L89">
        <f t="shared" si="34"/>
        <v>0.74196591646827548</v>
      </c>
      <c r="M89">
        <f t="shared" si="35"/>
        <v>7.4437097328975466E-2</v>
      </c>
      <c r="N89">
        <f t="shared" si="36"/>
        <v>2.3456671656900414</v>
      </c>
      <c r="O89">
        <f t="shared" si="37"/>
        <v>6.8295415504339041E-2</v>
      </c>
      <c r="P89">
        <f t="shared" si="38"/>
        <v>2.3935230424021374</v>
      </c>
      <c r="Q89">
        <f t="shared" si="39"/>
        <v>6.7231010573899186E-2</v>
      </c>
      <c r="R89">
        <f t="shared" si="40"/>
        <v>4.2113632265175886E-2</v>
      </c>
      <c r="S89">
        <f t="shared" si="41"/>
        <v>0</v>
      </c>
      <c r="T89">
        <f t="shared" si="42"/>
        <v>26.507066087673323</v>
      </c>
      <c r="U89">
        <f t="shared" si="43"/>
        <v>27.385353333333342</v>
      </c>
      <c r="V89">
        <f t="shared" si="44"/>
        <v>3.6609706057468214</v>
      </c>
      <c r="W89">
        <f t="shared" si="45"/>
        <v>-1.4499621459323795</v>
      </c>
      <c r="X89">
        <f t="shared" si="46"/>
        <v>-5.2822114507541582E-2</v>
      </c>
      <c r="Y89">
        <f t="shared" si="47"/>
        <v>3.642999553865939</v>
      </c>
      <c r="Z89">
        <f t="shared" si="48"/>
        <v>3.713792720254363</v>
      </c>
      <c r="AA89">
        <f t="shared" si="49"/>
        <v>-111.7638020768229</v>
      </c>
      <c r="AB89">
        <f t="shared" si="50"/>
        <v>-10.839327598007987</v>
      </c>
      <c r="AC89">
        <f t="shared" si="51"/>
        <v>-0.98068610458094929</v>
      </c>
      <c r="AD89">
        <f t="shared" si="52"/>
        <v>-123.58381577941184</v>
      </c>
      <c r="AE89">
        <v>14</v>
      </c>
      <c r="AF89">
        <v>3</v>
      </c>
      <c r="AG89">
        <f t="shared" si="53"/>
        <v>1</v>
      </c>
      <c r="AH89">
        <f t="shared" si="54"/>
        <v>0</v>
      </c>
      <c r="AI89">
        <f t="shared" si="55"/>
        <v>25569.569177580997</v>
      </c>
      <c r="AJ89">
        <f t="shared" si="56"/>
        <v>0</v>
      </c>
      <c r="AK89">
        <f t="shared" si="57"/>
        <v>0</v>
      </c>
      <c r="AL89">
        <f t="shared" si="58"/>
        <v>0</v>
      </c>
      <c r="AM89">
        <f t="shared" si="59"/>
        <v>0</v>
      </c>
      <c r="AN89">
        <v>3</v>
      </c>
      <c r="AO89">
        <v>0.5</v>
      </c>
      <c r="AP89" t="s">
        <v>331</v>
      </c>
      <c r="AQ89">
        <v>2</v>
      </c>
      <c r="AR89">
        <v>1775485351.25</v>
      </c>
      <c r="AS89">
        <v>23.38088333333333</v>
      </c>
      <c r="AT89">
        <v>23.970140000000001</v>
      </c>
      <c r="AU89">
        <v>-0.52651446666666668</v>
      </c>
      <c r="AV89">
        <v>-2.047911333333333</v>
      </c>
      <c r="AW89">
        <v>15.371883333333329</v>
      </c>
      <c r="AX89">
        <v>0.46275653333333328</v>
      </c>
      <c r="AY89">
        <v>499.99990000000003</v>
      </c>
      <c r="AZ89">
        <v>100.2817666666667</v>
      </c>
      <c r="BA89">
        <v>4.2379869999999993E-2</v>
      </c>
      <c r="BB89">
        <v>27.301353333333331</v>
      </c>
      <c r="BC89">
        <v>27.385353333333342</v>
      </c>
      <c r="BD89">
        <v>999.9000000000002</v>
      </c>
      <c r="BE89">
        <v>0</v>
      </c>
      <c r="BF89">
        <v>0</v>
      </c>
      <c r="BG89">
        <v>5000.0666666666666</v>
      </c>
      <c r="BH89">
        <v>0.37363299999999999</v>
      </c>
      <c r="BI89">
        <v>0.23344266666666669</v>
      </c>
      <c r="BJ89">
        <v>-0.5721666666666666</v>
      </c>
      <c r="BK89">
        <v>23.385656666666669</v>
      </c>
      <c r="BL89">
        <v>23.921140000000001</v>
      </c>
      <c r="BM89">
        <v>1.521398333333333</v>
      </c>
      <c r="BN89">
        <v>23.970140000000001</v>
      </c>
      <c r="BO89">
        <v>-2.047911333333333</v>
      </c>
      <c r="BP89">
        <v>-5.2799800000000001E-2</v>
      </c>
      <c r="BQ89">
        <v>-0.20536816666666671</v>
      </c>
      <c r="BR89">
        <v>-99.900000000000034</v>
      </c>
      <c r="BS89">
        <v>-99.900000000000034</v>
      </c>
      <c r="BT89">
        <v>0</v>
      </c>
      <c r="BU89">
        <v>0</v>
      </c>
      <c r="BV89">
        <v>0</v>
      </c>
      <c r="BW89">
        <v>26</v>
      </c>
      <c r="BX89">
        <v>-1</v>
      </c>
      <c r="BY89">
        <v>1775485376</v>
      </c>
      <c r="BZ89" t="s">
        <v>552</v>
      </c>
      <c r="CA89">
        <v>1775485376</v>
      </c>
      <c r="CB89">
        <v>1775480969.5</v>
      </c>
      <c r="CC89">
        <v>74</v>
      </c>
      <c r="CD89">
        <v>-1.7000000000000001E-2</v>
      </c>
      <c r="CE89">
        <v>0.19500000000000001</v>
      </c>
      <c r="CF89">
        <v>8.0090000000000003</v>
      </c>
      <c r="CG89">
        <v>-0.98899999999999999</v>
      </c>
      <c r="CH89">
        <v>24</v>
      </c>
      <c r="CI89">
        <v>-3</v>
      </c>
      <c r="CJ89">
        <v>0.23</v>
      </c>
      <c r="CK89">
        <v>0.06</v>
      </c>
      <c r="CL89">
        <v>23.901111666666669</v>
      </c>
      <c r="CM89">
        <v>0.21426585162557449</v>
      </c>
      <c r="CN89">
        <v>0.24254812381028429</v>
      </c>
      <c r="CO89">
        <v>-1</v>
      </c>
      <c r="CP89">
        <v>499.99768333333338</v>
      </c>
      <c r="CQ89">
        <v>6.1717143662277001E-3</v>
      </c>
      <c r="CR89">
        <v>4.0296605178211813E-2</v>
      </c>
      <c r="CS89">
        <v>-1</v>
      </c>
      <c r="CT89">
        <v>0</v>
      </c>
      <c r="CU89">
        <v>0</v>
      </c>
      <c r="CV89" t="s">
        <v>333</v>
      </c>
      <c r="CW89">
        <v>3.1674199999999999</v>
      </c>
      <c r="CX89">
        <v>2.66377</v>
      </c>
      <c r="CY89">
        <v>4.54318E-3</v>
      </c>
      <c r="CZ89">
        <v>7.0345700000000004E-3</v>
      </c>
      <c r="DA89">
        <v>3.7757899999999998E-3</v>
      </c>
      <c r="DB89">
        <v>-1.9074299999999999E-2</v>
      </c>
      <c r="DC89">
        <v>21478.6</v>
      </c>
      <c r="DD89">
        <v>21808</v>
      </c>
      <c r="DE89">
        <v>23105</v>
      </c>
      <c r="DF89">
        <v>22315.9</v>
      </c>
      <c r="DG89">
        <v>29684.1</v>
      </c>
      <c r="DH89">
        <v>27120.1</v>
      </c>
      <c r="DI89">
        <v>40609.4</v>
      </c>
      <c r="DJ89">
        <v>36982.9</v>
      </c>
      <c r="DK89">
        <v>2.0821999999999998</v>
      </c>
      <c r="DL89">
        <v>1.8006599999999999</v>
      </c>
      <c r="DM89">
        <v>1.8483400000000001E-2</v>
      </c>
      <c r="DN89">
        <v>0</v>
      </c>
      <c r="DO89">
        <v>27.0822</v>
      </c>
      <c r="DP89">
        <v>999.9</v>
      </c>
      <c r="DQ89">
        <v>77.8</v>
      </c>
      <c r="DR89">
        <v>29.4</v>
      </c>
      <c r="DS89">
        <v>31.929200000000002</v>
      </c>
      <c r="DT89">
        <v>30.415500000000002</v>
      </c>
      <c r="DU89">
        <v>9.8317300000000003</v>
      </c>
      <c r="DV89">
        <v>1</v>
      </c>
      <c r="DW89">
        <v>0.224913</v>
      </c>
      <c r="DX89">
        <v>-8.8217900000000002E-2</v>
      </c>
      <c r="DY89">
        <v>20.3675</v>
      </c>
      <c r="DZ89">
        <v>5.2115400000000003</v>
      </c>
      <c r="EA89">
        <v>11.8485</v>
      </c>
      <c r="EB89">
        <v>4.9678000000000004</v>
      </c>
      <c r="EC89">
        <v>3.2920799999999999</v>
      </c>
      <c r="ED89">
        <v>894.7</v>
      </c>
      <c r="EE89">
        <v>0</v>
      </c>
      <c r="EF89">
        <v>6141.4</v>
      </c>
      <c r="EG89">
        <v>110</v>
      </c>
      <c r="EH89">
        <v>4.9716199999999997</v>
      </c>
      <c r="EI89">
        <v>1.8717999999999999</v>
      </c>
      <c r="EJ89">
        <v>1.8689</v>
      </c>
      <c r="EK89">
        <v>1.87134</v>
      </c>
      <c r="EL89">
        <v>1.8691199999999999</v>
      </c>
      <c r="EM89">
        <v>1.86809</v>
      </c>
      <c r="EN89">
        <v>1.8698399999999999</v>
      </c>
      <c r="EO89">
        <v>1.8716999999999999</v>
      </c>
      <c r="EP89">
        <v>0</v>
      </c>
      <c r="EQ89">
        <v>0</v>
      </c>
      <c r="ER89">
        <v>0</v>
      </c>
      <c r="ES89">
        <v>0</v>
      </c>
      <c r="ET89" t="s">
        <v>334</v>
      </c>
      <c r="EU89" t="s">
        <v>335</v>
      </c>
      <c r="EV89" t="s">
        <v>336</v>
      </c>
      <c r="EW89" t="s">
        <v>336</v>
      </c>
      <c r="EX89" t="s">
        <v>336</v>
      </c>
      <c r="EY89" t="s">
        <v>336</v>
      </c>
      <c r="EZ89">
        <v>0</v>
      </c>
      <c r="FA89">
        <v>100</v>
      </c>
      <c r="FB89">
        <v>100</v>
      </c>
      <c r="FC89">
        <v>8.0090000000000003</v>
      </c>
      <c r="FD89">
        <v>-0.98929999999999996</v>
      </c>
      <c r="FE89">
        <v>8.0260857142857081</v>
      </c>
      <c r="FF89">
        <v>0</v>
      </c>
      <c r="FG89">
        <v>0</v>
      </c>
      <c r="FH89">
        <v>0</v>
      </c>
      <c r="FI89">
        <v>-0.98927100000000023</v>
      </c>
      <c r="FJ89">
        <v>0</v>
      </c>
      <c r="FK89">
        <v>0</v>
      </c>
      <c r="FL89">
        <v>0</v>
      </c>
      <c r="FM89">
        <v>-1</v>
      </c>
      <c r="FN89">
        <v>-1</v>
      </c>
      <c r="FO89">
        <v>-1</v>
      </c>
      <c r="FP89">
        <v>-1</v>
      </c>
      <c r="FQ89">
        <v>0.7</v>
      </c>
      <c r="FR89">
        <v>73.2</v>
      </c>
      <c r="FS89">
        <v>0.142822</v>
      </c>
      <c r="FT89">
        <v>4.99756</v>
      </c>
      <c r="FU89">
        <v>1.5979000000000001</v>
      </c>
      <c r="FV89">
        <v>2.1557599999999999</v>
      </c>
      <c r="FW89">
        <v>1.5478499999999999</v>
      </c>
      <c r="FX89">
        <v>2.4206500000000002</v>
      </c>
      <c r="FY89">
        <v>33.918700000000001</v>
      </c>
      <c r="FZ89">
        <v>16.023299999999999</v>
      </c>
      <c r="GA89">
        <v>3</v>
      </c>
      <c r="GB89">
        <v>496.63200000000001</v>
      </c>
      <c r="GC89">
        <v>407.53399999999999</v>
      </c>
      <c r="GD89">
        <v>27.834700000000002</v>
      </c>
      <c r="GE89">
        <v>30.050799999999999</v>
      </c>
      <c r="GF89">
        <v>30.0001</v>
      </c>
      <c r="GG89">
        <v>30.352599999999999</v>
      </c>
      <c r="GH89">
        <v>30.401800000000001</v>
      </c>
      <c r="GI89">
        <v>-1</v>
      </c>
      <c r="GJ89">
        <v>0</v>
      </c>
      <c r="GK89">
        <v>100</v>
      </c>
      <c r="GL89">
        <v>27.832999999999998</v>
      </c>
      <c r="GM89">
        <v>432.1</v>
      </c>
      <c r="GN89">
        <v>68.912800000000004</v>
      </c>
      <c r="GO89">
        <v>102.217</v>
      </c>
      <c r="GP89">
        <v>96.502499999999998</v>
      </c>
    </row>
    <row r="90" spans="1:198" x14ac:dyDescent="0.35">
      <c r="A90">
        <v>74</v>
      </c>
      <c r="B90">
        <v>1775485419</v>
      </c>
      <c r="C90">
        <v>4380.5</v>
      </c>
      <c r="D90" t="s">
        <v>553</v>
      </c>
      <c r="E90" t="s">
        <v>554</v>
      </c>
      <c r="F90">
        <v>60</v>
      </c>
      <c r="G90">
        <v>1775485411</v>
      </c>
      <c r="H90">
        <f t="shared" si="30"/>
        <v>2.5348790679567035E-3</v>
      </c>
      <c r="I90">
        <f t="shared" si="31"/>
        <v>2.5348790679567035</v>
      </c>
      <c r="J90">
        <f t="shared" si="32"/>
        <v>0.82082649340237457</v>
      </c>
      <c r="K90">
        <f t="shared" si="33"/>
        <v>22.873332258064519</v>
      </c>
      <c r="L90">
        <f t="shared" si="34"/>
        <v>2.6181448059252674</v>
      </c>
      <c r="M90">
        <f t="shared" si="35"/>
        <v>0.26266927540486396</v>
      </c>
      <c r="N90">
        <f t="shared" si="36"/>
        <v>2.2948011113530455</v>
      </c>
      <c r="O90">
        <f t="shared" si="37"/>
        <v>6.8304148078570368E-2</v>
      </c>
      <c r="P90">
        <f t="shared" si="38"/>
        <v>2.3952603656564015</v>
      </c>
      <c r="Q90">
        <f t="shared" si="39"/>
        <v>6.72402324765356E-2</v>
      </c>
      <c r="R90">
        <f t="shared" si="40"/>
        <v>4.2119353436182283E-2</v>
      </c>
      <c r="S90">
        <f t="shared" si="41"/>
        <v>0</v>
      </c>
      <c r="T90">
        <f t="shared" si="42"/>
        <v>26.504947093835867</v>
      </c>
      <c r="U90">
        <f t="shared" si="43"/>
        <v>27.38802258064516</v>
      </c>
      <c r="V90">
        <f t="shared" si="44"/>
        <v>3.6615429335072283</v>
      </c>
      <c r="W90">
        <f t="shared" si="45"/>
        <v>-1.4447256294439521</v>
      </c>
      <c r="X90">
        <f t="shared" si="46"/>
        <v>-5.2623722382010629E-2</v>
      </c>
      <c r="Y90">
        <f t="shared" si="47"/>
        <v>3.6424717129344839</v>
      </c>
      <c r="Z90">
        <f t="shared" si="48"/>
        <v>3.714166655889239</v>
      </c>
      <c r="AA90">
        <f t="shared" si="49"/>
        <v>-111.78816689689063</v>
      </c>
      <c r="AB90">
        <f t="shared" si="50"/>
        <v>-11.51119023229322</v>
      </c>
      <c r="AC90">
        <f t="shared" si="51"/>
        <v>-1.0407183749794189</v>
      </c>
      <c r="AD90">
        <f t="shared" si="52"/>
        <v>-124.34007550416327</v>
      </c>
      <c r="AE90">
        <v>14</v>
      </c>
      <c r="AF90">
        <v>3</v>
      </c>
      <c r="AG90">
        <f t="shared" si="53"/>
        <v>1</v>
      </c>
      <c r="AH90">
        <f t="shared" si="54"/>
        <v>0</v>
      </c>
      <c r="AI90">
        <f t="shared" si="55"/>
        <v>25596.106878411261</v>
      </c>
      <c r="AJ90">
        <f t="shared" si="56"/>
        <v>0</v>
      </c>
      <c r="AK90">
        <f t="shared" si="57"/>
        <v>0</v>
      </c>
      <c r="AL90">
        <f t="shared" si="58"/>
        <v>0</v>
      </c>
      <c r="AM90">
        <f t="shared" si="59"/>
        <v>0</v>
      </c>
      <c r="AN90">
        <v>3</v>
      </c>
      <c r="AO90">
        <v>0.5</v>
      </c>
      <c r="AP90" t="s">
        <v>331</v>
      </c>
      <c r="AQ90">
        <v>2</v>
      </c>
      <c r="AR90">
        <v>1775485411</v>
      </c>
      <c r="AS90">
        <v>22.873332258064519</v>
      </c>
      <c r="AT90">
        <v>23.40060322580646</v>
      </c>
      <c r="AU90">
        <v>-0.52452470967741927</v>
      </c>
      <c r="AV90">
        <v>-2.04621064516129</v>
      </c>
      <c r="AW90">
        <v>14.844332258064521</v>
      </c>
      <c r="AX90">
        <v>0.46474625806451608</v>
      </c>
      <c r="AY90">
        <v>500.01290322580638</v>
      </c>
      <c r="AZ90">
        <v>100.2840967741936</v>
      </c>
      <c r="BA90">
        <v>4.239197096774195E-2</v>
      </c>
      <c r="BB90">
        <v>27.29888064516128</v>
      </c>
      <c r="BC90">
        <v>27.38802258064516</v>
      </c>
      <c r="BD90">
        <v>999.90000000000032</v>
      </c>
      <c r="BE90">
        <v>0</v>
      </c>
      <c r="BF90">
        <v>0</v>
      </c>
      <c r="BG90">
        <v>5004.4193548387093</v>
      </c>
      <c r="BH90">
        <v>0.384012870967742</v>
      </c>
      <c r="BI90">
        <v>0.22961599999999999</v>
      </c>
      <c r="BJ90">
        <v>-0.54712793548387106</v>
      </c>
      <c r="BK90">
        <v>22.841493548387099</v>
      </c>
      <c r="BL90">
        <v>23.352819354838712</v>
      </c>
      <c r="BM90">
        <v>1.5216861290322581</v>
      </c>
      <c r="BN90">
        <v>23.40060322580646</v>
      </c>
      <c r="BO90">
        <v>-2.04621064516129</v>
      </c>
      <c r="BP90">
        <v>-5.2601516129032258E-2</v>
      </c>
      <c r="BQ90">
        <v>-0.20520245161290321</v>
      </c>
      <c r="BR90">
        <v>-99.900000000000034</v>
      </c>
      <c r="BS90">
        <v>-99.900000000000034</v>
      </c>
      <c r="BT90">
        <v>0</v>
      </c>
      <c r="BU90">
        <v>0</v>
      </c>
      <c r="BV90">
        <v>0</v>
      </c>
      <c r="BW90">
        <v>26</v>
      </c>
      <c r="BX90">
        <v>-1</v>
      </c>
      <c r="BY90">
        <v>1775485436</v>
      </c>
      <c r="BZ90" t="s">
        <v>555</v>
      </c>
      <c r="CA90">
        <v>1775485436</v>
      </c>
      <c r="CB90">
        <v>1775480969.5</v>
      </c>
      <c r="CC90">
        <v>75</v>
      </c>
      <c r="CD90">
        <v>0.02</v>
      </c>
      <c r="CE90">
        <v>0.19500000000000001</v>
      </c>
      <c r="CF90">
        <v>8.0289999999999999</v>
      </c>
      <c r="CG90">
        <v>-0.98899999999999999</v>
      </c>
      <c r="CH90">
        <v>24</v>
      </c>
      <c r="CI90">
        <v>-3</v>
      </c>
      <c r="CJ90">
        <v>0.14000000000000001</v>
      </c>
      <c r="CK90">
        <v>0.06</v>
      </c>
      <c r="CL90">
        <v>23.482344999999999</v>
      </c>
      <c r="CM90">
        <v>-0.57749141428178663</v>
      </c>
      <c r="CN90">
        <v>9.8420742097385203E-2</v>
      </c>
      <c r="CO90">
        <v>-1</v>
      </c>
      <c r="CP90">
        <v>500.00375000000003</v>
      </c>
      <c r="CQ90">
        <v>6.3654348430729812E-2</v>
      </c>
      <c r="CR90">
        <v>4.4214863639580278E-2</v>
      </c>
      <c r="CS90">
        <v>-1</v>
      </c>
      <c r="CT90">
        <v>0</v>
      </c>
      <c r="CU90">
        <v>0</v>
      </c>
      <c r="CV90" t="s">
        <v>333</v>
      </c>
      <c r="CW90">
        <v>3.1673900000000001</v>
      </c>
      <c r="CX90">
        <v>2.66344</v>
      </c>
      <c r="CY90">
        <v>4.41962E-3</v>
      </c>
      <c r="CZ90">
        <v>6.99959E-3</v>
      </c>
      <c r="DA90">
        <v>3.74794E-3</v>
      </c>
      <c r="DB90">
        <v>-1.9063500000000001E-2</v>
      </c>
      <c r="DC90">
        <v>21480.6</v>
      </c>
      <c r="DD90">
        <v>21808.3</v>
      </c>
      <c r="DE90">
        <v>23104.400000000001</v>
      </c>
      <c r="DF90">
        <v>22315.5</v>
      </c>
      <c r="DG90">
        <v>29684.1</v>
      </c>
      <c r="DH90">
        <v>27119.1</v>
      </c>
      <c r="DI90">
        <v>40608.300000000003</v>
      </c>
      <c r="DJ90">
        <v>36982</v>
      </c>
      <c r="DK90">
        <v>2.0825</v>
      </c>
      <c r="DL90">
        <v>1.7996799999999999</v>
      </c>
      <c r="DM90">
        <v>1.83702E-2</v>
      </c>
      <c r="DN90">
        <v>0</v>
      </c>
      <c r="DO90">
        <v>27.089099999999998</v>
      </c>
      <c r="DP90">
        <v>999.9</v>
      </c>
      <c r="DQ90">
        <v>77.8</v>
      </c>
      <c r="DR90">
        <v>29.5</v>
      </c>
      <c r="DS90">
        <v>32.115400000000001</v>
      </c>
      <c r="DT90">
        <v>30.535499999999999</v>
      </c>
      <c r="DU90">
        <v>9.9799699999999998</v>
      </c>
      <c r="DV90">
        <v>1</v>
      </c>
      <c r="DW90">
        <v>0.22518099999999999</v>
      </c>
      <c r="DX90">
        <v>-9.1995599999999997E-2</v>
      </c>
      <c r="DY90">
        <v>20.367699999999999</v>
      </c>
      <c r="DZ90">
        <v>5.2115400000000003</v>
      </c>
      <c r="EA90">
        <v>11.8485</v>
      </c>
      <c r="EB90">
        <v>4.9676799999999997</v>
      </c>
      <c r="EC90">
        <v>3.2920799999999999</v>
      </c>
      <c r="ED90">
        <v>894.7</v>
      </c>
      <c r="EE90">
        <v>0</v>
      </c>
      <c r="EF90">
        <v>6167.3</v>
      </c>
      <c r="EG90">
        <v>110</v>
      </c>
      <c r="EH90">
        <v>4.9715999999999996</v>
      </c>
      <c r="EI90">
        <v>1.8717999999999999</v>
      </c>
      <c r="EJ90">
        <v>1.8689100000000001</v>
      </c>
      <c r="EK90">
        <v>1.87134</v>
      </c>
      <c r="EL90">
        <v>1.8691500000000001</v>
      </c>
      <c r="EM90">
        <v>1.86809</v>
      </c>
      <c r="EN90">
        <v>1.86991</v>
      </c>
      <c r="EO90">
        <v>1.87171</v>
      </c>
      <c r="EP90">
        <v>0</v>
      </c>
      <c r="EQ90">
        <v>0</v>
      </c>
      <c r="ER90">
        <v>0</v>
      </c>
      <c r="ES90">
        <v>0</v>
      </c>
      <c r="ET90" t="s">
        <v>334</v>
      </c>
      <c r="EU90" t="s">
        <v>335</v>
      </c>
      <c r="EV90" t="s">
        <v>336</v>
      </c>
      <c r="EW90" t="s">
        <v>336</v>
      </c>
      <c r="EX90" t="s">
        <v>336</v>
      </c>
      <c r="EY90" t="s">
        <v>336</v>
      </c>
      <c r="EZ90">
        <v>0</v>
      </c>
      <c r="FA90">
        <v>100</v>
      </c>
      <c r="FB90">
        <v>100</v>
      </c>
      <c r="FC90">
        <v>8.0289999999999999</v>
      </c>
      <c r="FD90">
        <v>-0.98929999999999996</v>
      </c>
      <c r="FE90">
        <v>8.0091500000000018</v>
      </c>
      <c r="FF90">
        <v>0</v>
      </c>
      <c r="FG90">
        <v>0</v>
      </c>
      <c r="FH90">
        <v>0</v>
      </c>
      <c r="FI90">
        <v>-0.98927100000000023</v>
      </c>
      <c r="FJ90">
        <v>0</v>
      </c>
      <c r="FK90">
        <v>0</v>
      </c>
      <c r="FL90">
        <v>0</v>
      </c>
      <c r="FM90">
        <v>-1</v>
      </c>
      <c r="FN90">
        <v>-1</v>
      </c>
      <c r="FO90">
        <v>-1</v>
      </c>
      <c r="FP90">
        <v>-1</v>
      </c>
      <c r="FQ90">
        <v>0.7</v>
      </c>
      <c r="FR90">
        <v>74.2</v>
      </c>
      <c r="FS90">
        <v>0.142822</v>
      </c>
      <c r="FT90">
        <v>4.99756</v>
      </c>
      <c r="FU90">
        <v>1.5979000000000001</v>
      </c>
      <c r="FV90">
        <v>2.1569799999999999</v>
      </c>
      <c r="FW90">
        <v>1.5478499999999999</v>
      </c>
      <c r="FX90">
        <v>2.35107</v>
      </c>
      <c r="FY90">
        <v>33.941299999999998</v>
      </c>
      <c r="FZ90">
        <v>16.014600000000002</v>
      </c>
      <c r="GA90">
        <v>3</v>
      </c>
      <c r="GB90">
        <v>496.80599999999998</v>
      </c>
      <c r="GC90">
        <v>406.98599999999999</v>
      </c>
      <c r="GD90">
        <v>27.8323</v>
      </c>
      <c r="GE90">
        <v>30.0533</v>
      </c>
      <c r="GF90">
        <v>30.0001</v>
      </c>
      <c r="GG90">
        <v>30.352599999999999</v>
      </c>
      <c r="GH90">
        <v>30.404399999999999</v>
      </c>
      <c r="GI90">
        <v>-1</v>
      </c>
      <c r="GJ90">
        <v>0</v>
      </c>
      <c r="GK90">
        <v>100</v>
      </c>
      <c r="GL90">
        <v>27.832799999999999</v>
      </c>
      <c r="GM90">
        <v>432.1</v>
      </c>
      <c r="GN90">
        <v>68.912800000000004</v>
      </c>
      <c r="GO90">
        <v>102.214</v>
      </c>
      <c r="GP90">
        <v>96.500200000000007</v>
      </c>
    </row>
    <row r="91" spans="1:198" x14ac:dyDescent="0.35">
      <c r="A91">
        <v>75</v>
      </c>
      <c r="B91">
        <v>1775485479</v>
      </c>
      <c r="C91">
        <v>4440.5</v>
      </c>
      <c r="D91" t="s">
        <v>556</v>
      </c>
      <c r="E91" t="s">
        <v>557</v>
      </c>
      <c r="F91">
        <v>60</v>
      </c>
      <c r="G91">
        <v>1775485471</v>
      </c>
      <c r="H91">
        <f t="shared" si="30"/>
        <v>2.500712065957551E-3</v>
      </c>
      <c r="I91">
        <f t="shared" si="31"/>
        <v>2.500712065957551</v>
      </c>
      <c r="J91">
        <f t="shared" si="32"/>
        <v>0.93477213617912824</v>
      </c>
      <c r="K91">
        <f t="shared" si="33"/>
        <v>23.599032258064511</v>
      </c>
      <c r="L91">
        <f t="shared" si="34"/>
        <v>0.38093269972975996</v>
      </c>
      <c r="M91">
        <f t="shared" si="35"/>
        <v>3.8218151283699799E-2</v>
      </c>
      <c r="N91">
        <f t="shared" si="36"/>
        <v>2.3676397054583451</v>
      </c>
      <c r="O91">
        <f t="shared" si="37"/>
        <v>6.7373223739328053E-2</v>
      </c>
      <c r="P91">
        <f t="shared" si="38"/>
        <v>2.3909354434770314</v>
      </c>
      <c r="Q91">
        <f t="shared" si="39"/>
        <v>6.6336032220682906E-2</v>
      </c>
      <c r="R91">
        <f t="shared" si="40"/>
        <v>4.1551877560469901E-2</v>
      </c>
      <c r="S91">
        <f t="shared" si="41"/>
        <v>0</v>
      </c>
      <c r="T91">
        <f t="shared" si="42"/>
        <v>26.510217447780189</v>
      </c>
      <c r="U91">
        <f t="shared" si="43"/>
        <v>27.37996129032258</v>
      </c>
      <c r="V91">
        <f t="shared" si="44"/>
        <v>3.6598147067776821</v>
      </c>
      <c r="W91">
        <f t="shared" si="45"/>
        <v>-1.4924594010996595</v>
      </c>
      <c r="X91">
        <f t="shared" si="46"/>
        <v>-5.4349258924748255E-2</v>
      </c>
      <c r="Y91">
        <f t="shared" si="47"/>
        <v>3.6415904435794477</v>
      </c>
      <c r="Z91">
        <f t="shared" si="48"/>
        <v>3.7141639657024301</v>
      </c>
      <c r="AA91">
        <f t="shared" si="49"/>
        <v>-110.281402108728</v>
      </c>
      <c r="AB91">
        <f t="shared" si="50"/>
        <v>-10.983536931202583</v>
      </c>
      <c r="AC91">
        <f t="shared" si="51"/>
        <v>-0.99474930078791535</v>
      </c>
      <c r="AD91">
        <f t="shared" si="52"/>
        <v>-122.2596883407185</v>
      </c>
      <c r="AE91">
        <v>14</v>
      </c>
      <c r="AF91">
        <v>3</v>
      </c>
      <c r="AG91">
        <f t="shared" si="53"/>
        <v>1</v>
      </c>
      <c r="AH91">
        <f t="shared" si="54"/>
        <v>0</v>
      </c>
      <c r="AI91">
        <f t="shared" si="55"/>
        <v>25530.636027567482</v>
      </c>
      <c r="AJ91">
        <f t="shared" si="56"/>
        <v>0</v>
      </c>
      <c r="AK91">
        <f t="shared" si="57"/>
        <v>0</v>
      </c>
      <c r="AL91">
        <f t="shared" si="58"/>
        <v>0</v>
      </c>
      <c r="AM91">
        <f t="shared" si="59"/>
        <v>0</v>
      </c>
      <c r="AN91">
        <v>3</v>
      </c>
      <c r="AO91">
        <v>0.5</v>
      </c>
      <c r="AP91" t="s">
        <v>331</v>
      </c>
      <c r="AQ91">
        <v>2</v>
      </c>
      <c r="AR91">
        <v>1775485471</v>
      </c>
      <c r="AS91">
        <v>23.599032258064511</v>
      </c>
      <c r="AT91">
        <v>24.195312903225808</v>
      </c>
      <c r="AU91">
        <v>-0.54171667741935481</v>
      </c>
      <c r="AV91">
        <v>-2.0429787096774188</v>
      </c>
      <c r="AW91">
        <v>15.58803225806451</v>
      </c>
      <c r="AX91">
        <v>0.44755429032258071</v>
      </c>
      <c r="AY91">
        <v>499.99267741935489</v>
      </c>
      <c r="AZ91">
        <v>100.2855161290323</v>
      </c>
      <c r="BA91">
        <v>4.2314248387096777E-2</v>
      </c>
      <c r="BB91">
        <v>27.29475161290323</v>
      </c>
      <c r="BC91">
        <v>27.37996129032258</v>
      </c>
      <c r="BD91">
        <v>999.90000000000032</v>
      </c>
      <c r="BE91">
        <v>0</v>
      </c>
      <c r="BF91">
        <v>0</v>
      </c>
      <c r="BG91">
        <v>4993.2258064516127</v>
      </c>
      <c r="BH91">
        <v>0.38173264516129041</v>
      </c>
      <c r="BI91">
        <v>0.22961599999999999</v>
      </c>
      <c r="BJ91">
        <v>-0.57804922580645168</v>
      </c>
      <c r="BK91">
        <v>23.60446774193549</v>
      </c>
      <c r="BL91">
        <v>24.145977419354839</v>
      </c>
      <c r="BM91">
        <v>1.501261935483871</v>
      </c>
      <c r="BN91">
        <v>24.195312903225808</v>
      </c>
      <c r="BO91">
        <v>-2.0429787096774188</v>
      </c>
      <c r="BP91">
        <v>-5.4326393548387093E-2</v>
      </c>
      <c r="BQ91">
        <v>-0.20488145161290319</v>
      </c>
      <c r="BR91">
        <v>-99.900000000000034</v>
      </c>
      <c r="BS91">
        <v>-99.900000000000034</v>
      </c>
      <c r="BT91">
        <v>0</v>
      </c>
      <c r="BU91">
        <v>0</v>
      </c>
      <c r="BV91">
        <v>0</v>
      </c>
      <c r="BW91">
        <v>26</v>
      </c>
      <c r="BX91">
        <v>-1</v>
      </c>
      <c r="BY91">
        <v>1775485496</v>
      </c>
      <c r="BZ91" t="s">
        <v>558</v>
      </c>
      <c r="CA91">
        <v>1775485496</v>
      </c>
      <c r="CB91">
        <v>1775480969.5</v>
      </c>
      <c r="CC91">
        <v>76</v>
      </c>
      <c r="CD91">
        <v>-1.9E-2</v>
      </c>
      <c r="CE91">
        <v>0.19500000000000001</v>
      </c>
      <c r="CF91">
        <v>8.0109999999999992</v>
      </c>
      <c r="CG91">
        <v>-0.98899999999999999</v>
      </c>
      <c r="CH91">
        <v>24</v>
      </c>
      <c r="CI91">
        <v>-3</v>
      </c>
      <c r="CJ91">
        <v>0.16</v>
      </c>
      <c r="CK91">
        <v>0.06</v>
      </c>
      <c r="CL91">
        <v>24.167783606557379</v>
      </c>
      <c r="CM91">
        <v>0.123254151242744</v>
      </c>
      <c r="CN91">
        <v>4.6143799399900723E-2</v>
      </c>
      <c r="CO91">
        <v>-1</v>
      </c>
      <c r="CP91">
        <v>499.99352459016387</v>
      </c>
      <c r="CQ91">
        <v>7.8834479111170794E-2</v>
      </c>
      <c r="CR91">
        <v>4.1991258480381738E-2</v>
      </c>
      <c r="CS91">
        <v>-1</v>
      </c>
      <c r="CT91">
        <v>0</v>
      </c>
      <c r="CU91">
        <v>0</v>
      </c>
      <c r="CV91" t="s">
        <v>333</v>
      </c>
      <c r="CW91">
        <v>3.1673800000000001</v>
      </c>
      <c r="CX91">
        <v>2.6637900000000001</v>
      </c>
      <c r="CY91">
        <v>4.6461499999999999E-3</v>
      </c>
      <c r="CZ91">
        <v>7.2289199999999998E-3</v>
      </c>
      <c r="DA91">
        <v>3.6653200000000001E-3</v>
      </c>
      <c r="DB91">
        <v>-1.9008799999999999E-2</v>
      </c>
      <c r="DC91">
        <v>21475.599999999999</v>
      </c>
      <c r="DD91">
        <v>21803.4</v>
      </c>
      <c r="DE91">
        <v>23104.2</v>
      </c>
      <c r="DF91">
        <v>22315.7</v>
      </c>
      <c r="DG91">
        <v>29686.6</v>
      </c>
      <c r="DH91">
        <v>27117.9</v>
      </c>
      <c r="DI91">
        <v>40608.300000000003</v>
      </c>
      <c r="DJ91">
        <v>36982.400000000001</v>
      </c>
      <c r="DK91">
        <v>2.0820400000000001</v>
      </c>
      <c r="DL91">
        <v>1.8003400000000001</v>
      </c>
      <c r="DM91">
        <v>1.8557899999999999E-2</v>
      </c>
      <c r="DN91">
        <v>0</v>
      </c>
      <c r="DO91">
        <v>27.080300000000001</v>
      </c>
      <c r="DP91">
        <v>999.9</v>
      </c>
      <c r="DQ91">
        <v>77.8</v>
      </c>
      <c r="DR91">
        <v>29.5</v>
      </c>
      <c r="DS91">
        <v>32.113999999999997</v>
      </c>
      <c r="DT91">
        <v>30.6555</v>
      </c>
      <c r="DU91">
        <v>9.7235600000000009</v>
      </c>
      <c r="DV91">
        <v>1</v>
      </c>
      <c r="DW91">
        <v>0.22524</v>
      </c>
      <c r="DX91">
        <v>-0.13836999999999999</v>
      </c>
      <c r="DY91">
        <v>20.3674</v>
      </c>
      <c r="DZ91">
        <v>5.21082</v>
      </c>
      <c r="EA91">
        <v>11.8483</v>
      </c>
      <c r="EB91">
        <v>4.9677600000000002</v>
      </c>
      <c r="EC91">
        <v>3.2921399999999998</v>
      </c>
      <c r="ED91">
        <v>894.7</v>
      </c>
      <c r="EE91">
        <v>0</v>
      </c>
      <c r="EF91">
        <v>6199.5</v>
      </c>
      <c r="EG91">
        <v>110.1</v>
      </c>
      <c r="EH91">
        <v>4.9716199999999997</v>
      </c>
      <c r="EI91">
        <v>1.8717999999999999</v>
      </c>
      <c r="EJ91">
        <v>1.8689199999999999</v>
      </c>
      <c r="EK91">
        <v>1.8713599999999999</v>
      </c>
      <c r="EL91">
        <v>1.86911</v>
      </c>
      <c r="EM91">
        <v>1.8681099999999999</v>
      </c>
      <c r="EN91">
        <v>1.86988</v>
      </c>
      <c r="EO91">
        <v>1.87175</v>
      </c>
      <c r="EP91">
        <v>0</v>
      </c>
      <c r="EQ91">
        <v>0</v>
      </c>
      <c r="ER91">
        <v>0</v>
      </c>
      <c r="ES91">
        <v>0</v>
      </c>
      <c r="ET91" t="s">
        <v>334</v>
      </c>
      <c r="EU91" t="s">
        <v>335</v>
      </c>
      <c r="EV91" t="s">
        <v>336</v>
      </c>
      <c r="EW91" t="s">
        <v>336</v>
      </c>
      <c r="EX91" t="s">
        <v>336</v>
      </c>
      <c r="EY91" t="s">
        <v>336</v>
      </c>
      <c r="EZ91">
        <v>0</v>
      </c>
      <c r="FA91">
        <v>100</v>
      </c>
      <c r="FB91">
        <v>100</v>
      </c>
      <c r="FC91">
        <v>8.0109999999999992</v>
      </c>
      <c r="FD91">
        <v>-0.98929999999999996</v>
      </c>
      <c r="FE91">
        <v>8.0292349999999963</v>
      </c>
      <c r="FF91">
        <v>0</v>
      </c>
      <c r="FG91">
        <v>0</v>
      </c>
      <c r="FH91">
        <v>0</v>
      </c>
      <c r="FI91">
        <v>-0.98927100000000023</v>
      </c>
      <c r="FJ91">
        <v>0</v>
      </c>
      <c r="FK91">
        <v>0</v>
      </c>
      <c r="FL91">
        <v>0</v>
      </c>
      <c r="FM91">
        <v>-1</v>
      </c>
      <c r="FN91">
        <v>-1</v>
      </c>
      <c r="FO91">
        <v>-1</v>
      </c>
      <c r="FP91">
        <v>-1</v>
      </c>
      <c r="FQ91">
        <v>0.7</v>
      </c>
      <c r="FR91">
        <v>75.2</v>
      </c>
      <c r="FS91">
        <v>0.142822</v>
      </c>
      <c r="FT91">
        <v>4.99756</v>
      </c>
      <c r="FU91">
        <v>1.5979000000000001</v>
      </c>
      <c r="FV91">
        <v>2.1557599999999999</v>
      </c>
      <c r="FW91">
        <v>1.5478499999999999</v>
      </c>
      <c r="FX91">
        <v>2.3596200000000001</v>
      </c>
      <c r="FY91">
        <v>33.963900000000002</v>
      </c>
      <c r="FZ91">
        <v>16.014600000000002</v>
      </c>
      <c r="GA91">
        <v>3</v>
      </c>
      <c r="GB91">
        <v>496.55900000000003</v>
      </c>
      <c r="GC91">
        <v>407.36599999999999</v>
      </c>
      <c r="GD91">
        <v>27.8614</v>
      </c>
      <c r="GE91">
        <v>30.056000000000001</v>
      </c>
      <c r="GF91">
        <v>30.0001</v>
      </c>
      <c r="GG91">
        <v>30.3552</v>
      </c>
      <c r="GH91">
        <v>30.404399999999999</v>
      </c>
      <c r="GI91">
        <v>-1</v>
      </c>
      <c r="GJ91">
        <v>0</v>
      </c>
      <c r="GK91">
        <v>100</v>
      </c>
      <c r="GL91">
        <v>27.864599999999999</v>
      </c>
      <c r="GM91">
        <v>432.1</v>
      </c>
      <c r="GN91">
        <v>68.912800000000004</v>
      </c>
      <c r="GO91">
        <v>102.214</v>
      </c>
      <c r="GP91">
        <v>96.501099999999994</v>
      </c>
    </row>
    <row r="92" spans="1:198" x14ac:dyDescent="0.35">
      <c r="A92">
        <v>76</v>
      </c>
      <c r="B92">
        <v>1775485539</v>
      </c>
      <c r="C92">
        <v>4500.5</v>
      </c>
      <c r="D92" t="s">
        <v>559</v>
      </c>
      <c r="E92" t="s">
        <v>560</v>
      </c>
      <c r="F92">
        <v>60</v>
      </c>
      <c r="G92">
        <v>1775485531</v>
      </c>
      <c r="H92">
        <f t="shared" si="30"/>
        <v>2.5223077393780116E-3</v>
      </c>
      <c r="I92">
        <f t="shared" si="31"/>
        <v>2.5223077393780118</v>
      </c>
      <c r="J92">
        <f t="shared" si="32"/>
        <v>0.85172647527644885</v>
      </c>
      <c r="K92">
        <f t="shared" si="33"/>
        <v>23.36691290322581</v>
      </c>
      <c r="L92">
        <f t="shared" si="34"/>
        <v>2.2716502346187264</v>
      </c>
      <c r="M92">
        <f t="shared" si="35"/>
        <v>0.22791187237797633</v>
      </c>
      <c r="N92">
        <f t="shared" si="36"/>
        <v>2.3443736145239527</v>
      </c>
      <c r="O92">
        <f t="shared" si="37"/>
        <v>6.7957115094927037E-2</v>
      </c>
      <c r="P92">
        <f t="shared" si="38"/>
        <v>2.3944727662556526</v>
      </c>
      <c r="Q92">
        <f t="shared" si="39"/>
        <v>6.6903552397072102E-2</v>
      </c>
      <c r="R92">
        <f t="shared" si="40"/>
        <v>4.1908018036040974E-2</v>
      </c>
      <c r="S92">
        <f t="shared" si="41"/>
        <v>0</v>
      </c>
      <c r="T92">
        <f t="shared" si="42"/>
        <v>26.511067112909089</v>
      </c>
      <c r="U92">
        <f t="shared" si="43"/>
        <v>27.389732258064519</v>
      </c>
      <c r="V92">
        <f t="shared" si="44"/>
        <v>3.6619095557183483</v>
      </c>
      <c r="W92">
        <f t="shared" si="45"/>
        <v>-1.4414659462568074</v>
      </c>
      <c r="X92">
        <f t="shared" si="46"/>
        <v>-5.2512433870437622E-2</v>
      </c>
      <c r="Y92">
        <f t="shared" si="47"/>
        <v>3.6429881681771037</v>
      </c>
      <c r="Z92">
        <f t="shared" si="48"/>
        <v>3.7144219895887858</v>
      </c>
      <c r="AA92">
        <f t="shared" si="49"/>
        <v>-111.23377130657032</v>
      </c>
      <c r="AB92">
        <f t="shared" si="50"/>
        <v>-11.41579233432007</v>
      </c>
      <c r="AC92">
        <f t="shared" si="51"/>
        <v>-1.0324542905073277</v>
      </c>
      <c r="AD92">
        <f t="shared" si="52"/>
        <v>-123.68201793139772</v>
      </c>
      <c r="AE92">
        <v>14</v>
      </c>
      <c r="AF92">
        <v>3</v>
      </c>
      <c r="AG92">
        <f t="shared" si="53"/>
        <v>1</v>
      </c>
      <c r="AH92">
        <f t="shared" si="54"/>
        <v>0</v>
      </c>
      <c r="AI92">
        <f t="shared" si="55"/>
        <v>25583.841074894273</v>
      </c>
      <c r="AJ92">
        <f t="shared" si="56"/>
        <v>0</v>
      </c>
      <c r="AK92">
        <f t="shared" si="57"/>
        <v>0</v>
      </c>
      <c r="AL92">
        <f t="shared" si="58"/>
        <v>0</v>
      </c>
      <c r="AM92">
        <f t="shared" si="59"/>
        <v>0</v>
      </c>
      <c r="AN92">
        <v>3</v>
      </c>
      <c r="AO92">
        <v>0.5</v>
      </c>
      <c r="AP92" t="s">
        <v>331</v>
      </c>
      <c r="AQ92">
        <v>2</v>
      </c>
      <c r="AR92">
        <v>1775485531</v>
      </c>
      <c r="AS92">
        <v>23.36691290322581</v>
      </c>
      <c r="AT92">
        <v>23.9133064516129</v>
      </c>
      <c r="AU92">
        <v>-0.5234035483870968</v>
      </c>
      <c r="AV92">
        <v>-2.0375651612903232</v>
      </c>
      <c r="AW92">
        <v>15.36291290322581</v>
      </c>
      <c r="AX92">
        <v>0.46586738709677422</v>
      </c>
      <c r="AY92">
        <v>500.00500000000011</v>
      </c>
      <c r="AZ92">
        <v>100.2861612903226</v>
      </c>
      <c r="BA92">
        <v>4.260803548387098E-2</v>
      </c>
      <c r="BB92">
        <v>27.301299999999991</v>
      </c>
      <c r="BC92">
        <v>27.389732258064519</v>
      </c>
      <c r="BD92">
        <v>999.90000000000032</v>
      </c>
      <c r="BE92">
        <v>0</v>
      </c>
      <c r="BF92">
        <v>0</v>
      </c>
      <c r="BG92">
        <v>5002.2903225806449</v>
      </c>
      <c r="BH92">
        <v>0.37353383870967749</v>
      </c>
      <c r="BI92">
        <v>0.22961599999999999</v>
      </c>
      <c r="BJ92">
        <v>-0.53974364516129025</v>
      </c>
      <c r="BK92">
        <v>23.361341935483871</v>
      </c>
      <c r="BL92">
        <v>23.864683870967749</v>
      </c>
      <c r="BM92">
        <v>1.514161612903226</v>
      </c>
      <c r="BN92">
        <v>23.9133064516129</v>
      </c>
      <c r="BO92">
        <v>-2.0375651612903232</v>
      </c>
      <c r="BP92">
        <v>-5.2490177419354862E-2</v>
      </c>
      <c r="BQ92">
        <v>-0.20433970967741941</v>
      </c>
      <c r="BR92">
        <v>-99.900000000000034</v>
      </c>
      <c r="BS92">
        <v>-99.900000000000034</v>
      </c>
      <c r="BT92">
        <v>0</v>
      </c>
      <c r="BU92">
        <v>0</v>
      </c>
      <c r="BV92">
        <v>0</v>
      </c>
      <c r="BW92">
        <v>26</v>
      </c>
      <c r="BX92">
        <v>-1</v>
      </c>
      <c r="BY92">
        <v>1775485556</v>
      </c>
      <c r="BZ92" t="s">
        <v>561</v>
      </c>
      <c r="CA92">
        <v>1775485556</v>
      </c>
      <c r="CB92">
        <v>1775480969.5</v>
      </c>
      <c r="CC92">
        <v>77</v>
      </c>
      <c r="CD92">
        <v>-7.0000000000000001E-3</v>
      </c>
      <c r="CE92">
        <v>0.19500000000000001</v>
      </c>
      <c r="CF92">
        <v>8.0039999999999996</v>
      </c>
      <c r="CG92">
        <v>-0.98899999999999999</v>
      </c>
      <c r="CH92">
        <v>24</v>
      </c>
      <c r="CI92">
        <v>-3</v>
      </c>
      <c r="CJ92">
        <v>0.2</v>
      </c>
      <c r="CK92">
        <v>0.06</v>
      </c>
      <c r="CL92">
        <v>23.937686666666671</v>
      </c>
      <c r="CM92">
        <v>-0.2290856348985334</v>
      </c>
      <c r="CN92">
        <v>4.4396187774277243E-2</v>
      </c>
      <c r="CO92">
        <v>-1</v>
      </c>
      <c r="CP92">
        <v>499.99761666666672</v>
      </c>
      <c r="CQ92">
        <v>7.8178382884973557E-2</v>
      </c>
      <c r="CR92">
        <v>2.9037958873785571E-2</v>
      </c>
      <c r="CS92">
        <v>-1</v>
      </c>
      <c r="CT92">
        <v>0</v>
      </c>
      <c r="CU92">
        <v>0</v>
      </c>
      <c r="CV92" t="s">
        <v>333</v>
      </c>
      <c r="CW92">
        <v>3.16744</v>
      </c>
      <c r="CX92">
        <v>2.66384</v>
      </c>
      <c r="CY92">
        <v>4.5829199999999999E-3</v>
      </c>
      <c r="CZ92">
        <v>7.1254700000000001E-3</v>
      </c>
      <c r="DA92">
        <v>3.73661E-3</v>
      </c>
      <c r="DB92">
        <v>-1.8985200000000001E-2</v>
      </c>
      <c r="DC92">
        <v>21477</v>
      </c>
      <c r="DD92">
        <v>21805.4</v>
      </c>
      <c r="DE92">
        <v>23104.3</v>
      </c>
      <c r="DF92">
        <v>22315.4</v>
      </c>
      <c r="DG92">
        <v>29684.3</v>
      </c>
      <c r="DH92">
        <v>27117</v>
      </c>
      <c r="DI92">
        <v>40608.1</v>
      </c>
      <c r="DJ92">
        <v>36982</v>
      </c>
      <c r="DK92">
        <v>2.0823200000000002</v>
      </c>
      <c r="DL92">
        <v>1.8003</v>
      </c>
      <c r="DM92">
        <v>1.9168899999999999E-2</v>
      </c>
      <c r="DN92">
        <v>0</v>
      </c>
      <c r="DO92">
        <v>27.079000000000001</v>
      </c>
      <c r="DP92">
        <v>999.9</v>
      </c>
      <c r="DQ92">
        <v>77.8</v>
      </c>
      <c r="DR92">
        <v>29.5</v>
      </c>
      <c r="DS92">
        <v>32.113100000000003</v>
      </c>
      <c r="DT92">
        <v>30.535499999999999</v>
      </c>
      <c r="DU92">
        <v>9.6714699999999993</v>
      </c>
      <c r="DV92">
        <v>1</v>
      </c>
      <c r="DW92">
        <v>0.225102</v>
      </c>
      <c r="DX92">
        <v>-9.2599100000000004E-2</v>
      </c>
      <c r="DY92">
        <v>20.367699999999999</v>
      </c>
      <c r="DZ92">
        <v>5.2111799999999997</v>
      </c>
      <c r="EA92">
        <v>11.8482</v>
      </c>
      <c r="EB92">
        <v>4.9677199999999999</v>
      </c>
      <c r="EC92">
        <v>3.2921999999999998</v>
      </c>
      <c r="ED92">
        <v>894.7</v>
      </c>
      <c r="EE92">
        <v>0</v>
      </c>
      <c r="EF92">
        <v>6231</v>
      </c>
      <c r="EG92">
        <v>110.1</v>
      </c>
      <c r="EH92">
        <v>4.97159</v>
      </c>
      <c r="EI92">
        <v>1.8717999999999999</v>
      </c>
      <c r="EJ92">
        <v>1.86893</v>
      </c>
      <c r="EK92">
        <v>1.8713500000000001</v>
      </c>
      <c r="EL92">
        <v>1.8691</v>
      </c>
      <c r="EM92">
        <v>1.8681000000000001</v>
      </c>
      <c r="EN92">
        <v>1.86988</v>
      </c>
      <c r="EO92">
        <v>1.8717200000000001</v>
      </c>
      <c r="EP92">
        <v>0</v>
      </c>
      <c r="EQ92">
        <v>0</v>
      </c>
      <c r="ER92">
        <v>0</v>
      </c>
      <c r="ES92">
        <v>0</v>
      </c>
      <c r="ET92" t="s">
        <v>334</v>
      </c>
      <c r="EU92" t="s">
        <v>335</v>
      </c>
      <c r="EV92" t="s">
        <v>336</v>
      </c>
      <c r="EW92" t="s">
        <v>336</v>
      </c>
      <c r="EX92" t="s">
        <v>336</v>
      </c>
      <c r="EY92" t="s">
        <v>336</v>
      </c>
      <c r="EZ92">
        <v>0</v>
      </c>
      <c r="FA92">
        <v>100</v>
      </c>
      <c r="FB92">
        <v>100</v>
      </c>
      <c r="FC92">
        <v>8.0039999999999996</v>
      </c>
      <c r="FD92">
        <v>-0.98929999999999996</v>
      </c>
      <c r="FE92">
        <v>8.0106399999999987</v>
      </c>
      <c r="FF92">
        <v>0</v>
      </c>
      <c r="FG92">
        <v>0</v>
      </c>
      <c r="FH92">
        <v>0</v>
      </c>
      <c r="FI92">
        <v>-0.98927100000000023</v>
      </c>
      <c r="FJ92">
        <v>0</v>
      </c>
      <c r="FK92">
        <v>0</v>
      </c>
      <c r="FL92">
        <v>0</v>
      </c>
      <c r="FM92">
        <v>-1</v>
      </c>
      <c r="FN92">
        <v>-1</v>
      </c>
      <c r="FO92">
        <v>-1</v>
      </c>
      <c r="FP92">
        <v>-1</v>
      </c>
      <c r="FQ92">
        <v>0.7</v>
      </c>
      <c r="FR92">
        <v>76.2</v>
      </c>
      <c r="FS92">
        <v>0.142822</v>
      </c>
      <c r="FT92">
        <v>4.99756</v>
      </c>
      <c r="FU92">
        <v>1.5979000000000001</v>
      </c>
      <c r="FV92">
        <v>2.1569799999999999</v>
      </c>
      <c r="FW92">
        <v>1.5478499999999999</v>
      </c>
      <c r="FX92">
        <v>2.4645999999999999</v>
      </c>
      <c r="FY92">
        <v>33.963900000000002</v>
      </c>
      <c r="FZ92">
        <v>16.014600000000002</v>
      </c>
      <c r="GA92">
        <v>3</v>
      </c>
      <c r="GB92">
        <v>496.71600000000001</v>
      </c>
      <c r="GC92">
        <v>407.34300000000002</v>
      </c>
      <c r="GD92">
        <v>27.841100000000001</v>
      </c>
      <c r="GE92">
        <v>30.056000000000001</v>
      </c>
      <c r="GF92">
        <v>30.0001</v>
      </c>
      <c r="GG92">
        <v>30.354500000000002</v>
      </c>
      <c r="GH92">
        <v>30.404399999999999</v>
      </c>
      <c r="GI92">
        <v>-1</v>
      </c>
      <c r="GJ92">
        <v>0</v>
      </c>
      <c r="GK92">
        <v>100</v>
      </c>
      <c r="GL92">
        <v>27.8398</v>
      </c>
      <c r="GM92">
        <v>432.1</v>
      </c>
      <c r="GN92">
        <v>68.912800000000004</v>
      </c>
      <c r="GO92">
        <v>102.214</v>
      </c>
      <c r="GP92">
        <v>96.500100000000003</v>
      </c>
    </row>
    <row r="93" spans="1:198" x14ac:dyDescent="0.35">
      <c r="A93">
        <v>77</v>
      </c>
      <c r="B93">
        <v>1775485599</v>
      </c>
      <c r="C93">
        <v>4560.5</v>
      </c>
      <c r="D93" t="s">
        <v>562</v>
      </c>
      <c r="E93" t="s">
        <v>563</v>
      </c>
      <c r="F93">
        <v>60</v>
      </c>
      <c r="G93">
        <v>1775485591</v>
      </c>
      <c r="H93">
        <f t="shared" si="30"/>
        <v>2.5046200729506364E-3</v>
      </c>
      <c r="I93">
        <f t="shared" si="31"/>
        <v>2.5046200729506363</v>
      </c>
      <c r="J93">
        <f t="shared" si="32"/>
        <v>0.72891440204071289</v>
      </c>
      <c r="K93">
        <f t="shared" si="33"/>
        <v>23.837458064516131</v>
      </c>
      <c r="L93">
        <f t="shared" si="34"/>
        <v>5.4363515806887275</v>
      </c>
      <c r="M93">
        <f t="shared" si="35"/>
        <v>0.54541648327021175</v>
      </c>
      <c r="N93">
        <f t="shared" si="36"/>
        <v>2.3915566082652817</v>
      </c>
      <c r="O93">
        <f t="shared" si="37"/>
        <v>6.7459709973716905E-2</v>
      </c>
      <c r="P93">
        <f t="shared" si="38"/>
        <v>2.3921712272612234</v>
      </c>
      <c r="Q93">
        <f t="shared" si="39"/>
        <v>6.6420404290724877E-2</v>
      </c>
      <c r="R93">
        <f t="shared" si="40"/>
        <v>4.1604796338640199E-2</v>
      </c>
      <c r="S93">
        <f t="shared" si="41"/>
        <v>0</v>
      </c>
      <c r="T93">
        <f t="shared" si="42"/>
        <v>26.515996997921082</v>
      </c>
      <c r="U93">
        <f t="shared" si="43"/>
        <v>27.390503225806452</v>
      </c>
      <c r="V93">
        <f t="shared" si="44"/>
        <v>3.6620748920640236</v>
      </c>
      <c r="W93">
        <f t="shared" si="45"/>
        <v>-1.457469986891184</v>
      </c>
      <c r="X93">
        <f t="shared" si="46"/>
        <v>-5.3095710099224813E-2</v>
      </c>
      <c r="Y93">
        <f t="shared" si="47"/>
        <v>3.6430053844524886</v>
      </c>
      <c r="Z93">
        <f t="shared" si="48"/>
        <v>3.7151706021632482</v>
      </c>
      <c r="AA93">
        <f t="shared" si="49"/>
        <v>-110.45374521712306</v>
      </c>
      <c r="AB93">
        <f t="shared" si="50"/>
        <v>-11.493848258771042</v>
      </c>
      <c r="AC93">
        <f t="shared" si="51"/>
        <v>-1.0405182924073679</v>
      </c>
      <c r="AD93">
        <f t="shared" si="52"/>
        <v>-122.98811176830147</v>
      </c>
      <c r="AE93">
        <v>14</v>
      </c>
      <c r="AF93">
        <v>3</v>
      </c>
      <c r="AG93">
        <f t="shared" si="53"/>
        <v>1</v>
      </c>
      <c r="AH93">
        <f t="shared" si="54"/>
        <v>0</v>
      </c>
      <c r="AI93">
        <f t="shared" si="55"/>
        <v>25548.87500175543</v>
      </c>
      <c r="AJ93">
        <f t="shared" si="56"/>
        <v>0</v>
      </c>
      <c r="AK93">
        <f t="shared" si="57"/>
        <v>0</v>
      </c>
      <c r="AL93">
        <f t="shared" si="58"/>
        <v>0</v>
      </c>
      <c r="AM93">
        <f t="shared" si="59"/>
        <v>0</v>
      </c>
      <c r="AN93">
        <v>3</v>
      </c>
      <c r="AO93">
        <v>0.5</v>
      </c>
      <c r="AP93" t="s">
        <v>331</v>
      </c>
      <c r="AQ93">
        <v>2</v>
      </c>
      <c r="AR93">
        <v>1775485591</v>
      </c>
      <c r="AS93">
        <v>23.837458064516131</v>
      </c>
      <c r="AT93">
        <v>24.31063870967742</v>
      </c>
      <c r="AU93">
        <v>-0.52922299999999989</v>
      </c>
      <c r="AV93">
        <v>-2.03282129032258</v>
      </c>
      <c r="AW93">
        <v>15.82945806451613</v>
      </c>
      <c r="AX93">
        <v>0.46004800000000001</v>
      </c>
      <c r="AY93">
        <v>499.9897096774194</v>
      </c>
      <c r="AZ93">
        <v>100.2851935483871</v>
      </c>
      <c r="BA93">
        <v>4.2475693548387101E-2</v>
      </c>
      <c r="BB93">
        <v>27.301380645161291</v>
      </c>
      <c r="BC93">
        <v>27.390503225806452</v>
      </c>
      <c r="BD93">
        <v>999.90000000000032</v>
      </c>
      <c r="BE93">
        <v>0</v>
      </c>
      <c r="BF93">
        <v>0</v>
      </c>
      <c r="BG93">
        <v>4996.4193548387093</v>
      </c>
      <c r="BH93">
        <v>0.38422741935483867</v>
      </c>
      <c r="BI93">
        <v>0.22961599999999999</v>
      </c>
      <c r="BJ93">
        <v>-0.47751635483870958</v>
      </c>
      <c r="BK93">
        <v>23.820522580645161</v>
      </c>
      <c r="BL93">
        <v>24.261319354838712</v>
      </c>
      <c r="BM93">
        <v>1.503598387096774</v>
      </c>
      <c r="BN93">
        <v>24.31063870967742</v>
      </c>
      <c r="BO93">
        <v>-2.03282129032258</v>
      </c>
      <c r="BP93">
        <v>-5.3073248387096768E-2</v>
      </c>
      <c r="BQ93">
        <v>-0.20386196774193549</v>
      </c>
      <c r="BR93">
        <v>-99.900000000000034</v>
      </c>
      <c r="BS93">
        <v>-99.900000000000034</v>
      </c>
      <c r="BT93">
        <v>0</v>
      </c>
      <c r="BU93">
        <v>0</v>
      </c>
      <c r="BV93">
        <v>0</v>
      </c>
      <c r="BW93">
        <v>26</v>
      </c>
      <c r="BX93">
        <v>-1</v>
      </c>
      <c r="BY93">
        <v>1775485616</v>
      </c>
      <c r="BZ93" t="s">
        <v>564</v>
      </c>
      <c r="CA93">
        <v>1775485616</v>
      </c>
      <c r="CB93">
        <v>1775480969.5</v>
      </c>
      <c r="CC93">
        <v>78</v>
      </c>
      <c r="CD93">
        <v>4.0000000000000001E-3</v>
      </c>
      <c r="CE93">
        <v>0.19500000000000001</v>
      </c>
      <c r="CF93">
        <v>8.0079999999999991</v>
      </c>
      <c r="CG93">
        <v>-0.98899999999999999</v>
      </c>
      <c r="CH93">
        <v>24</v>
      </c>
      <c r="CI93">
        <v>-3</v>
      </c>
      <c r="CJ93">
        <v>0.16</v>
      </c>
      <c r="CK93">
        <v>0.06</v>
      </c>
      <c r="CL93">
        <v>24.405313333333339</v>
      </c>
      <c r="CM93">
        <v>-0.69186418449571496</v>
      </c>
      <c r="CN93">
        <v>0.2258421443299623</v>
      </c>
      <c r="CO93">
        <v>-1</v>
      </c>
      <c r="CP93">
        <v>499.99713333333341</v>
      </c>
      <c r="CQ93">
        <v>-9.8914142816065503E-2</v>
      </c>
      <c r="CR93">
        <v>3.1191594309294551E-2</v>
      </c>
      <c r="CS93">
        <v>-1</v>
      </c>
      <c r="CT93">
        <v>0</v>
      </c>
      <c r="CU93">
        <v>0</v>
      </c>
      <c r="CV93" t="s">
        <v>333</v>
      </c>
      <c r="CW93">
        <v>3.1674799999999999</v>
      </c>
      <c r="CX93">
        <v>2.6639300000000001</v>
      </c>
      <c r="CY93">
        <v>4.6752299999999998E-3</v>
      </c>
      <c r="CZ93">
        <v>7.1541199999999999E-3</v>
      </c>
      <c r="DA93">
        <v>3.7023400000000001E-3</v>
      </c>
      <c r="DB93">
        <v>-1.8914E-2</v>
      </c>
      <c r="DC93">
        <v>21475.1</v>
      </c>
      <c r="DD93">
        <v>21804.7</v>
      </c>
      <c r="DE93">
        <v>23104.400000000001</v>
      </c>
      <c r="DF93">
        <v>22315.3</v>
      </c>
      <c r="DG93">
        <v>29685.5</v>
      </c>
      <c r="DH93">
        <v>27114.9</v>
      </c>
      <c r="DI93">
        <v>40608.400000000001</v>
      </c>
      <c r="DJ93">
        <v>36981.699999999997</v>
      </c>
      <c r="DK93">
        <v>2.0823</v>
      </c>
      <c r="DL93">
        <v>1.7998400000000001</v>
      </c>
      <c r="DM93">
        <v>1.8173499999999999E-2</v>
      </c>
      <c r="DN93">
        <v>0</v>
      </c>
      <c r="DO93">
        <v>27.0867</v>
      </c>
      <c r="DP93">
        <v>999.9</v>
      </c>
      <c r="DQ93">
        <v>77.7</v>
      </c>
      <c r="DR93">
        <v>29.5</v>
      </c>
      <c r="DS93">
        <v>32.073999999999998</v>
      </c>
      <c r="DT93">
        <v>30.715499999999999</v>
      </c>
      <c r="DU93">
        <v>9.7275600000000004</v>
      </c>
      <c r="DV93">
        <v>1</v>
      </c>
      <c r="DW93">
        <v>0.22495899999999999</v>
      </c>
      <c r="DX93">
        <v>-8.5350800000000004E-2</v>
      </c>
      <c r="DY93">
        <v>20.367599999999999</v>
      </c>
      <c r="DZ93">
        <v>5.2121399999999998</v>
      </c>
      <c r="EA93">
        <v>11.8482</v>
      </c>
      <c r="EB93">
        <v>4.9677600000000002</v>
      </c>
      <c r="EC93">
        <v>3.2920199999999999</v>
      </c>
      <c r="ED93">
        <v>894.7</v>
      </c>
      <c r="EE93">
        <v>0</v>
      </c>
      <c r="EF93">
        <v>6256.6</v>
      </c>
      <c r="EG93">
        <v>110.1</v>
      </c>
      <c r="EH93">
        <v>4.9716199999999997</v>
      </c>
      <c r="EI93">
        <v>1.87181</v>
      </c>
      <c r="EJ93">
        <v>1.86894</v>
      </c>
      <c r="EK93">
        <v>1.87137</v>
      </c>
      <c r="EL93">
        <v>1.8690800000000001</v>
      </c>
      <c r="EM93">
        <v>1.8681099999999999</v>
      </c>
      <c r="EN93">
        <v>1.86988</v>
      </c>
      <c r="EO93">
        <v>1.87175</v>
      </c>
      <c r="EP93">
        <v>0</v>
      </c>
      <c r="EQ93">
        <v>0</v>
      </c>
      <c r="ER93">
        <v>0</v>
      </c>
      <c r="ES93">
        <v>0</v>
      </c>
      <c r="ET93" t="s">
        <v>334</v>
      </c>
      <c r="EU93" t="s">
        <v>335</v>
      </c>
      <c r="EV93" t="s">
        <v>336</v>
      </c>
      <c r="EW93" t="s">
        <v>336</v>
      </c>
      <c r="EX93" t="s">
        <v>336</v>
      </c>
      <c r="EY93" t="s">
        <v>336</v>
      </c>
      <c r="EZ93">
        <v>0</v>
      </c>
      <c r="FA93">
        <v>100</v>
      </c>
      <c r="FB93">
        <v>100</v>
      </c>
      <c r="FC93">
        <v>8.0079999999999991</v>
      </c>
      <c r="FD93">
        <v>-0.98929999999999996</v>
      </c>
      <c r="FE93">
        <v>8.0036699999999961</v>
      </c>
      <c r="FF93">
        <v>0</v>
      </c>
      <c r="FG93">
        <v>0</v>
      </c>
      <c r="FH93">
        <v>0</v>
      </c>
      <c r="FI93">
        <v>-0.98927100000000023</v>
      </c>
      <c r="FJ93">
        <v>0</v>
      </c>
      <c r="FK93">
        <v>0</v>
      </c>
      <c r="FL93">
        <v>0</v>
      </c>
      <c r="FM93">
        <v>-1</v>
      </c>
      <c r="FN93">
        <v>-1</v>
      </c>
      <c r="FO93">
        <v>-1</v>
      </c>
      <c r="FP93">
        <v>-1</v>
      </c>
      <c r="FQ93">
        <v>0.7</v>
      </c>
      <c r="FR93">
        <v>77.2</v>
      </c>
      <c r="FS93">
        <v>0.142822</v>
      </c>
      <c r="FT93">
        <v>4.99756</v>
      </c>
      <c r="FU93">
        <v>1.5979000000000001</v>
      </c>
      <c r="FV93">
        <v>2.1557599999999999</v>
      </c>
      <c r="FW93">
        <v>1.5478499999999999</v>
      </c>
      <c r="FX93">
        <v>2.4389599999999998</v>
      </c>
      <c r="FY93">
        <v>33.986499999999999</v>
      </c>
      <c r="FZ93">
        <v>16.014600000000002</v>
      </c>
      <c r="GA93">
        <v>3</v>
      </c>
      <c r="GB93">
        <v>496.71</v>
      </c>
      <c r="GC93">
        <v>407.07900000000001</v>
      </c>
      <c r="GD93">
        <v>27.8127</v>
      </c>
      <c r="GE93">
        <v>30.056000000000001</v>
      </c>
      <c r="GF93">
        <v>30</v>
      </c>
      <c r="GG93">
        <v>30.3552</v>
      </c>
      <c r="GH93">
        <v>30.404399999999999</v>
      </c>
      <c r="GI93">
        <v>-1</v>
      </c>
      <c r="GJ93">
        <v>0</v>
      </c>
      <c r="GK93">
        <v>100</v>
      </c>
      <c r="GL93">
        <v>27.831</v>
      </c>
      <c r="GM93">
        <v>432.1</v>
      </c>
      <c r="GN93">
        <v>68.912800000000004</v>
      </c>
      <c r="GO93">
        <v>102.215</v>
      </c>
      <c r="GP93">
        <v>96.499399999999994</v>
      </c>
    </row>
    <row r="94" spans="1:198" x14ac:dyDescent="0.35">
      <c r="A94">
        <v>78</v>
      </c>
      <c r="B94">
        <v>1775485659</v>
      </c>
      <c r="C94">
        <v>4620.5</v>
      </c>
      <c r="D94" t="s">
        <v>565</v>
      </c>
      <c r="E94" t="s">
        <v>566</v>
      </c>
      <c r="F94">
        <v>60</v>
      </c>
      <c r="G94">
        <v>1775485651</v>
      </c>
      <c r="H94">
        <f t="shared" si="30"/>
        <v>2.4731719499158618E-3</v>
      </c>
      <c r="I94">
        <f t="shared" si="31"/>
        <v>2.4731719499158618</v>
      </c>
      <c r="J94">
        <f t="shared" si="32"/>
        <v>0.77026648545978404</v>
      </c>
      <c r="K94">
        <f t="shared" si="33"/>
        <v>23.754774193548389</v>
      </c>
      <c r="L94">
        <f t="shared" si="34"/>
        <v>4.1740650591257964</v>
      </c>
      <c r="M94">
        <f t="shared" si="35"/>
        <v>0.41876815141382878</v>
      </c>
      <c r="N94">
        <f t="shared" si="36"/>
        <v>2.3832265993402149</v>
      </c>
      <c r="O94">
        <f t="shared" si="37"/>
        <v>6.6633247940741616E-2</v>
      </c>
      <c r="P94">
        <f t="shared" si="38"/>
        <v>2.3925564354777435</v>
      </c>
      <c r="Q94">
        <f t="shared" si="39"/>
        <v>6.5619205945918468E-2</v>
      </c>
      <c r="R94">
        <f t="shared" si="40"/>
        <v>4.1101825825177296E-2</v>
      </c>
      <c r="S94">
        <f t="shared" si="41"/>
        <v>0</v>
      </c>
      <c r="T94">
        <f t="shared" si="42"/>
        <v>26.513303385102944</v>
      </c>
      <c r="U94">
        <f t="shared" si="43"/>
        <v>27.375716129032259</v>
      </c>
      <c r="V94">
        <f t="shared" si="44"/>
        <v>3.6589048903809389</v>
      </c>
      <c r="W94">
        <f t="shared" si="45"/>
        <v>-1.4954834720103516</v>
      </c>
      <c r="X94">
        <f t="shared" si="46"/>
        <v>-5.4440134162482216E-2</v>
      </c>
      <c r="Y94">
        <f t="shared" si="47"/>
        <v>3.6403032986582811</v>
      </c>
      <c r="Z94">
        <f t="shared" si="48"/>
        <v>3.713345024543421</v>
      </c>
      <c r="AA94">
        <f t="shared" si="49"/>
        <v>-109.0668829912895</v>
      </c>
      <c r="AB94">
        <f t="shared" si="50"/>
        <v>-11.221496633086415</v>
      </c>
      <c r="AC94">
        <f t="shared" si="51"/>
        <v>-1.0155599812999678</v>
      </c>
      <c r="AD94">
        <f t="shared" si="52"/>
        <v>-121.30393960567589</v>
      </c>
      <c r="AE94">
        <v>14</v>
      </c>
      <c r="AF94">
        <v>3</v>
      </c>
      <c r="AG94">
        <f t="shared" si="53"/>
        <v>1</v>
      </c>
      <c r="AH94">
        <f t="shared" si="54"/>
        <v>0</v>
      </c>
      <c r="AI94">
        <f t="shared" si="55"/>
        <v>25555.868828618324</v>
      </c>
      <c r="AJ94">
        <f t="shared" si="56"/>
        <v>0</v>
      </c>
      <c r="AK94">
        <f t="shared" si="57"/>
        <v>0</v>
      </c>
      <c r="AL94">
        <f t="shared" si="58"/>
        <v>0</v>
      </c>
      <c r="AM94">
        <f t="shared" si="59"/>
        <v>0</v>
      </c>
      <c r="AN94">
        <v>3</v>
      </c>
      <c r="AO94">
        <v>0.5</v>
      </c>
      <c r="AP94" t="s">
        <v>331</v>
      </c>
      <c r="AQ94">
        <v>2</v>
      </c>
      <c r="AR94">
        <v>1775485651</v>
      </c>
      <c r="AS94">
        <v>23.754774193548389</v>
      </c>
      <c r="AT94">
        <v>24.25217741935483</v>
      </c>
      <c r="AU94">
        <v>-0.54263119354838718</v>
      </c>
      <c r="AV94">
        <v>-2.0273203225806449</v>
      </c>
      <c r="AW94">
        <v>15.725774193548389</v>
      </c>
      <c r="AX94">
        <v>0.44663980645161289</v>
      </c>
      <c r="AY94">
        <v>500.00648387096771</v>
      </c>
      <c r="AZ94">
        <v>100.2837096774193</v>
      </c>
      <c r="BA94">
        <v>4.2506009677419361E-2</v>
      </c>
      <c r="BB94">
        <v>27.288719354838712</v>
      </c>
      <c r="BC94">
        <v>27.375716129032259</v>
      </c>
      <c r="BD94">
        <v>999.90000000000032</v>
      </c>
      <c r="BE94">
        <v>0</v>
      </c>
      <c r="BF94">
        <v>0</v>
      </c>
      <c r="BG94">
        <v>4997.4838709677406</v>
      </c>
      <c r="BH94">
        <v>0.38068406451612907</v>
      </c>
      <c r="BI94">
        <v>0.22961599999999999</v>
      </c>
      <c r="BJ94">
        <v>-0.51844812903225801</v>
      </c>
      <c r="BK94">
        <v>23.720848387096769</v>
      </c>
      <c r="BL94">
        <v>24.203099999999999</v>
      </c>
      <c r="BM94">
        <v>1.4846887096774199</v>
      </c>
      <c r="BN94">
        <v>24.25217741935483</v>
      </c>
      <c r="BO94">
        <v>-2.0273203225806449</v>
      </c>
      <c r="BP94">
        <v>-5.4417116129032252E-2</v>
      </c>
      <c r="BQ94">
        <v>-0.20330732258064521</v>
      </c>
      <c r="BR94">
        <v>-99.900000000000034</v>
      </c>
      <c r="BS94">
        <v>-99.900000000000034</v>
      </c>
      <c r="BT94">
        <v>0</v>
      </c>
      <c r="BU94">
        <v>0</v>
      </c>
      <c r="BV94">
        <v>0</v>
      </c>
      <c r="BW94">
        <v>26</v>
      </c>
      <c r="BX94">
        <v>-1</v>
      </c>
      <c r="BY94">
        <v>1775485675</v>
      </c>
      <c r="BZ94" t="s">
        <v>567</v>
      </c>
      <c r="CA94">
        <v>1775485675</v>
      </c>
      <c r="CB94">
        <v>1775480969.5</v>
      </c>
      <c r="CC94">
        <v>79</v>
      </c>
      <c r="CD94">
        <v>2.1000000000000001E-2</v>
      </c>
      <c r="CE94">
        <v>0.19500000000000001</v>
      </c>
      <c r="CF94">
        <v>8.0289999999999999</v>
      </c>
      <c r="CG94">
        <v>-0.98899999999999999</v>
      </c>
      <c r="CH94">
        <v>25</v>
      </c>
      <c r="CI94">
        <v>-3</v>
      </c>
      <c r="CJ94">
        <v>0.16</v>
      </c>
      <c r="CK94">
        <v>0.06</v>
      </c>
      <c r="CL94">
        <v>24.268685000000001</v>
      </c>
      <c r="CM94">
        <v>5.9436843567716682E-2</v>
      </c>
      <c r="CN94">
        <v>9.6166393688232002E-2</v>
      </c>
      <c r="CO94">
        <v>-1</v>
      </c>
      <c r="CP94">
        <v>500.00661666666662</v>
      </c>
      <c r="CQ94">
        <v>-3.0105029174503431E-2</v>
      </c>
      <c r="CR94">
        <v>3.3231557124049398E-2</v>
      </c>
      <c r="CS94">
        <v>-1</v>
      </c>
      <c r="CT94">
        <v>0</v>
      </c>
      <c r="CU94">
        <v>0</v>
      </c>
      <c r="CV94" t="s">
        <v>333</v>
      </c>
      <c r="CW94">
        <v>3.1674199999999999</v>
      </c>
      <c r="CX94">
        <v>2.6636899999999999</v>
      </c>
      <c r="CY94">
        <v>4.6857299999999999E-3</v>
      </c>
      <c r="CZ94">
        <v>7.21589E-3</v>
      </c>
      <c r="DA94">
        <v>3.6570700000000001E-3</v>
      </c>
      <c r="DB94">
        <v>-1.8828899999999999E-2</v>
      </c>
      <c r="DC94">
        <v>21474.6</v>
      </c>
      <c r="DD94">
        <v>21803</v>
      </c>
      <c r="DE94">
        <v>23104.1</v>
      </c>
      <c r="DF94">
        <v>22314.9</v>
      </c>
      <c r="DG94">
        <v>29686.5</v>
      </c>
      <c r="DH94">
        <v>27112.400000000001</v>
      </c>
      <c r="DI94">
        <v>40607.9</v>
      </c>
      <c r="DJ94">
        <v>36981.300000000003</v>
      </c>
      <c r="DK94">
        <v>2.0821800000000001</v>
      </c>
      <c r="DL94">
        <v>1.7999799999999999</v>
      </c>
      <c r="DM94">
        <v>1.8981100000000001E-2</v>
      </c>
      <c r="DN94">
        <v>0</v>
      </c>
      <c r="DO94">
        <v>27.063300000000002</v>
      </c>
      <c r="DP94">
        <v>999.9</v>
      </c>
      <c r="DQ94">
        <v>77.7</v>
      </c>
      <c r="DR94">
        <v>29.5</v>
      </c>
      <c r="DS94">
        <v>32.072299999999998</v>
      </c>
      <c r="DT94">
        <v>30.445499999999999</v>
      </c>
      <c r="DU94">
        <v>9.8317300000000003</v>
      </c>
      <c r="DV94">
        <v>1</v>
      </c>
      <c r="DW94">
        <v>0.22525200000000001</v>
      </c>
      <c r="DX94">
        <v>-0.170878</v>
      </c>
      <c r="DY94">
        <v>20.367599999999999</v>
      </c>
      <c r="DZ94">
        <v>5.2111799999999997</v>
      </c>
      <c r="EA94">
        <v>11.8482</v>
      </c>
      <c r="EB94">
        <v>4.9678399999999998</v>
      </c>
      <c r="EC94">
        <v>3.2920600000000002</v>
      </c>
      <c r="ED94">
        <v>894.7</v>
      </c>
      <c r="EE94">
        <v>0</v>
      </c>
      <c r="EF94">
        <v>6288.6</v>
      </c>
      <c r="EG94">
        <v>110.1</v>
      </c>
      <c r="EH94">
        <v>4.9716500000000003</v>
      </c>
      <c r="EI94">
        <v>1.8717999999999999</v>
      </c>
      <c r="EJ94">
        <v>1.86893</v>
      </c>
      <c r="EK94">
        <v>1.8713599999999999</v>
      </c>
      <c r="EL94">
        <v>1.86914</v>
      </c>
      <c r="EM94">
        <v>1.8681000000000001</v>
      </c>
      <c r="EN94">
        <v>1.8698999999999999</v>
      </c>
      <c r="EO94">
        <v>1.87174</v>
      </c>
      <c r="EP94">
        <v>0</v>
      </c>
      <c r="EQ94">
        <v>0</v>
      </c>
      <c r="ER94">
        <v>0</v>
      </c>
      <c r="ES94">
        <v>0</v>
      </c>
      <c r="ET94" t="s">
        <v>334</v>
      </c>
      <c r="EU94" t="s">
        <v>335</v>
      </c>
      <c r="EV94" t="s">
        <v>336</v>
      </c>
      <c r="EW94" t="s">
        <v>336</v>
      </c>
      <c r="EX94" t="s">
        <v>336</v>
      </c>
      <c r="EY94" t="s">
        <v>336</v>
      </c>
      <c r="EZ94">
        <v>0</v>
      </c>
      <c r="FA94">
        <v>100</v>
      </c>
      <c r="FB94">
        <v>100</v>
      </c>
      <c r="FC94">
        <v>8.0289999999999999</v>
      </c>
      <c r="FD94">
        <v>-0.98929999999999996</v>
      </c>
      <c r="FE94">
        <v>8.007950000000001</v>
      </c>
      <c r="FF94">
        <v>0</v>
      </c>
      <c r="FG94">
        <v>0</v>
      </c>
      <c r="FH94">
        <v>0</v>
      </c>
      <c r="FI94">
        <v>-0.98927100000000023</v>
      </c>
      <c r="FJ94">
        <v>0</v>
      </c>
      <c r="FK94">
        <v>0</v>
      </c>
      <c r="FL94">
        <v>0</v>
      </c>
      <c r="FM94">
        <v>-1</v>
      </c>
      <c r="FN94">
        <v>-1</v>
      </c>
      <c r="FO94">
        <v>-1</v>
      </c>
      <c r="FP94">
        <v>-1</v>
      </c>
      <c r="FQ94">
        <v>0.7</v>
      </c>
      <c r="FR94">
        <v>78.2</v>
      </c>
      <c r="FS94">
        <v>0.142822</v>
      </c>
      <c r="FT94">
        <v>4.99756</v>
      </c>
      <c r="FU94">
        <v>1.5979000000000001</v>
      </c>
      <c r="FV94">
        <v>2.1557599999999999</v>
      </c>
      <c r="FW94">
        <v>1.5478499999999999</v>
      </c>
      <c r="FX94">
        <v>2.4487299999999999</v>
      </c>
      <c r="FY94">
        <v>34.0092</v>
      </c>
      <c r="FZ94">
        <v>16.005800000000001</v>
      </c>
      <c r="GA94">
        <v>3</v>
      </c>
      <c r="GB94">
        <v>496.64</v>
      </c>
      <c r="GC94">
        <v>407.16199999999998</v>
      </c>
      <c r="GD94">
        <v>27.8736</v>
      </c>
      <c r="GE94">
        <v>30.056000000000001</v>
      </c>
      <c r="GF94">
        <v>30.0001</v>
      </c>
      <c r="GG94">
        <v>30.3552</v>
      </c>
      <c r="GH94">
        <v>30.404900000000001</v>
      </c>
      <c r="GI94">
        <v>-1</v>
      </c>
      <c r="GJ94">
        <v>0</v>
      </c>
      <c r="GK94">
        <v>100</v>
      </c>
      <c r="GL94">
        <v>27.882300000000001</v>
      </c>
      <c r="GM94">
        <v>432.1</v>
      </c>
      <c r="GN94">
        <v>68.912800000000004</v>
      </c>
      <c r="GO94">
        <v>102.21299999999999</v>
      </c>
      <c r="GP94">
        <v>96.498199999999997</v>
      </c>
    </row>
    <row r="95" spans="1:198" x14ac:dyDescent="0.35">
      <c r="A95">
        <v>79</v>
      </c>
      <c r="B95">
        <v>1775485719.0999999</v>
      </c>
      <c r="C95">
        <v>4680.5999999046326</v>
      </c>
      <c r="D95" t="s">
        <v>568</v>
      </c>
      <c r="E95" t="s">
        <v>569</v>
      </c>
      <c r="F95">
        <v>60</v>
      </c>
      <c r="G95">
        <v>1775485711.099999</v>
      </c>
      <c r="H95">
        <f t="shared" si="30"/>
        <v>2.4872122957303191E-3</v>
      </c>
      <c r="I95">
        <f t="shared" si="31"/>
        <v>2.4872122957303189</v>
      </c>
      <c r="J95">
        <f t="shared" si="32"/>
        <v>1.2372045384533823</v>
      </c>
      <c r="K95">
        <f t="shared" si="33"/>
        <v>24.120516129032261</v>
      </c>
      <c r="L95">
        <f t="shared" si="34"/>
        <v>-6.3484368260998956</v>
      </c>
      <c r="M95">
        <f t="shared" si="35"/>
        <v>-0.63691373718842403</v>
      </c>
      <c r="N95">
        <f t="shared" si="36"/>
        <v>2.4199166647600596</v>
      </c>
      <c r="O95">
        <f t="shared" si="37"/>
        <v>6.700926954740874E-2</v>
      </c>
      <c r="P95">
        <f t="shared" si="38"/>
        <v>2.3928524798545663</v>
      </c>
      <c r="Q95">
        <f t="shared" si="39"/>
        <v>6.5983970197455027E-2</v>
      </c>
      <c r="R95">
        <f t="shared" si="40"/>
        <v>4.1330793591406956E-2</v>
      </c>
      <c r="S95">
        <f t="shared" si="41"/>
        <v>0</v>
      </c>
      <c r="T95">
        <f t="shared" si="42"/>
        <v>26.522311284198189</v>
      </c>
      <c r="U95">
        <f t="shared" si="43"/>
        <v>27.382819354838709</v>
      </c>
      <c r="V95">
        <f t="shared" si="44"/>
        <v>3.6604273539472327</v>
      </c>
      <c r="W95">
        <f t="shared" si="45"/>
        <v>-1.4629887115198894</v>
      </c>
      <c r="X95">
        <f t="shared" si="46"/>
        <v>-5.3298792699807897E-2</v>
      </c>
      <c r="Y95">
        <f t="shared" si="47"/>
        <v>3.6431444945625131</v>
      </c>
      <c r="Z95">
        <f t="shared" si="48"/>
        <v>3.7137261466470406</v>
      </c>
      <c r="AA95">
        <f t="shared" si="49"/>
        <v>-109.68606224170708</v>
      </c>
      <c r="AB95">
        <f t="shared" si="50"/>
        <v>-10.421815241017775</v>
      </c>
      <c r="AC95">
        <f t="shared" si="51"/>
        <v>-0.94316725133665125</v>
      </c>
      <c r="AD95">
        <f t="shared" si="52"/>
        <v>-121.05104473406149</v>
      </c>
      <c r="AE95">
        <v>14</v>
      </c>
      <c r="AF95">
        <v>3</v>
      </c>
      <c r="AG95">
        <f t="shared" si="53"/>
        <v>1</v>
      </c>
      <c r="AH95">
        <f t="shared" si="54"/>
        <v>0</v>
      </c>
      <c r="AI95">
        <f t="shared" si="55"/>
        <v>25559.247705776812</v>
      </c>
      <c r="AJ95">
        <f t="shared" si="56"/>
        <v>0</v>
      </c>
      <c r="AK95">
        <f t="shared" si="57"/>
        <v>0</v>
      </c>
      <c r="AL95">
        <f t="shared" si="58"/>
        <v>0</v>
      </c>
      <c r="AM95">
        <f t="shared" si="59"/>
        <v>0</v>
      </c>
      <c r="AN95">
        <v>3</v>
      </c>
      <c r="AO95">
        <v>0.5</v>
      </c>
      <c r="AP95" t="s">
        <v>331</v>
      </c>
      <c r="AQ95">
        <v>2</v>
      </c>
      <c r="AR95">
        <v>1775485711.099999</v>
      </c>
      <c r="AS95">
        <v>24.120516129032261</v>
      </c>
      <c r="AT95">
        <v>24.898790322580648</v>
      </c>
      <c r="AU95">
        <v>-0.53125564516129031</v>
      </c>
      <c r="AV95">
        <v>-2.0242909677419361</v>
      </c>
      <c r="AW95">
        <v>16.101516129032259</v>
      </c>
      <c r="AX95">
        <v>0.45801525806451621</v>
      </c>
      <c r="AY95">
        <v>500.02841935483877</v>
      </c>
      <c r="AZ95">
        <v>100.28345161290321</v>
      </c>
      <c r="BA95">
        <v>4.2621503225806448E-2</v>
      </c>
      <c r="BB95">
        <v>27.302032258064511</v>
      </c>
      <c r="BC95">
        <v>27.382819354838709</v>
      </c>
      <c r="BD95">
        <v>999.90000000000032</v>
      </c>
      <c r="BE95">
        <v>0</v>
      </c>
      <c r="BF95">
        <v>0</v>
      </c>
      <c r="BG95">
        <v>4998.2580645161288</v>
      </c>
      <c r="BH95">
        <v>0.3847867741935484</v>
      </c>
      <c r="BI95">
        <v>0.22961599999999999</v>
      </c>
      <c r="BJ95">
        <v>-0.76871796774193557</v>
      </c>
      <c r="BK95">
        <v>24.11725483870967</v>
      </c>
      <c r="BL95">
        <v>24.8484870967742</v>
      </c>
      <c r="BM95">
        <v>1.493036129032258</v>
      </c>
      <c r="BN95">
        <v>24.898790322580648</v>
      </c>
      <c r="BO95">
        <v>-2.0242909677419361</v>
      </c>
      <c r="BP95">
        <v>-5.3276096774193551E-2</v>
      </c>
      <c r="BQ95">
        <v>-0.2030026451612903</v>
      </c>
      <c r="BR95">
        <v>-99.900000000000034</v>
      </c>
      <c r="BS95">
        <v>-99.900000000000034</v>
      </c>
      <c r="BT95">
        <v>0</v>
      </c>
      <c r="BU95">
        <v>0</v>
      </c>
      <c r="BV95">
        <v>0</v>
      </c>
      <c r="BW95">
        <v>26</v>
      </c>
      <c r="BX95">
        <v>-1</v>
      </c>
      <c r="BY95">
        <v>1775485735.5999999</v>
      </c>
      <c r="BZ95" t="s">
        <v>570</v>
      </c>
      <c r="CA95">
        <v>1775485735.5999999</v>
      </c>
      <c r="CB95">
        <v>1775480969.5</v>
      </c>
      <c r="CC95">
        <v>80</v>
      </c>
      <c r="CD95">
        <v>-0.01</v>
      </c>
      <c r="CE95">
        <v>0.19500000000000001</v>
      </c>
      <c r="CF95">
        <v>8.0190000000000001</v>
      </c>
      <c r="CG95">
        <v>-0.98899999999999999</v>
      </c>
      <c r="CH95">
        <v>24</v>
      </c>
      <c r="CI95">
        <v>-3</v>
      </c>
      <c r="CJ95">
        <v>0.14000000000000001</v>
      </c>
      <c r="CK95">
        <v>0.06</v>
      </c>
      <c r="CL95">
        <v>24.628781967213111</v>
      </c>
      <c r="CM95">
        <v>1.5437964768898049</v>
      </c>
      <c r="CN95">
        <v>0.35202420581274979</v>
      </c>
      <c r="CO95">
        <v>-1</v>
      </c>
      <c r="CP95">
        <v>500.01026229508187</v>
      </c>
      <c r="CQ95">
        <v>0.104068810458759</v>
      </c>
      <c r="CR95">
        <v>3.1919931405974183E-2</v>
      </c>
      <c r="CS95">
        <v>-1</v>
      </c>
      <c r="CT95">
        <v>0</v>
      </c>
      <c r="CU95">
        <v>0</v>
      </c>
      <c r="CV95" t="s">
        <v>333</v>
      </c>
      <c r="CW95">
        <v>3.1674600000000002</v>
      </c>
      <c r="CX95">
        <v>2.66412</v>
      </c>
      <c r="CY95">
        <v>4.8404299999999997E-3</v>
      </c>
      <c r="CZ95">
        <v>7.3118200000000001E-3</v>
      </c>
      <c r="DA95">
        <v>3.6663199999999998E-3</v>
      </c>
      <c r="DB95">
        <v>-1.8811000000000001E-2</v>
      </c>
      <c r="DC95">
        <v>21471.200000000001</v>
      </c>
      <c r="DD95">
        <v>21800.9</v>
      </c>
      <c r="DE95">
        <v>23104</v>
      </c>
      <c r="DF95">
        <v>22314.9</v>
      </c>
      <c r="DG95">
        <v>29686.1</v>
      </c>
      <c r="DH95">
        <v>27112.1</v>
      </c>
      <c r="DI95">
        <v>40607.599999999999</v>
      </c>
      <c r="DJ95">
        <v>36981.5</v>
      </c>
      <c r="DK95">
        <v>2.0822600000000002</v>
      </c>
      <c r="DL95">
        <v>1.80002</v>
      </c>
      <c r="DM95">
        <v>1.99854E-2</v>
      </c>
      <c r="DN95">
        <v>0</v>
      </c>
      <c r="DO95">
        <v>27.0579</v>
      </c>
      <c r="DP95">
        <v>999.9</v>
      </c>
      <c r="DQ95">
        <v>77.7</v>
      </c>
      <c r="DR95">
        <v>29.5</v>
      </c>
      <c r="DS95">
        <v>32.075400000000002</v>
      </c>
      <c r="DT95">
        <v>30.314599999999999</v>
      </c>
      <c r="DU95">
        <v>9.8317300000000003</v>
      </c>
      <c r="DV95">
        <v>1</v>
      </c>
      <c r="DW95">
        <v>0.22518299999999999</v>
      </c>
      <c r="DX95">
        <v>-0.112301</v>
      </c>
      <c r="DY95">
        <v>20.367799999999999</v>
      </c>
      <c r="DZ95">
        <v>5.2112999999999996</v>
      </c>
      <c r="EA95">
        <v>11.848599999999999</v>
      </c>
      <c r="EB95">
        <v>4.9677600000000002</v>
      </c>
      <c r="EC95">
        <v>3.2920600000000002</v>
      </c>
      <c r="ED95">
        <v>894.7</v>
      </c>
      <c r="EE95">
        <v>0</v>
      </c>
      <c r="EF95">
        <v>6320.3</v>
      </c>
      <c r="EG95">
        <v>110.1</v>
      </c>
      <c r="EH95">
        <v>4.9716500000000003</v>
      </c>
      <c r="EI95">
        <v>1.87181</v>
      </c>
      <c r="EJ95">
        <v>1.86896</v>
      </c>
      <c r="EK95">
        <v>1.8714</v>
      </c>
      <c r="EL95">
        <v>1.8691500000000001</v>
      </c>
      <c r="EM95">
        <v>1.86812</v>
      </c>
      <c r="EN95">
        <v>1.86992</v>
      </c>
      <c r="EO95">
        <v>1.87175</v>
      </c>
      <c r="EP95">
        <v>0</v>
      </c>
      <c r="EQ95">
        <v>0</v>
      </c>
      <c r="ER95">
        <v>0</v>
      </c>
      <c r="ES95">
        <v>0</v>
      </c>
      <c r="ET95" t="s">
        <v>334</v>
      </c>
      <c r="EU95" t="s">
        <v>335</v>
      </c>
      <c r="EV95" t="s">
        <v>336</v>
      </c>
      <c r="EW95" t="s">
        <v>336</v>
      </c>
      <c r="EX95" t="s">
        <v>336</v>
      </c>
      <c r="EY95" t="s">
        <v>336</v>
      </c>
      <c r="EZ95">
        <v>0</v>
      </c>
      <c r="FA95">
        <v>100</v>
      </c>
      <c r="FB95">
        <v>100</v>
      </c>
      <c r="FC95">
        <v>8.0190000000000001</v>
      </c>
      <c r="FD95">
        <v>-0.98929999999999996</v>
      </c>
      <c r="FE95">
        <v>8.0285600000000059</v>
      </c>
      <c r="FF95">
        <v>0</v>
      </c>
      <c r="FG95">
        <v>0</v>
      </c>
      <c r="FH95">
        <v>0</v>
      </c>
      <c r="FI95">
        <v>-0.98927100000000023</v>
      </c>
      <c r="FJ95">
        <v>0</v>
      </c>
      <c r="FK95">
        <v>0</v>
      </c>
      <c r="FL95">
        <v>0</v>
      </c>
      <c r="FM95">
        <v>-1</v>
      </c>
      <c r="FN95">
        <v>-1</v>
      </c>
      <c r="FO95">
        <v>-1</v>
      </c>
      <c r="FP95">
        <v>-1</v>
      </c>
      <c r="FQ95">
        <v>0.7</v>
      </c>
      <c r="FR95">
        <v>79.2</v>
      </c>
      <c r="FS95">
        <v>0.142822</v>
      </c>
      <c r="FT95">
        <v>4.99756</v>
      </c>
      <c r="FU95">
        <v>1.5979000000000001</v>
      </c>
      <c r="FV95">
        <v>2.1557599999999999</v>
      </c>
      <c r="FW95">
        <v>1.5478499999999999</v>
      </c>
      <c r="FX95">
        <v>2.4621599999999999</v>
      </c>
      <c r="FY95">
        <v>34.031799999999997</v>
      </c>
      <c r="FZ95">
        <v>16.005800000000001</v>
      </c>
      <c r="GA95">
        <v>3</v>
      </c>
      <c r="GB95">
        <v>496.68599999999998</v>
      </c>
      <c r="GC95">
        <v>407.18200000000002</v>
      </c>
      <c r="GD95">
        <v>27.856999999999999</v>
      </c>
      <c r="GE95">
        <v>30.056000000000001</v>
      </c>
      <c r="GF95">
        <v>30.0001</v>
      </c>
      <c r="GG95">
        <v>30.3552</v>
      </c>
      <c r="GH95">
        <v>30.404399999999999</v>
      </c>
      <c r="GI95">
        <v>-1</v>
      </c>
      <c r="GJ95">
        <v>0</v>
      </c>
      <c r="GK95">
        <v>100</v>
      </c>
      <c r="GL95">
        <v>27.8582</v>
      </c>
      <c r="GM95">
        <v>432.1</v>
      </c>
      <c r="GN95">
        <v>68.912800000000004</v>
      </c>
      <c r="GO95">
        <v>102.21299999999999</v>
      </c>
      <c r="GP95">
        <v>96.498699999999999</v>
      </c>
    </row>
    <row r="96" spans="1:198" x14ac:dyDescent="0.35">
      <c r="A96">
        <v>80</v>
      </c>
      <c r="B96">
        <v>1775485779.0999999</v>
      </c>
      <c r="C96">
        <v>4740.5999999046326</v>
      </c>
      <c r="D96" t="s">
        <v>571</v>
      </c>
      <c r="E96" t="s">
        <v>572</v>
      </c>
      <c r="F96">
        <v>60</v>
      </c>
      <c r="G96">
        <v>1775485771.349999</v>
      </c>
      <c r="H96">
        <f t="shared" si="30"/>
        <v>2.4961386867275964E-3</v>
      </c>
      <c r="I96">
        <f t="shared" si="31"/>
        <v>2.4961386867275963</v>
      </c>
      <c r="J96">
        <f t="shared" si="32"/>
        <v>0.67029873208508151</v>
      </c>
      <c r="K96">
        <f t="shared" si="33"/>
        <v>24.360843333333339</v>
      </c>
      <c r="L96">
        <f t="shared" si="34"/>
        <v>7.2568620522560519</v>
      </c>
      <c r="M96">
        <f t="shared" si="35"/>
        <v>0.72804845042194766</v>
      </c>
      <c r="N96">
        <f t="shared" si="36"/>
        <v>2.4440142463906072</v>
      </c>
      <c r="O96">
        <f t="shared" si="37"/>
        <v>6.728120962136408E-2</v>
      </c>
      <c r="P96">
        <f t="shared" si="38"/>
        <v>2.3948065570480748</v>
      </c>
      <c r="Q96">
        <f t="shared" si="39"/>
        <v>6.624847014993511E-2</v>
      </c>
      <c r="R96">
        <f t="shared" si="40"/>
        <v>4.1496760854712551E-2</v>
      </c>
      <c r="S96">
        <f t="shared" si="41"/>
        <v>0</v>
      </c>
      <c r="T96">
        <f t="shared" si="42"/>
        <v>26.517991556024906</v>
      </c>
      <c r="U96">
        <f t="shared" si="43"/>
        <v>27.38034</v>
      </c>
      <c r="V96">
        <f t="shared" si="44"/>
        <v>3.6598958808413196</v>
      </c>
      <c r="W96">
        <f t="shared" si="45"/>
        <v>-1.4343061935052233</v>
      </c>
      <c r="X96">
        <f t="shared" si="46"/>
        <v>-5.2247399958008971E-2</v>
      </c>
      <c r="Y96">
        <f t="shared" si="47"/>
        <v>3.6426949973857661</v>
      </c>
      <c r="Z96">
        <f t="shared" si="48"/>
        <v>3.7121432807993284</v>
      </c>
      <c r="AA96">
        <f t="shared" si="49"/>
        <v>-110.07971608468701</v>
      </c>
      <c r="AB96">
        <f t="shared" si="50"/>
        <v>-10.382069863543027</v>
      </c>
      <c r="AC96">
        <f t="shared" si="51"/>
        <v>-0.93878216815057569</v>
      </c>
      <c r="AD96">
        <f t="shared" si="52"/>
        <v>-121.40056811638061</v>
      </c>
      <c r="AE96">
        <v>14</v>
      </c>
      <c r="AF96">
        <v>3</v>
      </c>
      <c r="AG96">
        <f t="shared" si="53"/>
        <v>1</v>
      </c>
      <c r="AH96">
        <f t="shared" si="54"/>
        <v>0</v>
      </c>
      <c r="AI96">
        <f t="shared" si="55"/>
        <v>25589.154630642042</v>
      </c>
      <c r="AJ96">
        <f t="shared" si="56"/>
        <v>0</v>
      </c>
      <c r="AK96">
        <f t="shared" si="57"/>
        <v>0</v>
      </c>
      <c r="AL96">
        <f t="shared" si="58"/>
        <v>0</v>
      </c>
      <c r="AM96">
        <f t="shared" si="59"/>
        <v>0</v>
      </c>
      <c r="AN96">
        <v>3</v>
      </c>
      <c r="AO96">
        <v>0.5</v>
      </c>
      <c r="AP96" t="s">
        <v>331</v>
      </c>
      <c r="AQ96">
        <v>2</v>
      </c>
      <c r="AR96">
        <v>1775485771.349999</v>
      </c>
      <c r="AS96">
        <v>24.360843333333339</v>
      </c>
      <c r="AT96">
        <v>24.799499999999998</v>
      </c>
      <c r="AU96">
        <v>-0.52077876666666667</v>
      </c>
      <c r="AV96">
        <v>-2.0192166666666669</v>
      </c>
      <c r="AW96">
        <v>16.34184333333333</v>
      </c>
      <c r="AX96">
        <v>0.46849210000000002</v>
      </c>
      <c r="AY96">
        <v>500.00843333333319</v>
      </c>
      <c r="AZ96">
        <v>100.2831333333333</v>
      </c>
      <c r="BA96">
        <v>4.2385489999999998E-2</v>
      </c>
      <c r="BB96">
        <v>27.299926666666661</v>
      </c>
      <c r="BC96">
        <v>27.38034</v>
      </c>
      <c r="BD96">
        <v>999.9000000000002</v>
      </c>
      <c r="BE96">
        <v>0</v>
      </c>
      <c r="BF96">
        <v>0</v>
      </c>
      <c r="BG96">
        <v>5003.3</v>
      </c>
      <c r="BH96">
        <v>0.35780269999999997</v>
      </c>
      <c r="BI96">
        <v>0.22961599999999999</v>
      </c>
      <c r="BJ96">
        <v>-0.43860726666666672</v>
      </c>
      <c r="BK96">
        <v>24.348210000000002</v>
      </c>
      <c r="BL96">
        <v>24.74952</v>
      </c>
      <c r="BM96">
        <v>1.4984360000000001</v>
      </c>
      <c r="BN96">
        <v>24.799499999999998</v>
      </c>
      <c r="BO96">
        <v>-2.0192166666666669</v>
      </c>
      <c r="BP96">
        <v>-5.2225356666666667E-2</v>
      </c>
      <c r="BQ96">
        <v>-0.2024932333333333</v>
      </c>
      <c r="BR96">
        <v>-99.900000000000034</v>
      </c>
      <c r="BS96">
        <v>-99.900000000000034</v>
      </c>
      <c r="BT96">
        <v>0</v>
      </c>
      <c r="BU96">
        <v>0</v>
      </c>
      <c r="BV96">
        <v>0</v>
      </c>
      <c r="BW96">
        <v>26</v>
      </c>
      <c r="BX96">
        <v>-1</v>
      </c>
      <c r="BY96">
        <v>1775485795.0999999</v>
      </c>
      <c r="BZ96" t="s">
        <v>573</v>
      </c>
      <c r="CA96">
        <v>1775485795.0999999</v>
      </c>
      <c r="CB96">
        <v>1775480969.5</v>
      </c>
      <c r="CC96">
        <v>81</v>
      </c>
      <c r="CD96">
        <v>0</v>
      </c>
      <c r="CE96">
        <v>0.19500000000000001</v>
      </c>
      <c r="CF96">
        <v>8.0190000000000001</v>
      </c>
      <c r="CG96">
        <v>-0.98899999999999999</v>
      </c>
      <c r="CH96">
        <v>25</v>
      </c>
      <c r="CI96">
        <v>-3</v>
      </c>
      <c r="CJ96">
        <v>0.27</v>
      </c>
      <c r="CK96">
        <v>0.06</v>
      </c>
      <c r="CL96">
        <v>24.8675</v>
      </c>
      <c r="CM96">
        <v>-0.17944410364887861</v>
      </c>
      <c r="CN96">
        <v>0.17783244277948301</v>
      </c>
      <c r="CO96">
        <v>-1</v>
      </c>
      <c r="CP96">
        <v>500.01278688524587</v>
      </c>
      <c r="CQ96">
        <v>-9.702802749230752E-3</v>
      </c>
      <c r="CR96">
        <v>3.8381226094638697E-2</v>
      </c>
      <c r="CS96">
        <v>-1</v>
      </c>
      <c r="CT96">
        <v>0</v>
      </c>
      <c r="CU96">
        <v>0</v>
      </c>
      <c r="CV96" t="s">
        <v>333</v>
      </c>
      <c r="CW96">
        <v>3.1674199999999999</v>
      </c>
      <c r="CX96">
        <v>2.66357</v>
      </c>
      <c r="CY96">
        <v>4.83118E-3</v>
      </c>
      <c r="CZ96">
        <v>7.3309500000000001E-3</v>
      </c>
      <c r="DA96">
        <v>3.7955100000000002E-3</v>
      </c>
      <c r="DB96">
        <v>-1.88025E-2</v>
      </c>
      <c r="DC96">
        <v>21471</v>
      </c>
      <c r="DD96">
        <v>21800.400000000001</v>
      </c>
      <c r="DE96">
        <v>23103.599999999999</v>
      </c>
      <c r="DF96">
        <v>22314.799999999999</v>
      </c>
      <c r="DG96">
        <v>29681.8</v>
      </c>
      <c r="DH96">
        <v>27111.599999999999</v>
      </c>
      <c r="DI96">
        <v>40607.1</v>
      </c>
      <c r="DJ96">
        <v>36981.199999999997</v>
      </c>
      <c r="DK96">
        <v>2.0823200000000002</v>
      </c>
      <c r="DL96">
        <v>1.7995399999999999</v>
      </c>
      <c r="DM96">
        <v>2.0533800000000001E-2</v>
      </c>
      <c r="DN96">
        <v>0</v>
      </c>
      <c r="DO96">
        <v>27.05</v>
      </c>
      <c r="DP96">
        <v>999.9</v>
      </c>
      <c r="DQ96">
        <v>77.599999999999994</v>
      </c>
      <c r="DR96">
        <v>29.6</v>
      </c>
      <c r="DS96">
        <v>32.219200000000001</v>
      </c>
      <c r="DT96">
        <v>30.854600000000001</v>
      </c>
      <c r="DU96">
        <v>9.6314100000000007</v>
      </c>
      <c r="DV96">
        <v>1</v>
      </c>
      <c r="DW96">
        <v>0.22516900000000001</v>
      </c>
      <c r="DX96">
        <v>-0.11901100000000001</v>
      </c>
      <c r="DY96">
        <v>20.367799999999999</v>
      </c>
      <c r="DZ96">
        <v>5.2110599999999998</v>
      </c>
      <c r="EA96">
        <v>11.8482</v>
      </c>
      <c r="EB96">
        <v>4.9678000000000004</v>
      </c>
      <c r="EC96">
        <v>3.2921399999999998</v>
      </c>
      <c r="ED96">
        <v>894.7</v>
      </c>
      <c r="EE96">
        <v>0</v>
      </c>
      <c r="EF96">
        <v>6351.8</v>
      </c>
      <c r="EG96">
        <v>110.1</v>
      </c>
      <c r="EH96">
        <v>4.9716300000000002</v>
      </c>
      <c r="EI96">
        <v>1.8717999999999999</v>
      </c>
      <c r="EJ96">
        <v>1.86896</v>
      </c>
      <c r="EK96">
        <v>1.8713500000000001</v>
      </c>
      <c r="EL96">
        <v>1.8691599999999999</v>
      </c>
      <c r="EM96">
        <v>1.8681000000000001</v>
      </c>
      <c r="EN96">
        <v>1.86991</v>
      </c>
      <c r="EO96">
        <v>1.8717299999999999</v>
      </c>
      <c r="EP96">
        <v>0</v>
      </c>
      <c r="EQ96">
        <v>0</v>
      </c>
      <c r="ER96">
        <v>0</v>
      </c>
      <c r="ES96">
        <v>0</v>
      </c>
      <c r="ET96" t="s">
        <v>334</v>
      </c>
      <c r="EU96" t="s">
        <v>335</v>
      </c>
      <c r="EV96" t="s">
        <v>336</v>
      </c>
      <c r="EW96" t="s">
        <v>336</v>
      </c>
      <c r="EX96" t="s">
        <v>336</v>
      </c>
      <c r="EY96" t="s">
        <v>336</v>
      </c>
      <c r="EZ96">
        <v>0</v>
      </c>
      <c r="FA96">
        <v>100</v>
      </c>
      <c r="FB96">
        <v>100</v>
      </c>
      <c r="FC96">
        <v>8.0190000000000001</v>
      </c>
      <c r="FD96">
        <v>-0.98929999999999996</v>
      </c>
      <c r="FE96">
        <v>8.0190380952380913</v>
      </c>
      <c r="FF96">
        <v>0</v>
      </c>
      <c r="FG96">
        <v>0</v>
      </c>
      <c r="FH96">
        <v>0</v>
      </c>
      <c r="FI96">
        <v>-0.98927100000000023</v>
      </c>
      <c r="FJ96">
        <v>0</v>
      </c>
      <c r="FK96">
        <v>0</v>
      </c>
      <c r="FL96">
        <v>0</v>
      </c>
      <c r="FM96">
        <v>-1</v>
      </c>
      <c r="FN96">
        <v>-1</v>
      </c>
      <c r="FO96">
        <v>-1</v>
      </c>
      <c r="FP96">
        <v>-1</v>
      </c>
      <c r="FQ96">
        <v>0.7</v>
      </c>
      <c r="FR96">
        <v>80.2</v>
      </c>
      <c r="FS96">
        <v>0.142822</v>
      </c>
      <c r="FT96">
        <v>4.99756</v>
      </c>
      <c r="FU96">
        <v>1.5979000000000001</v>
      </c>
      <c r="FV96">
        <v>2.1557599999999999</v>
      </c>
      <c r="FW96">
        <v>1.5478499999999999</v>
      </c>
      <c r="FX96">
        <v>2.4487299999999999</v>
      </c>
      <c r="FY96">
        <v>34.054499999999997</v>
      </c>
      <c r="FZ96">
        <v>15.997</v>
      </c>
      <c r="GA96">
        <v>3</v>
      </c>
      <c r="GB96">
        <v>496.702</v>
      </c>
      <c r="GC96">
        <v>406.90600000000001</v>
      </c>
      <c r="GD96">
        <v>27.866499999999998</v>
      </c>
      <c r="GE96">
        <v>30.0533</v>
      </c>
      <c r="GF96">
        <v>30.0001</v>
      </c>
      <c r="GG96">
        <v>30.352599999999999</v>
      </c>
      <c r="GH96">
        <v>30.404399999999999</v>
      </c>
      <c r="GI96">
        <v>-1</v>
      </c>
      <c r="GJ96">
        <v>0</v>
      </c>
      <c r="GK96">
        <v>100</v>
      </c>
      <c r="GL96">
        <v>27.8642</v>
      </c>
      <c r="GM96">
        <v>432.1</v>
      </c>
      <c r="GN96">
        <v>68.912800000000004</v>
      </c>
      <c r="GO96">
        <v>102.211</v>
      </c>
      <c r="GP96">
        <v>96.497799999999998</v>
      </c>
    </row>
    <row r="97" spans="1:198" x14ac:dyDescent="0.35">
      <c r="A97">
        <v>81</v>
      </c>
      <c r="B97">
        <v>1775485839.0999999</v>
      </c>
      <c r="C97">
        <v>4800.5999999046326</v>
      </c>
      <c r="D97" t="s">
        <v>574</v>
      </c>
      <c r="E97" t="s">
        <v>575</v>
      </c>
      <c r="F97">
        <v>60</v>
      </c>
      <c r="G97">
        <v>1775485831.099999</v>
      </c>
      <c r="H97">
        <f t="shared" si="30"/>
        <v>2.5037559777961807E-3</v>
      </c>
      <c r="I97">
        <f t="shared" si="31"/>
        <v>2.5037559777961809</v>
      </c>
      <c r="J97">
        <f t="shared" si="32"/>
        <v>0.93543937655279341</v>
      </c>
      <c r="K97">
        <f t="shared" si="33"/>
        <v>24.10472903225806</v>
      </c>
      <c r="L97">
        <f t="shared" si="34"/>
        <v>0.88374173253525834</v>
      </c>
      <c r="M97">
        <f t="shared" si="35"/>
        <v>8.8661786709599899E-2</v>
      </c>
      <c r="N97">
        <f t="shared" si="36"/>
        <v>2.4183177793581208</v>
      </c>
      <c r="O97">
        <f t="shared" si="37"/>
        <v>6.7502729738008679E-2</v>
      </c>
      <c r="P97">
        <f t="shared" si="38"/>
        <v>2.3939499669504514</v>
      </c>
      <c r="Q97">
        <f t="shared" si="39"/>
        <v>6.6462869457406759E-2</v>
      </c>
      <c r="R97">
        <f t="shared" si="40"/>
        <v>4.1631386323138883E-2</v>
      </c>
      <c r="S97">
        <f t="shared" si="41"/>
        <v>0</v>
      </c>
      <c r="T97">
        <f t="shared" si="42"/>
        <v>26.518736446715948</v>
      </c>
      <c r="U97">
        <f t="shared" si="43"/>
        <v>27.382703225806448</v>
      </c>
      <c r="V97">
        <f t="shared" si="44"/>
        <v>3.6604024590898567</v>
      </c>
      <c r="W97">
        <f t="shared" si="45"/>
        <v>-1.4003972174072883</v>
      </c>
      <c r="X97">
        <f t="shared" si="46"/>
        <v>-5.1022322997179223E-2</v>
      </c>
      <c r="Y97">
        <f t="shared" si="47"/>
        <v>3.6434179076449857</v>
      </c>
      <c r="Z97">
        <f t="shared" si="48"/>
        <v>3.7114247820870361</v>
      </c>
      <c r="AA97">
        <f t="shared" si="49"/>
        <v>-110.41563862081156</v>
      </c>
      <c r="AB97">
        <f t="shared" si="50"/>
        <v>-10.246323877888349</v>
      </c>
      <c r="AC97">
        <f t="shared" si="51"/>
        <v>-0.92686568478855991</v>
      </c>
      <c r="AD97">
        <f t="shared" si="52"/>
        <v>-121.58882818348847</v>
      </c>
      <c r="AE97">
        <v>14</v>
      </c>
      <c r="AF97">
        <v>3</v>
      </c>
      <c r="AG97">
        <f t="shared" si="53"/>
        <v>1</v>
      </c>
      <c r="AH97">
        <f t="shared" si="54"/>
        <v>0</v>
      </c>
      <c r="AI97">
        <f t="shared" si="55"/>
        <v>25575.852934674269</v>
      </c>
      <c r="AJ97">
        <f t="shared" si="56"/>
        <v>0</v>
      </c>
      <c r="AK97">
        <f t="shared" si="57"/>
        <v>0</v>
      </c>
      <c r="AL97">
        <f t="shared" si="58"/>
        <v>0</v>
      </c>
      <c r="AM97">
        <f t="shared" si="59"/>
        <v>0</v>
      </c>
      <c r="AN97">
        <v>3</v>
      </c>
      <c r="AO97">
        <v>0.5</v>
      </c>
      <c r="AP97" t="s">
        <v>331</v>
      </c>
      <c r="AQ97">
        <v>2</v>
      </c>
      <c r="AR97">
        <v>1775485831.099999</v>
      </c>
      <c r="AS97">
        <v>24.10472903225806</v>
      </c>
      <c r="AT97">
        <v>24.70220322580645</v>
      </c>
      <c r="AU97">
        <v>-0.50856809677419368</v>
      </c>
      <c r="AV97">
        <v>-2.011583548387097</v>
      </c>
      <c r="AW97">
        <v>16.090729032258061</v>
      </c>
      <c r="AX97">
        <v>0.48070290322580639</v>
      </c>
      <c r="AY97">
        <v>500.00070967741942</v>
      </c>
      <c r="AZ97">
        <v>100.2828064516129</v>
      </c>
      <c r="BA97">
        <v>4.2643219354838717E-2</v>
      </c>
      <c r="BB97">
        <v>27.303312903225802</v>
      </c>
      <c r="BC97">
        <v>27.382703225806448</v>
      </c>
      <c r="BD97">
        <v>999.90000000000032</v>
      </c>
      <c r="BE97">
        <v>0</v>
      </c>
      <c r="BF97">
        <v>0</v>
      </c>
      <c r="BG97">
        <v>5001.1129032258068</v>
      </c>
      <c r="BH97">
        <v>0.33447948387096782</v>
      </c>
      <c r="BI97">
        <v>0.23331922580645159</v>
      </c>
      <c r="BJ97">
        <v>-0.59214719354838707</v>
      </c>
      <c r="BK97">
        <v>24.097799999999999</v>
      </c>
      <c r="BL97">
        <v>24.652619354838709</v>
      </c>
      <c r="BM97">
        <v>1.5030154838709679</v>
      </c>
      <c r="BN97">
        <v>24.70220322580645</v>
      </c>
      <c r="BO97">
        <v>-2.011583548387097</v>
      </c>
      <c r="BP97">
        <v>-5.1000632258064511E-2</v>
      </c>
      <c r="BQ97">
        <v>-0.20172719354838711</v>
      </c>
      <c r="BR97">
        <v>-99.900000000000034</v>
      </c>
      <c r="BS97">
        <v>-99.900000000000034</v>
      </c>
      <c r="BT97">
        <v>0</v>
      </c>
      <c r="BU97">
        <v>0</v>
      </c>
      <c r="BV97">
        <v>0</v>
      </c>
      <c r="BW97">
        <v>26</v>
      </c>
      <c r="BX97">
        <v>-1</v>
      </c>
      <c r="BY97">
        <v>1775485858.0999999</v>
      </c>
      <c r="BZ97" t="s">
        <v>576</v>
      </c>
      <c r="CA97">
        <v>1775485858.0999999</v>
      </c>
      <c r="CB97">
        <v>1775480969.5</v>
      </c>
      <c r="CC97">
        <v>82</v>
      </c>
      <c r="CD97">
        <v>-5.0000000000000001E-3</v>
      </c>
      <c r="CE97">
        <v>0.19500000000000001</v>
      </c>
      <c r="CF97">
        <v>8.0139999999999993</v>
      </c>
      <c r="CG97">
        <v>-0.98899999999999999</v>
      </c>
      <c r="CH97">
        <v>26</v>
      </c>
      <c r="CI97">
        <v>-3</v>
      </c>
      <c r="CJ97">
        <v>0.14000000000000001</v>
      </c>
      <c r="CK97">
        <v>0.06</v>
      </c>
      <c r="CL97">
        <v>24.668900000000001</v>
      </c>
      <c r="CM97">
        <v>0.20733492636847031</v>
      </c>
      <c r="CN97">
        <v>4.4661482286193911E-2</v>
      </c>
      <c r="CO97">
        <v>-1</v>
      </c>
      <c r="CP97">
        <v>500.00621666666672</v>
      </c>
      <c r="CQ97">
        <v>7.9322033902543467E-3</v>
      </c>
      <c r="CR97">
        <v>3.9071341443854941E-2</v>
      </c>
      <c r="CS97">
        <v>-1</v>
      </c>
      <c r="CT97">
        <v>0</v>
      </c>
      <c r="CU97">
        <v>0</v>
      </c>
      <c r="CV97" t="s">
        <v>333</v>
      </c>
      <c r="CW97">
        <v>3.1674500000000001</v>
      </c>
      <c r="CX97">
        <v>2.6643699999999999</v>
      </c>
      <c r="CY97">
        <v>4.8155000000000003E-3</v>
      </c>
      <c r="CZ97">
        <v>7.38823E-3</v>
      </c>
      <c r="DA97">
        <v>3.8805699999999999E-3</v>
      </c>
      <c r="DB97">
        <v>-1.8689299999999999E-2</v>
      </c>
      <c r="DC97">
        <v>21471</v>
      </c>
      <c r="DD97">
        <v>21799.200000000001</v>
      </c>
      <c r="DE97">
        <v>23103.200000000001</v>
      </c>
      <c r="DF97">
        <v>22314.9</v>
      </c>
      <c r="DG97">
        <v>29679</v>
      </c>
      <c r="DH97">
        <v>27108.6</v>
      </c>
      <c r="DI97">
        <v>40606.699999999997</v>
      </c>
      <c r="DJ97">
        <v>36981.199999999997</v>
      </c>
      <c r="DK97">
        <v>2.0823</v>
      </c>
      <c r="DL97">
        <v>1.79956</v>
      </c>
      <c r="DM97">
        <v>1.94609E-2</v>
      </c>
      <c r="DN97">
        <v>0</v>
      </c>
      <c r="DO97">
        <v>27.066099999999999</v>
      </c>
      <c r="DP97">
        <v>999.9</v>
      </c>
      <c r="DQ97">
        <v>77.599999999999994</v>
      </c>
      <c r="DR97">
        <v>29.6</v>
      </c>
      <c r="DS97">
        <v>32.2194</v>
      </c>
      <c r="DT97">
        <v>30.704599999999999</v>
      </c>
      <c r="DU97">
        <v>9.6273999999999997</v>
      </c>
      <c r="DV97">
        <v>1</v>
      </c>
      <c r="DW97">
        <v>0.225104</v>
      </c>
      <c r="DX97">
        <v>-8.0501100000000006E-2</v>
      </c>
      <c r="DY97">
        <v>20.367699999999999</v>
      </c>
      <c r="DZ97">
        <v>5.2115400000000003</v>
      </c>
      <c r="EA97">
        <v>11.8482</v>
      </c>
      <c r="EB97">
        <v>4.9677199999999999</v>
      </c>
      <c r="EC97">
        <v>3.2921399999999998</v>
      </c>
      <c r="ED97">
        <v>894.7</v>
      </c>
      <c r="EE97">
        <v>0</v>
      </c>
      <c r="EF97">
        <v>6378</v>
      </c>
      <c r="EG97">
        <v>110.2</v>
      </c>
      <c r="EH97">
        <v>4.9716199999999997</v>
      </c>
      <c r="EI97">
        <v>1.8717999999999999</v>
      </c>
      <c r="EJ97">
        <v>1.86897</v>
      </c>
      <c r="EK97">
        <v>1.8713599999999999</v>
      </c>
      <c r="EL97">
        <v>1.8691599999999999</v>
      </c>
      <c r="EM97">
        <v>1.86812</v>
      </c>
      <c r="EN97">
        <v>1.86995</v>
      </c>
      <c r="EO97">
        <v>1.87175</v>
      </c>
      <c r="EP97">
        <v>0</v>
      </c>
      <c r="EQ97">
        <v>0</v>
      </c>
      <c r="ER97">
        <v>0</v>
      </c>
      <c r="ES97">
        <v>0</v>
      </c>
      <c r="ET97" t="s">
        <v>334</v>
      </c>
      <c r="EU97" t="s">
        <v>335</v>
      </c>
      <c r="EV97" t="s">
        <v>336</v>
      </c>
      <c r="EW97" t="s">
        <v>336</v>
      </c>
      <c r="EX97" t="s">
        <v>336</v>
      </c>
      <c r="EY97" t="s">
        <v>336</v>
      </c>
      <c r="EZ97">
        <v>0</v>
      </c>
      <c r="FA97">
        <v>100</v>
      </c>
      <c r="FB97">
        <v>100</v>
      </c>
      <c r="FC97">
        <v>8.0139999999999993</v>
      </c>
      <c r="FD97">
        <v>-0.98929999999999996</v>
      </c>
      <c r="FE97">
        <v>8.0193249999999985</v>
      </c>
      <c r="FF97">
        <v>0</v>
      </c>
      <c r="FG97">
        <v>0</v>
      </c>
      <c r="FH97">
        <v>0</v>
      </c>
      <c r="FI97">
        <v>-0.98927100000000023</v>
      </c>
      <c r="FJ97">
        <v>0</v>
      </c>
      <c r="FK97">
        <v>0</v>
      </c>
      <c r="FL97">
        <v>0</v>
      </c>
      <c r="FM97">
        <v>-1</v>
      </c>
      <c r="FN97">
        <v>-1</v>
      </c>
      <c r="FO97">
        <v>-1</v>
      </c>
      <c r="FP97">
        <v>-1</v>
      </c>
      <c r="FQ97">
        <v>0.7</v>
      </c>
      <c r="FR97">
        <v>81.2</v>
      </c>
      <c r="FS97">
        <v>0.142822</v>
      </c>
      <c r="FT97">
        <v>4.99756</v>
      </c>
      <c r="FU97">
        <v>1.5979000000000001</v>
      </c>
      <c r="FV97">
        <v>2.1557599999999999</v>
      </c>
      <c r="FW97">
        <v>1.5478499999999999</v>
      </c>
      <c r="FX97">
        <v>2.4328599999999998</v>
      </c>
      <c r="FY97">
        <v>34.054499999999997</v>
      </c>
      <c r="FZ97">
        <v>15.997</v>
      </c>
      <c r="GA97">
        <v>3</v>
      </c>
      <c r="GB97">
        <v>496.69</v>
      </c>
      <c r="GC97">
        <v>406.91699999999997</v>
      </c>
      <c r="GD97">
        <v>27.846399999999999</v>
      </c>
      <c r="GE97">
        <v>30.0533</v>
      </c>
      <c r="GF97">
        <v>30</v>
      </c>
      <c r="GG97">
        <v>30.352599999999999</v>
      </c>
      <c r="GH97">
        <v>30.404399999999999</v>
      </c>
      <c r="GI97">
        <v>-1</v>
      </c>
      <c r="GJ97">
        <v>0</v>
      </c>
      <c r="GK97">
        <v>100</v>
      </c>
      <c r="GL97">
        <v>27.842300000000002</v>
      </c>
      <c r="GM97">
        <v>432.1</v>
      </c>
      <c r="GN97">
        <v>68.912800000000004</v>
      </c>
      <c r="GO97">
        <v>102.21</v>
      </c>
      <c r="GP97">
        <v>96.498099999999994</v>
      </c>
    </row>
    <row r="98" spans="1:198" x14ac:dyDescent="0.35">
      <c r="A98">
        <v>82</v>
      </c>
      <c r="B98">
        <v>1775485899.0999999</v>
      </c>
      <c r="C98">
        <v>4860.5999999046326</v>
      </c>
      <c r="D98" t="s">
        <v>577</v>
      </c>
      <c r="E98" t="s">
        <v>578</v>
      </c>
      <c r="F98">
        <v>60</v>
      </c>
      <c r="G98">
        <v>1775485891.099999</v>
      </c>
      <c r="H98">
        <f t="shared" si="30"/>
        <v>2.4925489173484362E-3</v>
      </c>
      <c r="I98">
        <f t="shared" si="31"/>
        <v>2.4925489173484361</v>
      </c>
      <c r="J98">
        <f t="shared" si="32"/>
        <v>1.157208101332984</v>
      </c>
      <c r="K98">
        <f t="shared" si="33"/>
        <v>25.149367741935482</v>
      </c>
      <c r="L98">
        <f t="shared" si="34"/>
        <v>-3.4463104576789632</v>
      </c>
      <c r="M98">
        <f t="shared" si="35"/>
        <v>-0.34575174172702283</v>
      </c>
      <c r="N98">
        <f t="shared" si="36"/>
        <v>2.5231150260223041</v>
      </c>
      <c r="O98">
        <f t="shared" si="37"/>
        <v>6.7145846184456057E-2</v>
      </c>
      <c r="P98">
        <f t="shared" si="38"/>
        <v>2.3923570672868584</v>
      </c>
      <c r="Q98">
        <f t="shared" si="39"/>
        <v>6.6116188056745503E-2</v>
      </c>
      <c r="R98">
        <f t="shared" si="40"/>
        <v>4.1413812920774284E-2</v>
      </c>
      <c r="S98">
        <f t="shared" si="41"/>
        <v>0</v>
      </c>
      <c r="T98">
        <f t="shared" si="42"/>
        <v>26.52054801259963</v>
      </c>
      <c r="U98">
        <f t="shared" si="43"/>
        <v>27.391812903225819</v>
      </c>
      <c r="V98">
        <f t="shared" si="44"/>
        <v>3.6623557712504344</v>
      </c>
      <c r="W98">
        <f t="shared" si="45"/>
        <v>-1.4217895397691618</v>
      </c>
      <c r="X98">
        <f t="shared" si="46"/>
        <v>-5.1798023589890579E-2</v>
      </c>
      <c r="Y98">
        <f t="shared" si="47"/>
        <v>3.643156890737878</v>
      </c>
      <c r="Z98">
        <f t="shared" si="48"/>
        <v>3.7141537948403252</v>
      </c>
      <c r="AA98">
        <f t="shared" si="49"/>
        <v>-109.92140725506603</v>
      </c>
      <c r="AB98">
        <f t="shared" si="50"/>
        <v>-11.572127231101071</v>
      </c>
      <c r="AC98">
        <f t="shared" si="51"/>
        <v>-1.047533939066684</v>
      </c>
      <c r="AD98">
        <f t="shared" si="52"/>
        <v>-122.54106842523379</v>
      </c>
      <c r="AE98">
        <v>14</v>
      </c>
      <c r="AF98">
        <v>3</v>
      </c>
      <c r="AG98">
        <f t="shared" si="53"/>
        <v>1</v>
      </c>
      <c r="AH98">
        <f t="shared" si="54"/>
        <v>0</v>
      </c>
      <c r="AI98">
        <f t="shared" si="55"/>
        <v>25551.748310182717</v>
      </c>
      <c r="AJ98">
        <f t="shared" si="56"/>
        <v>0</v>
      </c>
      <c r="AK98">
        <f t="shared" si="57"/>
        <v>0</v>
      </c>
      <c r="AL98">
        <f t="shared" si="58"/>
        <v>0</v>
      </c>
      <c r="AM98">
        <f t="shared" si="59"/>
        <v>0</v>
      </c>
      <c r="AN98">
        <v>3</v>
      </c>
      <c r="AO98">
        <v>0.5</v>
      </c>
      <c r="AP98" t="s">
        <v>331</v>
      </c>
      <c r="AQ98">
        <v>2</v>
      </c>
      <c r="AR98">
        <v>1775485891.099999</v>
      </c>
      <c r="AS98">
        <v>25.149367741935482</v>
      </c>
      <c r="AT98">
        <v>25.881293548387099</v>
      </c>
      <c r="AU98">
        <v>-0.51630129032258065</v>
      </c>
      <c r="AV98">
        <v>-2.0125809677419348</v>
      </c>
      <c r="AW98">
        <v>17.151367741935481</v>
      </c>
      <c r="AX98">
        <v>0.47296967741935492</v>
      </c>
      <c r="AY98">
        <v>500.00729032258067</v>
      </c>
      <c r="AZ98">
        <v>100.28248387096779</v>
      </c>
      <c r="BA98">
        <v>4.2703303225806448E-2</v>
      </c>
      <c r="BB98">
        <v>27.302090322580639</v>
      </c>
      <c r="BC98">
        <v>27.391812903225819</v>
      </c>
      <c r="BD98">
        <v>999.90000000000032</v>
      </c>
      <c r="BE98">
        <v>0</v>
      </c>
      <c r="BF98">
        <v>0</v>
      </c>
      <c r="BG98">
        <v>4997.0322580645161</v>
      </c>
      <c r="BH98">
        <v>0.38580283870967752</v>
      </c>
      <c r="BI98">
        <v>0.22961599999999999</v>
      </c>
      <c r="BJ98">
        <v>-0.71606564516129023</v>
      </c>
      <c r="BK98">
        <v>25.152248387096769</v>
      </c>
      <c r="BL98">
        <v>25.82930967741936</v>
      </c>
      <c r="BM98">
        <v>1.496279677419355</v>
      </c>
      <c r="BN98">
        <v>25.881293548387099</v>
      </c>
      <c r="BO98">
        <v>-2.0125809677419348</v>
      </c>
      <c r="BP98">
        <v>-5.1776009677419361E-2</v>
      </c>
      <c r="BQ98">
        <v>-0.20182670967741939</v>
      </c>
      <c r="BR98">
        <v>-99.900000000000034</v>
      </c>
      <c r="BS98">
        <v>-99.900000000000034</v>
      </c>
      <c r="BT98">
        <v>0</v>
      </c>
      <c r="BU98">
        <v>0</v>
      </c>
      <c r="BV98">
        <v>0</v>
      </c>
      <c r="BW98">
        <v>26</v>
      </c>
      <c r="BX98">
        <v>-1</v>
      </c>
      <c r="BY98">
        <v>1775485916.0999999</v>
      </c>
      <c r="BZ98" t="s">
        <v>579</v>
      </c>
      <c r="CA98">
        <v>1775485916.0999999</v>
      </c>
      <c r="CB98">
        <v>1775480969.5</v>
      </c>
      <c r="CC98">
        <v>83</v>
      </c>
      <c r="CD98">
        <v>-1.6E-2</v>
      </c>
      <c r="CE98">
        <v>0.19500000000000001</v>
      </c>
      <c r="CF98">
        <v>7.9980000000000002</v>
      </c>
      <c r="CG98">
        <v>-0.98899999999999999</v>
      </c>
      <c r="CH98">
        <v>25</v>
      </c>
      <c r="CI98">
        <v>-3</v>
      </c>
      <c r="CJ98">
        <v>0.17</v>
      </c>
      <c r="CK98">
        <v>0.06</v>
      </c>
      <c r="CL98">
        <v>25.712591803278681</v>
      </c>
      <c r="CM98">
        <v>1.404305869910081</v>
      </c>
      <c r="CN98">
        <v>0.24055958962868651</v>
      </c>
      <c r="CO98">
        <v>-1</v>
      </c>
      <c r="CP98">
        <v>500.01095081967208</v>
      </c>
      <c r="CQ98">
        <v>-4.9275515599564973E-2</v>
      </c>
      <c r="CR98">
        <v>5.3911410705402091E-2</v>
      </c>
      <c r="CS98">
        <v>-1</v>
      </c>
      <c r="CT98">
        <v>0</v>
      </c>
      <c r="CU98">
        <v>0</v>
      </c>
      <c r="CV98" t="s">
        <v>333</v>
      </c>
      <c r="CW98">
        <v>3.1674099999999998</v>
      </c>
      <c r="CX98">
        <v>2.6642600000000001</v>
      </c>
      <c r="CY98">
        <v>5.143E-3</v>
      </c>
      <c r="CZ98">
        <v>7.6053800000000001E-3</v>
      </c>
      <c r="DA98">
        <v>3.76729E-3</v>
      </c>
      <c r="DB98">
        <v>-1.8685799999999999E-2</v>
      </c>
      <c r="DC98">
        <v>21463.599999999999</v>
      </c>
      <c r="DD98">
        <v>21794.2</v>
      </c>
      <c r="DE98">
        <v>23102.799999999999</v>
      </c>
      <c r="DF98">
        <v>22314.7</v>
      </c>
      <c r="DG98">
        <v>29681.8</v>
      </c>
      <c r="DH98">
        <v>27108.3</v>
      </c>
      <c r="DI98">
        <v>40606</v>
      </c>
      <c r="DJ98">
        <v>36980.800000000003</v>
      </c>
      <c r="DK98">
        <v>2.08216</v>
      </c>
      <c r="DL98">
        <v>1.79942</v>
      </c>
      <c r="DM98">
        <v>1.9365500000000001E-2</v>
      </c>
      <c r="DN98">
        <v>0</v>
      </c>
      <c r="DO98">
        <v>27.0776</v>
      </c>
      <c r="DP98">
        <v>999.9</v>
      </c>
      <c r="DQ98">
        <v>77.599999999999994</v>
      </c>
      <c r="DR98">
        <v>29.6</v>
      </c>
      <c r="DS98">
        <v>32.218800000000002</v>
      </c>
      <c r="DT98">
        <v>30.464600000000001</v>
      </c>
      <c r="DU98">
        <v>9.7796500000000002</v>
      </c>
      <c r="DV98">
        <v>1</v>
      </c>
      <c r="DW98">
        <v>0.22536200000000001</v>
      </c>
      <c r="DX98">
        <v>-7.7520699999999998E-2</v>
      </c>
      <c r="DY98">
        <v>20.367699999999999</v>
      </c>
      <c r="DZ98">
        <v>5.2104600000000003</v>
      </c>
      <c r="EA98">
        <v>11.8482</v>
      </c>
      <c r="EB98">
        <v>4.9678000000000004</v>
      </c>
      <c r="EC98">
        <v>3.2922600000000002</v>
      </c>
      <c r="ED98">
        <v>894.7</v>
      </c>
      <c r="EE98">
        <v>0</v>
      </c>
      <c r="EF98">
        <v>6409.9</v>
      </c>
      <c r="EG98">
        <v>110.2</v>
      </c>
      <c r="EH98">
        <v>4.9716300000000002</v>
      </c>
      <c r="EI98">
        <v>1.8717999999999999</v>
      </c>
      <c r="EJ98">
        <v>1.86894</v>
      </c>
      <c r="EK98">
        <v>1.8713500000000001</v>
      </c>
      <c r="EL98">
        <v>1.8690899999999999</v>
      </c>
      <c r="EM98">
        <v>1.8681300000000001</v>
      </c>
      <c r="EN98">
        <v>1.8699399999999999</v>
      </c>
      <c r="EO98">
        <v>1.87171</v>
      </c>
      <c r="EP98">
        <v>0</v>
      </c>
      <c r="EQ98">
        <v>0</v>
      </c>
      <c r="ER98">
        <v>0</v>
      </c>
      <c r="ES98">
        <v>0</v>
      </c>
      <c r="ET98" t="s">
        <v>334</v>
      </c>
      <c r="EU98" t="s">
        <v>335</v>
      </c>
      <c r="EV98" t="s">
        <v>336</v>
      </c>
      <c r="EW98" t="s">
        <v>336</v>
      </c>
      <c r="EX98" t="s">
        <v>336</v>
      </c>
      <c r="EY98" t="s">
        <v>336</v>
      </c>
      <c r="EZ98">
        <v>0</v>
      </c>
      <c r="FA98">
        <v>100</v>
      </c>
      <c r="FB98">
        <v>100</v>
      </c>
      <c r="FC98">
        <v>7.9980000000000002</v>
      </c>
      <c r="FD98">
        <v>-0.98929999999999996</v>
      </c>
      <c r="FE98">
        <v>8.0138600000000046</v>
      </c>
      <c r="FF98">
        <v>0</v>
      </c>
      <c r="FG98">
        <v>0</v>
      </c>
      <c r="FH98">
        <v>0</v>
      </c>
      <c r="FI98">
        <v>-0.98927100000000023</v>
      </c>
      <c r="FJ98">
        <v>0</v>
      </c>
      <c r="FK98">
        <v>0</v>
      </c>
      <c r="FL98">
        <v>0</v>
      </c>
      <c r="FM98">
        <v>-1</v>
      </c>
      <c r="FN98">
        <v>-1</v>
      </c>
      <c r="FO98">
        <v>-1</v>
      </c>
      <c r="FP98">
        <v>-1</v>
      </c>
      <c r="FQ98">
        <v>0.7</v>
      </c>
      <c r="FR98">
        <v>82.2</v>
      </c>
      <c r="FS98">
        <v>0.142822</v>
      </c>
      <c r="FT98">
        <v>4.99756</v>
      </c>
      <c r="FU98">
        <v>1.5979000000000001</v>
      </c>
      <c r="FV98">
        <v>2.1557599999999999</v>
      </c>
      <c r="FW98">
        <v>1.5478499999999999</v>
      </c>
      <c r="FX98">
        <v>2.4536099999999998</v>
      </c>
      <c r="FY98">
        <v>34.077100000000002</v>
      </c>
      <c r="FZ98">
        <v>15.988300000000001</v>
      </c>
      <c r="GA98">
        <v>3</v>
      </c>
      <c r="GB98">
        <v>496.62799999999999</v>
      </c>
      <c r="GC98">
        <v>406.83699999999999</v>
      </c>
      <c r="GD98">
        <v>27.8354</v>
      </c>
      <c r="GE98">
        <v>30.056000000000001</v>
      </c>
      <c r="GF98">
        <v>30.0001</v>
      </c>
      <c r="GG98">
        <v>30.3552</v>
      </c>
      <c r="GH98">
        <v>30.404399999999999</v>
      </c>
      <c r="GI98">
        <v>-1</v>
      </c>
      <c r="GJ98">
        <v>0</v>
      </c>
      <c r="GK98">
        <v>100</v>
      </c>
      <c r="GL98">
        <v>27.835699999999999</v>
      </c>
      <c r="GM98">
        <v>432.1</v>
      </c>
      <c r="GN98">
        <v>68.912800000000004</v>
      </c>
      <c r="GO98">
        <v>102.208</v>
      </c>
      <c r="GP98">
        <v>96.497</v>
      </c>
    </row>
    <row r="99" spans="1:198" x14ac:dyDescent="0.35">
      <c r="A99">
        <v>83</v>
      </c>
      <c r="B99">
        <v>1775485959.0999999</v>
      </c>
      <c r="C99">
        <v>4920.5999999046326</v>
      </c>
      <c r="D99" t="s">
        <v>580</v>
      </c>
      <c r="E99" t="s">
        <v>581</v>
      </c>
      <c r="F99">
        <v>60</v>
      </c>
      <c r="G99">
        <v>1775485951.099999</v>
      </c>
      <c r="H99">
        <f t="shared" si="30"/>
        <v>2.4707466421306492E-3</v>
      </c>
      <c r="I99">
        <f t="shared" si="31"/>
        <v>2.4707466421306492</v>
      </c>
      <c r="J99">
        <f t="shared" si="32"/>
        <v>0.95408733374372423</v>
      </c>
      <c r="K99">
        <f t="shared" si="33"/>
        <v>25.195103225806459</v>
      </c>
      <c r="L99">
        <f t="shared" si="34"/>
        <v>1.1714634330010774</v>
      </c>
      <c r="M99">
        <f t="shared" si="35"/>
        <v>0.11752835957755982</v>
      </c>
      <c r="N99">
        <f t="shared" si="36"/>
        <v>2.5277264898746483</v>
      </c>
      <c r="O99">
        <f t="shared" si="37"/>
        <v>6.658250092859988E-2</v>
      </c>
      <c r="P99">
        <f t="shared" si="38"/>
        <v>2.3900717049436935</v>
      </c>
      <c r="Q99">
        <f t="shared" si="39"/>
        <v>6.5568954920536243E-2</v>
      </c>
      <c r="R99">
        <f t="shared" si="40"/>
        <v>4.1070374650621896E-2</v>
      </c>
      <c r="S99">
        <f t="shared" si="41"/>
        <v>0</v>
      </c>
      <c r="T99">
        <f t="shared" si="42"/>
        <v>26.518299495998036</v>
      </c>
      <c r="U99">
        <f t="shared" si="43"/>
        <v>27.380425806451619</v>
      </c>
      <c r="V99">
        <f t="shared" si="44"/>
        <v>3.6599142731388179</v>
      </c>
      <c r="W99">
        <f t="shared" si="45"/>
        <v>-1.4437957466819307</v>
      </c>
      <c r="X99">
        <f t="shared" si="46"/>
        <v>-5.2573857973964924E-2</v>
      </c>
      <c r="Y99">
        <f t="shared" si="47"/>
        <v>3.6413639598806067</v>
      </c>
      <c r="Z99">
        <f t="shared" si="48"/>
        <v>3.7124881311127829</v>
      </c>
      <c r="AA99">
        <f t="shared" si="49"/>
        <v>-108.95992691796162</v>
      </c>
      <c r="AB99">
        <f t="shared" si="50"/>
        <v>-11.176174639718036</v>
      </c>
      <c r="AC99">
        <f t="shared" si="51"/>
        <v>-1.0125587544851189</v>
      </c>
      <c r="AD99">
        <f t="shared" si="52"/>
        <v>-121.14866031216478</v>
      </c>
      <c r="AE99">
        <v>14</v>
      </c>
      <c r="AF99">
        <v>3</v>
      </c>
      <c r="AG99">
        <f t="shared" si="53"/>
        <v>1</v>
      </c>
      <c r="AH99">
        <f t="shared" si="54"/>
        <v>0</v>
      </c>
      <c r="AI99">
        <f t="shared" si="55"/>
        <v>25517.667188358879</v>
      </c>
      <c r="AJ99">
        <f t="shared" si="56"/>
        <v>0</v>
      </c>
      <c r="AK99">
        <f t="shared" si="57"/>
        <v>0</v>
      </c>
      <c r="AL99">
        <f t="shared" si="58"/>
        <v>0</v>
      </c>
      <c r="AM99">
        <f t="shared" si="59"/>
        <v>0</v>
      </c>
      <c r="AN99">
        <v>3</v>
      </c>
      <c r="AO99">
        <v>0.5</v>
      </c>
      <c r="AP99" t="s">
        <v>331</v>
      </c>
      <c r="AQ99">
        <v>2</v>
      </c>
      <c r="AR99">
        <v>1775485951.099999</v>
      </c>
      <c r="AS99">
        <v>25.195103225806459</v>
      </c>
      <c r="AT99">
        <v>25.80492580645161</v>
      </c>
      <c r="AU99">
        <v>-0.52402970967741935</v>
      </c>
      <c r="AV99">
        <v>-2.007302580645161</v>
      </c>
      <c r="AW99">
        <v>17.197103225806451</v>
      </c>
      <c r="AX99">
        <v>0.46524132258064521</v>
      </c>
      <c r="AY99">
        <v>499.98380645161279</v>
      </c>
      <c r="AZ99">
        <v>100.2836774193548</v>
      </c>
      <c r="BA99">
        <v>4.2424332258064523E-2</v>
      </c>
      <c r="BB99">
        <v>27.293690322580641</v>
      </c>
      <c r="BC99">
        <v>27.380425806451619</v>
      </c>
      <c r="BD99">
        <v>999.90000000000032</v>
      </c>
      <c r="BE99">
        <v>0</v>
      </c>
      <c r="BF99">
        <v>0</v>
      </c>
      <c r="BG99">
        <v>4991.0967741935483</v>
      </c>
      <c r="BH99">
        <v>0.3591069354838709</v>
      </c>
      <c r="BI99">
        <v>0.23331922580645159</v>
      </c>
      <c r="BJ99">
        <v>-0.60997212903225795</v>
      </c>
      <c r="BK99">
        <v>25.181754838709679</v>
      </c>
      <c r="BL99">
        <v>25.75324516129033</v>
      </c>
      <c r="BM99">
        <v>1.483271612903226</v>
      </c>
      <c r="BN99">
        <v>25.80492580645161</v>
      </c>
      <c r="BO99">
        <v>-2.007302580645161</v>
      </c>
      <c r="BP99">
        <v>-5.2551619354838701E-2</v>
      </c>
      <c r="BQ99">
        <v>-0.20129958064516129</v>
      </c>
      <c r="BR99">
        <v>-99.900000000000034</v>
      </c>
      <c r="BS99">
        <v>-99.900000000000034</v>
      </c>
      <c r="BT99">
        <v>0</v>
      </c>
      <c r="BU99">
        <v>0</v>
      </c>
      <c r="BV99">
        <v>0</v>
      </c>
      <c r="BW99">
        <v>26</v>
      </c>
      <c r="BX99">
        <v>-1</v>
      </c>
      <c r="BY99">
        <v>1775485984.0999999</v>
      </c>
      <c r="BZ99" t="s">
        <v>582</v>
      </c>
      <c r="CA99">
        <v>1775485984.0999999</v>
      </c>
      <c r="CB99">
        <v>1775480969.5</v>
      </c>
      <c r="CC99">
        <v>84</v>
      </c>
      <c r="CD99">
        <v>0</v>
      </c>
      <c r="CE99">
        <v>0.19500000000000001</v>
      </c>
      <c r="CF99">
        <v>7.9980000000000002</v>
      </c>
      <c r="CG99">
        <v>-0.98899999999999999</v>
      </c>
      <c r="CH99">
        <v>26</v>
      </c>
      <c r="CI99">
        <v>-3</v>
      </c>
      <c r="CJ99">
        <v>0.33</v>
      </c>
      <c r="CK99">
        <v>0.06</v>
      </c>
      <c r="CL99">
        <v>25.743368852459021</v>
      </c>
      <c r="CM99">
        <v>0.53955579058694381</v>
      </c>
      <c r="CN99">
        <v>0.18423591748659029</v>
      </c>
      <c r="CO99">
        <v>-1</v>
      </c>
      <c r="CP99">
        <v>499.99880327868851</v>
      </c>
      <c r="CQ99">
        <v>-4.7701745108400327E-2</v>
      </c>
      <c r="CR99">
        <v>5.6152257789194741E-2</v>
      </c>
      <c r="CS99">
        <v>-1</v>
      </c>
      <c r="CT99">
        <v>0</v>
      </c>
      <c r="CU99">
        <v>0</v>
      </c>
      <c r="CV99" t="s">
        <v>333</v>
      </c>
      <c r="CW99">
        <v>3.1675</v>
      </c>
      <c r="CX99">
        <v>2.6639300000000001</v>
      </c>
      <c r="CY99">
        <v>5.1254999999999998E-3</v>
      </c>
      <c r="CZ99">
        <v>7.6857799999999997E-3</v>
      </c>
      <c r="DA99">
        <v>3.7306800000000001E-3</v>
      </c>
      <c r="DB99">
        <v>-1.8631200000000001E-2</v>
      </c>
      <c r="DC99">
        <v>21463.599999999999</v>
      </c>
      <c r="DD99">
        <v>21791.8</v>
      </c>
      <c r="DE99">
        <v>23102.5</v>
      </c>
      <c r="DF99">
        <v>22314</v>
      </c>
      <c r="DG99">
        <v>29682.3</v>
      </c>
      <c r="DH99">
        <v>27106.2</v>
      </c>
      <c r="DI99">
        <v>40605.1</v>
      </c>
      <c r="DJ99">
        <v>36980</v>
      </c>
      <c r="DK99">
        <v>2.0823200000000002</v>
      </c>
      <c r="DL99">
        <v>1.79918</v>
      </c>
      <c r="DM99">
        <v>1.88947E-2</v>
      </c>
      <c r="DN99">
        <v>0</v>
      </c>
      <c r="DO99">
        <v>27.072399999999998</v>
      </c>
      <c r="DP99">
        <v>999.9</v>
      </c>
      <c r="DQ99">
        <v>77.5</v>
      </c>
      <c r="DR99">
        <v>29.6</v>
      </c>
      <c r="DS99">
        <v>32.176699999999997</v>
      </c>
      <c r="DT99">
        <v>30.314599999999999</v>
      </c>
      <c r="DU99">
        <v>9.7556100000000008</v>
      </c>
      <c r="DV99">
        <v>1</v>
      </c>
      <c r="DW99">
        <v>0.22573599999999999</v>
      </c>
      <c r="DX99">
        <v>-0.137264</v>
      </c>
      <c r="DY99">
        <v>20.367899999999999</v>
      </c>
      <c r="DZ99">
        <v>5.2117800000000001</v>
      </c>
      <c r="EA99">
        <v>11.848699999999999</v>
      </c>
      <c r="EB99">
        <v>4.9677199999999999</v>
      </c>
      <c r="EC99">
        <v>3.2921999999999998</v>
      </c>
      <c r="ED99">
        <v>894.7</v>
      </c>
      <c r="EE99">
        <v>0</v>
      </c>
      <c r="EF99">
        <v>6441.7</v>
      </c>
      <c r="EG99">
        <v>110.2</v>
      </c>
      <c r="EH99">
        <v>4.9716100000000001</v>
      </c>
      <c r="EI99">
        <v>1.8717999999999999</v>
      </c>
      <c r="EJ99">
        <v>1.8689199999999999</v>
      </c>
      <c r="EK99">
        <v>1.8713500000000001</v>
      </c>
      <c r="EL99">
        <v>1.8690899999999999</v>
      </c>
      <c r="EM99">
        <v>1.86812</v>
      </c>
      <c r="EN99">
        <v>1.8698999999999999</v>
      </c>
      <c r="EO99">
        <v>1.8717200000000001</v>
      </c>
      <c r="EP99">
        <v>0</v>
      </c>
      <c r="EQ99">
        <v>0</v>
      </c>
      <c r="ER99">
        <v>0</v>
      </c>
      <c r="ES99">
        <v>0</v>
      </c>
      <c r="ET99" t="s">
        <v>334</v>
      </c>
      <c r="EU99" t="s">
        <v>335</v>
      </c>
      <c r="EV99" t="s">
        <v>336</v>
      </c>
      <c r="EW99" t="s">
        <v>336</v>
      </c>
      <c r="EX99" t="s">
        <v>336</v>
      </c>
      <c r="EY99" t="s">
        <v>336</v>
      </c>
      <c r="EZ99">
        <v>0</v>
      </c>
      <c r="FA99">
        <v>100</v>
      </c>
      <c r="FB99">
        <v>100</v>
      </c>
      <c r="FC99">
        <v>7.9980000000000002</v>
      </c>
      <c r="FD99">
        <v>-0.98929999999999996</v>
      </c>
      <c r="FE99">
        <v>7.9978549999999977</v>
      </c>
      <c r="FF99">
        <v>0</v>
      </c>
      <c r="FG99">
        <v>0</v>
      </c>
      <c r="FH99">
        <v>0</v>
      </c>
      <c r="FI99">
        <v>-0.98927100000000023</v>
      </c>
      <c r="FJ99">
        <v>0</v>
      </c>
      <c r="FK99">
        <v>0</v>
      </c>
      <c r="FL99">
        <v>0</v>
      </c>
      <c r="FM99">
        <v>-1</v>
      </c>
      <c r="FN99">
        <v>-1</v>
      </c>
      <c r="FO99">
        <v>-1</v>
      </c>
      <c r="FP99">
        <v>-1</v>
      </c>
      <c r="FQ99">
        <v>0.7</v>
      </c>
      <c r="FR99">
        <v>83.2</v>
      </c>
      <c r="FS99">
        <v>0.142822</v>
      </c>
      <c r="FT99">
        <v>4.99756</v>
      </c>
      <c r="FU99">
        <v>1.5979000000000001</v>
      </c>
      <c r="FV99">
        <v>2.1557599999999999</v>
      </c>
      <c r="FW99">
        <v>1.5478499999999999</v>
      </c>
      <c r="FX99">
        <v>2.4645999999999999</v>
      </c>
      <c r="FY99">
        <v>34.099800000000002</v>
      </c>
      <c r="FZ99">
        <v>15.988300000000001</v>
      </c>
      <c r="GA99">
        <v>3</v>
      </c>
      <c r="GB99">
        <v>496.73599999999999</v>
      </c>
      <c r="GC99">
        <v>406.71499999999997</v>
      </c>
      <c r="GD99">
        <v>27.865300000000001</v>
      </c>
      <c r="GE99">
        <v>30.058499999999999</v>
      </c>
      <c r="GF99">
        <v>30.0001</v>
      </c>
      <c r="GG99">
        <v>30.357099999999999</v>
      </c>
      <c r="GH99">
        <v>30.4069</v>
      </c>
      <c r="GI99">
        <v>-1</v>
      </c>
      <c r="GJ99">
        <v>0</v>
      </c>
      <c r="GK99">
        <v>100</v>
      </c>
      <c r="GL99">
        <v>27.8718</v>
      </c>
      <c r="GM99">
        <v>432.1</v>
      </c>
      <c r="GN99">
        <v>68.912800000000004</v>
      </c>
      <c r="GO99">
        <v>102.206</v>
      </c>
      <c r="GP99">
        <v>96.494600000000005</v>
      </c>
    </row>
    <row r="100" spans="1:198" x14ac:dyDescent="0.35">
      <c r="A100">
        <v>84</v>
      </c>
      <c r="B100">
        <v>1775486019.0999999</v>
      </c>
      <c r="C100">
        <v>4980.5999999046326</v>
      </c>
      <c r="D100" t="s">
        <v>583</v>
      </c>
      <c r="E100" t="s">
        <v>584</v>
      </c>
      <c r="F100">
        <v>60</v>
      </c>
      <c r="G100">
        <v>1775486011.099999</v>
      </c>
      <c r="H100">
        <f t="shared" si="30"/>
        <v>2.4568721546078926E-3</v>
      </c>
      <c r="I100">
        <f t="shared" si="31"/>
        <v>2.4568721546078924</v>
      </c>
      <c r="J100">
        <f t="shared" si="32"/>
        <v>0.89464100679904091</v>
      </c>
      <c r="K100">
        <f t="shared" si="33"/>
        <v>25.780906451612911</v>
      </c>
      <c r="L100">
        <f t="shared" si="34"/>
        <v>2.9987800250033572</v>
      </c>
      <c r="M100">
        <f t="shared" si="35"/>
        <v>0.3008621626464007</v>
      </c>
      <c r="N100">
        <f t="shared" si="36"/>
        <v>2.5865515994318793</v>
      </c>
      <c r="O100">
        <f t="shared" si="37"/>
        <v>6.617139454244847E-2</v>
      </c>
      <c r="P100">
        <f t="shared" si="38"/>
        <v>2.3953926041383857</v>
      </c>
      <c r="Q100">
        <f t="shared" si="39"/>
        <v>6.5172412194024545E-2</v>
      </c>
      <c r="R100">
        <f t="shared" si="40"/>
        <v>4.0821255862849459E-2</v>
      </c>
      <c r="S100">
        <f t="shared" si="41"/>
        <v>0</v>
      </c>
      <c r="T100">
        <f t="shared" si="42"/>
        <v>26.534453573165163</v>
      </c>
      <c r="U100">
        <f t="shared" si="43"/>
        <v>27.386374193548381</v>
      </c>
      <c r="V100">
        <f t="shared" si="44"/>
        <v>3.6611894846891562</v>
      </c>
      <c r="W100">
        <f t="shared" si="45"/>
        <v>-1.4539445960942488</v>
      </c>
      <c r="X100">
        <f t="shared" si="46"/>
        <v>-5.2975140342195054E-2</v>
      </c>
      <c r="Y100">
        <f t="shared" si="47"/>
        <v>3.6435460116226506</v>
      </c>
      <c r="Z100">
        <f t="shared" si="48"/>
        <v>3.7141646250313514</v>
      </c>
      <c r="AA100">
        <f t="shared" si="49"/>
        <v>-108.34806201820807</v>
      </c>
      <c r="AB100">
        <f t="shared" si="50"/>
        <v>-10.649084517666759</v>
      </c>
      <c r="AC100">
        <f t="shared" si="51"/>
        <v>-0.96273913814177614</v>
      </c>
      <c r="AD100">
        <f t="shared" si="52"/>
        <v>-119.9598856740166</v>
      </c>
      <c r="AE100">
        <v>14</v>
      </c>
      <c r="AF100">
        <v>3</v>
      </c>
      <c r="AG100">
        <f t="shared" si="53"/>
        <v>1</v>
      </c>
      <c r="AH100">
        <f t="shared" si="54"/>
        <v>0</v>
      </c>
      <c r="AI100">
        <f t="shared" si="55"/>
        <v>25597.636427764784</v>
      </c>
      <c r="AJ100">
        <f t="shared" si="56"/>
        <v>0</v>
      </c>
      <c r="AK100">
        <f t="shared" si="57"/>
        <v>0</v>
      </c>
      <c r="AL100">
        <f t="shared" si="58"/>
        <v>0</v>
      </c>
      <c r="AM100">
        <f t="shared" si="59"/>
        <v>0</v>
      </c>
      <c r="AN100">
        <v>3</v>
      </c>
      <c r="AO100">
        <v>0.5</v>
      </c>
      <c r="AP100" t="s">
        <v>331</v>
      </c>
      <c r="AQ100">
        <v>2</v>
      </c>
      <c r="AR100">
        <v>1775486011.099999</v>
      </c>
      <c r="AS100">
        <v>25.780906451612911</v>
      </c>
      <c r="AT100">
        <v>26.355699999999999</v>
      </c>
      <c r="AU100">
        <v>-0.52801851612903217</v>
      </c>
      <c r="AV100">
        <v>-2.0029322580645159</v>
      </c>
      <c r="AW100">
        <v>17.758906451612901</v>
      </c>
      <c r="AX100">
        <v>0.46125245161290318</v>
      </c>
      <c r="AY100">
        <v>499.9959032258065</v>
      </c>
      <c r="AZ100">
        <v>100.28541935483869</v>
      </c>
      <c r="BA100">
        <v>4.2767487096774193E-2</v>
      </c>
      <c r="BB100">
        <v>27.303912903225822</v>
      </c>
      <c r="BC100">
        <v>27.386374193548381</v>
      </c>
      <c r="BD100">
        <v>999.90000000000032</v>
      </c>
      <c r="BE100">
        <v>0</v>
      </c>
      <c r="BF100">
        <v>0</v>
      </c>
      <c r="BG100">
        <v>5004.6935483870966</v>
      </c>
      <c r="BH100">
        <v>0.35778103225806451</v>
      </c>
      <c r="BI100">
        <v>0.2314305806451612</v>
      </c>
      <c r="BJ100">
        <v>-0.59863425806451631</v>
      </c>
      <c r="BK100">
        <v>25.743477419354839</v>
      </c>
      <c r="BL100">
        <v>26.30302903225807</v>
      </c>
      <c r="BM100">
        <v>1.474914516129032</v>
      </c>
      <c r="BN100">
        <v>26.355699999999999</v>
      </c>
      <c r="BO100">
        <v>-2.0029322580645159</v>
      </c>
      <c r="BP100">
        <v>-5.2952558064516132E-2</v>
      </c>
      <c r="BQ100">
        <v>-0.20086496774193541</v>
      </c>
      <c r="BR100">
        <v>-99.900000000000034</v>
      </c>
      <c r="BS100">
        <v>-99.900000000000034</v>
      </c>
      <c r="BT100">
        <v>0</v>
      </c>
      <c r="BU100">
        <v>0</v>
      </c>
      <c r="BV100">
        <v>0</v>
      </c>
      <c r="BW100">
        <v>26</v>
      </c>
      <c r="BX100">
        <v>-1</v>
      </c>
      <c r="BY100">
        <v>1775486035.0999999</v>
      </c>
      <c r="BZ100" t="s">
        <v>585</v>
      </c>
      <c r="CA100">
        <v>1775486035.0999999</v>
      </c>
      <c r="CB100">
        <v>1775480969.5</v>
      </c>
      <c r="CC100">
        <v>85</v>
      </c>
      <c r="CD100">
        <v>2.3E-2</v>
      </c>
      <c r="CE100">
        <v>0.19500000000000001</v>
      </c>
      <c r="CF100">
        <v>8.0220000000000002</v>
      </c>
      <c r="CG100">
        <v>-0.98899999999999999</v>
      </c>
      <c r="CH100">
        <v>27</v>
      </c>
      <c r="CI100">
        <v>-3</v>
      </c>
      <c r="CJ100">
        <v>0.17</v>
      </c>
      <c r="CK100">
        <v>0.06</v>
      </c>
      <c r="CL100">
        <v>26.379076666666659</v>
      </c>
      <c r="CM100">
        <v>-0.20137993887190489</v>
      </c>
      <c r="CN100">
        <v>0.11074931958657321</v>
      </c>
      <c r="CO100">
        <v>-1</v>
      </c>
      <c r="CP100">
        <v>500.45726666666673</v>
      </c>
      <c r="CQ100">
        <v>-4.8857704918032274</v>
      </c>
      <c r="CR100">
        <v>1.2272044093068699</v>
      </c>
      <c r="CS100">
        <v>-1</v>
      </c>
      <c r="CT100">
        <v>0</v>
      </c>
      <c r="CU100">
        <v>0</v>
      </c>
      <c r="CV100" t="s">
        <v>333</v>
      </c>
      <c r="CW100">
        <v>3.1674500000000001</v>
      </c>
      <c r="CX100">
        <v>2.66398</v>
      </c>
      <c r="CY100">
        <v>5.3174199999999998E-3</v>
      </c>
      <c r="CZ100">
        <v>7.8646099999999993E-3</v>
      </c>
      <c r="DA100">
        <v>3.72157E-3</v>
      </c>
      <c r="DB100">
        <v>-1.85617E-2</v>
      </c>
      <c r="DC100">
        <v>21459.599999999999</v>
      </c>
      <c r="DD100">
        <v>21787.9</v>
      </c>
      <c r="DE100">
        <v>23102.6</v>
      </c>
      <c r="DF100">
        <v>22314.1</v>
      </c>
      <c r="DG100">
        <v>29683</v>
      </c>
      <c r="DH100">
        <v>27104.3</v>
      </c>
      <c r="DI100">
        <v>40605.699999999997</v>
      </c>
      <c r="DJ100">
        <v>36979.9</v>
      </c>
      <c r="DK100">
        <v>2.0821399999999999</v>
      </c>
      <c r="DL100">
        <v>1.7991600000000001</v>
      </c>
      <c r="DM100">
        <v>1.9472799999999998E-2</v>
      </c>
      <c r="DN100">
        <v>0</v>
      </c>
      <c r="DO100">
        <v>27.068000000000001</v>
      </c>
      <c r="DP100">
        <v>999.9</v>
      </c>
      <c r="DQ100">
        <v>77.5</v>
      </c>
      <c r="DR100">
        <v>29.6</v>
      </c>
      <c r="DS100">
        <v>32.174199999999999</v>
      </c>
      <c r="DT100">
        <v>30.7346</v>
      </c>
      <c r="DU100">
        <v>9.9359000000000002</v>
      </c>
      <c r="DV100">
        <v>1</v>
      </c>
      <c r="DW100">
        <v>0.225581</v>
      </c>
      <c r="DX100">
        <v>-8.2492399999999994E-2</v>
      </c>
      <c r="DY100">
        <v>20.3673</v>
      </c>
      <c r="DZ100">
        <v>5.2093800000000003</v>
      </c>
      <c r="EA100">
        <v>11.8485</v>
      </c>
      <c r="EB100">
        <v>4.9672799999999997</v>
      </c>
      <c r="EC100">
        <v>3.29156</v>
      </c>
      <c r="ED100">
        <v>894.7</v>
      </c>
      <c r="EE100">
        <v>0</v>
      </c>
      <c r="EF100">
        <v>6472.3</v>
      </c>
      <c r="EG100">
        <v>110.2</v>
      </c>
      <c r="EH100">
        <v>4.9716300000000002</v>
      </c>
      <c r="EI100">
        <v>1.8717999999999999</v>
      </c>
      <c r="EJ100">
        <v>1.86896</v>
      </c>
      <c r="EK100">
        <v>1.8713599999999999</v>
      </c>
      <c r="EL100">
        <v>1.86914</v>
      </c>
      <c r="EM100">
        <v>1.8681099999999999</v>
      </c>
      <c r="EN100">
        <v>1.8699399999999999</v>
      </c>
      <c r="EO100">
        <v>1.87175</v>
      </c>
      <c r="EP100">
        <v>0</v>
      </c>
      <c r="EQ100">
        <v>0</v>
      </c>
      <c r="ER100">
        <v>0</v>
      </c>
      <c r="ES100">
        <v>0</v>
      </c>
      <c r="ET100" t="s">
        <v>334</v>
      </c>
      <c r="EU100" t="s">
        <v>335</v>
      </c>
      <c r="EV100" t="s">
        <v>336</v>
      </c>
      <c r="EW100" t="s">
        <v>336</v>
      </c>
      <c r="EX100" t="s">
        <v>336</v>
      </c>
      <c r="EY100" t="s">
        <v>336</v>
      </c>
      <c r="EZ100">
        <v>0</v>
      </c>
      <c r="FA100">
        <v>100</v>
      </c>
      <c r="FB100">
        <v>100</v>
      </c>
      <c r="FC100">
        <v>8.0220000000000002</v>
      </c>
      <c r="FD100">
        <v>-0.98929999999999996</v>
      </c>
      <c r="FE100">
        <v>7.9981650000000002</v>
      </c>
      <c r="FF100">
        <v>0</v>
      </c>
      <c r="FG100">
        <v>0</v>
      </c>
      <c r="FH100">
        <v>0</v>
      </c>
      <c r="FI100">
        <v>-0.98927100000000023</v>
      </c>
      <c r="FJ100">
        <v>0</v>
      </c>
      <c r="FK100">
        <v>0</v>
      </c>
      <c r="FL100">
        <v>0</v>
      </c>
      <c r="FM100">
        <v>-1</v>
      </c>
      <c r="FN100">
        <v>-1</v>
      </c>
      <c r="FO100">
        <v>-1</v>
      </c>
      <c r="FP100">
        <v>-1</v>
      </c>
      <c r="FQ100">
        <v>0.6</v>
      </c>
      <c r="FR100">
        <v>84.2</v>
      </c>
      <c r="FS100">
        <v>0.142822</v>
      </c>
      <c r="FT100">
        <v>4.99756</v>
      </c>
      <c r="FU100">
        <v>1.5979000000000001</v>
      </c>
      <c r="FV100">
        <v>2.1557599999999999</v>
      </c>
      <c r="FW100">
        <v>1.5478499999999999</v>
      </c>
      <c r="FX100">
        <v>2.4340799999999998</v>
      </c>
      <c r="FY100">
        <v>34.099800000000002</v>
      </c>
      <c r="FZ100">
        <v>15.988300000000001</v>
      </c>
      <c r="GA100">
        <v>3</v>
      </c>
      <c r="GB100">
        <v>496.637</v>
      </c>
      <c r="GC100">
        <v>406.70400000000001</v>
      </c>
      <c r="GD100">
        <v>27.846900000000002</v>
      </c>
      <c r="GE100">
        <v>30.058499999999999</v>
      </c>
      <c r="GF100">
        <v>30.0001</v>
      </c>
      <c r="GG100">
        <v>30.357800000000001</v>
      </c>
      <c r="GH100">
        <v>30.4069</v>
      </c>
      <c r="GI100">
        <v>-1</v>
      </c>
      <c r="GJ100">
        <v>0</v>
      </c>
      <c r="GK100">
        <v>100</v>
      </c>
      <c r="GL100">
        <v>27.842500000000001</v>
      </c>
      <c r="GM100">
        <v>432.1</v>
      </c>
      <c r="GN100">
        <v>68.912800000000004</v>
      </c>
      <c r="GO100">
        <v>102.20699999999999</v>
      </c>
      <c r="GP100">
        <v>96.494600000000005</v>
      </c>
    </row>
    <row r="101" spans="1:198" x14ac:dyDescent="0.35">
      <c r="A101">
        <v>85</v>
      </c>
      <c r="B101">
        <v>1775486079.0999999</v>
      </c>
      <c r="C101">
        <v>5040.5999999046326</v>
      </c>
      <c r="D101" t="s">
        <v>586</v>
      </c>
      <c r="E101" t="s">
        <v>587</v>
      </c>
      <c r="F101">
        <v>60</v>
      </c>
      <c r="G101">
        <v>1775486071.099999</v>
      </c>
      <c r="H101">
        <f t="shared" si="30"/>
        <v>2.4120969095504938E-3</v>
      </c>
      <c r="I101">
        <f t="shared" si="31"/>
        <v>2.4120969095504936</v>
      </c>
      <c r="J101">
        <f t="shared" si="32"/>
        <v>1.3008662029224962</v>
      </c>
      <c r="K101">
        <f t="shared" si="33"/>
        <v>26.630003225806451</v>
      </c>
      <c r="L101">
        <f t="shared" si="34"/>
        <v>-6.4479103528576642</v>
      </c>
      <c r="M101">
        <f t="shared" si="35"/>
        <v>-0.6469054355670546</v>
      </c>
      <c r="N101">
        <f t="shared" si="36"/>
        <v>2.6717328395093887</v>
      </c>
      <c r="O101">
        <f t="shared" si="37"/>
        <v>6.4926589491759168E-2</v>
      </c>
      <c r="P101">
        <f t="shared" si="38"/>
        <v>2.3958766064883159</v>
      </c>
      <c r="Q101">
        <f t="shared" si="39"/>
        <v>6.3964735626325042E-2</v>
      </c>
      <c r="R101">
        <f t="shared" si="40"/>
        <v>4.0063191461411587E-2</v>
      </c>
      <c r="S101">
        <f t="shared" si="41"/>
        <v>0</v>
      </c>
      <c r="T101">
        <f t="shared" si="42"/>
        <v>26.541812289989295</v>
      </c>
      <c r="U101">
        <f t="shared" si="43"/>
        <v>27.382751612903231</v>
      </c>
      <c r="V101">
        <f t="shared" si="44"/>
        <v>3.6604128319291416</v>
      </c>
      <c r="W101">
        <f t="shared" si="45"/>
        <v>-1.5087919725351622</v>
      </c>
      <c r="X101">
        <f t="shared" si="46"/>
        <v>-5.4951627889686383E-2</v>
      </c>
      <c r="Y101">
        <f t="shared" si="47"/>
        <v>3.6420943967082078</v>
      </c>
      <c r="Z101">
        <f t="shared" si="48"/>
        <v>3.715364459818828</v>
      </c>
      <c r="AA101">
        <f t="shared" si="49"/>
        <v>-106.37347371117677</v>
      </c>
      <c r="AB101">
        <f t="shared" si="50"/>
        <v>-11.061652360063835</v>
      </c>
      <c r="AC101">
        <f t="shared" si="51"/>
        <v>-0.9997836047308597</v>
      </c>
      <c r="AD101">
        <f t="shared" si="52"/>
        <v>-118.43490967597147</v>
      </c>
      <c r="AE101">
        <v>14</v>
      </c>
      <c r="AF101">
        <v>3</v>
      </c>
      <c r="AG101">
        <f t="shared" si="53"/>
        <v>1</v>
      </c>
      <c r="AH101">
        <f t="shared" si="54"/>
        <v>0</v>
      </c>
      <c r="AI101">
        <f t="shared" si="55"/>
        <v>25605.587255615828</v>
      </c>
      <c r="AJ101">
        <f t="shared" si="56"/>
        <v>0</v>
      </c>
      <c r="AK101">
        <f t="shared" si="57"/>
        <v>0</v>
      </c>
      <c r="AL101">
        <f t="shared" si="58"/>
        <v>0</v>
      </c>
      <c r="AM101">
        <f t="shared" si="59"/>
        <v>0</v>
      </c>
      <c r="AN101">
        <v>3</v>
      </c>
      <c r="AO101">
        <v>0.5</v>
      </c>
      <c r="AP101" t="s">
        <v>331</v>
      </c>
      <c r="AQ101">
        <v>2</v>
      </c>
      <c r="AR101">
        <v>1775486071.099999</v>
      </c>
      <c r="AS101">
        <v>26.630003225806451</v>
      </c>
      <c r="AT101">
        <v>27.449035483870968</v>
      </c>
      <c r="AU101">
        <v>-0.54772019354838708</v>
      </c>
      <c r="AV101">
        <v>-1.995721612903226</v>
      </c>
      <c r="AW101">
        <v>18.608003225806449</v>
      </c>
      <c r="AX101">
        <v>0.44155080645161288</v>
      </c>
      <c r="AY101">
        <v>500.0170645161291</v>
      </c>
      <c r="AZ101">
        <v>100.28516129032261</v>
      </c>
      <c r="BA101">
        <v>4.2758945161290328E-2</v>
      </c>
      <c r="BB101">
        <v>27.297112903225809</v>
      </c>
      <c r="BC101">
        <v>27.382751612903231</v>
      </c>
      <c r="BD101">
        <v>999.90000000000032</v>
      </c>
      <c r="BE101">
        <v>0</v>
      </c>
      <c r="BF101">
        <v>0</v>
      </c>
      <c r="BG101">
        <v>5005.9516129032254</v>
      </c>
      <c r="BH101">
        <v>0.36835377419354842</v>
      </c>
      <c r="BI101">
        <v>0.23331922580645159</v>
      </c>
      <c r="BJ101">
        <v>-0.81952493548387095</v>
      </c>
      <c r="BK101">
        <v>26.614935483870969</v>
      </c>
      <c r="BL101">
        <v>27.394370967741931</v>
      </c>
      <c r="BM101">
        <v>1.448001290322581</v>
      </c>
      <c r="BN101">
        <v>27.449035483870968</v>
      </c>
      <c r="BO101">
        <v>-1.995721612903226</v>
      </c>
      <c r="BP101">
        <v>-5.4928238709677432E-2</v>
      </c>
      <c r="BQ101">
        <v>-0.2001412580645161</v>
      </c>
      <c r="BR101">
        <v>-99.900000000000034</v>
      </c>
      <c r="BS101">
        <v>-99.900000000000034</v>
      </c>
      <c r="BT101">
        <v>0</v>
      </c>
      <c r="BU101">
        <v>0</v>
      </c>
      <c r="BV101">
        <v>0</v>
      </c>
      <c r="BW101">
        <v>26</v>
      </c>
      <c r="BX101">
        <v>-1</v>
      </c>
      <c r="BY101">
        <v>1775486091.0999999</v>
      </c>
      <c r="BZ101" t="s">
        <v>588</v>
      </c>
      <c r="CA101">
        <v>1775486091.0999999</v>
      </c>
      <c r="CB101">
        <v>1775480969.5</v>
      </c>
      <c r="CC101">
        <v>86</v>
      </c>
      <c r="CD101">
        <v>0</v>
      </c>
      <c r="CE101">
        <v>0.19500000000000001</v>
      </c>
      <c r="CF101">
        <v>8.0220000000000002</v>
      </c>
      <c r="CG101">
        <v>-0.98899999999999999</v>
      </c>
      <c r="CH101">
        <v>27</v>
      </c>
      <c r="CI101">
        <v>-3</v>
      </c>
      <c r="CJ101">
        <v>0.25</v>
      </c>
      <c r="CK101">
        <v>0.06</v>
      </c>
      <c r="CL101">
        <v>27.165424590163941</v>
      </c>
      <c r="CM101">
        <v>2.1758367001586478</v>
      </c>
      <c r="CN101">
        <v>0.33977331240336323</v>
      </c>
      <c r="CO101">
        <v>-1</v>
      </c>
      <c r="CP101">
        <v>500.00611475409829</v>
      </c>
      <c r="CQ101">
        <v>0.1443426758329896</v>
      </c>
      <c r="CR101">
        <v>4.6483594271688217E-2</v>
      </c>
      <c r="CS101">
        <v>-1</v>
      </c>
      <c r="CT101">
        <v>0</v>
      </c>
      <c r="CU101">
        <v>0</v>
      </c>
      <c r="CV101" t="s">
        <v>333</v>
      </c>
      <c r="CW101">
        <v>3.16744</v>
      </c>
      <c r="CX101">
        <v>2.66432</v>
      </c>
      <c r="CY101">
        <v>5.6282099999999998E-3</v>
      </c>
      <c r="CZ101">
        <v>8.0854399999999993E-3</v>
      </c>
      <c r="DA101">
        <v>3.62452E-3</v>
      </c>
      <c r="DB101">
        <v>-1.8497099999999999E-2</v>
      </c>
      <c r="DC101">
        <v>21452.9</v>
      </c>
      <c r="DD101">
        <v>21783.3</v>
      </c>
      <c r="DE101">
        <v>23102.6</v>
      </c>
      <c r="DF101">
        <v>22314.3</v>
      </c>
      <c r="DG101">
        <v>29685.7</v>
      </c>
      <c r="DH101">
        <v>27102.9</v>
      </c>
      <c r="DI101">
        <v>40605.5</v>
      </c>
      <c r="DJ101">
        <v>36980.300000000003</v>
      </c>
      <c r="DK101">
        <v>2.0822600000000002</v>
      </c>
      <c r="DL101">
        <v>1.79958</v>
      </c>
      <c r="DM101">
        <v>1.9323799999999999E-2</v>
      </c>
      <c r="DN101">
        <v>0</v>
      </c>
      <c r="DO101">
        <v>27.0655</v>
      </c>
      <c r="DP101">
        <v>999.9</v>
      </c>
      <c r="DQ101">
        <v>77.5</v>
      </c>
      <c r="DR101">
        <v>29.6</v>
      </c>
      <c r="DS101">
        <v>32.174500000000002</v>
      </c>
      <c r="DT101">
        <v>30.374600000000001</v>
      </c>
      <c r="DU101">
        <v>9.7716399999999997</v>
      </c>
      <c r="DV101">
        <v>1</v>
      </c>
      <c r="DW101">
        <v>0.22520499999999999</v>
      </c>
      <c r="DX101">
        <v>-0.11788700000000001</v>
      </c>
      <c r="DY101">
        <v>20.367799999999999</v>
      </c>
      <c r="DZ101">
        <v>5.2110599999999998</v>
      </c>
      <c r="EA101">
        <v>11.848599999999999</v>
      </c>
      <c r="EB101">
        <v>4.9677600000000002</v>
      </c>
      <c r="EC101">
        <v>3.2920199999999999</v>
      </c>
      <c r="ED101">
        <v>894.7</v>
      </c>
      <c r="EE101">
        <v>0</v>
      </c>
      <c r="EF101">
        <v>6498.9</v>
      </c>
      <c r="EG101">
        <v>110.2</v>
      </c>
      <c r="EH101">
        <v>4.9715800000000003</v>
      </c>
      <c r="EI101">
        <v>1.8717999999999999</v>
      </c>
      <c r="EJ101">
        <v>1.86893</v>
      </c>
      <c r="EK101">
        <v>1.8713599999999999</v>
      </c>
      <c r="EL101">
        <v>1.86911</v>
      </c>
      <c r="EM101">
        <v>1.86812</v>
      </c>
      <c r="EN101">
        <v>1.86991</v>
      </c>
      <c r="EO101">
        <v>1.87168</v>
      </c>
      <c r="EP101">
        <v>0</v>
      </c>
      <c r="EQ101">
        <v>0</v>
      </c>
      <c r="ER101">
        <v>0</v>
      </c>
      <c r="ES101">
        <v>0</v>
      </c>
      <c r="ET101" t="s">
        <v>334</v>
      </c>
      <c r="EU101" t="s">
        <v>335</v>
      </c>
      <c r="EV101" t="s">
        <v>336</v>
      </c>
      <c r="EW101" t="s">
        <v>336</v>
      </c>
      <c r="EX101" t="s">
        <v>336</v>
      </c>
      <c r="EY101" t="s">
        <v>336</v>
      </c>
      <c r="EZ101">
        <v>0</v>
      </c>
      <c r="FA101">
        <v>100</v>
      </c>
      <c r="FB101">
        <v>100</v>
      </c>
      <c r="FC101">
        <v>8.0220000000000002</v>
      </c>
      <c r="FD101">
        <v>-0.98929999999999996</v>
      </c>
      <c r="FE101">
        <v>8.0215150000000079</v>
      </c>
      <c r="FF101">
        <v>0</v>
      </c>
      <c r="FG101">
        <v>0</v>
      </c>
      <c r="FH101">
        <v>0</v>
      </c>
      <c r="FI101">
        <v>-0.98927100000000023</v>
      </c>
      <c r="FJ101">
        <v>0</v>
      </c>
      <c r="FK101">
        <v>0</v>
      </c>
      <c r="FL101">
        <v>0</v>
      </c>
      <c r="FM101">
        <v>-1</v>
      </c>
      <c r="FN101">
        <v>-1</v>
      </c>
      <c r="FO101">
        <v>-1</v>
      </c>
      <c r="FP101">
        <v>-1</v>
      </c>
      <c r="FQ101">
        <v>0.7</v>
      </c>
      <c r="FR101">
        <v>85.2</v>
      </c>
      <c r="FS101">
        <v>0.142822</v>
      </c>
      <c r="FT101">
        <v>4.99756</v>
      </c>
      <c r="FU101">
        <v>1.5979000000000001</v>
      </c>
      <c r="FV101">
        <v>2.1545399999999999</v>
      </c>
      <c r="FW101">
        <v>1.5478499999999999</v>
      </c>
      <c r="FX101">
        <v>2.3132299999999999</v>
      </c>
      <c r="FY101">
        <v>34.122500000000002</v>
      </c>
      <c r="FZ101">
        <v>15.970800000000001</v>
      </c>
      <c r="GA101">
        <v>3</v>
      </c>
      <c r="GB101">
        <v>496.68599999999998</v>
      </c>
      <c r="GC101">
        <v>406.94499999999999</v>
      </c>
      <c r="GD101">
        <v>27.8507</v>
      </c>
      <c r="GE101">
        <v>30.058499999999999</v>
      </c>
      <c r="GF101">
        <v>30.0001</v>
      </c>
      <c r="GG101">
        <v>30.3552</v>
      </c>
      <c r="GH101">
        <v>30.4069</v>
      </c>
      <c r="GI101">
        <v>-1</v>
      </c>
      <c r="GJ101">
        <v>0</v>
      </c>
      <c r="GK101">
        <v>100</v>
      </c>
      <c r="GL101">
        <v>27.851700000000001</v>
      </c>
      <c r="GM101">
        <v>432.1</v>
      </c>
      <c r="GN101">
        <v>68.912800000000004</v>
      </c>
      <c r="GO101">
        <v>102.20699999999999</v>
      </c>
      <c r="GP101">
        <v>96.495500000000007</v>
      </c>
    </row>
    <row r="102" spans="1:198" x14ac:dyDescent="0.35">
      <c r="A102">
        <v>86</v>
      </c>
      <c r="B102">
        <v>1775486139.0999999</v>
      </c>
      <c r="C102">
        <v>5100.5999999046326</v>
      </c>
      <c r="D102" t="s">
        <v>589</v>
      </c>
      <c r="E102" t="s">
        <v>590</v>
      </c>
      <c r="F102">
        <v>60</v>
      </c>
      <c r="G102">
        <v>1775486131.099999</v>
      </c>
      <c r="H102">
        <f t="shared" si="30"/>
        <v>2.4237334111998493E-3</v>
      </c>
      <c r="I102">
        <f t="shared" si="31"/>
        <v>2.4237334111998492</v>
      </c>
      <c r="J102">
        <f t="shared" si="32"/>
        <v>0.54551239616542613</v>
      </c>
      <c r="K102">
        <f t="shared" si="33"/>
        <v>26.032938709677421</v>
      </c>
      <c r="L102">
        <f t="shared" si="34"/>
        <v>11.35587502357712</v>
      </c>
      <c r="M102">
        <f t="shared" si="35"/>
        <v>1.1393384397140596</v>
      </c>
      <c r="N102">
        <f t="shared" si="36"/>
        <v>2.6118927611544427</v>
      </c>
      <c r="O102">
        <f t="shared" si="37"/>
        <v>6.5241974786071591E-2</v>
      </c>
      <c r="P102">
        <f t="shared" si="38"/>
        <v>2.3935897454430788</v>
      </c>
      <c r="Q102">
        <f t="shared" si="39"/>
        <v>6.4269916105240882E-2</v>
      </c>
      <c r="R102">
        <f t="shared" si="40"/>
        <v>4.0254826668781482E-2</v>
      </c>
      <c r="S102">
        <f t="shared" si="41"/>
        <v>0</v>
      </c>
      <c r="T102">
        <f t="shared" si="42"/>
        <v>26.540712048429057</v>
      </c>
      <c r="U102">
        <f t="shared" si="43"/>
        <v>27.386338709677421</v>
      </c>
      <c r="V102">
        <f t="shared" si="44"/>
        <v>3.661181876529283</v>
      </c>
      <c r="W102">
        <f t="shared" si="45"/>
        <v>-1.4946041982979255</v>
      </c>
      <c r="X102">
        <f t="shared" si="46"/>
        <v>-5.4445125237466543E-2</v>
      </c>
      <c r="Y102">
        <f t="shared" si="47"/>
        <v>3.6427788239501369</v>
      </c>
      <c r="Z102">
        <f t="shared" si="48"/>
        <v>3.7156270017667494</v>
      </c>
      <c r="AA102">
        <f t="shared" si="49"/>
        <v>-106.88664343391335</v>
      </c>
      <c r="AB102">
        <f t="shared" si="50"/>
        <v>-11.100213701168794</v>
      </c>
      <c r="AC102">
        <f t="shared" si="51"/>
        <v>-1.004261495466634</v>
      </c>
      <c r="AD102">
        <f t="shared" si="52"/>
        <v>-118.99111863054878</v>
      </c>
      <c r="AE102">
        <v>14</v>
      </c>
      <c r="AF102">
        <v>3</v>
      </c>
      <c r="AG102">
        <f t="shared" si="53"/>
        <v>1</v>
      </c>
      <c r="AH102">
        <f t="shared" si="54"/>
        <v>0</v>
      </c>
      <c r="AI102">
        <f t="shared" si="55"/>
        <v>25570.429824798579</v>
      </c>
      <c r="AJ102">
        <f t="shared" si="56"/>
        <v>0</v>
      </c>
      <c r="AK102">
        <f t="shared" si="57"/>
        <v>0</v>
      </c>
      <c r="AL102">
        <f t="shared" si="58"/>
        <v>0</v>
      </c>
      <c r="AM102">
        <f t="shared" si="59"/>
        <v>0</v>
      </c>
      <c r="AN102">
        <v>3</v>
      </c>
      <c r="AO102">
        <v>0.5</v>
      </c>
      <c r="AP102" t="s">
        <v>331</v>
      </c>
      <c r="AQ102">
        <v>2</v>
      </c>
      <c r="AR102">
        <v>1775486131.099999</v>
      </c>
      <c r="AS102">
        <v>26.032938709677421</v>
      </c>
      <c r="AT102">
        <v>26.39809677419354</v>
      </c>
      <c r="AU102">
        <v>-0.54265880645161302</v>
      </c>
      <c r="AV102">
        <v>-1.997658064516129</v>
      </c>
      <c r="AW102">
        <v>18.025938709677419</v>
      </c>
      <c r="AX102">
        <v>0.44661219354838722</v>
      </c>
      <c r="AY102">
        <v>500.01029032258077</v>
      </c>
      <c r="AZ102">
        <v>100.2878387096774</v>
      </c>
      <c r="BA102">
        <v>4.2469377419354838E-2</v>
      </c>
      <c r="BB102">
        <v>27.300319354838699</v>
      </c>
      <c r="BC102">
        <v>27.386338709677421</v>
      </c>
      <c r="BD102">
        <v>999.90000000000032</v>
      </c>
      <c r="BE102">
        <v>0</v>
      </c>
      <c r="BF102">
        <v>0</v>
      </c>
      <c r="BG102">
        <v>4999.9354838709678</v>
      </c>
      <c r="BH102">
        <v>0.38885177419354838</v>
      </c>
      <c r="BI102">
        <v>0.22961599999999999</v>
      </c>
      <c r="BJ102">
        <v>-0.35054083870967739</v>
      </c>
      <c r="BK102">
        <v>26.033435483870971</v>
      </c>
      <c r="BL102">
        <v>26.345474193548391</v>
      </c>
      <c r="BM102">
        <v>1.454999677419355</v>
      </c>
      <c r="BN102">
        <v>26.39809677419354</v>
      </c>
      <c r="BO102">
        <v>-1.997658064516129</v>
      </c>
      <c r="BP102">
        <v>-5.4422067741935497E-2</v>
      </c>
      <c r="BQ102">
        <v>-0.20034099999999999</v>
      </c>
      <c r="BR102">
        <v>-99.900000000000034</v>
      </c>
      <c r="BS102">
        <v>-99.900000000000034</v>
      </c>
      <c r="BT102">
        <v>0</v>
      </c>
      <c r="BU102">
        <v>0</v>
      </c>
      <c r="BV102">
        <v>0</v>
      </c>
      <c r="BW102">
        <v>26</v>
      </c>
      <c r="BX102">
        <v>-1</v>
      </c>
      <c r="BY102">
        <v>1775486156.0999999</v>
      </c>
      <c r="BZ102" t="s">
        <v>591</v>
      </c>
      <c r="CA102">
        <v>1775486156.0999999</v>
      </c>
      <c r="CB102">
        <v>1775480969.5</v>
      </c>
      <c r="CC102">
        <v>87</v>
      </c>
      <c r="CD102">
        <v>-1.4999999999999999E-2</v>
      </c>
      <c r="CE102">
        <v>0.19500000000000001</v>
      </c>
      <c r="CF102">
        <v>8.0069999999999997</v>
      </c>
      <c r="CG102">
        <v>-0.98899999999999999</v>
      </c>
      <c r="CH102">
        <v>27</v>
      </c>
      <c r="CI102">
        <v>-3</v>
      </c>
      <c r="CJ102">
        <v>0.2</v>
      </c>
      <c r="CK102">
        <v>0.06</v>
      </c>
      <c r="CL102">
        <v>26.56509333333333</v>
      </c>
      <c r="CM102">
        <v>-1.092635509863767</v>
      </c>
      <c r="CN102">
        <v>0.19011169424548521</v>
      </c>
      <c r="CO102">
        <v>-1</v>
      </c>
      <c r="CP102">
        <v>500.00146666666672</v>
      </c>
      <c r="CQ102">
        <v>3.0241733815929081E-2</v>
      </c>
      <c r="CR102">
        <v>3.7422126550417698E-2</v>
      </c>
      <c r="CS102">
        <v>-1</v>
      </c>
      <c r="CT102">
        <v>0</v>
      </c>
      <c r="CU102">
        <v>0</v>
      </c>
      <c r="CV102" t="s">
        <v>333</v>
      </c>
      <c r="CW102">
        <v>3.1674899999999999</v>
      </c>
      <c r="CX102">
        <v>2.6640199999999998</v>
      </c>
      <c r="CY102">
        <v>5.3325899999999999E-3</v>
      </c>
      <c r="CZ102">
        <v>7.8787800000000002E-3</v>
      </c>
      <c r="DA102">
        <v>3.6176099999999998E-3</v>
      </c>
      <c r="DB102">
        <v>-1.8522799999999999E-2</v>
      </c>
      <c r="DC102">
        <v>21458.7</v>
      </c>
      <c r="DD102">
        <v>21787.5</v>
      </c>
      <c r="DE102">
        <v>23102</v>
      </c>
      <c r="DF102">
        <v>22313.9</v>
      </c>
      <c r="DG102">
        <v>29685.200000000001</v>
      </c>
      <c r="DH102">
        <v>27103.1</v>
      </c>
      <c r="DI102">
        <v>40604.5</v>
      </c>
      <c r="DJ102">
        <v>36979.599999999999</v>
      </c>
      <c r="DK102">
        <v>2.0824400000000001</v>
      </c>
      <c r="DL102">
        <v>1.7992600000000001</v>
      </c>
      <c r="DM102">
        <v>1.9753E-2</v>
      </c>
      <c r="DN102">
        <v>0</v>
      </c>
      <c r="DO102">
        <v>27.066099999999999</v>
      </c>
      <c r="DP102">
        <v>999.9</v>
      </c>
      <c r="DQ102">
        <v>77.400000000000006</v>
      </c>
      <c r="DR102">
        <v>29.7</v>
      </c>
      <c r="DS102">
        <v>32.3217</v>
      </c>
      <c r="DT102">
        <v>30.4346</v>
      </c>
      <c r="DU102">
        <v>9.5833399999999997</v>
      </c>
      <c r="DV102">
        <v>1</v>
      </c>
      <c r="DW102">
        <v>0.22514999999999999</v>
      </c>
      <c r="DX102">
        <v>-0.101854</v>
      </c>
      <c r="DY102">
        <v>20.367699999999999</v>
      </c>
      <c r="DZ102">
        <v>5.2111799999999997</v>
      </c>
      <c r="EA102">
        <v>11.8482</v>
      </c>
      <c r="EB102">
        <v>4.9676799999999997</v>
      </c>
      <c r="EC102">
        <v>3.2920799999999999</v>
      </c>
      <c r="ED102">
        <v>894.7</v>
      </c>
      <c r="EE102">
        <v>0</v>
      </c>
      <c r="EF102">
        <v>6531.3</v>
      </c>
      <c r="EG102">
        <v>110.2</v>
      </c>
      <c r="EH102">
        <v>4.97159</v>
      </c>
      <c r="EI102">
        <v>1.8717999999999999</v>
      </c>
      <c r="EJ102">
        <v>1.86896</v>
      </c>
      <c r="EK102">
        <v>1.8713500000000001</v>
      </c>
      <c r="EL102">
        <v>1.8691500000000001</v>
      </c>
      <c r="EM102">
        <v>1.8681000000000001</v>
      </c>
      <c r="EN102">
        <v>1.8699300000000001</v>
      </c>
      <c r="EO102">
        <v>1.87178</v>
      </c>
      <c r="EP102">
        <v>0</v>
      </c>
      <c r="EQ102">
        <v>0</v>
      </c>
      <c r="ER102">
        <v>0</v>
      </c>
      <c r="ES102">
        <v>0</v>
      </c>
      <c r="ET102" t="s">
        <v>334</v>
      </c>
      <c r="EU102" t="s">
        <v>335</v>
      </c>
      <c r="EV102" t="s">
        <v>336</v>
      </c>
      <c r="EW102" t="s">
        <v>336</v>
      </c>
      <c r="EX102" t="s">
        <v>336</v>
      </c>
      <c r="EY102" t="s">
        <v>336</v>
      </c>
      <c r="EZ102">
        <v>0</v>
      </c>
      <c r="FA102">
        <v>100</v>
      </c>
      <c r="FB102">
        <v>100</v>
      </c>
      <c r="FC102">
        <v>8.0069999999999997</v>
      </c>
      <c r="FD102">
        <v>-0.98929999999999996</v>
      </c>
      <c r="FE102">
        <v>8.0216199999999986</v>
      </c>
      <c r="FF102">
        <v>0</v>
      </c>
      <c r="FG102">
        <v>0</v>
      </c>
      <c r="FH102">
        <v>0</v>
      </c>
      <c r="FI102">
        <v>-0.98927100000000023</v>
      </c>
      <c r="FJ102">
        <v>0</v>
      </c>
      <c r="FK102">
        <v>0</v>
      </c>
      <c r="FL102">
        <v>0</v>
      </c>
      <c r="FM102">
        <v>-1</v>
      </c>
      <c r="FN102">
        <v>-1</v>
      </c>
      <c r="FO102">
        <v>-1</v>
      </c>
      <c r="FP102">
        <v>-1</v>
      </c>
      <c r="FQ102">
        <v>0.8</v>
      </c>
      <c r="FR102">
        <v>86.2</v>
      </c>
      <c r="FS102">
        <v>0.142822</v>
      </c>
      <c r="FT102">
        <v>4.99756</v>
      </c>
      <c r="FU102">
        <v>1.5979000000000001</v>
      </c>
      <c r="FV102">
        <v>2.1545399999999999</v>
      </c>
      <c r="FW102">
        <v>1.5478499999999999</v>
      </c>
      <c r="FX102">
        <v>2.3889200000000002</v>
      </c>
      <c r="FY102">
        <v>34.122500000000002</v>
      </c>
      <c r="FZ102">
        <v>15.970800000000001</v>
      </c>
      <c r="GA102">
        <v>3</v>
      </c>
      <c r="GB102">
        <v>496.791</v>
      </c>
      <c r="GC102">
        <v>406.76100000000002</v>
      </c>
      <c r="GD102">
        <v>27.844899999999999</v>
      </c>
      <c r="GE102">
        <v>30.0563</v>
      </c>
      <c r="GF102">
        <v>30</v>
      </c>
      <c r="GG102">
        <v>30.3552</v>
      </c>
      <c r="GH102">
        <v>30.4069</v>
      </c>
      <c r="GI102">
        <v>-1</v>
      </c>
      <c r="GJ102">
        <v>0</v>
      </c>
      <c r="GK102">
        <v>100</v>
      </c>
      <c r="GL102">
        <v>27.843499999999999</v>
      </c>
      <c r="GM102">
        <v>432.1</v>
      </c>
      <c r="GN102">
        <v>68.912800000000004</v>
      </c>
      <c r="GO102">
        <v>102.205</v>
      </c>
      <c r="GP102">
        <v>96.493799999999993</v>
      </c>
    </row>
    <row r="103" spans="1:198" x14ac:dyDescent="0.35">
      <c r="A103">
        <v>87</v>
      </c>
      <c r="B103">
        <v>1775486199.0999999</v>
      </c>
      <c r="C103">
        <v>5160.5999999046326</v>
      </c>
      <c r="D103" t="s">
        <v>592</v>
      </c>
      <c r="E103" t="s">
        <v>593</v>
      </c>
      <c r="F103">
        <v>60</v>
      </c>
      <c r="G103">
        <v>1775486191.099999</v>
      </c>
      <c r="H103">
        <f t="shared" si="30"/>
        <v>2.4208719502879033E-3</v>
      </c>
      <c r="I103">
        <f t="shared" si="31"/>
        <v>2.4208719502879035</v>
      </c>
      <c r="J103">
        <f t="shared" si="32"/>
        <v>1.1288519548696405</v>
      </c>
      <c r="K103">
        <f t="shared" si="33"/>
        <v>26.229280645161289</v>
      </c>
      <c r="L103">
        <f t="shared" si="34"/>
        <v>-2.560353268695915</v>
      </c>
      <c r="M103">
        <f t="shared" si="35"/>
        <v>-0.25687920208651305</v>
      </c>
      <c r="N103">
        <f t="shared" si="36"/>
        <v>2.6315730590037081</v>
      </c>
      <c r="O103">
        <f t="shared" si="37"/>
        <v>6.5160931586197124E-2</v>
      </c>
      <c r="P103">
        <f t="shared" si="38"/>
        <v>2.3937829191728728</v>
      </c>
      <c r="Q103">
        <f t="shared" si="39"/>
        <v>6.4191344019956784E-2</v>
      </c>
      <c r="R103">
        <f t="shared" si="40"/>
        <v>4.0205501727552294E-2</v>
      </c>
      <c r="S103">
        <f t="shared" si="41"/>
        <v>0</v>
      </c>
      <c r="T103">
        <f t="shared" si="42"/>
        <v>26.542923845568108</v>
      </c>
      <c r="U103">
        <f t="shared" si="43"/>
        <v>27.38903225806451</v>
      </c>
      <c r="V103">
        <f t="shared" si="44"/>
        <v>3.6617594442606878</v>
      </c>
      <c r="W103">
        <f t="shared" si="45"/>
        <v>-1.4816407457307208</v>
      </c>
      <c r="X103">
        <f t="shared" si="46"/>
        <v>-5.3976874553004109E-2</v>
      </c>
      <c r="Y103">
        <f t="shared" si="47"/>
        <v>3.6430473924624422</v>
      </c>
      <c r="Z103">
        <f t="shared" si="48"/>
        <v>3.715736318813692</v>
      </c>
      <c r="AA103">
        <f t="shared" si="49"/>
        <v>-106.76045300769654</v>
      </c>
      <c r="AB103">
        <f t="shared" si="50"/>
        <v>-11.286363936399455</v>
      </c>
      <c r="AC103">
        <f t="shared" si="51"/>
        <v>-1.0210406793132323</v>
      </c>
      <c r="AD103">
        <f t="shared" si="52"/>
        <v>-119.06785762340922</v>
      </c>
      <c r="AE103">
        <v>14</v>
      </c>
      <c r="AF103">
        <v>3</v>
      </c>
      <c r="AG103">
        <f t="shared" si="53"/>
        <v>1</v>
      </c>
      <c r="AH103">
        <f t="shared" si="54"/>
        <v>0</v>
      </c>
      <c r="AI103">
        <f t="shared" si="55"/>
        <v>25573.275622804365</v>
      </c>
      <c r="AJ103">
        <f t="shared" si="56"/>
        <v>0</v>
      </c>
      <c r="AK103">
        <f t="shared" si="57"/>
        <v>0</v>
      </c>
      <c r="AL103">
        <f t="shared" si="58"/>
        <v>0</v>
      </c>
      <c r="AM103">
        <f t="shared" si="59"/>
        <v>0</v>
      </c>
      <c r="AN103">
        <v>3</v>
      </c>
      <c r="AO103">
        <v>0.5</v>
      </c>
      <c r="AP103" t="s">
        <v>331</v>
      </c>
      <c r="AQ103">
        <v>2</v>
      </c>
      <c r="AR103">
        <v>1775486191.099999</v>
      </c>
      <c r="AS103">
        <v>26.229280645161289</v>
      </c>
      <c r="AT103">
        <v>26.9446935483871</v>
      </c>
      <c r="AU103">
        <v>-0.53799554838709673</v>
      </c>
      <c r="AV103">
        <v>-1.9913064516129031</v>
      </c>
      <c r="AW103">
        <v>18.213280645161291</v>
      </c>
      <c r="AX103">
        <v>0.45127545161290328</v>
      </c>
      <c r="AY103">
        <v>499.99783870967741</v>
      </c>
      <c r="AZ103">
        <v>100.2874516129032</v>
      </c>
      <c r="BA103">
        <v>4.2141661290322568E-2</v>
      </c>
      <c r="BB103">
        <v>27.301577419354839</v>
      </c>
      <c r="BC103">
        <v>27.38903225806451</v>
      </c>
      <c r="BD103">
        <v>999.90000000000032</v>
      </c>
      <c r="BE103">
        <v>0</v>
      </c>
      <c r="BF103">
        <v>0</v>
      </c>
      <c r="BG103">
        <v>5000.4516129032254</v>
      </c>
      <c r="BH103">
        <v>0.35673251612903217</v>
      </c>
      <c r="BI103">
        <v>0.23331922580645159</v>
      </c>
      <c r="BJ103">
        <v>-0.72459545161290317</v>
      </c>
      <c r="BK103">
        <v>26.205996774193551</v>
      </c>
      <c r="BL103">
        <v>26.891145161290321</v>
      </c>
      <c r="BM103">
        <v>1.453309032258064</v>
      </c>
      <c r="BN103">
        <v>26.9446935483871</v>
      </c>
      <c r="BO103">
        <v>-1.9913064516129031</v>
      </c>
      <c r="BP103">
        <v>-5.395420967741936E-2</v>
      </c>
      <c r="BQ103">
        <v>-0.19970303225806449</v>
      </c>
      <c r="BR103">
        <v>-99.900000000000034</v>
      </c>
      <c r="BS103">
        <v>-99.900000000000034</v>
      </c>
      <c r="BT103">
        <v>0</v>
      </c>
      <c r="BU103">
        <v>0</v>
      </c>
      <c r="BV103">
        <v>0</v>
      </c>
      <c r="BW103">
        <v>26</v>
      </c>
      <c r="BX103">
        <v>-1</v>
      </c>
      <c r="BY103">
        <v>1775486218.0999999</v>
      </c>
      <c r="BZ103" t="s">
        <v>594</v>
      </c>
      <c r="CA103">
        <v>1775486218.0999999</v>
      </c>
      <c r="CB103">
        <v>1775480969.5</v>
      </c>
      <c r="CC103">
        <v>88</v>
      </c>
      <c r="CD103">
        <v>8.9999999999999993E-3</v>
      </c>
      <c r="CE103">
        <v>0.19500000000000001</v>
      </c>
      <c r="CF103">
        <v>8.016</v>
      </c>
      <c r="CG103">
        <v>-0.98899999999999999</v>
      </c>
      <c r="CH103">
        <v>26</v>
      </c>
      <c r="CI103">
        <v>-3</v>
      </c>
      <c r="CJ103">
        <v>0.2</v>
      </c>
      <c r="CK103">
        <v>0.06</v>
      </c>
      <c r="CL103">
        <v>26.799544999999998</v>
      </c>
      <c r="CM103">
        <v>1.5698784106696639</v>
      </c>
      <c r="CN103">
        <v>0.2902990690219312</v>
      </c>
      <c r="CO103">
        <v>-1</v>
      </c>
      <c r="CP103">
        <v>500.00580000000002</v>
      </c>
      <c r="CQ103">
        <v>-5.2027785496110493E-2</v>
      </c>
      <c r="CR103">
        <v>6.0002166627546198E-2</v>
      </c>
      <c r="CS103">
        <v>-1</v>
      </c>
      <c r="CT103">
        <v>0</v>
      </c>
      <c r="CU103">
        <v>0</v>
      </c>
      <c r="CV103" t="s">
        <v>333</v>
      </c>
      <c r="CW103">
        <v>3.1674500000000001</v>
      </c>
      <c r="CX103">
        <v>2.6637499999999998</v>
      </c>
      <c r="CY103">
        <v>5.5067299999999996E-3</v>
      </c>
      <c r="CZ103">
        <v>8.0454199999999993E-3</v>
      </c>
      <c r="DA103">
        <v>3.6631799999999998E-3</v>
      </c>
      <c r="DB103">
        <v>-1.8511300000000001E-2</v>
      </c>
      <c r="DC103">
        <v>21455.4</v>
      </c>
      <c r="DD103">
        <v>21783.8</v>
      </c>
      <c r="DE103">
        <v>23102.5</v>
      </c>
      <c r="DF103">
        <v>22313.9</v>
      </c>
      <c r="DG103">
        <v>29684.3</v>
      </c>
      <c r="DH103">
        <v>27102.9</v>
      </c>
      <c r="DI103">
        <v>40605.1</v>
      </c>
      <c r="DJ103">
        <v>36979.699999999997</v>
      </c>
      <c r="DK103">
        <v>2.0825800000000001</v>
      </c>
      <c r="DL103">
        <v>1.79976</v>
      </c>
      <c r="DM103">
        <v>1.96636E-2</v>
      </c>
      <c r="DN103">
        <v>0</v>
      </c>
      <c r="DO103">
        <v>27.066099999999999</v>
      </c>
      <c r="DP103">
        <v>999.9</v>
      </c>
      <c r="DQ103">
        <v>77.3</v>
      </c>
      <c r="DR103">
        <v>29.7</v>
      </c>
      <c r="DS103">
        <v>32.276800000000001</v>
      </c>
      <c r="DT103">
        <v>30.134599999999999</v>
      </c>
      <c r="DU103">
        <v>9.7916600000000003</v>
      </c>
      <c r="DV103">
        <v>1</v>
      </c>
      <c r="DW103">
        <v>0.22497600000000001</v>
      </c>
      <c r="DX103">
        <v>-8.2398700000000005E-2</v>
      </c>
      <c r="DY103">
        <v>20.367899999999999</v>
      </c>
      <c r="DZ103">
        <v>5.21082</v>
      </c>
      <c r="EA103">
        <v>11.8482</v>
      </c>
      <c r="EB103">
        <v>4.9678000000000004</v>
      </c>
      <c r="EC103">
        <v>3.2921</v>
      </c>
      <c r="ED103">
        <v>894.7</v>
      </c>
      <c r="EE103">
        <v>0</v>
      </c>
      <c r="EF103">
        <v>6562.9</v>
      </c>
      <c r="EG103">
        <v>110.3</v>
      </c>
      <c r="EH103">
        <v>4.9716399999999998</v>
      </c>
      <c r="EI103">
        <v>1.8717999999999999</v>
      </c>
      <c r="EJ103">
        <v>1.8689199999999999</v>
      </c>
      <c r="EK103">
        <v>1.8713599999999999</v>
      </c>
      <c r="EL103">
        <v>1.86913</v>
      </c>
      <c r="EM103">
        <v>1.86812</v>
      </c>
      <c r="EN103">
        <v>1.86992</v>
      </c>
      <c r="EO103">
        <v>1.87171</v>
      </c>
      <c r="EP103">
        <v>0</v>
      </c>
      <c r="EQ103">
        <v>0</v>
      </c>
      <c r="ER103">
        <v>0</v>
      </c>
      <c r="ES103">
        <v>0</v>
      </c>
      <c r="ET103" t="s">
        <v>334</v>
      </c>
      <c r="EU103" t="s">
        <v>335</v>
      </c>
      <c r="EV103" t="s">
        <v>336</v>
      </c>
      <c r="EW103" t="s">
        <v>336</v>
      </c>
      <c r="EX103" t="s">
        <v>336</v>
      </c>
      <c r="EY103" t="s">
        <v>336</v>
      </c>
      <c r="EZ103">
        <v>0</v>
      </c>
      <c r="FA103">
        <v>100</v>
      </c>
      <c r="FB103">
        <v>100</v>
      </c>
      <c r="FC103">
        <v>8.016</v>
      </c>
      <c r="FD103">
        <v>-0.98929999999999996</v>
      </c>
      <c r="FE103">
        <v>8.0068099999999944</v>
      </c>
      <c r="FF103">
        <v>0</v>
      </c>
      <c r="FG103">
        <v>0</v>
      </c>
      <c r="FH103">
        <v>0</v>
      </c>
      <c r="FI103">
        <v>-0.98927100000000023</v>
      </c>
      <c r="FJ103">
        <v>0</v>
      </c>
      <c r="FK103">
        <v>0</v>
      </c>
      <c r="FL103">
        <v>0</v>
      </c>
      <c r="FM103">
        <v>-1</v>
      </c>
      <c r="FN103">
        <v>-1</v>
      </c>
      <c r="FO103">
        <v>-1</v>
      </c>
      <c r="FP103">
        <v>-1</v>
      </c>
      <c r="FQ103">
        <v>0.7</v>
      </c>
      <c r="FR103">
        <v>87.2</v>
      </c>
      <c r="FS103">
        <v>0.142822</v>
      </c>
      <c r="FT103">
        <v>4.99756</v>
      </c>
      <c r="FU103">
        <v>1.5979000000000001</v>
      </c>
      <c r="FV103">
        <v>2.1557599999999999</v>
      </c>
      <c r="FW103">
        <v>1.5478499999999999</v>
      </c>
      <c r="FX103">
        <v>2.4475099999999999</v>
      </c>
      <c r="FY103">
        <v>34.145200000000003</v>
      </c>
      <c r="FZ103">
        <v>15.962</v>
      </c>
      <c r="GA103">
        <v>3</v>
      </c>
      <c r="GB103">
        <v>496.87200000000001</v>
      </c>
      <c r="GC103">
        <v>407.03199999999998</v>
      </c>
      <c r="GD103">
        <v>27.8291</v>
      </c>
      <c r="GE103">
        <v>30.056000000000001</v>
      </c>
      <c r="GF103">
        <v>30.0001</v>
      </c>
      <c r="GG103">
        <v>30.3552</v>
      </c>
      <c r="GH103">
        <v>30.404399999999999</v>
      </c>
      <c r="GI103">
        <v>-1</v>
      </c>
      <c r="GJ103">
        <v>0</v>
      </c>
      <c r="GK103">
        <v>100</v>
      </c>
      <c r="GL103">
        <v>27.826799999999999</v>
      </c>
      <c r="GM103">
        <v>432.1</v>
      </c>
      <c r="GN103">
        <v>68.912800000000004</v>
      </c>
      <c r="GO103">
        <v>102.206</v>
      </c>
      <c r="GP103">
        <v>96.494</v>
      </c>
    </row>
    <row r="104" spans="1:198" x14ac:dyDescent="0.35">
      <c r="A104">
        <v>88</v>
      </c>
      <c r="B104">
        <v>1775486259.0999999</v>
      </c>
      <c r="C104">
        <v>5220.5999999046326</v>
      </c>
      <c r="D104" t="s">
        <v>595</v>
      </c>
      <c r="E104" t="s">
        <v>596</v>
      </c>
      <c r="F104">
        <v>60</v>
      </c>
      <c r="G104">
        <v>1775486251.099999</v>
      </c>
      <c r="H104">
        <f t="shared" si="30"/>
        <v>2.3964205623036132E-3</v>
      </c>
      <c r="I104">
        <f t="shared" si="31"/>
        <v>2.396420562303613</v>
      </c>
      <c r="J104">
        <f t="shared" si="32"/>
        <v>0.81813250134605897</v>
      </c>
      <c r="K104">
        <f t="shared" si="33"/>
        <v>25.841774193548389</v>
      </c>
      <c r="L104">
        <f t="shared" si="34"/>
        <v>4.3748978591975893</v>
      </c>
      <c r="M104">
        <f t="shared" si="35"/>
        <v>0.43893983847665186</v>
      </c>
      <c r="N104">
        <f t="shared" si="36"/>
        <v>2.5927426320637998</v>
      </c>
      <c r="O104">
        <f t="shared" si="37"/>
        <v>6.4492612790238282E-2</v>
      </c>
      <c r="P104">
        <f t="shared" si="38"/>
        <v>2.3920749691561425</v>
      </c>
      <c r="Q104">
        <f t="shared" si="39"/>
        <v>6.3541988430398016E-2</v>
      </c>
      <c r="R104">
        <f t="shared" si="40"/>
        <v>3.9797985284648008E-2</v>
      </c>
      <c r="S104">
        <f t="shared" si="41"/>
        <v>0</v>
      </c>
      <c r="T104">
        <f t="shared" si="42"/>
        <v>26.545214256875035</v>
      </c>
      <c r="U104">
        <f t="shared" si="43"/>
        <v>27.380264516129031</v>
      </c>
      <c r="V104">
        <f t="shared" si="44"/>
        <v>3.6598797012177342</v>
      </c>
      <c r="W104">
        <f t="shared" si="45"/>
        <v>-1.5392678706587455</v>
      </c>
      <c r="X104">
        <f t="shared" si="46"/>
        <v>-5.6060232351723631E-2</v>
      </c>
      <c r="Y104">
        <f t="shared" si="47"/>
        <v>3.6420062693657131</v>
      </c>
      <c r="Z104">
        <f t="shared" si="48"/>
        <v>3.7159399335694578</v>
      </c>
      <c r="AA104">
        <f t="shared" si="49"/>
        <v>-105.68214679758934</v>
      </c>
      <c r="AB104">
        <f t="shared" si="50"/>
        <v>-10.776609168776393</v>
      </c>
      <c r="AC104">
        <f t="shared" si="51"/>
        <v>-0.97555443502374184</v>
      </c>
      <c r="AD104">
        <f t="shared" si="52"/>
        <v>-117.43431040138947</v>
      </c>
      <c r="AE104">
        <v>14</v>
      </c>
      <c r="AF104">
        <v>3</v>
      </c>
      <c r="AG104">
        <f t="shared" si="53"/>
        <v>1</v>
      </c>
      <c r="AH104">
        <f t="shared" si="54"/>
        <v>0</v>
      </c>
      <c r="AI104">
        <f t="shared" si="55"/>
        <v>25547.646349435672</v>
      </c>
      <c r="AJ104">
        <f t="shared" si="56"/>
        <v>0</v>
      </c>
      <c r="AK104">
        <f t="shared" si="57"/>
        <v>0</v>
      </c>
      <c r="AL104">
        <f t="shared" si="58"/>
        <v>0</v>
      </c>
      <c r="AM104">
        <f t="shared" si="59"/>
        <v>0</v>
      </c>
      <c r="AN104">
        <v>3</v>
      </c>
      <c r="AO104">
        <v>0.5</v>
      </c>
      <c r="AP104" t="s">
        <v>331</v>
      </c>
      <c r="AQ104">
        <v>2</v>
      </c>
      <c r="AR104">
        <v>1775486251.099999</v>
      </c>
      <c r="AS104">
        <v>25.841774193548389</v>
      </c>
      <c r="AT104">
        <v>26.369780645161299</v>
      </c>
      <c r="AU104">
        <v>-0.55875035483870972</v>
      </c>
      <c r="AV104">
        <v>-1.9973251612903229</v>
      </c>
      <c r="AW104">
        <v>17.82777419354839</v>
      </c>
      <c r="AX104">
        <v>0.43052064516129041</v>
      </c>
      <c r="AY104">
        <v>500.02812903225811</v>
      </c>
      <c r="AZ104">
        <v>100.2892903225807</v>
      </c>
      <c r="BA104">
        <v>4.2157999999999987E-2</v>
      </c>
      <c r="BB104">
        <v>27.296700000000001</v>
      </c>
      <c r="BC104">
        <v>27.380264516129031</v>
      </c>
      <c r="BD104">
        <v>999.90000000000032</v>
      </c>
      <c r="BE104">
        <v>0</v>
      </c>
      <c r="BF104">
        <v>0</v>
      </c>
      <c r="BG104">
        <v>4995.9677419354839</v>
      </c>
      <c r="BH104">
        <v>0.36817216129032249</v>
      </c>
      <c r="BI104">
        <v>0.23331922580645159</v>
      </c>
      <c r="BJ104">
        <v>-0.52608906451612891</v>
      </c>
      <c r="BK104">
        <v>25.82927096774193</v>
      </c>
      <c r="BL104">
        <v>26.317222580645161</v>
      </c>
      <c r="BM104">
        <v>1.4385761290322581</v>
      </c>
      <c r="BN104">
        <v>26.369780645161299</v>
      </c>
      <c r="BO104">
        <v>-1.9973251612903229</v>
      </c>
      <c r="BP104">
        <v>-5.603669677419356E-2</v>
      </c>
      <c r="BQ104">
        <v>-0.2003104193548387</v>
      </c>
      <c r="BR104">
        <v>-99.900000000000034</v>
      </c>
      <c r="BS104">
        <v>-99.900000000000034</v>
      </c>
      <c r="BT104">
        <v>0</v>
      </c>
      <c r="BU104">
        <v>0</v>
      </c>
      <c r="BV104">
        <v>0</v>
      </c>
      <c r="BW104">
        <v>26</v>
      </c>
      <c r="BX104">
        <v>-1</v>
      </c>
      <c r="BY104">
        <v>1775486275.5999999</v>
      </c>
      <c r="BZ104" t="s">
        <v>597</v>
      </c>
      <c r="CA104">
        <v>1775486275.5999999</v>
      </c>
      <c r="CB104">
        <v>1775480969.5</v>
      </c>
      <c r="CC104">
        <v>89</v>
      </c>
      <c r="CD104">
        <v>-2E-3</v>
      </c>
      <c r="CE104">
        <v>0.19500000000000001</v>
      </c>
      <c r="CF104">
        <v>8.0139999999999993</v>
      </c>
      <c r="CG104">
        <v>-0.98899999999999999</v>
      </c>
      <c r="CH104">
        <v>27</v>
      </c>
      <c r="CI104">
        <v>-3</v>
      </c>
      <c r="CJ104">
        <v>0.32</v>
      </c>
      <c r="CK104">
        <v>0.06</v>
      </c>
      <c r="CL104">
        <v>26.411177049180331</v>
      </c>
      <c r="CM104">
        <v>-0.30207890005289401</v>
      </c>
      <c r="CN104">
        <v>0.12770861607895079</v>
      </c>
      <c r="CO104">
        <v>-1</v>
      </c>
      <c r="CP104">
        <v>500.0061639344263</v>
      </c>
      <c r="CQ104">
        <v>0.1085013220523086</v>
      </c>
      <c r="CR104">
        <v>4.0375361878443317E-2</v>
      </c>
      <c r="CS104">
        <v>-1</v>
      </c>
      <c r="CT104">
        <v>0</v>
      </c>
      <c r="CU104">
        <v>0</v>
      </c>
      <c r="CV104" t="s">
        <v>333</v>
      </c>
      <c r="CW104">
        <v>3.16751</v>
      </c>
      <c r="CX104">
        <v>2.66357</v>
      </c>
      <c r="CY104">
        <v>5.3251499999999998E-3</v>
      </c>
      <c r="CZ104">
        <v>7.8396500000000001E-3</v>
      </c>
      <c r="DA104">
        <v>3.4430099999999998E-3</v>
      </c>
      <c r="DB104">
        <v>-1.8528900000000001E-2</v>
      </c>
      <c r="DC104">
        <v>21459.4</v>
      </c>
      <c r="DD104">
        <v>21788.5</v>
      </c>
      <c r="DE104">
        <v>23102.6</v>
      </c>
      <c r="DF104">
        <v>22314.1</v>
      </c>
      <c r="DG104">
        <v>29691.200000000001</v>
      </c>
      <c r="DH104">
        <v>27103.7</v>
      </c>
      <c r="DI104">
        <v>40605.5</v>
      </c>
      <c r="DJ104">
        <v>36980.199999999997</v>
      </c>
      <c r="DK104">
        <v>2.0823399999999999</v>
      </c>
      <c r="DL104">
        <v>1.7998000000000001</v>
      </c>
      <c r="DM104">
        <v>1.93715E-2</v>
      </c>
      <c r="DN104">
        <v>0</v>
      </c>
      <c r="DO104">
        <v>27.063800000000001</v>
      </c>
      <c r="DP104">
        <v>999.9</v>
      </c>
      <c r="DQ104">
        <v>77.3</v>
      </c>
      <c r="DR104">
        <v>29.7</v>
      </c>
      <c r="DS104">
        <v>32.278300000000002</v>
      </c>
      <c r="DT104">
        <v>30.674600000000002</v>
      </c>
      <c r="DU104">
        <v>9.8718000000000004</v>
      </c>
      <c r="DV104">
        <v>1</v>
      </c>
      <c r="DW104">
        <v>0.224909</v>
      </c>
      <c r="DX104">
        <v>-0.12013500000000001</v>
      </c>
      <c r="DY104">
        <v>20.367599999999999</v>
      </c>
      <c r="DZ104">
        <v>5.21082</v>
      </c>
      <c r="EA104">
        <v>11.8482</v>
      </c>
      <c r="EB104">
        <v>4.9676799999999997</v>
      </c>
      <c r="EC104">
        <v>3.2920799999999999</v>
      </c>
      <c r="ED104">
        <v>894.7</v>
      </c>
      <c r="EE104">
        <v>0</v>
      </c>
      <c r="EF104">
        <v>6588.8</v>
      </c>
      <c r="EG104">
        <v>110.3</v>
      </c>
      <c r="EH104">
        <v>4.9716399999999998</v>
      </c>
      <c r="EI104">
        <v>1.8717999999999999</v>
      </c>
      <c r="EJ104">
        <v>1.86893</v>
      </c>
      <c r="EK104">
        <v>1.87137</v>
      </c>
      <c r="EL104">
        <v>1.8691500000000001</v>
      </c>
      <c r="EM104">
        <v>1.8680699999999999</v>
      </c>
      <c r="EN104">
        <v>1.8699399999999999</v>
      </c>
      <c r="EO104">
        <v>1.8716600000000001</v>
      </c>
      <c r="EP104">
        <v>0</v>
      </c>
      <c r="EQ104">
        <v>0</v>
      </c>
      <c r="ER104">
        <v>0</v>
      </c>
      <c r="ES104">
        <v>0</v>
      </c>
      <c r="ET104" t="s">
        <v>334</v>
      </c>
      <c r="EU104" t="s">
        <v>335</v>
      </c>
      <c r="EV104" t="s">
        <v>336</v>
      </c>
      <c r="EW104" t="s">
        <v>336</v>
      </c>
      <c r="EX104" t="s">
        <v>336</v>
      </c>
      <c r="EY104" t="s">
        <v>336</v>
      </c>
      <c r="EZ104">
        <v>0</v>
      </c>
      <c r="FA104">
        <v>100</v>
      </c>
      <c r="FB104">
        <v>100</v>
      </c>
      <c r="FC104">
        <v>8.0139999999999993</v>
      </c>
      <c r="FD104">
        <v>-0.98929999999999996</v>
      </c>
      <c r="FE104">
        <v>8.0159349999999954</v>
      </c>
      <c r="FF104">
        <v>0</v>
      </c>
      <c r="FG104">
        <v>0</v>
      </c>
      <c r="FH104">
        <v>0</v>
      </c>
      <c r="FI104">
        <v>-0.98927100000000023</v>
      </c>
      <c r="FJ104">
        <v>0</v>
      </c>
      <c r="FK104">
        <v>0</v>
      </c>
      <c r="FL104">
        <v>0</v>
      </c>
      <c r="FM104">
        <v>-1</v>
      </c>
      <c r="FN104">
        <v>-1</v>
      </c>
      <c r="FO104">
        <v>-1</v>
      </c>
      <c r="FP104">
        <v>-1</v>
      </c>
      <c r="FQ104">
        <v>0.7</v>
      </c>
      <c r="FR104">
        <v>88.2</v>
      </c>
      <c r="FS104">
        <v>0.142822</v>
      </c>
      <c r="FT104">
        <v>4.99756</v>
      </c>
      <c r="FU104">
        <v>1.5979000000000001</v>
      </c>
      <c r="FV104">
        <v>2.1557599999999999</v>
      </c>
      <c r="FW104">
        <v>1.5478499999999999</v>
      </c>
      <c r="FX104">
        <v>2.34619</v>
      </c>
      <c r="FY104">
        <v>34.1678</v>
      </c>
      <c r="FZ104">
        <v>15.962</v>
      </c>
      <c r="GA104">
        <v>3</v>
      </c>
      <c r="GB104">
        <v>496.72800000000001</v>
      </c>
      <c r="GC104">
        <v>407.05500000000001</v>
      </c>
      <c r="GD104">
        <v>27.8444</v>
      </c>
      <c r="GE104">
        <v>30.056000000000001</v>
      </c>
      <c r="GF104">
        <v>30</v>
      </c>
      <c r="GG104">
        <v>30.354500000000002</v>
      </c>
      <c r="GH104">
        <v>30.404399999999999</v>
      </c>
      <c r="GI104">
        <v>-1</v>
      </c>
      <c r="GJ104">
        <v>0</v>
      </c>
      <c r="GK104">
        <v>100</v>
      </c>
      <c r="GL104">
        <v>27.847100000000001</v>
      </c>
      <c r="GM104">
        <v>432.1</v>
      </c>
      <c r="GN104">
        <v>68.912800000000004</v>
      </c>
      <c r="GO104">
        <v>102.20699999999999</v>
      </c>
      <c r="GP104">
        <v>96.495099999999994</v>
      </c>
    </row>
    <row r="105" spans="1:198" x14ac:dyDescent="0.35">
      <c r="A105">
        <v>89</v>
      </c>
      <c r="B105">
        <v>1775486319.0999999</v>
      </c>
      <c r="C105">
        <v>5280.5999999046326</v>
      </c>
      <c r="D105" t="s">
        <v>598</v>
      </c>
      <c r="E105" t="s">
        <v>599</v>
      </c>
      <c r="F105">
        <v>60</v>
      </c>
      <c r="G105">
        <v>1775486311.349999</v>
      </c>
      <c r="H105">
        <f t="shared" si="30"/>
        <v>2.3678421342801909E-3</v>
      </c>
      <c r="I105">
        <f t="shared" si="31"/>
        <v>2.367842134280191</v>
      </c>
      <c r="J105">
        <f t="shared" si="32"/>
        <v>1.4830995466533043</v>
      </c>
      <c r="K105">
        <f t="shared" si="33"/>
        <v>27.087240000000001</v>
      </c>
      <c r="L105">
        <f t="shared" si="34"/>
        <v>-11.124211550460616</v>
      </c>
      <c r="M105">
        <f t="shared" si="35"/>
        <v>-1.1160985831805523</v>
      </c>
      <c r="N105">
        <f t="shared" si="36"/>
        <v>2.7176784663916052</v>
      </c>
      <c r="O105">
        <f t="shared" si="37"/>
        <v>6.3687217727941822E-2</v>
      </c>
      <c r="P105">
        <f t="shared" si="38"/>
        <v>2.3938544755485265</v>
      </c>
      <c r="Q105">
        <f t="shared" si="39"/>
        <v>6.2760682641941998E-2</v>
      </c>
      <c r="R105">
        <f t="shared" si="40"/>
        <v>3.9307549213266277E-2</v>
      </c>
      <c r="S105">
        <f t="shared" si="41"/>
        <v>0</v>
      </c>
      <c r="T105">
        <f t="shared" si="42"/>
        <v>26.553601605100539</v>
      </c>
      <c r="U105">
        <f t="shared" si="43"/>
        <v>27.382316666666661</v>
      </c>
      <c r="V105">
        <f t="shared" si="44"/>
        <v>3.6603195925504828</v>
      </c>
      <c r="W105">
        <f t="shared" si="45"/>
        <v>-1.5649076466467828</v>
      </c>
      <c r="X105">
        <f t="shared" si="46"/>
        <v>-5.6990427499804014E-2</v>
      </c>
      <c r="Y105">
        <f t="shared" si="47"/>
        <v>3.6417757700859008</v>
      </c>
      <c r="Z105">
        <f t="shared" si="48"/>
        <v>3.7173100200502867</v>
      </c>
      <c r="AA105">
        <f t="shared" si="49"/>
        <v>-104.42183812175642</v>
      </c>
      <c r="AB105">
        <f t="shared" si="50"/>
        <v>-11.188853539908846</v>
      </c>
      <c r="AC105">
        <f t="shared" si="51"/>
        <v>-1.0121249108845936</v>
      </c>
      <c r="AD105">
        <f t="shared" si="52"/>
        <v>-116.62281657254987</v>
      </c>
      <c r="AE105">
        <v>14</v>
      </c>
      <c r="AF105">
        <v>3</v>
      </c>
      <c r="AG105">
        <f t="shared" si="53"/>
        <v>1</v>
      </c>
      <c r="AH105">
        <f t="shared" si="54"/>
        <v>0</v>
      </c>
      <c r="AI105">
        <f t="shared" si="55"/>
        <v>25574.842655716668</v>
      </c>
      <c r="AJ105">
        <f t="shared" si="56"/>
        <v>0</v>
      </c>
      <c r="AK105">
        <f t="shared" si="57"/>
        <v>0</v>
      </c>
      <c r="AL105">
        <f t="shared" si="58"/>
        <v>0</v>
      </c>
      <c r="AM105">
        <f t="shared" si="59"/>
        <v>0</v>
      </c>
      <c r="AN105">
        <v>3</v>
      </c>
      <c r="AO105">
        <v>0.5</v>
      </c>
      <c r="AP105" t="s">
        <v>331</v>
      </c>
      <c r="AQ105">
        <v>2</v>
      </c>
      <c r="AR105">
        <v>1775486311.349999</v>
      </c>
      <c r="AS105">
        <v>27.087240000000001</v>
      </c>
      <c r="AT105">
        <v>28.015560000000001</v>
      </c>
      <c r="AU105">
        <v>-0.5680265000000001</v>
      </c>
      <c r="AV105">
        <v>-1.9895039999999999</v>
      </c>
      <c r="AW105">
        <v>19.066240000000001</v>
      </c>
      <c r="AX105">
        <v>0.42124450000000002</v>
      </c>
      <c r="AY105">
        <v>500.01223333333343</v>
      </c>
      <c r="AZ105">
        <v>100.2881666666667</v>
      </c>
      <c r="BA105">
        <v>4.2412099999999987E-2</v>
      </c>
      <c r="BB105">
        <v>27.295619999999989</v>
      </c>
      <c r="BC105">
        <v>27.382316666666661</v>
      </c>
      <c r="BD105">
        <v>999.9000000000002</v>
      </c>
      <c r="BE105">
        <v>0</v>
      </c>
      <c r="BF105">
        <v>0</v>
      </c>
      <c r="BG105">
        <v>5000.6000000000004</v>
      </c>
      <c r="BH105">
        <v>0.36531839999999999</v>
      </c>
      <c r="BI105">
        <v>0.22961599999999999</v>
      </c>
      <c r="BJ105">
        <v>-0.93531390000000014</v>
      </c>
      <c r="BK105">
        <v>27.06487666666667</v>
      </c>
      <c r="BL105">
        <v>27.959936666666671</v>
      </c>
      <c r="BM105">
        <v>1.4214763333333329</v>
      </c>
      <c r="BN105">
        <v>28.015560000000001</v>
      </c>
      <c r="BO105">
        <v>-1.9895039999999999</v>
      </c>
      <c r="BP105">
        <v>-5.6966313333333331E-2</v>
      </c>
      <c r="BQ105">
        <v>-0.19952339999999999</v>
      </c>
      <c r="BR105">
        <v>-99.900000000000034</v>
      </c>
      <c r="BS105">
        <v>-99.900000000000034</v>
      </c>
      <c r="BT105">
        <v>0</v>
      </c>
      <c r="BU105">
        <v>0</v>
      </c>
      <c r="BV105">
        <v>0</v>
      </c>
      <c r="BW105">
        <v>26</v>
      </c>
      <c r="BX105">
        <v>-1</v>
      </c>
      <c r="BY105">
        <v>1775486337.0999999</v>
      </c>
      <c r="BZ105" t="s">
        <v>600</v>
      </c>
      <c r="CA105">
        <v>1775486337.0999999</v>
      </c>
      <c r="CB105">
        <v>1775480969.5</v>
      </c>
      <c r="CC105">
        <v>90</v>
      </c>
      <c r="CD105">
        <v>7.0000000000000001E-3</v>
      </c>
      <c r="CE105">
        <v>0.19500000000000001</v>
      </c>
      <c r="CF105">
        <v>8.0210000000000008</v>
      </c>
      <c r="CG105">
        <v>-0.98899999999999999</v>
      </c>
      <c r="CH105">
        <v>28</v>
      </c>
      <c r="CI105">
        <v>-3</v>
      </c>
      <c r="CJ105">
        <v>0.2</v>
      </c>
      <c r="CK105">
        <v>0.06</v>
      </c>
      <c r="CL105">
        <v>27.648540000000001</v>
      </c>
      <c r="CM105">
        <v>2.665686468463504</v>
      </c>
      <c r="CN105">
        <v>0.40260546080085219</v>
      </c>
      <c r="CO105">
        <v>-1</v>
      </c>
      <c r="CP105">
        <v>500.00785000000002</v>
      </c>
      <c r="CQ105">
        <v>6.1240344542477169E-2</v>
      </c>
      <c r="CR105">
        <v>2.7425550738924991E-2</v>
      </c>
      <c r="CS105">
        <v>-1</v>
      </c>
      <c r="CT105">
        <v>0</v>
      </c>
      <c r="CU105">
        <v>0</v>
      </c>
      <c r="CV105" t="s">
        <v>333</v>
      </c>
      <c r="CW105">
        <v>3.1674699999999998</v>
      </c>
      <c r="CX105">
        <v>2.66377</v>
      </c>
      <c r="CY105">
        <v>5.7962899999999999E-3</v>
      </c>
      <c r="CZ105">
        <v>8.3525600000000002E-3</v>
      </c>
      <c r="DA105">
        <v>3.4144900000000001E-3</v>
      </c>
      <c r="DB105">
        <v>-1.8460399999999998E-2</v>
      </c>
      <c r="DC105">
        <v>21449</v>
      </c>
      <c r="DD105">
        <v>21777.599999999999</v>
      </c>
      <c r="DE105">
        <v>23102.3</v>
      </c>
      <c r="DF105">
        <v>22314.400000000001</v>
      </c>
      <c r="DG105">
        <v>29691.599999999999</v>
      </c>
      <c r="DH105">
        <v>27102.2</v>
      </c>
      <c r="DI105">
        <v>40605</v>
      </c>
      <c r="DJ105">
        <v>36980.6</v>
      </c>
      <c r="DK105">
        <v>2.0827599999999999</v>
      </c>
      <c r="DL105">
        <v>1.79924</v>
      </c>
      <c r="DM105">
        <v>2.04265E-2</v>
      </c>
      <c r="DN105">
        <v>0</v>
      </c>
      <c r="DO105">
        <v>27.0518</v>
      </c>
      <c r="DP105">
        <v>999.9</v>
      </c>
      <c r="DQ105">
        <v>77.3</v>
      </c>
      <c r="DR105">
        <v>29.7</v>
      </c>
      <c r="DS105">
        <v>32.275700000000001</v>
      </c>
      <c r="DT105">
        <v>30.5246</v>
      </c>
      <c r="DU105">
        <v>9.5713100000000004</v>
      </c>
      <c r="DV105">
        <v>1</v>
      </c>
      <c r="DW105">
        <v>0.224102</v>
      </c>
      <c r="DX105">
        <v>-0.16143099999999999</v>
      </c>
      <c r="DY105">
        <v>20.367699999999999</v>
      </c>
      <c r="DZ105">
        <v>5.2112999999999996</v>
      </c>
      <c r="EA105">
        <v>11.8485</v>
      </c>
      <c r="EB105">
        <v>4.9677199999999999</v>
      </c>
      <c r="EC105">
        <v>3.2924000000000002</v>
      </c>
      <c r="ED105">
        <v>894.7</v>
      </c>
      <c r="EE105">
        <v>0</v>
      </c>
      <c r="EF105">
        <v>6621.4</v>
      </c>
      <c r="EG105">
        <v>110.3</v>
      </c>
      <c r="EH105">
        <v>4.9716199999999997</v>
      </c>
      <c r="EI105">
        <v>1.8717999999999999</v>
      </c>
      <c r="EJ105">
        <v>1.86893</v>
      </c>
      <c r="EK105">
        <v>1.8713900000000001</v>
      </c>
      <c r="EL105">
        <v>1.86914</v>
      </c>
      <c r="EM105">
        <v>1.8681300000000001</v>
      </c>
      <c r="EN105">
        <v>1.86995</v>
      </c>
      <c r="EO105">
        <v>1.8716999999999999</v>
      </c>
      <c r="EP105">
        <v>0</v>
      </c>
      <c r="EQ105">
        <v>0</v>
      </c>
      <c r="ER105">
        <v>0</v>
      </c>
      <c r="ES105">
        <v>0</v>
      </c>
      <c r="ET105" t="s">
        <v>334</v>
      </c>
      <c r="EU105" t="s">
        <v>335</v>
      </c>
      <c r="EV105" t="s">
        <v>336</v>
      </c>
      <c r="EW105" t="s">
        <v>336</v>
      </c>
      <c r="EX105" t="s">
        <v>336</v>
      </c>
      <c r="EY105" t="s">
        <v>336</v>
      </c>
      <c r="EZ105">
        <v>0</v>
      </c>
      <c r="FA105">
        <v>100</v>
      </c>
      <c r="FB105">
        <v>100</v>
      </c>
      <c r="FC105">
        <v>8.0210000000000008</v>
      </c>
      <c r="FD105">
        <v>-0.98929999999999996</v>
      </c>
      <c r="FE105">
        <v>8.0140095238095235</v>
      </c>
      <c r="FF105">
        <v>0</v>
      </c>
      <c r="FG105">
        <v>0</v>
      </c>
      <c r="FH105">
        <v>0</v>
      </c>
      <c r="FI105">
        <v>-0.98927100000000023</v>
      </c>
      <c r="FJ105">
        <v>0</v>
      </c>
      <c r="FK105">
        <v>0</v>
      </c>
      <c r="FL105">
        <v>0</v>
      </c>
      <c r="FM105">
        <v>-1</v>
      </c>
      <c r="FN105">
        <v>-1</v>
      </c>
      <c r="FO105">
        <v>-1</v>
      </c>
      <c r="FP105">
        <v>-1</v>
      </c>
      <c r="FQ105">
        <v>0.7</v>
      </c>
      <c r="FR105">
        <v>89.2</v>
      </c>
      <c r="FS105">
        <v>0.142822</v>
      </c>
      <c r="FT105">
        <v>4.99756</v>
      </c>
      <c r="FU105">
        <v>1.5979000000000001</v>
      </c>
      <c r="FV105">
        <v>2.1557599999999999</v>
      </c>
      <c r="FW105">
        <v>1.5478499999999999</v>
      </c>
      <c r="FX105">
        <v>2.4108900000000002</v>
      </c>
      <c r="FY105">
        <v>34.1905</v>
      </c>
      <c r="FZ105">
        <v>15.9533</v>
      </c>
      <c r="GA105">
        <v>3</v>
      </c>
      <c r="GB105">
        <v>496.93700000000001</v>
      </c>
      <c r="GC105">
        <v>406.69900000000001</v>
      </c>
      <c r="GD105">
        <v>27.880400000000002</v>
      </c>
      <c r="GE105">
        <v>30.0501</v>
      </c>
      <c r="GF105">
        <v>30.0001</v>
      </c>
      <c r="GG105">
        <v>30.35</v>
      </c>
      <c r="GH105">
        <v>30.3992</v>
      </c>
      <c r="GI105">
        <v>-1</v>
      </c>
      <c r="GJ105">
        <v>0</v>
      </c>
      <c r="GK105">
        <v>100</v>
      </c>
      <c r="GL105">
        <v>27.882899999999999</v>
      </c>
      <c r="GM105">
        <v>432.1</v>
      </c>
      <c r="GN105">
        <v>68.912800000000004</v>
      </c>
      <c r="GO105">
        <v>102.206</v>
      </c>
      <c r="GP105">
        <v>96.496300000000005</v>
      </c>
    </row>
    <row r="106" spans="1:198" x14ac:dyDescent="0.35">
      <c r="A106">
        <v>90</v>
      </c>
      <c r="B106">
        <v>1775486379.0999999</v>
      </c>
      <c r="C106">
        <v>5340.5999999046326</v>
      </c>
      <c r="D106" t="s">
        <v>601</v>
      </c>
      <c r="E106" t="s">
        <v>602</v>
      </c>
      <c r="F106">
        <v>60</v>
      </c>
      <c r="G106">
        <v>1775486371.099999</v>
      </c>
      <c r="H106">
        <f t="shared" si="30"/>
        <v>2.3522412990226987E-3</v>
      </c>
      <c r="I106">
        <f t="shared" si="31"/>
        <v>2.3522412990226989</v>
      </c>
      <c r="J106">
        <f t="shared" si="32"/>
        <v>0.94284626571917807</v>
      </c>
      <c r="K106">
        <f t="shared" si="33"/>
        <v>27.587932258064519</v>
      </c>
      <c r="L106">
        <f t="shared" si="34"/>
        <v>2.5329209713169676</v>
      </c>
      <c r="M106">
        <f t="shared" si="35"/>
        <v>0.25413227890626966</v>
      </c>
      <c r="N106">
        <f t="shared" si="36"/>
        <v>2.767944272421746</v>
      </c>
      <c r="O106">
        <f t="shared" si="37"/>
        <v>6.3256475966672665E-2</v>
      </c>
      <c r="P106">
        <f t="shared" si="38"/>
        <v>2.3937251043589054</v>
      </c>
      <c r="Q106">
        <f t="shared" si="39"/>
        <v>6.2342285913380827E-2</v>
      </c>
      <c r="R106">
        <f t="shared" si="40"/>
        <v>3.9044964378068175E-2</v>
      </c>
      <c r="S106">
        <f t="shared" si="41"/>
        <v>0</v>
      </c>
      <c r="T106">
        <f t="shared" si="42"/>
        <v>26.561090402206183</v>
      </c>
      <c r="U106">
        <f t="shared" si="43"/>
        <v>27.380551612903218</v>
      </c>
      <c r="V106">
        <f t="shared" si="44"/>
        <v>3.6599412394351147</v>
      </c>
      <c r="W106">
        <f t="shared" si="45"/>
        <v>-1.5848008049436777</v>
      </c>
      <c r="X106">
        <f t="shared" si="46"/>
        <v>-5.7723804059766529E-2</v>
      </c>
      <c r="Y106">
        <f t="shared" si="47"/>
        <v>3.6423381335812723</v>
      </c>
      <c r="Z106">
        <f t="shared" si="48"/>
        <v>3.7176650434948812</v>
      </c>
      <c r="AA106">
        <f t="shared" si="49"/>
        <v>-103.73384128690101</v>
      </c>
      <c r="AB106">
        <f t="shared" si="50"/>
        <v>-10.620440502135242</v>
      </c>
      <c r="AC106">
        <f t="shared" si="51"/>
        <v>-0.9607633154915729</v>
      </c>
      <c r="AD106">
        <f t="shared" si="52"/>
        <v>-115.31504510452783</v>
      </c>
      <c r="AE106">
        <v>14</v>
      </c>
      <c r="AF106">
        <v>3</v>
      </c>
      <c r="AG106">
        <f t="shared" si="53"/>
        <v>1</v>
      </c>
      <c r="AH106">
        <f t="shared" si="54"/>
        <v>0</v>
      </c>
      <c r="AI106">
        <f t="shared" si="55"/>
        <v>25572.592079358623</v>
      </c>
      <c r="AJ106">
        <f t="shared" si="56"/>
        <v>0</v>
      </c>
      <c r="AK106">
        <f t="shared" si="57"/>
        <v>0</v>
      </c>
      <c r="AL106">
        <f t="shared" si="58"/>
        <v>0</v>
      </c>
      <c r="AM106">
        <f t="shared" si="59"/>
        <v>0</v>
      </c>
      <c r="AN106">
        <v>3</v>
      </c>
      <c r="AO106">
        <v>0.5</v>
      </c>
      <c r="AP106" t="s">
        <v>331</v>
      </c>
      <c r="AQ106">
        <v>2</v>
      </c>
      <c r="AR106">
        <v>1775486371.099999</v>
      </c>
      <c r="AS106">
        <v>27.587932258064519</v>
      </c>
      <c r="AT106">
        <v>28.192564516129028</v>
      </c>
      <c r="AU106">
        <v>-0.57532964516129015</v>
      </c>
      <c r="AV106">
        <v>-1.9874593548387101</v>
      </c>
      <c r="AW106">
        <v>19.571932258064521</v>
      </c>
      <c r="AX106">
        <v>0.41394135483870959</v>
      </c>
      <c r="AY106">
        <v>500.00958064516112</v>
      </c>
      <c r="AZ106">
        <v>100.2896451612903</v>
      </c>
      <c r="BA106">
        <v>4.2059532258064518E-2</v>
      </c>
      <c r="BB106">
        <v>27.298254838709671</v>
      </c>
      <c r="BC106">
        <v>27.380551612903218</v>
      </c>
      <c r="BD106">
        <v>999.90000000000032</v>
      </c>
      <c r="BE106">
        <v>0</v>
      </c>
      <c r="BF106">
        <v>0</v>
      </c>
      <c r="BG106">
        <v>5000.1935483870966</v>
      </c>
      <c r="BH106">
        <v>0.37892606451612909</v>
      </c>
      <c r="BI106">
        <v>0.22961599999999999</v>
      </c>
      <c r="BJ106">
        <v>-0.5996674838709678</v>
      </c>
      <c r="BK106">
        <v>27.57703225806452</v>
      </c>
      <c r="BL106">
        <v>28.136645161290321</v>
      </c>
      <c r="BM106">
        <v>1.412129032258064</v>
      </c>
      <c r="BN106">
        <v>28.192564516129028</v>
      </c>
      <c r="BO106">
        <v>-1.9874593548387101</v>
      </c>
      <c r="BP106">
        <v>-5.7699622580645163E-2</v>
      </c>
      <c r="BQ106">
        <v>-0.19932170967741941</v>
      </c>
      <c r="BR106">
        <v>-99.900000000000034</v>
      </c>
      <c r="BS106">
        <v>-99.900000000000034</v>
      </c>
      <c r="BT106">
        <v>0</v>
      </c>
      <c r="BU106">
        <v>0</v>
      </c>
      <c r="BV106">
        <v>0</v>
      </c>
      <c r="BW106">
        <v>26</v>
      </c>
      <c r="BX106">
        <v>-1</v>
      </c>
      <c r="BY106">
        <v>1775486397.0999999</v>
      </c>
      <c r="BZ106" t="s">
        <v>603</v>
      </c>
      <c r="CA106">
        <v>1775486397.0999999</v>
      </c>
      <c r="CB106">
        <v>1775480969.5</v>
      </c>
      <c r="CC106">
        <v>91</v>
      </c>
      <c r="CD106">
        <v>-5.0000000000000001E-3</v>
      </c>
      <c r="CE106">
        <v>0.19500000000000001</v>
      </c>
      <c r="CF106">
        <v>8.016</v>
      </c>
      <c r="CG106">
        <v>-0.98899999999999999</v>
      </c>
      <c r="CH106">
        <v>27</v>
      </c>
      <c r="CI106">
        <v>-3</v>
      </c>
      <c r="CJ106">
        <v>0.17</v>
      </c>
      <c r="CK106">
        <v>0.06</v>
      </c>
      <c r="CL106">
        <v>28.050550819672129</v>
      </c>
      <c r="CM106">
        <v>0.57277123215231973</v>
      </c>
      <c r="CN106">
        <v>0.25727313968031612</v>
      </c>
      <c r="CO106">
        <v>-1</v>
      </c>
      <c r="CP106">
        <v>500.00055737704918</v>
      </c>
      <c r="CQ106">
        <v>-2.6512956107903551E-2</v>
      </c>
      <c r="CR106">
        <v>4.9704215142744569E-2</v>
      </c>
      <c r="CS106">
        <v>-1</v>
      </c>
      <c r="CT106">
        <v>0</v>
      </c>
      <c r="CU106">
        <v>0</v>
      </c>
      <c r="CV106" t="s">
        <v>333</v>
      </c>
      <c r="CW106">
        <v>3.1674099999999998</v>
      </c>
      <c r="CX106">
        <v>2.6633800000000001</v>
      </c>
      <c r="CY106">
        <v>5.8215100000000002E-3</v>
      </c>
      <c r="CZ106">
        <v>8.3365000000000002E-3</v>
      </c>
      <c r="DA106">
        <v>3.3249799999999999E-3</v>
      </c>
      <c r="DB106">
        <v>-1.8455699999999998E-2</v>
      </c>
      <c r="DC106">
        <v>21448.799999999999</v>
      </c>
      <c r="DD106">
        <v>21778.6</v>
      </c>
      <c r="DE106">
        <v>23102.6</v>
      </c>
      <c r="DF106">
        <v>22315.1</v>
      </c>
      <c r="DG106">
        <v>29694.7</v>
      </c>
      <c r="DH106">
        <v>27102.9</v>
      </c>
      <c r="DI106">
        <v>40605.5</v>
      </c>
      <c r="DJ106">
        <v>36981.800000000003</v>
      </c>
      <c r="DK106">
        <v>2.0823800000000001</v>
      </c>
      <c r="DL106">
        <v>1.79928</v>
      </c>
      <c r="DM106">
        <v>2.06649E-2</v>
      </c>
      <c r="DN106">
        <v>0</v>
      </c>
      <c r="DO106">
        <v>27.040900000000001</v>
      </c>
      <c r="DP106">
        <v>999.9</v>
      </c>
      <c r="DQ106">
        <v>77.2</v>
      </c>
      <c r="DR106">
        <v>29.7</v>
      </c>
      <c r="DS106">
        <v>32.2333</v>
      </c>
      <c r="DT106">
        <v>30.7346</v>
      </c>
      <c r="DU106">
        <v>9.8878199999999996</v>
      </c>
      <c r="DV106">
        <v>1</v>
      </c>
      <c r="DW106">
        <v>0.223386</v>
      </c>
      <c r="DX106">
        <v>-0.14729</v>
      </c>
      <c r="DY106">
        <v>20.367899999999999</v>
      </c>
      <c r="DZ106">
        <v>5.2121399999999998</v>
      </c>
      <c r="EA106">
        <v>11.8485</v>
      </c>
      <c r="EB106">
        <v>4.9677600000000002</v>
      </c>
      <c r="EC106">
        <v>3.2923</v>
      </c>
      <c r="ED106">
        <v>894.7</v>
      </c>
      <c r="EE106">
        <v>0</v>
      </c>
      <c r="EF106">
        <v>6653.4</v>
      </c>
      <c r="EG106">
        <v>110.3</v>
      </c>
      <c r="EH106">
        <v>4.9715999999999996</v>
      </c>
      <c r="EI106">
        <v>1.8717999999999999</v>
      </c>
      <c r="EJ106">
        <v>1.8689100000000001</v>
      </c>
      <c r="EK106">
        <v>1.8713599999999999</v>
      </c>
      <c r="EL106">
        <v>1.86914</v>
      </c>
      <c r="EM106">
        <v>1.8681000000000001</v>
      </c>
      <c r="EN106">
        <v>1.8699300000000001</v>
      </c>
      <c r="EO106">
        <v>1.87168</v>
      </c>
      <c r="EP106">
        <v>0</v>
      </c>
      <c r="EQ106">
        <v>0</v>
      </c>
      <c r="ER106">
        <v>0</v>
      </c>
      <c r="ES106">
        <v>0</v>
      </c>
      <c r="ET106" t="s">
        <v>334</v>
      </c>
      <c r="EU106" t="s">
        <v>335</v>
      </c>
      <c r="EV106" t="s">
        <v>336</v>
      </c>
      <c r="EW106" t="s">
        <v>336</v>
      </c>
      <c r="EX106" t="s">
        <v>336</v>
      </c>
      <c r="EY106" t="s">
        <v>336</v>
      </c>
      <c r="EZ106">
        <v>0</v>
      </c>
      <c r="FA106">
        <v>100</v>
      </c>
      <c r="FB106">
        <v>100</v>
      </c>
      <c r="FC106">
        <v>8.016</v>
      </c>
      <c r="FD106">
        <v>-0.98929999999999996</v>
      </c>
      <c r="FE106">
        <v>8.0209649999999932</v>
      </c>
      <c r="FF106">
        <v>0</v>
      </c>
      <c r="FG106">
        <v>0</v>
      </c>
      <c r="FH106">
        <v>0</v>
      </c>
      <c r="FI106">
        <v>-0.98927100000000023</v>
      </c>
      <c r="FJ106">
        <v>0</v>
      </c>
      <c r="FK106">
        <v>0</v>
      </c>
      <c r="FL106">
        <v>0</v>
      </c>
      <c r="FM106">
        <v>-1</v>
      </c>
      <c r="FN106">
        <v>-1</v>
      </c>
      <c r="FO106">
        <v>-1</v>
      </c>
      <c r="FP106">
        <v>-1</v>
      </c>
      <c r="FQ106">
        <v>0.7</v>
      </c>
      <c r="FR106">
        <v>90.2</v>
      </c>
      <c r="FS106">
        <v>0.142822</v>
      </c>
      <c r="FT106">
        <v>4.99756</v>
      </c>
      <c r="FU106">
        <v>1.5979000000000001</v>
      </c>
      <c r="FV106">
        <v>2.1557599999999999</v>
      </c>
      <c r="FW106">
        <v>1.5478499999999999</v>
      </c>
      <c r="FX106">
        <v>2.4487299999999999</v>
      </c>
      <c r="FY106">
        <v>34.1905</v>
      </c>
      <c r="FZ106">
        <v>15.962</v>
      </c>
      <c r="GA106">
        <v>3</v>
      </c>
      <c r="GB106">
        <v>496.65699999999998</v>
      </c>
      <c r="GC106">
        <v>406.68900000000002</v>
      </c>
      <c r="GD106">
        <v>27.863</v>
      </c>
      <c r="GE106">
        <v>30.040400000000002</v>
      </c>
      <c r="GF106">
        <v>30.0001</v>
      </c>
      <c r="GG106">
        <v>30.342199999999998</v>
      </c>
      <c r="GH106">
        <v>30.394100000000002</v>
      </c>
      <c r="GI106">
        <v>-1</v>
      </c>
      <c r="GJ106">
        <v>0</v>
      </c>
      <c r="GK106">
        <v>100</v>
      </c>
      <c r="GL106">
        <v>27.864699999999999</v>
      </c>
      <c r="GM106">
        <v>432.1</v>
      </c>
      <c r="GN106">
        <v>68.912800000000004</v>
      </c>
      <c r="GO106">
        <v>102.20699999999999</v>
      </c>
      <c r="GP106">
        <v>96.499200000000002</v>
      </c>
    </row>
    <row r="107" spans="1:198" x14ac:dyDescent="0.35">
      <c r="A107">
        <v>91</v>
      </c>
      <c r="B107">
        <v>1775486439.0999999</v>
      </c>
      <c r="C107">
        <v>5400.5999999046326</v>
      </c>
      <c r="D107" t="s">
        <v>604</v>
      </c>
      <c r="E107" t="s">
        <v>605</v>
      </c>
      <c r="F107">
        <v>60</v>
      </c>
      <c r="G107">
        <v>1775486431.099999</v>
      </c>
      <c r="H107">
        <f t="shared" si="30"/>
        <v>2.3178705955366054E-3</v>
      </c>
      <c r="I107">
        <f t="shared" si="31"/>
        <v>2.3178705955366055</v>
      </c>
      <c r="J107">
        <f t="shared" si="32"/>
        <v>1.0252634086424433</v>
      </c>
      <c r="K107">
        <f t="shared" si="33"/>
        <v>26.947422580645171</v>
      </c>
      <c r="L107">
        <f t="shared" si="34"/>
        <v>-0.50379923785489755</v>
      </c>
      <c r="M107">
        <f t="shared" si="35"/>
        <v>-5.0546715125147308E-2</v>
      </c>
      <c r="N107">
        <f t="shared" si="36"/>
        <v>2.7036636624153481</v>
      </c>
      <c r="O107">
        <f t="shared" si="37"/>
        <v>6.2304996164882859E-2</v>
      </c>
      <c r="P107">
        <f t="shared" si="38"/>
        <v>2.3943152374524144</v>
      </c>
      <c r="Q107">
        <f t="shared" si="39"/>
        <v>6.1418108412884448E-2</v>
      </c>
      <c r="R107">
        <f t="shared" si="40"/>
        <v>3.8464949360603268E-2</v>
      </c>
      <c r="S107">
        <f t="shared" si="41"/>
        <v>0</v>
      </c>
      <c r="T107">
        <f t="shared" si="42"/>
        <v>26.571893626442638</v>
      </c>
      <c r="U107">
        <f t="shared" si="43"/>
        <v>27.376674193548389</v>
      </c>
      <c r="V107">
        <f t="shared" si="44"/>
        <v>3.6591102040357861</v>
      </c>
      <c r="W107">
        <f t="shared" si="45"/>
        <v>-1.6302573812305166</v>
      </c>
      <c r="X107">
        <f t="shared" si="46"/>
        <v>-5.9379026048128933E-2</v>
      </c>
      <c r="Y107">
        <f t="shared" si="47"/>
        <v>3.6423099034405051</v>
      </c>
      <c r="Z107">
        <f t="shared" si="48"/>
        <v>3.718489230083915</v>
      </c>
      <c r="AA107">
        <f t="shared" si="49"/>
        <v>-102.21809326316429</v>
      </c>
      <c r="AB107">
        <f t="shared" si="50"/>
        <v>-10.139624675350314</v>
      </c>
      <c r="AC107">
        <f t="shared" si="51"/>
        <v>-0.91702253632356756</v>
      </c>
      <c r="AD107">
        <f t="shared" si="52"/>
        <v>-113.27474047483818</v>
      </c>
      <c r="AE107">
        <v>14</v>
      </c>
      <c r="AF107">
        <v>3</v>
      </c>
      <c r="AG107">
        <f t="shared" si="53"/>
        <v>1</v>
      </c>
      <c r="AH107">
        <f t="shared" si="54"/>
        <v>0</v>
      </c>
      <c r="AI107">
        <f t="shared" si="55"/>
        <v>25581.601942765326</v>
      </c>
      <c r="AJ107">
        <f t="shared" si="56"/>
        <v>0</v>
      </c>
      <c r="AK107">
        <f t="shared" si="57"/>
        <v>0</v>
      </c>
      <c r="AL107">
        <f t="shared" si="58"/>
        <v>0</v>
      </c>
      <c r="AM107">
        <f t="shared" si="59"/>
        <v>0</v>
      </c>
      <c r="AN107">
        <v>3</v>
      </c>
      <c r="AO107">
        <v>0.5</v>
      </c>
      <c r="AP107" t="s">
        <v>331</v>
      </c>
      <c r="AQ107">
        <v>2</v>
      </c>
      <c r="AR107">
        <v>1775486431.099999</v>
      </c>
      <c r="AS107">
        <v>26.947422580645171</v>
      </c>
      <c r="AT107">
        <v>27.600041935483869</v>
      </c>
      <c r="AU107">
        <v>-0.59183090322580656</v>
      </c>
      <c r="AV107">
        <v>-1.9833441935483871</v>
      </c>
      <c r="AW107">
        <v>18.89142258064517</v>
      </c>
      <c r="AX107">
        <v>0.39744009677419351</v>
      </c>
      <c r="AY107">
        <v>500.01154838709658</v>
      </c>
      <c r="AZ107">
        <v>100.28903225806449</v>
      </c>
      <c r="BA107">
        <v>4.203481612903226E-2</v>
      </c>
      <c r="BB107">
        <v>27.29812258064516</v>
      </c>
      <c r="BC107">
        <v>27.376674193548389</v>
      </c>
      <c r="BD107">
        <v>999.90000000000032</v>
      </c>
      <c r="BE107">
        <v>0</v>
      </c>
      <c r="BF107">
        <v>0</v>
      </c>
      <c r="BG107">
        <v>5001.7419354838712</v>
      </c>
      <c r="BH107">
        <v>0.35531587096774192</v>
      </c>
      <c r="BI107">
        <v>0.23331922580645159</v>
      </c>
      <c r="BJ107">
        <v>-0.69257016129032256</v>
      </c>
      <c r="BK107">
        <v>26.89154838709678</v>
      </c>
      <c r="BL107">
        <v>27.545400000000001</v>
      </c>
      <c r="BM107">
        <v>1.3915135483870971</v>
      </c>
      <c r="BN107">
        <v>27.600041935483869</v>
      </c>
      <c r="BO107">
        <v>-1.9833441935483871</v>
      </c>
      <c r="BP107">
        <v>-5.9354154838709677E-2</v>
      </c>
      <c r="BQ107">
        <v>-0.19890767741935481</v>
      </c>
      <c r="BR107">
        <v>-99.900000000000034</v>
      </c>
      <c r="BS107">
        <v>-99.900000000000034</v>
      </c>
      <c r="BT107">
        <v>0</v>
      </c>
      <c r="BU107">
        <v>0</v>
      </c>
      <c r="BV107">
        <v>0</v>
      </c>
      <c r="BW107">
        <v>26</v>
      </c>
      <c r="BX107">
        <v>-1</v>
      </c>
      <c r="BY107">
        <v>1775486456.0999999</v>
      </c>
      <c r="BZ107" t="s">
        <v>606</v>
      </c>
      <c r="CA107">
        <v>1775486456.0999999</v>
      </c>
      <c r="CB107">
        <v>1775480969.5</v>
      </c>
      <c r="CC107">
        <v>92</v>
      </c>
      <c r="CD107">
        <v>0.04</v>
      </c>
      <c r="CE107">
        <v>0.19500000000000001</v>
      </c>
      <c r="CF107">
        <v>8.0559999999999992</v>
      </c>
      <c r="CG107">
        <v>-0.98899999999999999</v>
      </c>
      <c r="CH107">
        <v>28</v>
      </c>
      <c r="CI107">
        <v>-3</v>
      </c>
      <c r="CJ107">
        <v>0.25</v>
      </c>
      <c r="CK107">
        <v>0.06</v>
      </c>
      <c r="CL107">
        <v>27.469868333333331</v>
      </c>
      <c r="CM107">
        <v>1.0628068908029931</v>
      </c>
      <c r="CN107">
        <v>0.21030862677793849</v>
      </c>
      <c r="CO107">
        <v>-1</v>
      </c>
      <c r="CP107">
        <v>500.00821666666673</v>
      </c>
      <c r="CQ107">
        <v>1.3247013059941269E-2</v>
      </c>
      <c r="CR107">
        <v>3.3940188403851643E-2</v>
      </c>
      <c r="CS107">
        <v>-1</v>
      </c>
      <c r="CT107">
        <v>0</v>
      </c>
      <c r="CU107">
        <v>0</v>
      </c>
      <c r="CV107" t="s">
        <v>333</v>
      </c>
      <c r="CW107">
        <v>3.1674799999999999</v>
      </c>
      <c r="CX107">
        <v>2.6635399999999998</v>
      </c>
      <c r="CY107">
        <v>5.7066299999999999E-3</v>
      </c>
      <c r="CZ107">
        <v>8.3590899999999996E-3</v>
      </c>
      <c r="DA107">
        <v>3.25633E-3</v>
      </c>
      <c r="DB107">
        <v>-1.8334E-2</v>
      </c>
      <c r="DC107">
        <v>21451.5</v>
      </c>
      <c r="DD107">
        <v>21778.2</v>
      </c>
      <c r="DE107">
        <v>23102.799999999999</v>
      </c>
      <c r="DF107">
        <v>22315.200000000001</v>
      </c>
      <c r="DG107">
        <v>29697.1</v>
      </c>
      <c r="DH107">
        <v>27099.8</v>
      </c>
      <c r="DI107">
        <v>40606</v>
      </c>
      <c r="DJ107">
        <v>36981.9</v>
      </c>
      <c r="DK107">
        <v>2.0828000000000002</v>
      </c>
      <c r="DL107">
        <v>1.79922</v>
      </c>
      <c r="DM107">
        <v>2.1234200000000002E-2</v>
      </c>
      <c r="DN107">
        <v>0</v>
      </c>
      <c r="DO107">
        <v>27.0349</v>
      </c>
      <c r="DP107">
        <v>999.9</v>
      </c>
      <c r="DQ107">
        <v>77.2</v>
      </c>
      <c r="DR107">
        <v>29.7</v>
      </c>
      <c r="DS107">
        <v>32.233800000000002</v>
      </c>
      <c r="DT107">
        <v>30.404599999999999</v>
      </c>
      <c r="DU107">
        <v>9.8838100000000004</v>
      </c>
      <c r="DV107">
        <v>1</v>
      </c>
      <c r="DW107">
        <v>0.222606</v>
      </c>
      <c r="DX107">
        <v>-0.186283</v>
      </c>
      <c r="DY107">
        <v>20.367699999999999</v>
      </c>
      <c r="DZ107">
        <v>5.2122599999999997</v>
      </c>
      <c r="EA107">
        <v>11.8482</v>
      </c>
      <c r="EB107">
        <v>4.9678800000000001</v>
      </c>
      <c r="EC107">
        <v>3.2921999999999998</v>
      </c>
      <c r="ED107">
        <v>894.7</v>
      </c>
      <c r="EE107">
        <v>0</v>
      </c>
      <c r="EF107">
        <v>6685</v>
      </c>
      <c r="EG107">
        <v>110.3</v>
      </c>
      <c r="EH107">
        <v>4.97159</v>
      </c>
      <c r="EI107">
        <v>1.8717999999999999</v>
      </c>
      <c r="EJ107">
        <v>1.8689499999999999</v>
      </c>
      <c r="EK107">
        <v>1.8713900000000001</v>
      </c>
      <c r="EL107">
        <v>1.8691800000000001</v>
      </c>
      <c r="EM107">
        <v>1.86809</v>
      </c>
      <c r="EN107">
        <v>1.86991</v>
      </c>
      <c r="EO107">
        <v>1.87174</v>
      </c>
      <c r="EP107">
        <v>0</v>
      </c>
      <c r="EQ107">
        <v>0</v>
      </c>
      <c r="ER107">
        <v>0</v>
      </c>
      <c r="ES107">
        <v>0</v>
      </c>
      <c r="ET107" t="s">
        <v>334</v>
      </c>
      <c r="EU107" t="s">
        <v>335</v>
      </c>
      <c r="EV107" t="s">
        <v>336</v>
      </c>
      <c r="EW107" t="s">
        <v>336</v>
      </c>
      <c r="EX107" t="s">
        <v>336</v>
      </c>
      <c r="EY107" t="s">
        <v>336</v>
      </c>
      <c r="EZ107">
        <v>0</v>
      </c>
      <c r="FA107">
        <v>100</v>
      </c>
      <c r="FB107">
        <v>100</v>
      </c>
      <c r="FC107">
        <v>8.0559999999999992</v>
      </c>
      <c r="FD107">
        <v>-0.98929999999999996</v>
      </c>
      <c r="FE107">
        <v>8.0160400000000003</v>
      </c>
      <c r="FF107">
        <v>0</v>
      </c>
      <c r="FG107">
        <v>0</v>
      </c>
      <c r="FH107">
        <v>0</v>
      </c>
      <c r="FI107">
        <v>-0.98927100000000023</v>
      </c>
      <c r="FJ107">
        <v>0</v>
      </c>
      <c r="FK107">
        <v>0</v>
      </c>
      <c r="FL107">
        <v>0</v>
      </c>
      <c r="FM107">
        <v>-1</v>
      </c>
      <c r="FN107">
        <v>-1</v>
      </c>
      <c r="FO107">
        <v>-1</v>
      </c>
      <c r="FP107">
        <v>-1</v>
      </c>
      <c r="FQ107">
        <v>0.7</v>
      </c>
      <c r="FR107">
        <v>91.2</v>
      </c>
      <c r="FS107">
        <v>0.142822</v>
      </c>
      <c r="FT107">
        <v>4.99756</v>
      </c>
      <c r="FU107">
        <v>1.5979000000000001</v>
      </c>
      <c r="FV107">
        <v>2.1557599999999999</v>
      </c>
      <c r="FW107">
        <v>1.5478499999999999</v>
      </c>
      <c r="FX107">
        <v>2.32178</v>
      </c>
      <c r="FY107">
        <v>34.213299999999997</v>
      </c>
      <c r="FZ107">
        <v>15.9445</v>
      </c>
      <c r="GA107">
        <v>3</v>
      </c>
      <c r="GB107">
        <v>496.84100000000001</v>
      </c>
      <c r="GC107">
        <v>406.60300000000001</v>
      </c>
      <c r="GD107">
        <v>27.895600000000002</v>
      </c>
      <c r="GE107">
        <v>30.03</v>
      </c>
      <c r="GF107">
        <v>29.9999</v>
      </c>
      <c r="GG107">
        <v>30.334499999999998</v>
      </c>
      <c r="GH107">
        <v>30.386299999999999</v>
      </c>
      <c r="GI107">
        <v>-1</v>
      </c>
      <c r="GJ107">
        <v>0</v>
      </c>
      <c r="GK107">
        <v>100</v>
      </c>
      <c r="GL107">
        <v>27.895800000000001</v>
      </c>
      <c r="GM107">
        <v>432.1</v>
      </c>
      <c r="GN107">
        <v>68.912800000000004</v>
      </c>
      <c r="GO107">
        <v>102.208</v>
      </c>
      <c r="GP107">
        <v>96.499600000000001</v>
      </c>
    </row>
    <row r="108" spans="1:198" x14ac:dyDescent="0.35">
      <c r="A108">
        <v>92</v>
      </c>
      <c r="B108">
        <v>1775486499.0999999</v>
      </c>
      <c r="C108">
        <v>5460.5999999046326</v>
      </c>
      <c r="D108" t="s">
        <v>607</v>
      </c>
      <c r="E108" t="s">
        <v>608</v>
      </c>
      <c r="F108">
        <v>60</v>
      </c>
      <c r="G108">
        <v>1775486491.099999</v>
      </c>
      <c r="H108">
        <f t="shared" si="30"/>
        <v>2.3193354945650886E-3</v>
      </c>
      <c r="I108">
        <f t="shared" si="31"/>
        <v>2.3193354945650886</v>
      </c>
      <c r="J108">
        <f t="shared" si="32"/>
        <v>0.75055692510287253</v>
      </c>
      <c r="K108">
        <f t="shared" si="33"/>
        <v>27.27554838709678</v>
      </c>
      <c r="L108">
        <f t="shared" si="34"/>
        <v>6.7409633625700716</v>
      </c>
      <c r="M108">
        <f t="shared" si="35"/>
        <v>0.67633593637633782</v>
      </c>
      <c r="N108">
        <f t="shared" si="36"/>
        <v>2.7366167959013965</v>
      </c>
      <c r="O108">
        <f t="shared" si="37"/>
        <v>6.2316267821436566E-2</v>
      </c>
      <c r="P108">
        <f t="shared" si="38"/>
        <v>2.3947754446865299</v>
      </c>
      <c r="Q108">
        <f t="shared" si="39"/>
        <v>6.1429229487280204E-2</v>
      </c>
      <c r="R108">
        <f t="shared" si="40"/>
        <v>3.8471913394423574E-2</v>
      </c>
      <c r="S108">
        <f t="shared" si="41"/>
        <v>0</v>
      </c>
      <c r="T108">
        <f t="shared" si="42"/>
        <v>26.579260898300934</v>
      </c>
      <c r="U108">
        <f t="shared" si="43"/>
        <v>27.386145161290319</v>
      </c>
      <c r="V108">
        <f t="shared" si="44"/>
        <v>3.6611403777183056</v>
      </c>
      <c r="W108">
        <f t="shared" si="45"/>
        <v>-1.6197933164074647</v>
      </c>
      <c r="X108">
        <f t="shared" si="46"/>
        <v>-5.9024497249481313E-2</v>
      </c>
      <c r="Y108">
        <f t="shared" si="47"/>
        <v>3.64395238896229</v>
      </c>
      <c r="Z108">
        <f t="shared" si="48"/>
        <v>3.7201648749677867</v>
      </c>
      <c r="AA108">
        <f t="shared" si="49"/>
        <v>-102.28269531032041</v>
      </c>
      <c r="AB108">
        <f t="shared" si="50"/>
        <v>-10.371051113673442</v>
      </c>
      <c r="AC108">
        <f t="shared" si="51"/>
        <v>-0.9378527736005372</v>
      </c>
      <c r="AD108">
        <f t="shared" si="52"/>
        <v>-113.59159919759439</v>
      </c>
      <c r="AE108">
        <v>14</v>
      </c>
      <c r="AF108">
        <v>3</v>
      </c>
      <c r="AG108">
        <f t="shared" si="53"/>
        <v>1</v>
      </c>
      <c r="AH108">
        <f t="shared" si="54"/>
        <v>0</v>
      </c>
      <c r="AI108">
        <f t="shared" si="55"/>
        <v>25587.90137951458</v>
      </c>
      <c r="AJ108">
        <f t="shared" si="56"/>
        <v>0</v>
      </c>
      <c r="AK108">
        <f t="shared" si="57"/>
        <v>0</v>
      </c>
      <c r="AL108">
        <f t="shared" si="58"/>
        <v>0</v>
      </c>
      <c r="AM108">
        <f t="shared" si="59"/>
        <v>0</v>
      </c>
      <c r="AN108">
        <v>3</v>
      </c>
      <c r="AO108">
        <v>0.5</v>
      </c>
      <c r="AP108" t="s">
        <v>331</v>
      </c>
      <c r="AQ108">
        <v>2</v>
      </c>
      <c r="AR108">
        <v>1775486491.099999</v>
      </c>
      <c r="AS108">
        <v>27.27554838709678</v>
      </c>
      <c r="AT108">
        <v>27.763803225806441</v>
      </c>
      <c r="AU108">
        <v>-0.58829045161290316</v>
      </c>
      <c r="AV108">
        <v>-1.9806077419354839</v>
      </c>
      <c r="AW108">
        <v>19.257548387096779</v>
      </c>
      <c r="AX108">
        <v>0.40098054838709668</v>
      </c>
      <c r="AY108">
        <v>500.03687096774189</v>
      </c>
      <c r="AZ108">
        <v>100.29012903225809</v>
      </c>
      <c r="BA108">
        <v>4.2108364516129038E-2</v>
      </c>
      <c r="BB108">
        <v>27.305816129032252</v>
      </c>
      <c r="BC108">
        <v>27.386145161290319</v>
      </c>
      <c r="BD108">
        <v>999.90000000000032</v>
      </c>
      <c r="BE108">
        <v>0</v>
      </c>
      <c r="BF108">
        <v>0</v>
      </c>
      <c r="BG108">
        <v>5002.8709677419356</v>
      </c>
      <c r="BH108">
        <v>0.3957266451612903</v>
      </c>
      <c r="BI108">
        <v>0.23331922580645159</v>
      </c>
      <c r="BJ108">
        <v>-0.45043203225806439</v>
      </c>
      <c r="BK108">
        <v>27.297316129032261</v>
      </c>
      <c r="BL108">
        <v>27.708916129032261</v>
      </c>
      <c r="BM108">
        <v>1.392317096774194</v>
      </c>
      <c r="BN108">
        <v>27.763803225806441</v>
      </c>
      <c r="BO108">
        <v>-1.9806077419354839</v>
      </c>
      <c r="BP108">
        <v>-5.8999687096774188E-2</v>
      </c>
      <c r="BQ108">
        <v>-0.1986352258064516</v>
      </c>
      <c r="BR108">
        <v>-99.900000000000034</v>
      </c>
      <c r="BS108">
        <v>-99.900000000000034</v>
      </c>
      <c r="BT108">
        <v>0</v>
      </c>
      <c r="BU108">
        <v>0</v>
      </c>
      <c r="BV108">
        <v>0</v>
      </c>
      <c r="BW108">
        <v>26</v>
      </c>
      <c r="BX108">
        <v>-0.99032267741935509</v>
      </c>
      <c r="BY108">
        <v>1775486513.0999999</v>
      </c>
      <c r="BZ108" t="s">
        <v>609</v>
      </c>
      <c r="CA108">
        <v>1775486513.0999999</v>
      </c>
      <c r="CB108">
        <v>1775480969.5</v>
      </c>
      <c r="CC108">
        <v>93</v>
      </c>
      <c r="CD108">
        <v>-3.7999999999999999E-2</v>
      </c>
      <c r="CE108">
        <v>0.19500000000000001</v>
      </c>
      <c r="CF108">
        <v>8.0180000000000007</v>
      </c>
      <c r="CG108">
        <v>-0.98899999999999999</v>
      </c>
      <c r="CH108">
        <v>28</v>
      </c>
      <c r="CI108">
        <v>-3</v>
      </c>
      <c r="CJ108">
        <v>0.19</v>
      </c>
      <c r="CK108">
        <v>0.06</v>
      </c>
      <c r="CL108">
        <v>27.706532786885251</v>
      </c>
      <c r="CM108">
        <v>0.31790735060816933</v>
      </c>
      <c r="CN108">
        <v>0.1903868914427064</v>
      </c>
      <c r="CO108">
        <v>-1</v>
      </c>
      <c r="CP108">
        <v>500.01496721311469</v>
      </c>
      <c r="CQ108">
        <v>0.16603913273365151</v>
      </c>
      <c r="CR108">
        <v>4.9106764654739177E-2</v>
      </c>
      <c r="CS108">
        <v>-1</v>
      </c>
      <c r="CT108">
        <v>0</v>
      </c>
      <c r="CU108">
        <v>0</v>
      </c>
      <c r="CV108" t="s">
        <v>333</v>
      </c>
      <c r="CW108">
        <v>3.1675</v>
      </c>
      <c r="CX108">
        <v>2.6632799999999999</v>
      </c>
      <c r="CY108">
        <v>5.7178000000000003E-3</v>
      </c>
      <c r="CZ108">
        <v>8.1756899999999993E-3</v>
      </c>
      <c r="DA108">
        <v>3.29292E-3</v>
      </c>
      <c r="DB108">
        <v>-1.83485E-2</v>
      </c>
      <c r="DC108">
        <v>21451.5</v>
      </c>
      <c r="DD108">
        <v>21782.400000000001</v>
      </c>
      <c r="DE108">
        <v>23103</v>
      </c>
      <c r="DF108">
        <v>22315.3</v>
      </c>
      <c r="DG108">
        <v>29696.2</v>
      </c>
      <c r="DH108">
        <v>27100.400000000001</v>
      </c>
      <c r="DI108">
        <v>40606.300000000003</v>
      </c>
      <c r="DJ108">
        <v>36982.300000000003</v>
      </c>
      <c r="DK108">
        <v>2.0829</v>
      </c>
      <c r="DL108">
        <v>1.8004599999999999</v>
      </c>
      <c r="DM108">
        <v>2.0852699999999998E-2</v>
      </c>
      <c r="DN108">
        <v>0</v>
      </c>
      <c r="DO108">
        <v>27.042300000000001</v>
      </c>
      <c r="DP108">
        <v>999.9</v>
      </c>
      <c r="DQ108">
        <v>77.099999999999994</v>
      </c>
      <c r="DR108">
        <v>29.8</v>
      </c>
      <c r="DS108">
        <v>32.3752</v>
      </c>
      <c r="DT108">
        <v>30.854600000000001</v>
      </c>
      <c r="DU108">
        <v>9.7756399999999992</v>
      </c>
      <c r="DV108">
        <v>1</v>
      </c>
      <c r="DW108">
        <v>0.221583</v>
      </c>
      <c r="DX108">
        <v>-0.12402000000000001</v>
      </c>
      <c r="DY108">
        <v>20.367999999999999</v>
      </c>
      <c r="DZ108">
        <v>5.2120199999999999</v>
      </c>
      <c r="EA108">
        <v>11.8483</v>
      </c>
      <c r="EB108">
        <v>4.9679200000000003</v>
      </c>
      <c r="EC108">
        <v>3.2924000000000002</v>
      </c>
      <c r="ED108">
        <v>894.7</v>
      </c>
      <c r="EE108">
        <v>0</v>
      </c>
      <c r="EF108">
        <v>6711.6</v>
      </c>
      <c r="EG108">
        <v>110.3</v>
      </c>
      <c r="EH108">
        <v>4.9716100000000001</v>
      </c>
      <c r="EI108">
        <v>1.8717999999999999</v>
      </c>
      <c r="EJ108">
        <v>1.8689499999999999</v>
      </c>
      <c r="EK108">
        <v>1.87138</v>
      </c>
      <c r="EL108">
        <v>1.86914</v>
      </c>
      <c r="EM108">
        <v>1.8681099999999999</v>
      </c>
      <c r="EN108">
        <v>1.8699399999999999</v>
      </c>
      <c r="EO108">
        <v>1.87171</v>
      </c>
      <c r="EP108">
        <v>0</v>
      </c>
      <c r="EQ108">
        <v>0</v>
      </c>
      <c r="ER108">
        <v>0</v>
      </c>
      <c r="ES108">
        <v>0</v>
      </c>
      <c r="ET108" t="s">
        <v>334</v>
      </c>
      <c r="EU108" t="s">
        <v>335</v>
      </c>
      <c r="EV108" t="s">
        <v>336</v>
      </c>
      <c r="EW108" t="s">
        <v>336</v>
      </c>
      <c r="EX108" t="s">
        <v>336</v>
      </c>
      <c r="EY108" t="s">
        <v>336</v>
      </c>
      <c r="EZ108">
        <v>0</v>
      </c>
      <c r="FA108">
        <v>100</v>
      </c>
      <c r="FB108">
        <v>100</v>
      </c>
      <c r="FC108">
        <v>8.0180000000000007</v>
      </c>
      <c r="FD108">
        <v>-0.98929999999999996</v>
      </c>
      <c r="FE108">
        <v>8.0558200000000042</v>
      </c>
      <c r="FF108">
        <v>0</v>
      </c>
      <c r="FG108">
        <v>0</v>
      </c>
      <c r="FH108">
        <v>0</v>
      </c>
      <c r="FI108">
        <v>-0.98927100000000023</v>
      </c>
      <c r="FJ108">
        <v>0</v>
      </c>
      <c r="FK108">
        <v>0</v>
      </c>
      <c r="FL108">
        <v>0</v>
      </c>
      <c r="FM108">
        <v>-1</v>
      </c>
      <c r="FN108">
        <v>-1</v>
      </c>
      <c r="FO108">
        <v>-1</v>
      </c>
      <c r="FP108">
        <v>-1</v>
      </c>
      <c r="FQ108">
        <v>0.7</v>
      </c>
      <c r="FR108">
        <v>92.2</v>
      </c>
      <c r="FS108">
        <v>0.142822</v>
      </c>
      <c r="FT108">
        <v>4.99756</v>
      </c>
      <c r="FU108">
        <v>1.5979000000000001</v>
      </c>
      <c r="FV108">
        <v>2.1557599999999999</v>
      </c>
      <c r="FW108">
        <v>1.5478499999999999</v>
      </c>
      <c r="FX108">
        <v>2.4450699999999999</v>
      </c>
      <c r="FY108">
        <v>34.235999999999997</v>
      </c>
      <c r="FZ108">
        <v>15.9445</v>
      </c>
      <c r="GA108">
        <v>3</v>
      </c>
      <c r="GB108">
        <v>496.827</v>
      </c>
      <c r="GC108">
        <v>407.26600000000002</v>
      </c>
      <c r="GD108">
        <v>27.857099999999999</v>
      </c>
      <c r="GE108">
        <v>30.019600000000001</v>
      </c>
      <c r="GF108">
        <v>30.0001</v>
      </c>
      <c r="GG108">
        <v>30.324999999999999</v>
      </c>
      <c r="GH108">
        <v>30.378599999999999</v>
      </c>
      <c r="GI108">
        <v>-1</v>
      </c>
      <c r="GJ108">
        <v>0</v>
      </c>
      <c r="GK108">
        <v>100</v>
      </c>
      <c r="GL108">
        <v>27.8507</v>
      </c>
      <c r="GM108">
        <v>432.1</v>
      </c>
      <c r="GN108">
        <v>68.912800000000004</v>
      </c>
      <c r="GO108">
        <v>102.209</v>
      </c>
      <c r="GP108">
        <v>96.500399999999999</v>
      </c>
    </row>
    <row r="109" spans="1:198" x14ac:dyDescent="0.35">
      <c r="A109">
        <v>93</v>
      </c>
      <c r="B109">
        <v>1775486559.0999999</v>
      </c>
      <c r="C109">
        <v>5520.5999999046326</v>
      </c>
      <c r="D109" t="s">
        <v>610</v>
      </c>
      <c r="E109" t="s">
        <v>611</v>
      </c>
      <c r="F109">
        <v>60</v>
      </c>
      <c r="G109">
        <v>1775486551.099999</v>
      </c>
      <c r="H109">
        <f t="shared" si="30"/>
        <v>2.3413656905564837E-3</v>
      </c>
      <c r="I109">
        <f t="shared" si="31"/>
        <v>2.3413656905564837</v>
      </c>
      <c r="J109">
        <f t="shared" si="32"/>
        <v>0.48713138305416898</v>
      </c>
      <c r="K109">
        <f t="shared" si="33"/>
        <v>26.779038709677419</v>
      </c>
      <c r="L109">
        <f t="shared" si="34"/>
        <v>13.040421930409767</v>
      </c>
      <c r="M109">
        <f t="shared" si="35"/>
        <v>1.3083651673675105</v>
      </c>
      <c r="N109">
        <f t="shared" si="36"/>
        <v>2.6867812751996736</v>
      </c>
      <c r="O109">
        <f t="shared" si="37"/>
        <v>6.2937131900117696E-2</v>
      </c>
      <c r="P109">
        <f t="shared" si="38"/>
        <v>2.3930835304858862</v>
      </c>
      <c r="Q109">
        <f t="shared" si="39"/>
        <v>6.2031838860946001E-2</v>
      </c>
      <c r="R109">
        <f t="shared" si="40"/>
        <v>3.8850151446047046E-2</v>
      </c>
      <c r="S109">
        <f t="shared" si="41"/>
        <v>0</v>
      </c>
      <c r="T109">
        <f t="shared" si="42"/>
        <v>26.565244658840204</v>
      </c>
      <c r="U109">
        <f t="shared" si="43"/>
        <v>27.382819354838709</v>
      </c>
      <c r="V109">
        <f t="shared" si="44"/>
        <v>3.6604273539472327</v>
      </c>
      <c r="W109">
        <f t="shared" si="45"/>
        <v>-1.6078862183129476</v>
      </c>
      <c r="X109">
        <f t="shared" si="46"/>
        <v>-5.8567830319985158E-2</v>
      </c>
      <c r="Y109">
        <f t="shared" si="47"/>
        <v>3.642535749913737</v>
      </c>
      <c r="Z109">
        <f t="shared" si="48"/>
        <v>3.718995184267218</v>
      </c>
      <c r="AA109">
        <f t="shared" si="49"/>
        <v>-103.25422695354094</v>
      </c>
      <c r="AB109">
        <f t="shared" si="50"/>
        <v>-10.790725017726331</v>
      </c>
      <c r="AC109">
        <f t="shared" si="51"/>
        <v>-0.97644514656726966</v>
      </c>
      <c r="AD109">
        <f t="shared" si="52"/>
        <v>-115.02139711783454</v>
      </c>
      <c r="AE109">
        <v>14</v>
      </c>
      <c r="AF109">
        <v>3</v>
      </c>
      <c r="AG109">
        <f t="shared" si="53"/>
        <v>1</v>
      </c>
      <c r="AH109">
        <f t="shared" si="54"/>
        <v>0</v>
      </c>
      <c r="AI109">
        <f t="shared" si="55"/>
        <v>25562.7609958922</v>
      </c>
      <c r="AJ109">
        <f t="shared" si="56"/>
        <v>0</v>
      </c>
      <c r="AK109">
        <f t="shared" si="57"/>
        <v>0</v>
      </c>
      <c r="AL109">
        <f t="shared" si="58"/>
        <v>0</v>
      </c>
      <c r="AM109">
        <f t="shared" si="59"/>
        <v>0</v>
      </c>
      <c r="AN109">
        <v>3</v>
      </c>
      <c r="AO109">
        <v>0.5</v>
      </c>
      <c r="AP109" t="s">
        <v>331</v>
      </c>
      <c r="AQ109">
        <v>2</v>
      </c>
      <c r="AR109">
        <v>1775486551.099999</v>
      </c>
      <c r="AS109">
        <v>26.779038709677419</v>
      </c>
      <c r="AT109">
        <v>27.10894193548387</v>
      </c>
      <c r="AU109">
        <v>-0.58374316129032255</v>
      </c>
      <c r="AV109">
        <v>-1.9894025806451621</v>
      </c>
      <c r="AW109">
        <v>18.731038709677421</v>
      </c>
      <c r="AX109">
        <v>0.40552783870967751</v>
      </c>
      <c r="AY109">
        <v>499.99290322580651</v>
      </c>
      <c r="AZ109">
        <v>100.2895483870968</v>
      </c>
      <c r="BA109">
        <v>4.1957322580645162E-2</v>
      </c>
      <c r="BB109">
        <v>27.29918064516129</v>
      </c>
      <c r="BC109">
        <v>27.382819354838709</v>
      </c>
      <c r="BD109">
        <v>999.90000000000032</v>
      </c>
      <c r="BE109">
        <v>0</v>
      </c>
      <c r="BF109">
        <v>0</v>
      </c>
      <c r="BG109">
        <v>4998.5483870967746</v>
      </c>
      <c r="BH109">
        <v>0.36401145161290333</v>
      </c>
      <c r="BI109">
        <v>0.23331922580645159</v>
      </c>
      <c r="BJ109">
        <v>-0.35980096774193548</v>
      </c>
      <c r="BK109">
        <v>26.733529032258069</v>
      </c>
      <c r="BL109">
        <v>27.055119354838709</v>
      </c>
      <c r="BM109">
        <v>1.40565935483871</v>
      </c>
      <c r="BN109">
        <v>27.10894193548387</v>
      </c>
      <c r="BO109">
        <v>-1.9894025806451621</v>
      </c>
      <c r="BP109">
        <v>-5.8543345161290311E-2</v>
      </c>
      <c r="BQ109">
        <v>-0.19951629032258059</v>
      </c>
      <c r="BR109">
        <v>-99.900000000000034</v>
      </c>
      <c r="BS109">
        <v>-99.900000000000034</v>
      </c>
      <c r="BT109">
        <v>0</v>
      </c>
      <c r="BU109">
        <v>0</v>
      </c>
      <c r="BV109">
        <v>0</v>
      </c>
      <c r="BW109">
        <v>26</v>
      </c>
      <c r="BX109">
        <v>-1</v>
      </c>
      <c r="BY109">
        <v>1775486578.0999999</v>
      </c>
      <c r="BZ109" t="s">
        <v>612</v>
      </c>
      <c r="CA109">
        <v>1775486578.0999999</v>
      </c>
      <c r="CB109">
        <v>1775480969.5</v>
      </c>
      <c r="CC109">
        <v>94</v>
      </c>
      <c r="CD109">
        <v>0.03</v>
      </c>
      <c r="CE109">
        <v>0.19500000000000001</v>
      </c>
      <c r="CF109">
        <v>8.048</v>
      </c>
      <c r="CG109">
        <v>-0.98899999999999999</v>
      </c>
      <c r="CH109">
        <v>28</v>
      </c>
      <c r="CI109">
        <v>-3</v>
      </c>
      <c r="CJ109">
        <v>0.25</v>
      </c>
      <c r="CK109">
        <v>0.06</v>
      </c>
      <c r="CL109">
        <v>27.277991666666669</v>
      </c>
      <c r="CM109">
        <v>-1.014602834120512</v>
      </c>
      <c r="CN109">
        <v>0.19126514083131371</v>
      </c>
      <c r="CO109">
        <v>-1</v>
      </c>
      <c r="CP109">
        <v>499.97973333333329</v>
      </c>
      <c r="CQ109">
        <v>0.10963045290483089</v>
      </c>
      <c r="CR109">
        <v>3.1408526796965958E-2</v>
      </c>
      <c r="CS109">
        <v>-1</v>
      </c>
      <c r="CT109">
        <v>0</v>
      </c>
      <c r="CU109">
        <v>0</v>
      </c>
      <c r="CV109" t="s">
        <v>333</v>
      </c>
      <c r="CW109">
        <v>3.16751</v>
      </c>
      <c r="CX109">
        <v>2.6634099999999998</v>
      </c>
      <c r="CY109">
        <v>5.5545600000000001E-3</v>
      </c>
      <c r="CZ109">
        <v>8.1273200000000004E-3</v>
      </c>
      <c r="DA109">
        <v>3.2728200000000001E-3</v>
      </c>
      <c r="DB109">
        <v>-1.8478399999999999E-2</v>
      </c>
      <c r="DC109">
        <v>21455.1</v>
      </c>
      <c r="DD109">
        <v>21783.5</v>
      </c>
      <c r="DE109">
        <v>23103.1</v>
      </c>
      <c r="DF109">
        <v>22315.3</v>
      </c>
      <c r="DG109">
        <v>29697</v>
      </c>
      <c r="DH109">
        <v>27103.8</v>
      </c>
      <c r="DI109">
        <v>40606.5</v>
      </c>
      <c r="DJ109">
        <v>36982.1</v>
      </c>
      <c r="DK109">
        <v>2.0832000000000002</v>
      </c>
      <c r="DL109">
        <v>1.7988599999999999</v>
      </c>
      <c r="DM109">
        <v>2.07245E-2</v>
      </c>
      <c r="DN109">
        <v>0</v>
      </c>
      <c r="DO109">
        <v>27.038499999999999</v>
      </c>
      <c r="DP109">
        <v>999.9</v>
      </c>
      <c r="DQ109">
        <v>77.099999999999994</v>
      </c>
      <c r="DR109">
        <v>29.8</v>
      </c>
      <c r="DS109">
        <v>32.379300000000001</v>
      </c>
      <c r="DT109">
        <v>30.854600000000001</v>
      </c>
      <c r="DU109">
        <v>9.6113800000000005</v>
      </c>
      <c r="DV109">
        <v>1</v>
      </c>
      <c r="DW109">
        <v>0.221055</v>
      </c>
      <c r="DX109">
        <v>-0.15543599999999999</v>
      </c>
      <c r="DY109">
        <v>20.367699999999999</v>
      </c>
      <c r="DZ109">
        <v>5.2109399999999999</v>
      </c>
      <c r="EA109">
        <v>11.8482</v>
      </c>
      <c r="EB109">
        <v>4.9679599999999997</v>
      </c>
      <c r="EC109">
        <v>3.2923200000000001</v>
      </c>
      <c r="ED109">
        <v>894.7</v>
      </c>
      <c r="EE109">
        <v>0</v>
      </c>
      <c r="EF109">
        <v>6744.3</v>
      </c>
      <c r="EG109">
        <v>110.4</v>
      </c>
      <c r="EH109">
        <v>4.9716199999999997</v>
      </c>
      <c r="EI109">
        <v>1.8717999999999999</v>
      </c>
      <c r="EJ109">
        <v>1.86896</v>
      </c>
      <c r="EK109">
        <v>1.8713900000000001</v>
      </c>
      <c r="EL109">
        <v>1.86917</v>
      </c>
      <c r="EM109">
        <v>1.8681000000000001</v>
      </c>
      <c r="EN109">
        <v>1.8699300000000001</v>
      </c>
      <c r="EO109">
        <v>1.87175</v>
      </c>
      <c r="EP109">
        <v>0</v>
      </c>
      <c r="EQ109">
        <v>0</v>
      </c>
      <c r="ER109">
        <v>0</v>
      </c>
      <c r="ES109">
        <v>0</v>
      </c>
      <c r="ET109" t="s">
        <v>334</v>
      </c>
      <c r="EU109" t="s">
        <v>335</v>
      </c>
      <c r="EV109" t="s">
        <v>336</v>
      </c>
      <c r="EW109" t="s">
        <v>336</v>
      </c>
      <c r="EX109" t="s">
        <v>336</v>
      </c>
      <c r="EY109" t="s">
        <v>336</v>
      </c>
      <c r="EZ109">
        <v>0</v>
      </c>
      <c r="FA109">
        <v>100</v>
      </c>
      <c r="FB109">
        <v>100</v>
      </c>
      <c r="FC109">
        <v>8.048</v>
      </c>
      <c r="FD109">
        <v>-0.98929999999999996</v>
      </c>
      <c r="FE109">
        <v>8.0181049999999914</v>
      </c>
      <c r="FF109">
        <v>0</v>
      </c>
      <c r="FG109">
        <v>0</v>
      </c>
      <c r="FH109">
        <v>0</v>
      </c>
      <c r="FI109">
        <v>-0.98927100000000023</v>
      </c>
      <c r="FJ109">
        <v>0</v>
      </c>
      <c r="FK109">
        <v>0</v>
      </c>
      <c r="FL109">
        <v>0</v>
      </c>
      <c r="FM109">
        <v>-1</v>
      </c>
      <c r="FN109">
        <v>-1</v>
      </c>
      <c r="FO109">
        <v>-1</v>
      </c>
      <c r="FP109">
        <v>-1</v>
      </c>
      <c r="FQ109">
        <v>0.8</v>
      </c>
      <c r="FR109">
        <v>93.2</v>
      </c>
      <c r="FS109">
        <v>0.142822</v>
      </c>
      <c r="FT109">
        <v>4.99756</v>
      </c>
      <c r="FU109">
        <v>1.5979000000000001</v>
      </c>
      <c r="FV109">
        <v>2.1545399999999999</v>
      </c>
      <c r="FW109">
        <v>1.5478499999999999</v>
      </c>
      <c r="FX109">
        <v>2.4438499999999999</v>
      </c>
      <c r="FY109">
        <v>34.235999999999997</v>
      </c>
      <c r="FZ109">
        <v>15.9445</v>
      </c>
      <c r="GA109">
        <v>3</v>
      </c>
      <c r="GB109">
        <v>496.94600000000003</v>
      </c>
      <c r="GC109">
        <v>406.29500000000002</v>
      </c>
      <c r="GD109">
        <v>27.857600000000001</v>
      </c>
      <c r="GE109">
        <v>30.011800000000001</v>
      </c>
      <c r="GF109">
        <v>30.0001</v>
      </c>
      <c r="GG109">
        <v>30.317799999999998</v>
      </c>
      <c r="GH109">
        <v>30.370899999999999</v>
      </c>
      <c r="GI109">
        <v>-1</v>
      </c>
      <c r="GJ109">
        <v>0</v>
      </c>
      <c r="GK109">
        <v>100</v>
      </c>
      <c r="GL109">
        <v>27.8582</v>
      </c>
      <c r="GM109">
        <v>432.1</v>
      </c>
      <c r="GN109">
        <v>68.912800000000004</v>
      </c>
      <c r="GO109">
        <v>102.209</v>
      </c>
      <c r="GP109">
        <v>96.500100000000003</v>
      </c>
    </row>
    <row r="110" spans="1:198" x14ac:dyDescent="0.35">
      <c r="A110">
        <v>94</v>
      </c>
      <c r="B110">
        <v>1775486619.0999999</v>
      </c>
      <c r="C110">
        <v>5580.5999999046326</v>
      </c>
      <c r="D110" t="s">
        <v>613</v>
      </c>
      <c r="E110" t="s">
        <v>614</v>
      </c>
      <c r="F110">
        <v>60</v>
      </c>
      <c r="G110">
        <v>1775486611.099999</v>
      </c>
      <c r="H110">
        <f t="shared" si="30"/>
        <v>2.3345214671578679E-3</v>
      </c>
      <c r="I110">
        <f t="shared" si="31"/>
        <v>2.334521467157868</v>
      </c>
      <c r="J110">
        <f t="shared" si="32"/>
        <v>0.31333333619754455</v>
      </c>
      <c r="K110">
        <f t="shared" si="33"/>
        <v>27.528625806451611</v>
      </c>
      <c r="L110">
        <f t="shared" si="34"/>
        <v>18.063769727303018</v>
      </c>
      <c r="M110">
        <f t="shared" si="35"/>
        <v>1.8123693683355919</v>
      </c>
      <c r="N110">
        <f t="shared" si="36"/>
        <v>2.7619948060218453</v>
      </c>
      <c r="O110">
        <f t="shared" si="37"/>
        <v>6.2736918350507931E-2</v>
      </c>
      <c r="P110">
        <f t="shared" si="38"/>
        <v>2.3908698346805113</v>
      </c>
      <c r="Q110">
        <f t="shared" si="39"/>
        <v>6.183651150616376E-2</v>
      </c>
      <c r="R110">
        <f t="shared" si="40"/>
        <v>3.8727641095507193E-2</v>
      </c>
      <c r="S110">
        <f t="shared" si="41"/>
        <v>0</v>
      </c>
      <c r="T110">
        <f t="shared" si="42"/>
        <v>26.565800441850207</v>
      </c>
      <c r="U110">
        <f t="shared" si="43"/>
        <v>27.384296774193551</v>
      </c>
      <c r="V110">
        <f t="shared" si="44"/>
        <v>3.6607440847535218</v>
      </c>
      <c r="W110">
        <f t="shared" si="45"/>
        <v>-1.6227470996977804</v>
      </c>
      <c r="X110">
        <f t="shared" si="46"/>
        <v>-5.9105791171119498E-2</v>
      </c>
      <c r="Y110">
        <f t="shared" si="47"/>
        <v>3.6423291825403563</v>
      </c>
      <c r="Z110">
        <f t="shared" si="48"/>
        <v>3.7198498759246412</v>
      </c>
      <c r="AA110">
        <f t="shared" si="49"/>
        <v>-102.95239670166198</v>
      </c>
      <c r="AB110">
        <f t="shared" si="50"/>
        <v>-11.095916089791531</v>
      </c>
      <c r="AC110">
        <f t="shared" si="51"/>
        <v>-1.0049938884723204</v>
      </c>
      <c r="AD110">
        <f t="shared" si="52"/>
        <v>-115.05330667992584</v>
      </c>
      <c r="AE110">
        <v>14</v>
      </c>
      <c r="AF110">
        <v>3</v>
      </c>
      <c r="AG110">
        <f t="shared" si="53"/>
        <v>1</v>
      </c>
      <c r="AH110">
        <f t="shared" si="54"/>
        <v>0</v>
      </c>
      <c r="AI110">
        <f t="shared" si="55"/>
        <v>25529.169296918768</v>
      </c>
      <c r="AJ110">
        <f t="shared" si="56"/>
        <v>0</v>
      </c>
      <c r="AK110">
        <f t="shared" si="57"/>
        <v>0</v>
      </c>
      <c r="AL110">
        <f t="shared" si="58"/>
        <v>0</v>
      </c>
      <c r="AM110">
        <f t="shared" si="59"/>
        <v>0</v>
      </c>
      <c r="AN110">
        <v>3</v>
      </c>
      <c r="AO110">
        <v>0.5</v>
      </c>
      <c r="AP110" t="s">
        <v>331</v>
      </c>
      <c r="AQ110">
        <v>2</v>
      </c>
      <c r="AR110">
        <v>1775486611.099999</v>
      </c>
      <c r="AS110">
        <v>27.528625806451611</v>
      </c>
      <c r="AT110">
        <v>27.755203225806451</v>
      </c>
      <c r="AU110">
        <v>-0.58910364516129032</v>
      </c>
      <c r="AV110">
        <v>-1.990751290322581</v>
      </c>
      <c r="AW110">
        <v>19.531625806451611</v>
      </c>
      <c r="AX110">
        <v>0.40016735483870958</v>
      </c>
      <c r="AY110">
        <v>499.96090322580642</v>
      </c>
      <c r="AZ110">
        <v>100.2899032258065</v>
      </c>
      <c r="BA110">
        <v>4.1832380645161288E-2</v>
      </c>
      <c r="BB110">
        <v>27.29821290322581</v>
      </c>
      <c r="BC110">
        <v>27.384296774193551</v>
      </c>
      <c r="BD110">
        <v>999.90000000000032</v>
      </c>
      <c r="BE110">
        <v>0</v>
      </c>
      <c r="BF110">
        <v>0</v>
      </c>
      <c r="BG110">
        <v>4992.8387096774204</v>
      </c>
      <c r="BH110">
        <v>0.3737802580645162</v>
      </c>
      <c r="BI110">
        <v>0.22961599999999999</v>
      </c>
      <c r="BJ110">
        <v>-0.17560513870967739</v>
      </c>
      <c r="BK110">
        <v>27.563370967741939</v>
      </c>
      <c r="BL110">
        <v>27.700061290322569</v>
      </c>
      <c r="BM110">
        <v>1.401646774193549</v>
      </c>
      <c r="BN110">
        <v>27.755203225806451</v>
      </c>
      <c r="BO110">
        <v>-1.990751290322581</v>
      </c>
      <c r="BP110">
        <v>-5.9081151612903227E-2</v>
      </c>
      <c r="BQ110">
        <v>-0.19965222580645159</v>
      </c>
      <c r="BR110">
        <v>-99.900000000000034</v>
      </c>
      <c r="BS110">
        <v>-99.900000000000034</v>
      </c>
      <c r="BT110">
        <v>0</v>
      </c>
      <c r="BU110">
        <v>0</v>
      </c>
      <c r="BV110">
        <v>0</v>
      </c>
      <c r="BW110">
        <v>26</v>
      </c>
      <c r="BX110">
        <v>-1</v>
      </c>
      <c r="BY110">
        <v>1775486643.0999999</v>
      </c>
      <c r="BZ110" t="s">
        <v>615</v>
      </c>
      <c r="CA110">
        <v>1775486643.0999999</v>
      </c>
      <c r="CB110">
        <v>1775480969.5</v>
      </c>
      <c r="CC110">
        <v>95</v>
      </c>
      <c r="CD110">
        <v>-5.0999999999999997E-2</v>
      </c>
      <c r="CE110">
        <v>0.19500000000000001</v>
      </c>
      <c r="CF110">
        <v>7.9969999999999999</v>
      </c>
      <c r="CG110">
        <v>-0.98899999999999999</v>
      </c>
      <c r="CH110">
        <v>28</v>
      </c>
      <c r="CI110">
        <v>-3</v>
      </c>
      <c r="CJ110">
        <v>0.3</v>
      </c>
      <c r="CK110">
        <v>0.06</v>
      </c>
      <c r="CL110">
        <v>28.164091666666671</v>
      </c>
      <c r="CM110">
        <v>-1.551449958321711</v>
      </c>
      <c r="CN110">
        <v>0.6587898279653045</v>
      </c>
      <c r="CO110">
        <v>-1</v>
      </c>
      <c r="CP110">
        <v>499.98610000000002</v>
      </c>
      <c r="CQ110">
        <v>-0.17673575993225371</v>
      </c>
      <c r="CR110">
        <v>4.4183217024869353E-2</v>
      </c>
      <c r="CS110">
        <v>-1</v>
      </c>
      <c r="CT110">
        <v>0</v>
      </c>
      <c r="CU110">
        <v>0</v>
      </c>
      <c r="CV110" t="s">
        <v>333</v>
      </c>
      <c r="CW110">
        <v>3.1673800000000001</v>
      </c>
      <c r="CX110">
        <v>2.6633</v>
      </c>
      <c r="CY110">
        <v>5.7997700000000001E-3</v>
      </c>
      <c r="CZ110">
        <v>8.3281599999999994E-3</v>
      </c>
      <c r="DA110">
        <v>3.1939500000000001E-3</v>
      </c>
      <c r="DB110">
        <v>-1.8461000000000002E-2</v>
      </c>
      <c r="DC110">
        <v>21450.1</v>
      </c>
      <c r="DD110">
        <v>21779.1</v>
      </c>
      <c r="DE110">
        <v>23103.4</v>
      </c>
      <c r="DF110">
        <v>22315.3</v>
      </c>
      <c r="DG110">
        <v>29699.5</v>
      </c>
      <c r="DH110">
        <v>27103.3</v>
      </c>
      <c r="DI110">
        <v>40606.699999999997</v>
      </c>
      <c r="DJ110">
        <v>36982.199999999997</v>
      </c>
      <c r="DK110">
        <v>2.0827599999999999</v>
      </c>
      <c r="DL110">
        <v>1.7996399999999999</v>
      </c>
      <c r="DM110">
        <v>2.11656E-2</v>
      </c>
      <c r="DN110">
        <v>0</v>
      </c>
      <c r="DO110">
        <v>27.036300000000001</v>
      </c>
      <c r="DP110">
        <v>999.9</v>
      </c>
      <c r="DQ110">
        <v>77</v>
      </c>
      <c r="DR110">
        <v>29.8</v>
      </c>
      <c r="DS110">
        <v>32.336199999999998</v>
      </c>
      <c r="DT110">
        <v>30.644600000000001</v>
      </c>
      <c r="DU110">
        <v>9.8597800000000007</v>
      </c>
      <c r="DV110">
        <v>1</v>
      </c>
      <c r="DW110">
        <v>0.22037999999999999</v>
      </c>
      <c r="DX110">
        <v>-0.16350500000000001</v>
      </c>
      <c r="DY110">
        <v>20.367699999999999</v>
      </c>
      <c r="DZ110">
        <v>5.21082</v>
      </c>
      <c r="EA110">
        <v>11.8482</v>
      </c>
      <c r="EB110">
        <v>4.9677199999999999</v>
      </c>
      <c r="EC110">
        <v>3.2921800000000001</v>
      </c>
      <c r="ED110">
        <v>894.7</v>
      </c>
      <c r="EE110">
        <v>0</v>
      </c>
      <c r="EF110">
        <v>6776.1</v>
      </c>
      <c r="EG110">
        <v>110.4</v>
      </c>
      <c r="EH110">
        <v>4.9716100000000001</v>
      </c>
      <c r="EI110">
        <v>1.8717999999999999</v>
      </c>
      <c r="EJ110">
        <v>1.86893</v>
      </c>
      <c r="EK110">
        <v>1.8714</v>
      </c>
      <c r="EL110">
        <v>1.8691599999999999</v>
      </c>
      <c r="EM110">
        <v>1.86812</v>
      </c>
      <c r="EN110">
        <v>1.8699399999999999</v>
      </c>
      <c r="EO110">
        <v>1.87171</v>
      </c>
      <c r="EP110">
        <v>0</v>
      </c>
      <c r="EQ110">
        <v>0</v>
      </c>
      <c r="ER110">
        <v>0</v>
      </c>
      <c r="ES110">
        <v>0</v>
      </c>
      <c r="ET110" t="s">
        <v>334</v>
      </c>
      <c r="EU110" t="s">
        <v>335</v>
      </c>
      <c r="EV110" t="s">
        <v>336</v>
      </c>
      <c r="EW110" t="s">
        <v>336</v>
      </c>
      <c r="EX110" t="s">
        <v>336</v>
      </c>
      <c r="EY110" t="s">
        <v>336</v>
      </c>
      <c r="EZ110">
        <v>0</v>
      </c>
      <c r="FA110">
        <v>100</v>
      </c>
      <c r="FB110">
        <v>100</v>
      </c>
      <c r="FC110">
        <v>7.9969999999999999</v>
      </c>
      <c r="FD110">
        <v>-0.98929999999999996</v>
      </c>
      <c r="FE110">
        <v>8.0479800000000061</v>
      </c>
      <c r="FF110">
        <v>0</v>
      </c>
      <c r="FG110">
        <v>0</v>
      </c>
      <c r="FH110">
        <v>0</v>
      </c>
      <c r="FI110">
        <v>-0.98927100000000023</v>
      </c>
      <c r="FJ110">
        <v>0</v>
      </c>
      <c r="FK110">
        <v>0</v>
      </c>
      <c r="FL110">
        <v>0</v>
      </c>
      <c r="FM110">
        <v>-1</v>
      </c>
      <c r="FN110">
        <v>-1</v>
      </c>
      <c r="FO110">
        <v>-1</v>
      </c>
      <c r="FP110">
        <v>-1</v>
      </c>
      <c r="FQ110">
        <v>0.7</v>
      </c>
      <c r="FR110">
        <v>94.2</v>
      </c>
      <c r="FS110">
        <v>0.142822</v>
      </c>
      <c r="FT110">
        <v>4.99756</v>
      </c>
      <c r="FU110">
        <v>1.5979000000000001</v>
      </c>
      <c r="FV110">
        <v>2.1557599999999999</v>
      </c>
      <c r="FW110">
        <v>1.5478499999999999</v>
      </c>
      <c r="FX110">
        <v>2.33887</v>
      </c>
      <c r="FY110">
        <v>34.258699999999997</v>
      </c>
      <c r="FZ110">
        <v>15.927</v>
      </c>
      <c r="GA110">
        <v>3</v>
      </c>
      <c r="GB110">
        <v>496.64</v>
      </c>
      <c r="GC110">
        <v>406.70600000000002</v>
      </c>
      <c r="GD110">
        <v>27.8582</v>
      </c>
      <c r="GE110">
        <v>30.004000000000001</v>
      </c>
      <c r="GF110">
        <v>30.0001</v>
      </c>
      <c r="GG110">
        <v>30.311199999999999</v>
      </c>
      <c r="GH110">
        <v>30.365200000000002</v>
      </c>
      <c r="GI110">
        <v>-1</v>
      </c>
      <c r="GJ110">
        <v>0</v>
      </c>
      <c r="GK110">
        <v>100</v>
      </c>
      <c r="GL110">
        <v>27.861499999999999</v>
      </c>
      <c r="GM110">
        <v>432.1</v>
      </c>
      <c r="GN110">
        <v>68.912800000000004</v>
      </c>
      <c r="GO110">
        <v>102.21</v>
      </c>
      <c r="GP110">
        <v>96.500299999999996</v>
      </c>
    </row>
    <row r="111" spans="1:198" x14ac:dyDescent="0.35">
      <c r="A111">
        <v>95</v>
      </c>
      <c r="B111">
        <v>1775486679.0999999</v>
      </c>
      <c r="C111">
        <v>5640.5999999046326</v>
      </c>
      <c r="D111" t="s">
        <v>616</v>
      </c>
      <c r="E111" t="s">
        <v>617</v>
      </c>
      <c r="F111">
        <v>60</v>
      </c>
      <c r="G111">
        <v>1775486671.099999</v>
      </c>
      <c r="H111">
        <f t="shared" si="30"/>
        <v>2.3133327093073607E-3</v>
      </c>
      <c r="I111">
        <f t="shared" si="31"/>
        <v>2.3133327093073608</v>
      </c>
      <c r="J111">
        <f t="shared" si="32"/>
        <v>0.62463523652468222</v>
      </c>
      <c r="K111">
        <f t="shared" si="33"/>
        <v>27.011600000000001</v>
      </c>
      <c r="L111">
        <f t="shared" si="34"/>
        <v>9.6260274013691483</v>
      </c>
      <c r="M111">
        <f t="shared" si="35"/>
        <v>0.96579404296592186</v>
      </c>
      <c r="N111">
        <f t="shared" si="36"/>
        <v>2.7101151163633448</v>
      </c>
      <c r="O111">
        <f t="shared" si="37"/>
        <v>6.2142385048283851E-2</v>
      </c>
      <c r="P111">
        <f t="shared" si="38"/>
        <v>2.3948105933334505</v>
      </c>
      <c r="Q111">
        <f t="shared" si="39"/>
        <v>6.1260265028003885E-2</v>
      </c>
      <c r="R111">
        <f t="shared" si="40"/>
        <v>3.836587743487449E-2</v>
      </c>
      <c r="S111">
        <f t="shared" si="41"/>
        <v>0</v>
      </c>
      <c r="T111">
        <f t="shared" si="42"/>
        <v>26.575370199159543</v>
      </c>
      <c r="U111">
        <f t="shared" si="43"/>
        <v>27.382683870967739</v>
      </c>
      <c r="V111">
        <f t="shared" si="44"/>
        <v>3.6603983099613284</v>
      </c>
      <c r="W111">
        <f t="shared" si="45"/>
        <v>-1.6576998517424015</v>
      </c>
      <c r="X111">
        <f t="shared" si="46"/>
        <v>-6.0385346051195901E-2</v>
      </c>
      <c r="Y111">
        <f t="shared" si="47"/>
        <v>3.6427189148702106</v>
      </c>
      <c r="Z111">
        <f t="shared" si="48"/>
        <v>3.7207836560125243</v>
      </c>
      <c r="AA111">
        <f t="shared" si="49"/>
        <v>-102.0179724804546</v>
      </c>
      <c r="AB111">
        <f t="shared" si="50"/>
        <v>-10.670236501593379</v>
      </c>
      <c r="AC111">
        <f t="shared" si="51"/>
        <v>-0.96484938766465911</v>
      </c>
      <c r="AD111">
        <f t="shared" si="52"/>
        <v>-113.65305836971264</v>
      </c>
      <c r="AE111">
        <v>14</v>
      </c>
      <c r="AF111">
        <v>3</v>
      </c>
      <c r="AG111">
        <f t="shared" si="53"/>
        <v>1</v>
      </c>
      <c r="AH111">
        <f t="shared" si="54"/>
        <v>0</v>
      </c>
      <c r="AI111">
        <f t="shared" si="55"/>
        <v>25588.958987285649</v>
      </c>
      <c r="AJ111">
        <f t="shared" si="56"/>
        <v>0</v>
      </c>
      <c r="AK111">
        <f t="shared" si="57"/>
        <v>0</v>
      </c>
      <c r="AL111">
        <f t="shared" si="58"/>
        <v>0</v>
      </c>
      <c r="AM111">
        <f t="shared" si="59"/>
        <v>0</v>
      </c>
      <c r="AN111">
        <v>3</v>
      </c>
      <c r="AO111">
        <v>0.5</v>
      </c>
      <c r="AP111" t="s">
        <v>331</v>
      </c>
      <c r="AQ111">
        <v>2</v>
      </c>
      <c r="AR111">
        <v>1775486671.099999</v>
      </c>
      <c r="AS111">
        <v>27.011600000000001</v>
      </c>
      <c r="AT111">
        <v>27.423861290322581</v>
      </c>
      <c r="AU111">
        <v>-0.6018581290322581</v>
      </c>
      <c r="AV111">
        <v>-1.990652903225806</v>
      </c>
      <c r="AW111">
        <v>18.988600000000002</v>
      </c>
      <c r="AX111">
        <v>0.38741287096774202</v>
      </c>
      <c r="AY111">
        <v>500.01448387096781</v>
      </c>
      <c r="AZ111">
        <v>100.2893548387097</v>
      </c>
      <c r="BA111">
        <v>4.2173703225806457E-2</v>
      </c>
      <c r="BB111">
        <v>27.300038709677409</v>
      </c>
      <c r="BC111">
        <v>27.382683870967739</v>
      </c>
      <c r="BD111">
        <v>999.90000000000032</v>
      </c>
      <c r="BE111">
        <v>0</v>
      </c>
      <c r="BF111">
        <v>0</v>
      </c>
      <c r="BG111">
        <v>5003</v>
      </c>
      <c r="BH111">
        <v>0.37140712903225809</v>
      </c>
      <c r="BI111">
        <v>0.22961599999999999</v>
      </c>
      <c r="BJ111">
        <v>-0.43840496774193549</v>
      </c>
      <c r="BK111">
        <v>26.96921935483871</v>
      </c>
      <c r="BL111">
        <v>27.369364516129028</v>
      </c>
      <c r="BM111">
        <v>1.388796451612903</v>
      </c>
      <c r="BN111">
        <v>27.423861290322581</v>
      </c>
      <c r="BO111">
        <v>-1.990652903225806</v>
      </c>
      <c r="BP111">
        <v>-6.035998709677419E-2</v>
      </c>
      <c r="BQ111">
        <v>-0.19964145161290331</v>
      </c>
      <c r="BR111">
        <v>-99.900000000000034</v>
      </c>
      <c r="BS111">
        <v>-99.900000000000034</v>
      </c>
      <c r="BT111">
        <v>0</v>
      </c>
      <c r="BU111">
        <v>0</v>
      </c>
      <c r="BV111">
        <v>0</v>
      </c>
      <c r="BW111">
        <v>26</v>
      </c>
      <c r="BX111">
        <v>-1</v>
      </c>
      <c r="BY111">
        <v>1775486695.5999999</v>
      </c>
      <c r="BZ111" t="s">
        <v>618</v>
      </c>
      <c r="CA111">
        <v>1775486695.5999999</v>
      </c>
      <c r="CB111">
        <v>1775480969.5</v>
      </c>
      <c r="CC111">
        <v>96</v>
      </c>
      <c r="CD111">
        <v>2.7E-2</v>
      </c>
      <c r="CE111">
        <v>0.19500000000000001</v>
      </c>
      <c r="CF111">
        <v>8.0229999999999997</v>
      </c>
      <c r="CG111">
        <v>-0.98899999999999999</v>
      </c>
      <c r="CH111">
        <v>28</v>
      </c>
      <c r="CI111">
        <v>-3</v>
      </c>
      <c r="CJ111">
        <v>0.38</v>
      </c>
      <c r="CK111">
        <v>0.06</v>
      </c>
      <c r="CL111">
        <v>27.499011666666661</v>
      </c>
      <c r="CM111">
        <v>-0.50283934426226384</v>
      </c>
      <c r="CN111">
        <v>0.17118334526823051</v>
      </c>
      <c r="CO111">
        <v>-1</v>
      </c>
      <c r="CP111">
        <v>500.31971666666669</v>
      </c>
      <c r="CQ111">
        <v>-3.4650058349534869</v>
      </c>
      <c r="CR111">
        <v>0.97218765492515979</v>
      </c>
      <c r="CS111">
        <v>-1</v>
      </c>
      <c r="CT111">
        <v>0</v>
      </c>
      <c r="CU111">
        <v>0</v>
      </c>
      <c r="CV111" t="s">
        <v>333</v>
      </c>
      <c r="CW111">
        <v>3.1674799999999999</v>
      </c>
      <c r="CX111">
        <v>2.6632199999999999</v>
      </c>
      <c r="CY111">
        <v>5.6577199999999998E-3</v>
      </c>
      <c r="CZ111">
        <v>8.2260800000000002E-3</v>
      </c>
      <c r="DA111">
        <v>3.1247599999999999E-3</v>
      </c>
      <c r="DB111">
        <v>-1.84759E-2</v>
      </c>
      <c r="DC111">
        <v>21453.3</v>
      </c>
      <c r="DD111">
        <v>21781.5</v>
      </c>
      <c r="DE111">
        <v>23103.5</v>
      </c>
      <c r="DF111">
        <v>22315.5</v>
      </c>
      <c r="DG111">
        <v>29701.599999999999</v>
      </c>
      <c r="DH111">
        <v>27104.1</v>
      </c>
      <c r="DI111">
        <v>40606.699999999997</v>
      </c>
      <c r="DJ111">
        <v>36982.699999999997</v>
      </c>
      <c r="DK111">
        <v>2.08264</v>
      </c>
      <c r="DL111">
        <v>1.80006</v>
      </c>
      <c r="DM111">
        <v>2.1460699999999999E-2</v>
      </c>
      <c r="DN111">
        <v>0</v>
      </c>
      <c r="DO111">
        <v>27.033999999999999</v>
      </c>
      <c r="DP111">
        <v>999.9</v>
      </c>
      <c r="DQ111">
        <v>76.900000000000006</v>
      </c>
      <c r="DR111">
        <v>29.8</v>
      </c>
      <c r="DS111">
        <v>32.2973</v>
      </c>
      <c r="DT111">
        <v>30.044599999999999</v>
      </c>
      <c r="DU111">
        <v>9.9559300000000004</v>
      </c>
      <c r="DV111">
        <v>1</v>
      </c>
      <c r="DW111">
        <v>0.21956300000000001</v>
      </c>
      <c r="DX111">
        <v>-0.175566</v>
      </c>
      <c r="DY111">
        <v>20.3672</v>
      </c>
      <c r="DZ111">
        <v>5.2090199999999998</v>
      </c>
      <c r="EA111">
        <v>11.8482</v>
      </c>
      <c r="EB111">
        <v>4.9674399999999999</v>
      </c>
      <c r="EC111">
        <v>3.2917999999999998</v>
      </c>
      <c r="ED111">
        <v>894.7</v>
      </c>
      <c r="EE111">
        <v>0</v>
      </c>
      <c r="EF111">
        <v>6801.9</v>
      </c>
      <c r="EG111">
        <v>110.4</v>
      </c>
      <c r="EH111">
        <v>4.9715999999999996</v>
      </c>
      <c r="EI111">
        <v>1.8717999999999999</v>
      </c>
      <c r="EJ111">
        <v>1.86897</v>
      </c>
      <c r="EK111">
        <v>1.8713900000000001</v>
      </c>
      <c r="EL111">
        <v>1.8691800000000001</v>
      </c>
      <c r="EM111">
        <v>1.86812</v>
      </c>
      <c r="EN111">
        <v>1.86995</v>
      </c>
      <c r="EO111">
        <v>1.87171</v>
      </c>
      <c r="EP111">
        <v>0</v>
      </c>
      <c r="EQ111">
        <v>0</v>
      </c>
      <c r="ER111">
        <v>0</v>
      </c>
      <c r="ES111">
        <v>0</v>
      </c>
      <c r="ET111" t="s">
        <v>334</v>
      </c>
      <c r="EU111" t="s">
        <v>335</v>
      </c>
      <c r="EV111" t="s">
        <v>336</v>
      </c>
      <c r="EW111" t="s">
        <v>336</v>
      </c>
      <c r="EX111" t="s">
        <v>336</v>
      </c>
      <c r="EY111" t="s">
        <v>336</v>
      </c>
      <c r="EZ111">
        <v>0</v>
      </c>
      <c r="FA111">
        <v>100</v>
      </c>
      <c r="FB111">
        <v>100</v>
      </c>
      <c r="FC111">
        <v>8.0229999999999997</v>
      </c>
      <c r="FD111">
        <v>-0.98929999999999996</v>
      </c>
      <c r="FE111">
        <v>7.9968450000000004</v>
      </c>
      <c r="FF111">
        <v>0</v>
      </c>
      <c r="FG111">
        <v>0</v>
      </c>
      <c r="FH111">
        <v>0</v>
      </c>
      <c r="FI111">
        <v>-0.98927100000000023</v>
      </c>
      <c r="FJ111">
        <v>0</v>
      </c>
      <c r="FK111">
        <v>0</v>
      </c>
      <c r="FL111">
        <v>0</v>
      </c>
      <c r="FM111">
        <v>-1</v>
      </c>
      <c r="FN111">
        <v>-1</v>
      </c>
      <c r="FO111">
        <v>-1</v>
      </c>
      <c r="FP111">
        <v>-1</v>
      </c>
      <c r="FQ111">
        <v>0.6</v>
      </c>
      <c r="FR111">
        <v>95.2</v>
      </c>
      <c r="FS111">
        <v>0.142822</v>
      </c>
      <c r="FT111">
        <v>4.99756</v>
      </c>
      <c r="FU111">
        <v>1.5979000000000001</v>
      </c>
      <c r="FV111">
        <v>2.1557599999999999</v>
      </c>
      <c r="FW111">
        <v>1.5478499999999999</v>
      </c>
      <c r="FX111">
        <v>2.3742700000000001</v>
      </c>
      <c r="FY111">
        <v>34.281399999999998</v>
      </c>
      <c r="FZ111">
        <v>15.927</v>
      </c>
      <c r="GA111">
        <v>3</v>
      </c>
      <c r="GB111">
        <v>496.51</v>
      </c>
      <c r="GC111">
        <v>406.88400000000001</v>
      </c>
      <c r="GD111">
        <v>27.8917</v>
      </c>
      <c r="GE111">
        <v>29.9937</v>
      </c>
      <c r="GF111">
        <v>29.9999</v>
      </c>
      <c r="GG111">
        <v>30.3033</v>
      </c>
      <c r="GH111">
        <v>30.355499999999999</v>
      </c>
      <c r="GI111">
        <v>-1</v>
      </c>
      <c r="GJ111">
        <v>0</v>
      </c>
      <c r="GK111">
        <v>100</v>
      </c>
      <c r="GL111">
        <v>27.875</v>
      </c>
      <c r="GM111">
        <v>432.1</v>
      </c>
      <c r="GN111">
        <v>68.912800000000004</v>
      </c>
      <c r="GO111">
        <v>102.21</v>
      </c>
      <c r="GP111">
        <v>96.501400000000004</v>
      </c>
    </row>
    <row r="112" spans="1:198" x14ac:dyDescent="0.35">
      <c r="A112">
        <v>96</v>
      </c>
      <c r="B112">
        <v>1775486739.0999999</v>
      </c>
      <c r="C112">
        <v>5700.5999999046326</v>
      </c>
      <c r="D112" t="s">
        <v>619</v>
      </c>
      <c r="E112" t="s">
        <v>620</v>
      </c>
      <c r="F112">
        <v>60</v>
      </c>
      <c r="G112">
        <v>1775486731.349999</v>
      </c>
      <c r="H112">
        <f t="shared" si="30"/>
        <v>2.2914426267569327E-3</v>
      </c>
      <c r="I112">
        <f t="shared" si="31"/>
        <v>2.2914426267569326</v>
      </c>
      <c r="J112">
        <f t="shared" si="32"/>
        <v>1.0967858370016097</v>
      </c>
      <c r="K112">
        <f t="shared" si="33"/>
        <v>27.097386666666669</v>
      </c>
      <c r="L112">
        <f t="shared" si="34"/>
        <v>-2.5069989396838044</v>
      </c>
      <c r="M112">
        <f t="shared" si="35"/>
        <v>-0.25153534522288273</v>
      </c>
      <c r="N112">
        <f t="shared" si="36"/>
        <v>2.7187688043847369</v>
      </c>
      <c r="O112">
        <f t="shared" si="37"/>
        <v>6.1542317624811632E-2</v>
      </c>
      <c r="P112">
        <f t="shared" si="38"/>
        <v>2.3942424574407841</v>
      </c>
      <c r="Q112">
        <f t="shared" si="39"/>
        <v>6.0676821318852589E-2</v>
      </c>
      <c r="R112">
        <f t="shared" si="40"/>
        <v>3.7999760686921256E-2</v>
      </c>
      <c r="S112">
        <f t="shared" si="41"/>
        <v>0</v>
      </c>
      <c r="T112">
        <f t="shared" si="42"/>
        <v>26.584170424708113</v>
      </c>
      <c r="U112">
        <f t="shared" si="43"/>
        <v>27.38074666666666</v>
      </c>
      <c r="V112">
        <f t="shared" si="44"/>
        <v>3.6599830490612799</v>
      </c>
      <c r="W112">
        <f t="shared" si="45"/>
        <v>-1.6776066370132698</v>
      </c>
      <c r="X112">
        <f t="shared" si="46"/>
        <v>-6.1118007778407285E-2</v>
      </c>
      <c r="Y112">
        <f t="shared" si="47"/>
        <v>3.643166784748709</v>
      </c>
      <c r="Z112">
        <f t="shared" si="48"/>
        <v>3.7211010568396872</v>
      </c>
      <c r="AA112">
        <f t="shared" si="49"/>
        <v>-101.05261983998074</v>
      </c>
      <c r="AB112">
        <f t="shared" si="50"/>
        <v>-10.146852974124469</v>
      </c>
      <c r="AC112">
        <f t="shared" si="51"/>
        <v>-0.91774121965442923</v>
      </c>
      <c r="AD112">
        <f t="shared" si="52"/>
        <v>-112.11721403375964</v>
      </c>
      <c r="AE112">
        <v>14</v>
      </c>
      <c r="AF112">
        <v>3</v>
      </c>
      <c r="AG112">
        <f t="shared" si="53"/>
        <v>1</v>
      </c>
      <c r="AH112">
        <f t="shared" si="54"/>
        <v>0</v>
      </c>
      <c r="AI112">
        <f t="shared" si="55"/>
        <v>25580.056352214346</v>
      </c>
      <c r="AJ112">
        <f t="shared" si="56"/>
        <v>0</v>
      </c>
      <c r="AK112">
        <f t="shared" si="57"/>
        <v>0</v>
      </c>
      <c r="AL112">
        <f t="shared" si="58"/>
        <v>0</v>
      </c>
      <c r="AM112">
        <f t="shared" si="59"/>
        <v>0</v>
      </c>
      <c r="AN112">
        <v>3</v>
      </c>
      <c r="AO112">
        <v>0.5</v>
      </c>
      <c r="AP112" t="s">
        <v>331</v>
      </c>
      <c r="AQ112">
        <v>2</v>
      </c>
      <c r="AR112">
        <v>1775486731.349999</v>
      </c>
      <c r="AS112">
        <v>27.097386666666669</v>
      </c>
      <c r="AT112">
        <v>27.79274333333333</v>
      </c>
      <c r="AU112">
        <v>-0.60915010000000014</v>
      </c>
      <c r="AV112">
        <v>-1.9849123333333329</v>
      </c>
      <c r="AW112">
        <v>19.084386666666671</v>
      </c>
      <c r="AX112">
        <v>0.38012080000000009</v>
      </c>
      <c r="AY112">
        <v>499.9785</v>
      </c>
      <c r="AZ112">
        <v>100.29146666666669</v>
      </c>
      <c r="BA112">
        <v>4.1780883333333317E-2</v>
      </c>
      <c r="BB112">
        <v>27.302136666666669</v>
      </c>
      <c r="BC112">
        <v>27.38074666666666</v>
      </c>
      <c r="BD112">
        <v>999.9000000000002</v>
      </c>
      <c r="BE112">
        <v>0</v>
      </c>
      <c r="BF112">
        <v>0</v>
      </c>
      <c r="BG112">
        <v>5001.4333333333334</v>
      </c>
      <c r="BH112">
        <v>0.36200693333333328</v>
      </c>
      <c r="BI112">
        <v>0.23344266666666669</v>
      </c>
      <c r="BJ112">
        <v>-0.6850052333333333</v>
      </c>
      <c r="BK112">
        <v>27.091226666666671</v>
      </c>
      <c r="BL112">
        <v>27.737690000000001</v>
      </c>
      <c r="BM112">
        <v>1.3757626666666669</v>
      </c>
      <c r="BN112">
        <v>27.79274333333333</v>
      </c>
      <c r="BO112">
        <v>-1.9849123333333329</v>
      </c>
      <c r="BP112">
        <v>-6.1092560000000011E-2</v>
      </c>
      <c r="BQ112">
        <v>-0.19906973333333339</v>
      </c>
      <c r="BR112">
        <v>-99.900000000000034</v>
      </c>
      <c r="BS112">
        <v>-99.900000000000034</v>
      </c>
      <c r="BT112">
        <v>0</v>
      </c>
      <c r="BU112">
        <v>0</v>
      </c>
      <c r="BV112">
        <v>0</v>
      </c>
      <c r="BW112">
        <v>26</v>
      </c>
      <c r="BX112">
        <v>-1</v>
      </c>
      <c r="BY112">
        <v>1775486756.0999999</v>
      </c>
      <c r="BZ112" t="s">
        <v>621</v>
      </c>
      <c r="CA112">
        <v>1775486756.0999999</v>
      </c>
      <c r="CB112">
        <v>1775480969.5</v>
      </c>
      <c r="CC112">
        <v>97</v>
      </c>
      <c r="CD112">
        <v>-1.0999999999999999E-2</v>
      </c>
      <c r="CE112">
        <v>0.19500000000000001</v>
      </c>
      <c r="CF112">
        <v>8.0129999999999999</v>
      </c>
      <c r="CG112">
        <v>-0.98899999999999999</v>
      </c>
      <c r="CH112">
        <v>28</v>
      </c>
      <c r="CI112">
        <v>-3</v>
      </c>
      <c r="CJ112">
        <v>0.16</v>
      </c>
      <c r="CK112">
        <v>0.06</v>
      </c>
      <c r="CL112">
        <v>27.549281967213119</v>
      </c>
      <c r="CM112">
        <v>1.0650663141195491</v>
      </c>
      <c r="CN112">
        <v>0.3048048897612366</v>
      </c>
      <c r="CO112">
        <v>-1</v>
      </c>
      <c r="CP112">
        <v>500.00078688524587</v>
      </c>
      <c r="CQ112">
        <v>-0.14206451612968679</v>
      </c>
      <c r="CR112">
        <v>4.5605979890509608E-2</v>
      </c>
      <c r="CS112">
        <v>-1</v>
      </c>
      <c r="CT112">
        <v>0</v>
      </c>
      <c r="CU112">
        <v>0</v>
      </c>
      <c r="CV112" t="s">
        <v>333</v>
      </c>
      <c r="CW112">
        <v>3.16737</v>
      </c>
      <c r="CX112">
        <v>2.6633499999999999</v>
      </c>
      <c r="CY112">
        <v>5.7258700000000001E-3</v>
      </c>
      <c r="CZ112">
        <v>8.2709299999999993E-3</v>
      </c>
      <c r="DA112">
        <v>3.0736499999999998E-3</v>
      </c>
      <c r="DB112">
        <v>-1.8358099999999999E-2</v>
      </c>
      <c r="DC112">
        <v>21452.7</v>
      </c>
      <c r="DD112">
        <v>21781.200000000001</v>
      </c>
      <c r="DE112">
        <v>23104.400000000001</v>
      </c>
      <c r="DF112">
        <v>22316.1</v>
      </c>
      <c r="DG112">
        <v>29704.3</v>
      </c>
      <c r="DH112">
        <v>27101.7</v>
      </c>
      <c r="DI112">
        <v>40608.300000000003</v>
      </c>
      <c r="DJ112">
        <v>36983.699999999997</v>
      </c>
      <c r="DK112">
        <v>2.0832199999999998</v>
      </c>
      <c r="DL112">
        <v>1.7992999999999999</v>
      </c>
      <c r="DM112">
        <v>2.0861600000000001E-2</v>
      </c>
      <c r="DN112">
        <v>0</v>
      </c>
      <c r="DO112">
        <v>27.040900000000001</v>
      </c>
      <c r="DP112">
        <v>999.9</v>
      </c>
      <c r="DQ112">
        <v>76.900000000000006</v>
      </c>
      <c r="DR112">
        <v>29.8</v>
      </c>
      <c r="DS112">
        <v>32.296700000000001</v>
      </c>
      <c r="DT112">
        <v>30.704599999999999</v>
      </c>
      <c r="DU112">
        <v>9.6634600000000006</v>
      </c>
      <c r="DV112">
        <v>1</v>
      </c>
      <c r="DW112">
        <v>0.21847800000000001</v>
      </c>
      <c r="DX112">
        <v>-0.15923699999999999</v>
      </c>
      <c r="DY112">
        <v>20.367799999999999</v>
      </c>
      <c r="DZ112">
        <v>5.2112999999999996</v>
      </c>
      <c r="EA112">
        <v>11.848699999999999</v>
      </c>
      <c r="EB112">
        <v>4.9676799999999997</v>
      </c>
      <c r="EC112">
        <v>3.29216</v>
      </c>
      <c r="ED112">
        <v>894.7</v>
      </c>
      <c r="EE112">
        <v>0</v>
      </c>
      <c r="EF112">
        <v>6834.7</v>
      </c>
      <c r="EG112">
        <v>110.4</v>
      </c>
      <c r="EH112">
        <v>4.9716199999999997</v>
      </c>
      <c r="EI112">
        <v>1.8717999999999999</v>
      </c>
      <c r="EJ112">
        <v>1.8689199999999999</v>
      </c>
      <c r="EK112">
        <v>1.8713900000000001</v>
      </c>
      <c r="EL112">
        <v>1.86914</v>
      </c>
      <c r="EM112">
        <v>1.86812</v>
      </c>
      <c r="EN112">
        <v>1.86995</v>
      </c>
      <c r="EO112">
        <v>1.87178</v>
      </c>
      <c r="EP112">
        <v>0</v>
      </c>
      <c r="EQ112">
        <v>0</v>
      </c>
      <c r="ER112">
        <v>0</v>
      </c>
      <c r="ES112">
        <v>0</v>
      </c>
      <c r="ET112" t="s">
        <v>334</v>
      </c>
      <c r="EU112" t="s">
        <v>335</v>
      </c>
      <c r="EV112" t="s">
        <v>336</v>
      </c>
      <c r="EW112" t="s">
        <v>336</v>
      </c>
      <c r="EX112" t="s">
        <v>336</v>
      </c>
      <c r="EY112" t="s">
        <v>336</v>
      </c>
      <c r="EZ112">
        <v>0</v>
      </c>
      <c r="FA112">
        <v>100</v>
      </c>
      <c r="FB112">
        <v>100</v>
      </c>
      <c r="FC112">
        <v>8.0129999999999999</v>
      </c>
      <c r="FD112">
        <v>-0.98929999999999996</v>
      </c>
      <c r="FE112">
        <v>8.0233523809523817</v>
      </c>
      <c r="FF112">
        <v>0</v>
      </c>
      <c r="FG112">
        <v>0</v>
      </c>
      <c r="FH112">
        <v>0</v>
      </c>
      <c r="FI112">
        <v>-0.98927100000000023</v>
      </c>
      <c r="FJ112">
        <v>0</v>
      </c>
      <c r="FK112">
        <v>0</v>
      </c>
      <c r="FL112">
        <v>0</v>
      </c>
      <c r="FM112">
        <v>-1</v>
      </c>
      <c r="FN112">
        <v>-1</v>
      </c>
      <c r="FO112">
        <v>-1</v>
      </c>
      <c r="FP112">
        <v>-1</v>
      </c>
      <c r="FQ112">
        <v>0.7</v>
      </c>
      <c r="FR112">
        <v>96.2</v>
      </c>
      <c r="FS112">
        <v>0.142822</v>
      </c>
      <c r="FT112">
        <v>4.99756</v>
      </c>
      <c r="FU112">
        <v>1.5979000000000001</v>
      </c>
      <c r="FV112">
        <v>2.1545399999999999</v>
      </c>
      <c r="FW112">
        <v>1.5478499999999999</v>
      </c>
      <c r="FX112">
        <v>2.4169900000000002</v>
      </c>
      <c r="FY112">
        <v>34.304200000000002</v>
      </c>
      <c r="FZ112">
        <v>15.927</v>
      </c>
      <c r="GA112">
        <v>3</v>
      </c>
      <c r="GB112">
        <v>496.76799999999997</v>
      </c>
      <c r="GC112">
        <v>406.39699999999999</v>
      </c>
      <c r="GD112">
        <v>27.857299999999999</v>
      </c>
      <c r="GE112">
        <v>29.9833</v>
      </c>
      <c r="GF112">
        <v>30</v>
      </c>
      <c r="GG112">
        <v>30.293099999999999</v>
      </c>
      <c r="GH112">
        <v>30.3477</v>
      </c>
      <c r="GI112">
        <v>-1</v>
      </c>
      <c r="GJ112">
        <v>0</v>
      </c>
      <c r="GK112">
        <v>100</v>
      </c>
      <c r="GL112">
        <v>27.8567</v>
      </c>
      <c r="GM112">
        <v>432.1</v>
      </c>
      <c r="GN112">
        <v>68.912800000000004</v>
      </c>
      <c r="GO112">
        <v>102.214</v>
      </c>
      <c r="GP112">
        <v>96.504099999999994</v>
      </c>
    </row>
    <row r="113" spans="1:198" x14ac:dyDescent="0.35">
      <c r="A113">
        <v>97</v>
      </c>
      <c r="B113">
        <v>1775486799.0999999</v>
      </c>
      <c r="C113">
        <v>5760.5999999046326</v>
      </c>
      <c r="D113" t="s">
        <v>622</v>
      </c>
      <c r="E113" t="s">
        <v>623</v>
      </c>
      <c r="F113">
        <v>60</v>
      </c>
      <c r="G113">
        <v>1775486791.099999</v>
      </c>
      <c r="H113">
        <f t="shared" si="30"/>
        <v>2.2736075260625958E-3</v>
      </c>
      <c r="I113">
        <f t="shared" si="31"/>
        <v>2.2736075260625959</v>
      </c>
      <c r="J113">
        <f t="shared" si="32"/>
        <v>0.41925272001877462</v>
      </c>
      <c r="K113">
        <f t="shared" si="33"/>
        <v>27.682270967741939</v>
      </c>
      <c r="L113">
        <f t="shared" si="34"/>
        <v>15.275208039190394</v>
      </c>
      <c r="M113">
        <f t="shared" si="35"/>
        <v>1.5326292985435179</v>
      </c>
      <c r="N113">
        <f t="shared" si="36"/>
        <v>2.7774848909770129</v>
      </c>
      <c r="O113">
        <f t="shared" si="37"/>
        <v>6.1097126301388867E-2</v>
      </c>
      <c r="P113">
        <f t="shared" si="38"/>
        <v>2.3905019721496306</v>
      </c>
      <c r="Q113">
        <f t="shared" si="39"/>
        <v>6.0242698189703847E-2</v>
      </c>
      <c r="R113">
        <f t="shared" si="40"/>
        <v>3.7727457860072262E-2</v>
      </c>
      <c r="S113">
        <f t="shared" si="41"/>
        <v>0</v>
      </c>
      <c r="T113">
        <f t="shared" si="42"/>
        <v>26.580556270605186</v>
      </c>
      <c r="U113">
        <f t="shared" si="43"/>
        <v>27.370745161290319</v>
      </c>
      <c r="V113">
        <f t="shared" si="44"/>
        <v>3.6578397711779376</v>
      </c>
      <c r="W113">
        <f t="shared" si="45"/>
        <v>-1.6748321893936566</v>
      </c>
      <c r="X113">
        <f t="shared" si="46"/>
        <v>-6.0987704195670359E-2</v>
      </c>
      <c r="Y113">
        <f t="shared" si="47"/>
        <v>3.6414217843370849</v>
      </c>
      <c r="Z113">
        <f t="shared" si="48"/>
        <v>3.7188274753736081</v>
      </c>
      <c r="AA113">
        <f t="shared" si="49"/>
        <v>-100.26609189936048</v>
      </c>
      <c r="AB113">
        <f t="shared" si="50"/>
        <v>-9.8956551532355999</v>
      </c>
      <c r="AC113">
        <f t="shared" si="51"/>
        <v>-0.89634049603698829</v>
      </c>
      <c r="AD113">
        <f t="shared" si="52"/>
        <v>-111.05808754863305</v>
      </c>
      <c r="AE113">
        <v>14</v>
      </c>
      <c r="AF113">
        <v>3</v>
      </c>
      <c r="AG113">
        <f t="shared" si="53"/>
        <v>1</v>
      </c>
      <c r="AH113">
        <f t="shared" si="54"/>
        <v>0</v>
      </c>
      <c r="AI113">
        <f t="shared" si="55"/>
        <v>25523.842405258471</v>
      </c>
      <c r="AJ113">
        <f t="shared" si="56"/>
        <v>0</v>
      </c>
      <c r="AK113">
        <f t="shared" si="57"/>
        <v>0</v>
      </c>
      <c r="AL113">
        <f t="shared" si="58"/>
        <v>0</v>
      </c>
      <c r="AM113">
        <f t="shared" si="59"/>
        <v>0</v>
      </c>
      <c r="AN113">
        <v>3</v>
      </c>
      <c r="AO113">
        <v>0.5</v>
      </c>
      <c r="AP113" t="s">
        <v>331</v>
      </c>
      <c r="AQ113">
        <v>2</v>
      </c>
      <c r="AR113">
        <v>1775486791.099999</v>
      </c>
      <c r="AS113">
        <v>27.682270967741939</v>
      </c>
      <c r="AT113">
        <v>27.97158709677419</v>
      </c>
      <c r="AU113">
        <v>-0.60784422580645159</v>
      </c>
      <c r="AV113">
        <v>-1.9728441935483869</v>
      </c>
      <c r="AW113">
        <v>19.65127096774194</v>
      </c>
      <c r="AX113">
        <v>0.38142674193548393</v>
      </c>
      <c r="AY113">
        <v>499.99770967741938</v>
      </c>
      <c r="AZ113">
        <v>100.2922903225807</v>
      </c>
      <c r="BA113">
        <v>4.2140122580645173E-2</v>
      </c>
      <c r="BB113">
        <v>27.293961290322581</v>
      </c>
      <c r="BC113">
        <v>27.370745161290319</v>
      </c>
      <c r="BD113">
        <v>999.90000000000032</v>
      </c>
      <c r="BE113">
        <v>0</v>
      </c>
      <c r="BF113">
        <v>0</v>
      </c>
      <c r="BG113">
        <v>4991.7741935483873</v>
      </c>
      <c r="BH113">
        <v>0.37032625806451608</v>
      </c>
      <c r="BI113">
        <v>0.22961599999999999</v>
      </c>
      <c r="BJ113">
        <v>-0.30749199999999988</v>
      </c>
      <c r="BK113">
        <v>27.647274193548391</v>
      </c>
      <c r="BL113">
        <v>27.9165064516129</v>
      </c>
      <c r="BM113">
        <v>1.36499935483871</v>
      </c>
      <c r="BN113">
        <v>27.97158709677419</v>
      </c>
      <c r="BO113">
        <v>-1.9728441935483869</v>
      </c>
      <c r="BP113">
        <v>-6.0962087096774177E-2</v>
      </c>
      <c r="BQ113">
        <v>-0.1978611935483871</v>
      </c>
      <c r="BR113">
        <v>-99.900000000000034</v>
      </c>
      <c r="BS113">
        <v>-99.900000000000034</v>
      </c>
      <c r="BT113">
        <v>0</v>
      </c>
      <c r="BU113">
        <v>0</v>
      </c>
      <c r="BV113">
        <v>0</v>
      </c>
      <c r="BW113">
        <v>26</v>
      </c>
      <c r="BX113">
        <v>-1</v>
      </c>
      <c r="BY113">
        <v>1775486818.0999999</v>
      </c>
      <c r="BZ113" t="s">
        <v>624</v>
      </c>
      <c r="CA113">
        <v>1775486818.0999999</v>
      </c>
      <c r="CB113">
        <v>1775480969.5</v>
      </c>
      <c r="CC113">
        <v>98</v>
      </c>
      <c r="CD113">
        <v>1.7999999999999999E-2</v>
      </c>
      <c r="CE113">
        <v>0.19500000000000001</v>
      </c>
      <c r="CF113">
        <v>8.0310000000000006</v>
      </c>
      <c r="CG113">
        <v>-0.98899999999999999</v>
      </c>
      <c r="CH113">
        <v>29</v>
      </c>
      <c r="CI113">
        <v>-3</v>
      </c>
      <c r="CJ113">
        <v>0.19</v>
      </c>
      <c r="CK113">
        <v>0.06</v>
      </c>
      <c r="CL113">
        <v>28.216491803278689</v>
      </c>
      <c r="CM113">
        <v>-1.407616499206797</v>
      </c>
      <c r="CN113">
        <v>0.35430839409973769</v>
      </c>
      <c r="CO113">
        <v>-1</v>
      </c>
      <c r="CP113">
        <v>500.0030000000001</v>
      </c>
      <c r="CQ113">
        <v>-7.2399788471694634E-2</v>
      </c>
      <c r="CR113">
        <v>4.3707297661288752E-2</v>
      </c>
      <c r="CS113">
        <v>-1</v>
      </c>
      <c r="CT113">
        <v>0</v>
      </c>
      <c r="CU113">
        <v>0</v>
      </c>
      <c r="CV113" t="s">
        <v>333</v>
      </c>
      <c r="CW113">
        <v>3.16737</v>
      </c>
      <c r="CX113">
        <v>2.6635900000000001</v>
      </c>
      <c r="CY113">
        <v>5.8264099999999997E-3</v>
      </c>
      <c r="CZ113">
        <v>8.3579399999999995E-3</v>
      </c>
      <c r="DA113">
        <v>3.1817799999999999E-3</v>
      </c>
      <c r="DB113">
        <v>-1.81896E-2</v>
      </c>
      <c r="DC113">
        <v>21450.5</v>
      </c>
      <c r="DD113">
        <v>21779.5</v>
      </c>
      <c r="DE113">
        <v>23104.3</v>
      </c>
      <c r="DF113">
        <v>22316.3</v>
      </c>
      <c r="DG113">
        <v>29701.1</v>
      </c>
      <c r="DH113">
        <v>27097.4</v>
      </c>
      <c r="DI113">
        <v>40608.300000000003</v>
      </c>
      <c r="DJ113">
        <v>36983.9</v>
      </c>
      <c r="DK113">
        <v>2.0832000000000002</v>
      </c>
      <c r="DL113">
        <v>1.79948</v>
      </c>
      <c r="DM113">
        <v>2.0563600000000001E-2</v>
      </c>
      <c r="DN113">
        <v>0</v>
      </c>
      <c r="DO113">
        <v>27.031700000000001</v>
      </c>
      <c r="DP113">
        <v>999.9</v>
      </c>
      <c r="DQ113">
        <v>76.900000000000006</v>
      </c>
      <c r="DR113">
        <v>29.8</v>
      </c>
      <c r="DS113">
        <v>32.295499999999997</v>
      </c>
      <c r="DT113">
        <v>30.884599999999999</v>
      </c>
      <c r="DU113">
        <v>9.9359000000000002</v>
      </c>
      <c r="DV113">
        <v>1</v>
      </c>
      <c r="DW113">
        <v>0.21731700000000001</v>
      </c>
      <c r="DX113">
        <v>-0.219636</v>
      </c>
      <c r="DY113">
        <v>20.367599999999999</v>
      </c>
      <c r="DZ113">
        <v>5.21082</v>
      </c>
      <c r="EA113">
        <v>11.8482</v>
      </c>
      <c r="EB113">
        <v>4.9678399999999998</v>
      </c>
      <c r="EC113">
        <v>3.2921200000000002</v>
      </c>
      <c r="ED113">
        <v>894.7</v>
      </c>
      <c r="EE113">
        <v>0</v>
      </c>
      <c r="EF113">
        <v>6866.9</v>
      </c>
      <c r="EG113">
        <v>110.4</v>
      </c>
      <c r="EH113">
        <v>4.97159</v>
      </c>
      <c r="EI113">
        <v>1.8717999999999999</v>
      </c>
      <c r="EJ113">
        <v>1.8689499999999999</v>
      </c>
      <c r="EK113">
        <v>1.87138</v>
      </c>
      <c r="EL113">
        <v>1.86911</v>
      </c>
      <c r="EM113">
        <v>1.8681099999999999</v>
      </c>
      <c r="EN113">
        <v>1.8699300000000001</v>
      </c>
      <c r="EO113">
        <v>1.8717299999999999</v>
      </c>
      <c r="EP113">
        <v>0</v>
      </c>
      <c r="EQ113">
        <v>0</v>
      </c>
      <c r="ER113">
        <v>0</v>
      </c>
      <c r="ES113">
        <v>0</v>
      </c>
      <c r="ET113" t="s">
        <v>334</v>
      </c>
      <c r="EU113" t="s">
        <v>335</v>
      </c>
      <c r="EV113" t="s">
        <v>336</v>
      </c>
      <c r="EW113" t="s">
        <v>336</v>
      </c>
      <c r="EX113" t="s">
        <v>336</v>
      </c>
      <c r="EY113" t="s">
        <v>336</v>
      </c>
      <c r="EZ113">
        <v>0</v>
      </c>
      <c r="FA113">
        <v>100</v>
      </c>
      <c r="FB113">
        <v>100</v>
      </c>
      <c r="FC113">
        <v>8.0310000000000006</v>
      </c>
      <c r="FD113">
        <v>-0.98929999999999996</v>
      </c>
      <c r="FE113">
        <v>8.0128199999999943</v>
      </c>
      <c r="FF113">
        <v>0</v>
      </c>
      <c r="FG113">
        <v>0</v>
      </c>
      <c r="FH113">
        <v>0</v>
      </c>
      <c r="FI113">
        <v>-0.98927100000000023</v>
      </c>
      <c r="FJ113">
        <v>0</v>
      </c>
      <c r="FK113">
        <v>0</v>
      </c>
      <c r="FL113">
        <v>0</v>
      </c>
      <c r="FM113">
        <v>-1</v>
      </c>
      <c r="FN113">
        <v>-1</v>
      </c>
      <c r="FO113">
        <v>-1</v>
      </c>
      <c r="FP113">
        <v>-1</v>
      </c>
      <c r="FQ113">
        <v>0.7</v>
      </c>
      <c r="FR113">
        <v>97.2</v>
      </c>
      <c r="FS113">
        <v>0.142822</v>
      </c>
      <c r="FT113">
        <v>4.99756</v>
      </c>
      <c r="FU113">
        <v>1.5979000000000001</v>
      </c>
      <c r="FV113">
        <v>2.1533199999999999</v>
      </c>
      <c r="FW113">
        <v>1.5478499999999999</v>
      </c>
      <c r="FX113">
        <v>2.3559600000000001</v>
      </c>
      <c r="FY113">
        <v>34.326900000000002</v>
      </c>
      <c r="FZ113">
        <v>15.9095</v>
      </c>
      <c r="GA113">
        <v>3</v>
      </c>
      <c r="GB113">
        <v>496.67700000000002</v>
      </c>
      <c r="GC113">
        <v>406.43200000000002</v>
      </c>
      <c r="GD113">
        <v>27.889399999999998</v>
      </c>
      <c r="GE113">
        <v>29.972999999999999</v>
      </c>
      <c r="GF113">
        <v>30.0001</v>
      </c>
      <c r="GG113">
        <v>30.282800000000002</v>
      </c>
      <c r="GH113">
        <v>30.337499999999999</v>
      </c>
      <c r="GI113">
        <v>-1</v>
      </c>
      <c r="GJ113">
        <v>0</v>
      </c>
      <c r="GK113">
        <v>100</v>
      </c>
      <c r="GL113">
        <v>27.893899999999999</v>
      </c>
      <c r="GM113">
        <v>432.1</v>
      </c>
      <c r="GN113">
        <v>68.912800000000004</v>
      </c>
      <c r="GO113">
        <v>102.214</v>
      </c>
      <c r="GP113">
        <v>96.5047</v>
      </c>
    </row>
    <row r="114" spans="1:198" x14ac:dyDescent="0.35">
      <c r="A114">
        <v>98</v>
      </c>
      <c r="B114">
        <v>1775486859.0999999</v>
      </c>
      <c r="C114">
        <v>5820.5999999046326</v>
      </c>
      <c r="D114" t="s">
        <v>625</v>
      </c>
      <c r="E114" t="s">
        <v>626</v>
      </c>
      <c r="F114">
        <v>60</v>
      </c>
      <c r="G114">
        <v>1775486851.099999</v>
      </c>
      <c r="H114">
        <f t="shared" si="30"/>
        <v>2.3202165829185428E-3</v>
      </c>
      <c r="I114">
        <f t="shared" si="31"/>
        <v>2.3202165829185426</v>
      </c>
      <c r="J114">
        <f t="shared" si="32"/>
        <v>0.50982667044007679</v>
      </c>
      <c r="K114">
        <f t="shared" si="33"/>
        <v>28.233125806451611</v>
      </c>
      <c r="L114">
        <f t="shared" si="34"/>
        <v>13.726140462603784</v>
      </c>
      <c r="M114">
        <f t="shared" si="35"/>
        <v>1.3771948401224514</v>
      </c>
      <c r="N114">
        <f t="shared" si="36"/>
        <v>2.8327347579683271</v>
      </c>
      <c r="O114">
        <f t="shared" si="37"/>
        <v>6.2362420512353654E-2</v>
      </c>
      <c r="P114">
        <f t="shared" si="38"/>
        <v>2.3892332493884125</v>
      </c>
      <c r="Q114">
        <f t="shared" si="39"/>
        <v>6.1472048951650045E-2</v>
      </c>
      <c r="R114">
        <f t="shared" si="40"/>
        <v>3.8498967904397011E-2</v>
      </c>
      <c r="S114">
        <f t="shared" si="41"/>
        <v>0</v>
      </c>
      <c r="T114">
        <f t="shared" si="42"/>
        <v>26.57509237872263</v>
      </c>
      <c r="U114">
        <f t="shared" si="43"/>
        <v>27.381538709677422</v>
      </c>
      <c r="V114">
        <f t="shared" si="44"/>
        <v>3.6601528271624435</v>
      </c>
      <c r="W114">
        <f t="shared" si="45"/>
        <v>-1.6167528343042887</v>
      </c>
      <c r="X114">
        <f t="shared" si="46"/>
        <v>-5.8905607900104018E-2</v>
      </c>
      <c r="Y114">
        <f t="shared" si="47"/>
        <v>3.6434516550856659</v>
      </c>
      <c r="Z114">
        <f t="shared" si="48"/>
        <v>3.7190584350625473</v>
      </c>
      <c r="AA114">
        <f t="shared" si="49"/>
        <v>-102.32155130670773</v>
      </c>
      <c r="AB114">
        <f t="shared" si="50"/>
        <v>-10.055776475857108</v>
      </c>
      <c r="AC114">
        <f t="shared" si="51"/>
        <v>-0.91142024601876592</v>
      </c>
      <c r="AD114">
        <f t="shared" si="52"/>
        <v>-113.2887480285836</v>
      </c>
      <c r="AE114">
        <v>14</v>
      </c>
      <c r="AF114">
        <v>3</v>
      </c>
      <c r="AG114">
        <f t="shared" si="53"/>
        <v>1</v>
      </c>
      <c r="AH114">
        <f t="shared" si="54"/>
        <v>0</v>
      </c>
      <c r="AI114">
        <f t="shared" si="55"/>
        <v>25503.760860204653</v>
      </c>
      <c r="AJ114">
        <f t="shared" si="56"/>
        <v>0</v>
      </c>
      <c r="AK114">
        <f t="shared" si="57"/>
        <v>0</v>
      </c>
      <c r="AL114">
        <f t="shared" si="58"/>
        <v>0</v>
      </c>
      <c r="AM114">
        <f t="shared" si="59"/>
        <v>0</v>
      </c>
      <c r="AN114">
        <v>3</v>
      </c>
      <c r="AO114">
        <v>0.5</v>
      </c>
      <c r="AP114" t="s">
        <v>331</v>
      </c>
      <c r="AQ114">
        <v>2</v>
      </c>
      <c r="AR114">
        <v>1775486851.099999</v>
      </c>
      <c r="AS114">
        <v>28.233125806451611</v>
      </c>
      <c r="AT114">
        <v>28.57834193548387</v>
      </c>
      <c r="AU114">
        <v>-0.58709677419354833</v>
      </c>
      <c r="AV114">
        <v>-1.9801083870967751</v>
      </c>
      <c r="AW114">
        <v>20.231125806451612</v>
      </c>
      <c r="AX114">
        <v>0.40217422580645162</v>
      </c>
      <c r="AY114">
        <v>499.9769032258065</v>
      </c>
      <c r="AZ114">
        <v>100.29190322580639</v>
      </c>
      <c r="BA114">
        <v>4.1824516129032263E-2</v>
      </c>
      <c r="BB114">
        <v>27.303470967741941</v>
      </c>
      <c r="BC114">
        <v>27.381538709677422</v>
      </c>
      <c r="BD114">
        <v>999.90000000000032</v>
      </c>
      <c r="BE114">
        <v>0</v>
      </c>
      <c r="BF114">
        <v>0</v>
      </c>
      <c r="BG114">
        <v>4988.5322580645161</v>
      </c>
      <c r="BH114">
        <v>0.36829290322580638</v>
      </c>
      <c r="BI114">
        <v>0.22961599999999999</v>
      </c>
      <c r="BJ114">
        <v>-0.31631938709677432</v>
      </c>
      <c r="BK114">
        <v>28.24542903225807</v>
      </c>
      <c r="BL114">
        <v>28.52186129032258</v>
      </c>
      <c r="BM114">
        <v>1.3930116129032259</v>
      </c>
      <c r="BN114">
        <v>28.57834193548387</v>
      </c>
      <c r="BO114">
        <v>-1.9801083870967751</v>
      </c>
      <c r="BP114">
        <v>-5.8881090322580647E-2</v>
      </c>
      <c r="BQ114">
        <v>-0.19858906451612901</v>
      </c>
      <c r="BR114">
        <v>-99.900000000000034</v>
      </c>
      <c r="BS114">
        <v>-99.900000000000034</v>
      </c>
      <c r="BT114">
        <v>0</v>
      </c>
      <c r="BU114">
        <v>0</v>
      </c>
      <c r="BV114">
        <v>0</v>
      </c>
      <c r="BW114">
        <v>26</v>
      </c>
      <c r="BX114">
        <v>-1</v>
      </c>
      <c r="BY114">
        <v>1775486876.0999999</v>
      </c>
      <c r="BZ114" t="s">
        <v>627</v>
      </c>
      <c r="CA114">
        <v>1775486876.0999999</v>
      </c>
      <c r="CB114">
        <v>1775480969.5</v>
      </c>
      <c r="CC114">
        <v>99</v>
      </c>
      <c r="CD114">
        <v>-2.9000000000000001E-2</v>
      </c>
      <c r="CE114">
        <v>0.19500000000000001</v>
      </c>
      <c r="CF114">
        <v>8.0020000000000007</v>
      </c>
      <c r="CG114">
        <v>-0.98899999999999999</v>
      </c>
      <c r="CH114">
        <v>29</v>
      </c>
      <c r="CI114">
        <v>-3</v>
      </c>
      <c r="CJ114">
        <v>0.11</v>
      </c>
      <c r="CK114">
        <v>0.06</v>
      </c>
      <c r="CL114">
        <v>28.721021311475411</v>
      </c>
      <c r="CM114">
        <v>-0.43975589635111029</v>
      </c>
      <c r="CN114">
        <v>0.28900924888187179</v>
      </c>
      <c r="CO114">
        <v>-1</v>
      </c>
      <c r="CP114">
        <v>500.00195081967217</v>
      </c>
      <c r="CQ114">
        <v>-0.17676361713381619</v>
      </c>
      <c r="CR114">
        <v>4.9521456263678501E-2</v>
      </c>
      <c r="CS114">
        <v>-1</v>
      </c>
      <c r="CT114">
        <v>0</v>
      </c>
      <c r="CU114">
        <v>0</v>
      </c>
      <c r="CV114" t="s">
        <v>333</v>
      </c>
      <c r="CW114">
        <v>3.1674500000000001</v>
      </c>
      <c r="CX114">
        <v>2.6633</v>
      </c>
      <c r="CY114">
        <v>5.9865600000000001E-3</v>
      </c>
      <c r="CZ114">
        <v>8.6052799999999999E-3</v>
      </c>
      <c r="DA114">
        <v>3.25866E-3</v>
      </c>
      <c r="DB114">
        <v>-1.8376199999999999E-2</v>
      </c>
      <c r="DC114">
        <v>21447.4</v>
      </c>
      <c r="DD114">
        <v>21774.2</v>
      </c>
      <c r="DE114">
        <v>23104.7</v>
      </c>
      <c r="DF114">
        <v>22316.400000000001</v>
      </c>
      <c r="DG114">
        <v>29699.3</v>
      </c>
      <c r="DH114">
        <v>27102.6</v>
      </c>
      <c r="DI114">
        <v>40609</v>
      </c>
      <c r="DJ114">
        <v>36984.300000000003</v>
      </c>
      <c r="DK114">
        <v>2.0834199999999998</v>
      </c>
      <c r="DL114">
        <v>1.8000400000000001</v>
      </c>
      <c r="DM114">
        <v>2.1761699999999998E-2</v>
      </c>
      <c r="DN114">
        <v>0</v>
      </c>
      <c r="DO114">
        <v>27.0258</v>
      </c>
      <c r="DP114">
        <v>999.9</v>
      </c>
      <c r="DQ114">
        <v>76.8</v>
      </c>
      <c r="DR114">
        <v>29.9</v>
      </c>
      <c r="DS114">
        <v>32.4392</v>
      </c>
      <c r="DT114">
        <v>30.404599999999999</v>
      </c>
      <c r="DU114">
        <v>10.0441</v>
      </c>
      <c r="DV114">
        <v>1</v>
      </c>
      <c r="DW114">
        <v>0.21689600000000001</v>
      </c>
      <c r="DX114">
        <v>-0.163272</v>
      </c>
      <c r="DY114">
        <v>20.3675</v>
      </c>
      <c r="DZ114">
        <v>5.2114200000000004</v>
      </c>
      <c r="EA114">
        <v>11.8483</v>
      </c>
      <c r="EB114">
        <v>4.9677600000000002</v>
      </c>
      <c r="EC114">
        <v>3.2921399999999998</v>
      </c>
      <c r="ED114">
        <v>894.7</v>
      </c>
      <c r="EE114">
        <v>0</v>
      </c>
      <c r="EF114">
        <v>6898.8</v>
      </c>
      <c r="EG114">
        <v>110.4</v>
      </c>
      <c r="EH114">
        <v>4.9716300000000002</v>
      </c>
      <c r="EI114">
        <v>1.8717999999999999</v>
      </c>
      <c r="EJ114">
        <v>1.8690100000000001</v>
      </c>
      <c r="EK114">
        <v>1.8713900000000001</v>
      </c>
      <c r="EL114">
        <v>1.8691899999999999</v>
      </c>
      <c r="EM114">
        <v>1.8681300000000001</v>
      </c>
      <c r="EN114">
        <v>1.8699399999999999</v>
      </c>
      <c r="EO114">
        <v>1.8717600000000001</v>
      </c>
      <c r="EP114">
        <v>0</v>
      </c>
      <c r="EQ114">
        <v>0</v>
      </c>
      <c r="ER114">
        <v>0</v>
      </c>
      <c r="ES114">
        <v>0</v>
      </c>
      <c r="ET114" t="s">
        <v>334</v>
      </c>
      <c r="EU114" t="s">
        <v>335</v>
      </c>
      <c r="EV114" t="s">
        <v>336</v>
      </c>
      <c r="EW114" t="s">
        <v>336</v>
      </c>
      <c r="EX114" t="s">
        <v>336</v>
      </c>
      <c r="EY114" t="s">
        <v>336</v>
      </c>
      <c r="EZ114">
        <v>0</v>
      </c>
      <c r="FA114">
        <v>100</v>
      </c>
      <c r="FB114">
        <v>100</v>
      </c>
      <c r="FC114">
        <v>8.0020000000000007</v>
      </c>
      <c r="FD114">
        <v>-0.98929999999999996</v>
      </c>
      <c r="FE114">
        <v>8.0308849999999978</v>
      </c>
      <c r="FF114">
        <v>0</v>
      </c>
      <c r="FG114">
        <v>0</v>
      </c>
      <c r="FH114">
        <v>0</v>
      </c>
      <c r="FI114">
        <v>-0.98927100000000023</v>
      </c>
      <c r="FJ114">
        <v>0</v>
      </c>
      <c r="FK114">
        <v>0</v>
      </c>
      <c r="FL114">
        <v>0</v>
      </c>
      <c r="FM114">
        <v>-1</v>
      </c>
      <c r="FN114">
        <v>-1</v>
      </c>
      <c r="FO114">
        <v>-1</v>
      </c>
      <c r="FP114">
        <v>-1</v>
      </c>
      <c r="FQ114">
        <v>0.7</v>
      </c>
      <c r="FR114">
        <v>98.2</v>
      </c>
      <c r="FS114">
        <v>0.142822</v>
      </c>
      <c r="FT114">
        <v>4.99756</v>
      </c>
      <c r="FU114">
        <v>1.5979000000000001</v>
      </c>
      <c r="FV114">
        <v>2.1557599999999999</v>
      </c>
      <c r="FW114">
        <v>1.5478499999999999</v>
      </c>
      <c r="FX114">
        <v>2.35107</v>
      </c>
      <c r="FY114">
        <v>34.326900000000002</v>
      </c>
      <c r="FZ114">
        <v>15.9095</v>
      </c>
      <c r="GA114">
        <v>3</v>
      </c>
      <c r="GB114">
        <v>496.74099999999999</v>
      </c>
      <c r="GC114">
        <v>406.69400000000002</v>
      </c>
      <c r="GD114">
        <v>27.880199999999999</v>
      </c>
      <c r="GE114">
        <v>29.962599999999998</v>
      </c>
      <c r="GF114">
        <v>30.0002</v>
      </c>
      <c r="GG114">
        <v>30.2744</v>
      </c>
      <c r="GH114">
        <v>30.328199999999999</v>
      </c>
      <c r="GI114">
        <v>-1</v>
      </c>
      <c r="GJ114">
        <v>0</v>
      </c>
      <c r="GK114">
        <v>100</v>
      </c>
      <c r="GL114">
        <v>27.878799999999998</v>
      </c>
      <c r="GM114">
        <v>432.1</v>
      </c>
      <c r="GN114">
        <v>68.912800000000004</v>
      </c>
      <c r="GO114">
        <v>102.21599999999999</v>
      </c>
      <c r="GP114">
        <v>96.505399999999995</v>
      </c>
    </row>
    <row r="115" spans="1:198" x14ac:dyDescent="0.35">
      <c r="A115">
        <v>99</v>
      </c>
      <c r="B115">
        <v>1775486919.0999999</v>
      </c>
      <c r="C115">
        <v>5880.5999999046326</v>
      </c>
      <c r="D115" t="s">
        <v>628</v>
      </c>
      <c r="E115" t="s">
        <v>629</v>
      </c>
      <c r="F115">
        <v>60</v>
      </c>
      <c r="G115">
        <v>1775486911.099999</v>
      </c>
      <c r="H115">
        <f t="shared" si="30"/>
        <v>2.3485892246569149E-3</v>
      </c>
      <c r="I115">
        <f t="shared" si="31"/>
        <v>2.3485892246569149</v>
      </c>
      <c r="J115">
        <f t="shared" si="32"/>
        <v>0.43347793511359567</v>
      </c>
      <c r="K115">
        <f t="shared" si="33"/>
        <v>27.259277419354841</v>
      </c>
      <c r="L115">
        <f t="shared" si="34"/>
        <v>14.87584340548173</v>
      </c>
      <c r="M115">
        <f t="shared" si="35"/>
        <v>1.4925604748572892</v>
      </c>
      <c r="N115">
        <f t="shared" si="36"/>
        <v>2.7350462720188391</v>
      </c>
      <c r="O115">
        <f t="shared" si="37"/>
        <v>6.318317767713881E-2</v>
      </c>
      <c r="P115">
        <f t="shared" si="38"/>
        <v>2.3935543412381333</v>
      </c>
      <c r="Q115">
        <f t="shared" si="39"/>
        <v>6.2271024498644474E-2</v>
      </c>
      <c r="R115">
        <f t="shared" si="40"/>
        <v>3.9000246615515141E-2</v>
      </c>
      <c r="S115">
        <f t="shared" si="41"/>
        <v>0</v>
      </c>
      <c r="T115">
        <f t="shared" si="42"/>
        <v>26.565053026886346</v>
      </c>
      <c r="U115">
        <f t="shared" si="43"/>
        <v>27.378703225806451</v>
      </c>
      <c r="V115">
        <f t="shared" si="44"/>
        <v>3.6595450597539729</v>
      </c>
      <c r="W115">
        <f t="shared" si="45"/>
        <v>-1.5561448220663461</v>
      </c>
      <c r="X115">
        <f t="shared" si="46"/>
        <v>-5.6689571632789024E-2</v>
      </c>
      <c r="Y115">
        <f t="shared" si="47"/>
        <v>3.6429496039779301</v>
      </c>
      <c r="Z115">
        <f t="shared" si="48"/>
        <v>3.716234631386762</v>
      </c>
      <c r="AA115">
        <f t="shared" si="49"/>
        <v>-103.57278480736994</v>
      </c>
      <c r="AB115">
        <f t="shared" si="50"/>
        <v>-10.011523696321653</v>
      </c>
      <c r="AC115">
        <f t="shared" si="51"/>
        <v>-0.90574771559492384</v>
      </c>
      <c r="AD115">
        <f t="shared" si="52"/>
        <v>-114.49005621928652</v>
      </c>
      <c r="AE115">
        <v>14</v>
      </c>
      <c r="AF115">
        <v>3</v>
      </c>
      <c r="AG115">
        <f t="shared" si="53"/>
        <v>1</v>
      </c>
      <c r="AH115">
        <f t="shared" si="54"/>
        <v>0</v>
      </c>
      <c r="AI115">
        <f t="shared" si="55"/>
        <v>25569.625567226143</v>
      </c>
      <c r="AJ115">
        <f t="shared" si="56"/>
        <v>0</v>
      </c>
      <c r="AK115">
        <f t="shared" si="57"/>
        <v>0</v>
      </c>
      <c r="AL115">
        <f t="shared" si="58"/>
        <v>0</v>
      </c>
      <c r="AM115">
        <f t="shared" si="59"/>
        <v>0</v>
      </c>
      <c r="AN115">
        <v>3</v>
      </c>
      <c r="AO115">
        <v>0.5</v>
      </c>
      <c r="AP115" t="s">
        <v>331</v>
      </c>
      <c r="AQ115">
        <v>2</v>
      </c>
      <c r="AR115">
        <v>1775486911.099999</v>
      </c>
      <c r="AS115">
        <v>27.259277419354841</v>
      </c>
      <c r="AT115">
        <v>27.557783870967739</v>
      </c>
      <c r="AU115">
        <v>-0.56500570967741937</v>
      </c>
      <c r="AV115">
        <v>-1.9749893548387101</v>
      </c>
      <c r="AW115">
        <v>19.235277419354841</v>
      </c>
      <c r="AX115">
        <v>0.42426525806451609</v>
      </c>
      <c r="AY115">
        <v>499.98796774193539</v>
      </c>
      <c r="AZ115">
        <v>100.2928064516129</v>
      </c>
      <c r="BA115">
        <v>4.1704619354838712E-2</v>
      </c>
      <c r="BB115">
        <v>27.301119354838711</v>
      </c>
      <c r="BC115">
        <v>27.378703225806451</v>
      </c>
      <c r="BD115">
        <v>999.90000000000032</v>
      </c>
      <c r="BE115">
        <v>0</v>
      </c>
      <c r="BF115">
        <v>0</v>
      </c>
      <c r="BG115">
        <v>4999.5967741935483</v>
      </c>
      <c r="BH115">
        <v>0.37125364516129028</v>
      </c>
      <c r="BI115">
        <v>0.22961599999999999</v>
      </c>
      <c r="BJ115">
        <v>-0.32089316903225812</v>
      </c>
      <c r="BK115">
        <v>27.221512903225811</v>
      </c>
      <c r="BL115">
        <v>27.503458064516131</v>
      </c>
      <c r="BM115">
        <v>1.409984193548387</v>
      </c>
      <c r="BN115">
        <v>27.557783870967739</v>
      </c>
      <c r="BO115">
        <v>-1.9749893548387101</v>
      </c>
      <c r="BP115">
        <v>-5.6666022580645167E-2</v>
      </c>
      <c r="BQ115">
        <v>-0.1980773225806452</v>
      </c>
      <c r="BR115">
        <v>-99.900000000000034</v>
      </c>
      <c r="BS115">
        <v>-99.900000000000034</v>
      </c>
      <c r="BT115">
        <v>0</v>
      </c>
      <c r="BU115">
        <v>0</v>
      </c>
      <c r="BV115">
        <v>0</v>
      </c>
      <c r="BW115">
        <v>26</v>
      </c>
      <c r="BX115">
        <v>-1</v>
      </c>
      <c r="BY115">
        <v>1775486937.5999999</v>
      </c>
      <c r="BZ115" t="s">
        <v>630</v>
      </c>
      <c r="CA115">
        <v>1775486937.5999999</v>
      </c>
      <c r="CB115">
        <v>1775480969.5</v>
      </c>
      <c r="CC115">
        <v>100</v>
      </c>
      <c r="CD115">
        <v>2.1999999999999999E-2</v>
      </c>
      <c r="CE115">
        <v>0.19500000000000001</v>
      </c>
      <c r="CF115">
        <v>8.0239999999999991</v>
      </c>
      <c r="CG115">
        <v>-0.98899999999999999</v>
      </c>
      <c r="CH115">
        <v>27</v>
      </c>
      <c r="CI115">
        <v>-3</v>
      </c>
      <c r="CJ115">
        <v>0.36</v>
      </c>
      <c r="CK115">
        <v>0.06</v>
      </c>
      <c r="CL115">
        <v>27.916124590163928</v>
      </c>
      <c r="CM115">
        <v>-2.7375115811739881</v>
      </c>
      <c r="CN115">
        <v>0.52162169309452544</v>
      </c>
      <c r="CO115">
        <v>-1</v>
      </c>
      <c r="CP115">
        <v>499.99654098360651</v>
      </c>
      <c r="CQ115">
        <v>-9.7472236918070675E-3</v>
      </c>
      <c r="CR115">
        <v>5.2207836159044542E-2</v>
      </c>
      <c r="CS115">
        <v>-1</v>
      </c>
      <c r="CT115">
        <v>0</v>
      </c>
      <c r="CU115">
        <v>0</v>
      </c>
      <c r="CV115" t="s">
        <v>333</v>
      </c>
      <c r="CW115">
        <v>3.1674600000000002</v>
      </c>
      <c r="CX115">
        <v>2.6629499999999999</v>
      </c>
      <c r="CY115">
        <v>5.70763E-3</v>
      </c>
      <c r="CZ115">
        <v>8.2290100000000001E-3</v>
      </c>
      <c r="DA115">
        <v>3.49336E-3</v>
      </c>
      <c r="DB115">
        <v>-1.8271900000000001E-2</v>
      </c>
      <c r="DC115">
        <v>21453.1</v>
      </c>
      <c r="DD115">
        <v>21782.2</v>
      </c>
      <c r="DE115">
        <v>23104.3</v>
      </c>
      <c r="DF115">
        <v>22316.2</v>
      </c>
      <c r="DG115">
        <v>29691.9</v>
      </c>
      <c r="DH115">
        <v>27099.7</v>
      </c>
      <c r="DI115">
        <v>40608.400000000001</v>
      </c>
      <c r="DJ115">
        <v>36984</v>
      </c>
      <c r="DK115">
        <v>2.0836600000000001</v>
      </c>
      <c r="DL115">
        <v>1.79942</v>
      </c>
      <c r="DM115">
        <v>2.07514E-2</v>
      </c>
      <c r="DN115">
        <v>0</v>
      </c>
      <c r="DO115">
        <v>27.038499999999999</v>
      </c>
      <c r="DP115">
        <v>999.9</v>
      </c>
      <c r="DQ115">
        <v>76.8</v>
      </c>
      <c r="DR115">
        <v>29.9</v>
      </c>
      <c r="DS115">
        <v>32.438600000000001</v>
      </c>
      <c r="DT115">
        <v>30.314599999999999</v>
      </c>
      <c r="DU115">
        <v>9.8998399999999993</v>
      </c>
      <c r="DV115">
        <v>1</v>
      </c>
      <c r="DW115">
        <v>0.21626999999999999</v>
      </c>
      <c r="DX115">
        <v>-0.13924</v>
      </c>
      <c r="DY115">
        <v>20.367799999999999</v>
      </c>
      <c r="DZ115">
        <v>5.2122599999999997</v>
      </c>
      <c r="EA115">
        <v>11.8489</v>
      </c>
      <c r="EB115">
        <v>4.9678399999999998</v>
      </c>
      <c r="EC115">
        <v>3.2923</v>
      </c>
      <c r="ED115">
        <v>894.7</v>
      </c>
      <c r="EE115">
        <v>0</v>
      </c>
      <c r="EF115">
        <v>6925.6</v>
      </c>
      <c r="EG115">
        <v>110.5</v>
      </c>
      <c r="EH115">
        <v>4.9715999999999996</v>
      </c>
      <c r="EI115">
        <v>1.8717999999999999</v>
      </c>
      <c r="EJ115">
        <v>1.86904</v>
      </c>
      <c r="EK115">
        <v>1.87137</v>
      </c>
      <c r="EL115">
        <v>1.86914</v>
      </c>
      <c r="EM115">
        <v>1.86812</v>
      </c>
      <c r="EN115">
        <v>1.86995</v>
      </c>
      <c r="EO115">
        <v>1.8717299999999999</v>
      </c>
      <c r="EP115">
        <v>0</v>
      </c>
      <c r="EQ115">
        <v>0</v>
      </c>
      <c r="ER115">
        <v>0</v>
      </c>
      <c r="ES115">
        <v>0</v>
      </c>
      <c r="ET115" t="s">
        <v>334</v>
      </c>
      <c r="EU115" t="s">
        <v>335</v>
      </c>
      <c r="EV115" t="s">
        <v>336</v>
      </c>
      <c r="EW115" t="s">
        <v>336</v>
      </c>
      <c r="EX115" t="s">
        <v>336</v>
      </c>
      <c r="EY115" t="s">
        <v>336</v>
      </c>
      <c r="EZ115">
        <v>0</v>
      </c>
      <c r="FA115">
        <v>100</v>
      </c>
      <c r="FB115">
        <v>100</v>
      </c>
      <c r="FC115">
        <v>8.0239999999999991</v>
      </c>
      <c r="FD115">
        <v>-0.98929999999999996</v>
      </c>
      <c r="FE115">
        <v>8.0016099999999994</v>
      </c>
      <c r="FF115">
        <v>0</v>
      </c>
      <c r="FG115">
        <v>0</v>
      </c>
      <c r="FH115">
        <v>0</v>
      </c>
      <c r="FI115">
        <v>-0.98927100000000023</v>
      </c>
      <c r="FJ115">
        <v>0</v>
      </c>
      <c r="FK115">
        <v>0</v>
      </c>
      <c r="FL115">
        <v>0</v>
      </c>
      <c r="FM115">
        <v>-1</v>
      </c>
      <c r="FN115">
        <v>-1</v>
      </c>
      <c r="FO115">
        <v>-1</v>
      </c>
      <c r="FP115">
        <v>-1</v>
      </c>
      <c r="FQ115">
        <v>0.7</v>
      </c>
      <c r="FR115">
        <v>99.2</v>
      </c>
      <c r="FS115">
        <v>0.142822</v>
      </c>
      <c r="FT115">
        <v>4.99756</v>
      </c>
      <c r="FU115">
        <v>1.5979000000000001</v>
      </c>
      <c r="FV115">
        <v>2.1545399999999999</v>
      </c>
      <c r="FW115">
        <v>1.5478499999999999</v>
      </c>
      <c r="FX115">
        <v>2.4230999999999998</v>
      </c>
      <c r="FY115">
        <v>34.349699999999999</v>
      </c>
      <c r="FZ115">
        <v>15.9095</v>
      </c>
      <c r="GA115">
        <v>3</v>
      </c>
      <c r="GB115">
        <v>496.82600000000002</v>
      </c>
      <c r="GC115">
        <v>406.29700000000003</v>
      </c>
      <c r="GD115">
        <v>27.847200000000001</v>
      </c>
      <c r="GE115">
        <v>29.9574</v>
      </c>
      <c r="GF115">
        <v>30</v>
      </c>
      <c r="GG115">
        <v>30.267299999999999</v>
      </c>
      <c r="GH115">
        <v>30.322099999999999</v>
      </c>
      <c r="GI115">
        <v>-1</v>
      </c>
      <c r="GJ115">
        <v>0</v>
      </c>
      <c r="GK115">
        <v>100</v>
      </c>
      <c r="GL115">
        <v>27.8462</v>
      </c>
      <c r="GM115">
        <v>432.1</v>
      </c>
      <c r="GN115">
        <v>68.912800000000004</v>
      </c>
      <c r="GO115">
        <v>102.214</v>
      </c>
      <c r="GP115">
        <v>96.504599999999996</v>
      </c>
    </row>
    <row r="116" spans="1:198" x14ac:dyDescent="0.35">
      <c r="A116">
        <v>100</v>
      </c>
      <c r="B116">
        <v>1775486979.0999999</v>
      </c>
      <c r="C116">
        <v>5940.5999999046326</v>
      </c>
      <c r="D116" t="s">
        <v>631</v>
      </c>
      <c r="E116" t="s">
        <v>632</v>
      </c>
      <c r="F116">
        <v>60</v>
      </c>
      <c r="G116">
        <v>1775486971.349999</v>
      </c>
      <c r="H116">
        <f t="shared" si="30"/>
        <v>2.3645542620037326E-3</v>
      </c>
      <c r="I116">
        <f t="shared" si="31"/>
        <v>2.3645542620037325</v>
      </c>
      <c r="J116">
        <f t="shared" si="32"/>
        <v>1.4188912584816782</v>
      </c>
      <c r="K116">
        <f t="shared" si="33"/>
        <v>27.491499999999998</v>
      </c>
      <c r="L116">
        <f t="shared" si="34"/>
        <v>-9.1855370251698201</v>
      </c>
      <c r="M116">
        <f t="shared" si="35"/>
        <v>-0.92165354940169875</v>
      </c>
      <c r="N116">
        <f t="shared" si="36"/>
        <v>2.7584275675932362</v>
      </c>
      <c r="O116">
        <f t="shared" si="37"/>
        <v>6.3635659804709047E-2</v>
      </c>
      <c r="P116">
        <f t="shared" si="38"/>
        <v>2.3941359633226664</v>
      </c>
      <c r="Q116">
        <f t="shared" si="39"/>
        <v>6.2710719571231213E-2</v>
      </c>
      <c r="R116">
        <f t="shared" si="40"/>
        <v>3.9276181957643208E-2</v>
      </c>
      <c r="S116">
        <f t="shared" si="41"/>
        <v>0</v>
      </c>
      <c r="T116">
        <f t="shared" si="42"/>
        <v>26.558937758969115</v>
      </c>
      <c r="U116">
        <f t="shared" si="43"/>
        <v>27.383489999999998</v>
      </c>
      <c r="V116">
        <f t="shared" si="44"/>
        <v>3.6605711246393202</v>
      </c>
      <c r="W116">
        <f t="shared" si="45"/>
        <v>-1.5029494994638664</v>
      </c>
      <c r="X116">
        <f t="shared" si="46"/>
        <v>-5.4747598873116941E-2</v>
      </c>
      <c r="Y116">
        <f t="shared" si="47"/>
        <v>3.6426772085586747</v>
      </c>
      <c r="Z116">
        <f t="shared" si="48"/>
        <v>3.715318723512437</v>
      </c>
      <c r="AA116">
        <f t="shared" si="49"/>
        <v>-104.27684295436461</v>
      </c>
      <c r="AB116">
        <f t="shared" si="50"/>
        <v>-10.796497604078089</v>
      </c>
      <c r="AC116">
        <f t="shared" si="51"/>
        <v>-0.97654454379679645</v>
      </c>
      <c r="AD116">
        <f t="shared" si="52"/>
        <v>-116.04988510223949</v>
      </c>
      <c r="AE116">
        <v>14</v>
      </c>
      <c r="AF116">
        <v>3</v>
      </c>
      <c r="AG116">
        <f t="shared" si="53"/>
        <v>1</v>
      </c>
      <c r="AH116">
        <f t="shared" si="54"/>
        <v>0</v>
      </c>
      <c r="AI116">
        <f t="shared" si="55"/>
        <v>25578.46507575284</v>
      </c>
      <c r="AJ116">
        <f t="shared" si="56"/>
        <v>0</v>
      </c>
      <c r="AK116">
        <f t="shared" si="57"/>
        <v>0</v>
      </c>
      <c r="AL116">
        <f t="shared" si="58"/>
        <v>0</v>
      </c>
      <c r="AM116">
        <f t="shared" si="59"/>
        <v>0</v>
      </c>
      <c r="AN116">
        <v>3</v>
      </c>
      <c r="AO116">
        <v>0.5</v>
      </c>
      <c r="AP116" t="s">
        <v>331</v>
      </c>
      <c r="AQ116">
        <v>2</v>
      </c>
      <c r="AR116">
        <v>1775486971.349999</v>
      </c>
      <c r="AS116">
        <v>27.491499999999998</v>
      </c>
      <c r="AT116">
        <v>28.381853333333328</v>
      </c>
      <c r="AU116">
        <v>-0.5456346333333334</v>
      </c>
      <c r="AV116">
        <v>-1.965166</v>
      </c>
      <c r="AW116">
        <v>19.459499999999998</v>
      </c>
      <c r="AX116">
        <v>0.44363636666666673</v>
      </c>
      <c r="AY116">
        <v>499.99130000000002</v>
      </c>
      <c r="AZ116">
        <v>100.29566666666661</v>
      </c>
      <c r="BA116">
        <v>4.180373666666666E-2</v>
      </c>
      <c r="BB116">
        <v>27.299843333333332</v>
      </c>
      <c r="BC116">
        <v>27.383489999999998</v>
      </c>
      <c r="BD116">
        <v>999.9000000000002</v>
      </c>
      <c r="BE116">
        <v>0</v>
      </c>
      <c r="BF116">
        <v>0</v>
      </c>
      <c r="BG116">
        <v>5000.95</v>
      </c>
      <c r="BH116">
        <v>0.37105253333333338</v>
      </c>
      <c r="BI116">
        <v>0.23344266666666669</v>
      </c>
      <c r="BJ116">
        <v>-0.89844506666666668</v>
      </c>
      <c r="BK116">
        <v>27.468426666666669</v>
      </c>
      <c r="BL116">
        <v>28.32619</v>
      </c>
      <c r="BM116">
        <v>1.419530333333334</v>
      </c>
      <c r="BN116">
        <v>28.381853333333328</v>
      </c>
      <c r="BO116">
        <v>-1.965166</v>
      </c>
      <c r="BP116">
        <v>-5.4724816666666648E-2</v>
      </c>
      <c r="BQ116">
        <v>-0.19709766666666659</v>
      </c>
      <c r="BR116">
        <v>-99.900000000000034</v>
      </c>
      <c r="BS116">
        <v>-99.900000000000034</v>
      </c>
      <c r="BT116">
        <v>0</v>
      </c>
      <c r="BU116">
        <v>0</v>
      </c>
      <c r="BV116">
        <v>0</v>
      </c>
      <c r="BW116">
        <v>26</v>
      </c>
      <c r="BX116">
        <v>-0.98000020000000032</v>
      </c>
      <c r="BY116">
        <v>1775486996.0999999</v>
      </c>
      <c r="BZ116" t="s">
        <v>633</v>
      </c>
      <c r="CA116">
        <v>1775486996.0999999</v>
      </c>
      <c r="CB116">
        <v>1775480969.5</v>
      </c>
      <c r="CC116">
        <v>101</v>
      </c>
      <c r="CD116">
        <v>8.0000000000000002E-3</v>
      </c>
      <c r="CE116">
        <v>0.19500000000000001</v>
      </c>
      <c r="CF116">
        <v>8.032</v>
      </c>
      <c r="CG116">
        <v>-0.98899999999999999</v>
      </c>
      <c r="CH116">
        <v>29</v>
      </c>
      <c r="CI116">
        <v>-3</v>
      </c>
      <c r="CJ116">
        <v>0.14000000000000001</v>
      </c>
      <c r="CK116">
        <v>0.06</v>
      </c>
      <c r="CL116">
        <v>27.91052131147541</v>
      </c>
      <c r="CM116">
        <v>2.500265044949761</v>
      </c>
      <c r="CN116">
        <v>0.50570515485229295</v>
      </c>
      <c r="CO116">
        <v>-1</v>
      </c>
      <c r="CP116">
        <v>500.00309836065583</v>
      </c>
      <c r="CQ116">
        <v>-3.2852459016644853E-2</v>
      </c>
      <c r="CR116">
        <v>4.489685991357735E-2</v>
      </c>
      <c r="CS116">
        <v>-1</v>
      </c>
      <c r="CT116">
        <v>0</v>
      </c>
      <c r="CU116">
        <v>0</v>
      </c>
      <c r="CV116" t="s">
        <v>333</v>
      </c>
      <c r="CW116">
        <v>3.1673399999999998</v>
      </c>
      <c r="CX116">
        <v>2.66323</v>
      </c>
      <c r="CY116">
        <v>5.8640300000000001E-3</v>
      </c>
      <c r="CZ116">
        <v>8.3614099999999997E-3</v>
      </c>
      <c r="DA116">
        <v>3.5364900000000002E-3</v>
      </c>
      <c r="DB116">
        <v>-1.8230300000000001E-2</v>
      </c>
      <c r="DC116">
        <v>21449.4</v>
      </c>
      <c r="DD116">
        <v>21778.9</v>
      </c>
      <c r="DE116">
        <v>23103.9</v>
      </c>
      <c r="DF116">
        <v>22315.8</v>
      </c>
      <c r="DG116">
        <v>29690.2</v>
      </c>
      <c r="DH116">
        <v>27098.2</v>
      </c>
      <c r="DI116">
        <v>40607.800000000003</v>
      </c>
      <c r="DJ116">
        <v>36983.5</v>
      </c>
      <c r="DK116">
        <v>2.0834800000000002</v>
      </c>
      <c r="DL116">
        <v>1.79982</v>
      </c>
      <c r="DM116">
        <v>2.07782E-2</v>
      </c>
      <c r="DN116">
        <v>0</v>
      </c>
      <c r="DO116">
        <v>27.045500000000001</v>
      </c>
      <c r="DP116">
        <v>999.9</v>
      </c>
      <c r="DQ116">
        <v>76.7</v>
      </c>
      <c r="DR116">
        <v>29.9</v>
      </c>
      <c r="DS116">
        <v>32.395699999999998</v>
      </c>
      <c r="DT116">
        <v>30.2546</v>
      </c>
      <c r="DU116">
        <v>9.6394199999999994</v>
      </c>
      <c r="DV116">
        <v>1</v>
      </c>
      <c r="DW116">
        <v>0.21682699999999999</v>
      </c>
      <c r="DX116">
        <v>-0.15487600000000001</v>
      </c>
      <c r="DY116">
        <v>20.367599999999999</v>
      </c>
      <c r="DZ116">
        <v>5.2114200000000004</v>
      </c>
      <c r="EA116">
        <v>11.848699999999999</v>
      </c>
      <c r="EB116">
        <v>4.9676799999999997</v>
      </c>
      <c r="EC116">
        <v>3.29216</v>
      </c>
      <c r="ED116">
        <v>894.7</v>
      </c>
      <c r="EE116">
        <v>0</v>
      </c>
      <c r="EF116">
        <v>6958</v>
      </c>
      <c r="EG116">
        <v>110.5</v>
      </c>
      <c r="EH116">
        <v>4.9716300000000002</v>
      </c>
      <c r="EI116">
        <v>1.8717999999999999</v>
      </c>
      <c r="EJ116">
        <v>1.86896</v>
      </c>
      <c r="EK116">
        <v>1.8714</v>
      </c>
      <c r="EL116">
        <v>1.8690899999999999</v>
      </c>
      <c r="EM116">
        <v>1.8681099999999999</v>
      </c>
      <c r="EN116">
        <v>1.86995</v>
      </c>
      <c r="EO116">
        <v>1.87174</v>
      </c>
      <c r="EP116">
        <v>0</v>
      </c>
      <c r="EQ116">
        <v>0</v>
      </c>
      <c r="ER116">
        <v>0</v>
      </c>
      <c r="ES116">
        <v>0</v>
      </c>
      <c r="ET116" t="s">
        <v>334</v>
      </c>
      <c r="EU116" t="s">
        <v>335</v>
      </c>
      <c r="EV116" t="s">
        <v>336</v>
      </c>
      <c r="EW116" t="s">
        <v>336</v>
      </c>
      <c r="EX116" t="s">
        <v>336</v>
      </c>
      <c r="EY116" t="s">
        <v>336</v>
      </c>
      <c r="EZ116">
        <v>0</v>
      </c>
      <c r="FA116">
        <v>100</v>
      </c>
      <c r="FB116">
        <v>100</v>
      </c>
      <c r="FC116">
        <v>8.032</v>
      </c>
      <c r="FD116">
        <v>-0.98929999999999996</v>
      </c>
      <c r="FE116">
        <v>8.0239142857142873</v>
      </c>
      <c r="FF116">
        <v>0</v>
      </c>
      <c r="FG116">
        <v>0</v>
      </c>
      <c r="FH116">
        <v>0</v>
      </c>
      <c r="FI116">
        <v>-0.98927100000000023</v>
      </c>
      <c r="FJ116">
        <v>0</v>
      </c>
      <c r="FK116">
        <v>0</v>
      </c>
      <c r="FL116">
        <v>0</v>
      </c>
      <c r="FM116">
        <v>-1</v>
      </c>
      <c r="FN116">
        <v>-1</v>
      </c>
      <c r="FO116">
        <v>-1</v>
      </c>
      <c r="FP116">
        <v>-1</v>
      </c>
      <c r="FQ116">
        <v>0.7</v>
      </c>
      <c r="FR116">
        <v>100.2</v>
      </c>
      <c r="FS116">
        <v>0.142822</v>
      </c>
      <c r="FT116">
        <v>4.99756</v>
      </c>
      <c r="FU116">
        <v>1.5979000000000001</v>
      </c>
      <c r="FV116">
        <v>2.1545399999999999</v>
      </c>
      <c r="FW116">
        <v>1.5478499999999999</v>
      </c>
      <c r="FX116">
        <v>2.4597199999999999</v>
      </c>
      <c r="FY116">
        <v>34.372500000000002</v>
      </c>
      <c r="FZ116">
        <v>15.9095</v>
      </c>
      <c r="GA116">
        <v>3</v>
      </c>
      <c r="GB116">
        <v>496.721</v>
      </c>
      <c r="GC116">
        <v>406.52699999999999</v>
      </c>
      <c r="GD116">
        <v>27.864999999999998</v>
      </c>
      <c r="GE116">
        <v>29.96</v>
      </c>
      <c r="GF116">
        <v>30.0002</v>
      </c>
      <c r="GG116">
        <v>30.267299999999999</v>
      </c>
      <c r="GH116">
        <v>30.322099999999999</v>
      </c>
      <c r="GI116">
        <v>-1</v>
      </c>
      <c r="GJ116">
        <v>0</v>
      </c>
      <c r="GK116">
        <v>100</v>
      </c>
      <c r="GL116">
        <v>27.867100000000001</v>
      </c>
      <c r="GM116">
        <v>432.1</v>
      </c>
      <c r="GN116">
        <v>68.912800000000004</v>
      </c>
      <c r="GO116">
        <v>102.21299999999999</v>
      </c>
      <c r="GP116">
        <v>96.503200000000007</v>
      </c>
    </row>
    <row r="117" spans="1:198" x14ac:dyDescent="0.35">
      <c r="A117">
        <v>101</v>
      </c>
      <c r="B117">
        <v>1775487039.0999999</v>
      </c>
      <c r="C117">
        <v>6000.5999999046326</v>
      </c>
      <c r="D117" t="s">
        <v>634</v>
      </c>
      <c r="E117" t="s">
        <v>635</v>
      </c>
      <c r="F117">
        <v>60</v>
      </c>
      <c r="G117">
        <v>1775487031.099999</v>
      </c>
      <c r="H117">
        <f t="shared" si="30"/>
        <v>2.3566628728899216E-3</v>
      </c>
      <c r="I117">
        <f t="shared" si="31"/>
        <v>2.3566628728899217</v>
      </c>
      <c r="J117">
        <f t="shared" si="32"/>
        <v>0.55552095906289434</v>
      </c>
      <c r="K117">
        <f t="shared" si="33"/>
        <v>27.879003225806461</v>
      </c>
      <c r="L117">
        <f t="shared" si="34"/>
        <v>12.472855160635726</v>
      </c>
      <c r="M117">
        <f t="shared" si="35"/>
        <v>1.2515036816994913</v>
      </c>
      <c r="N117">
        <f t="shared" si="36"/>
        <v>2.7973286573008234</v>
      </c>
      <c r="O117">
        <f t="shared" si="37"/>
        <v>6.3420290794883982E-2</v>
      </c>
      <c r="P117">
        <f t="shared" si="38"/>
        <v>2.3930498455825351</v>
      </c>
      <c r="Q117">
        <f t="shared" si="39"/>
        <v>6.2501141516429715E-2</v>
      </c>
      <c r="R117">
        <f t="shared" si="40"/>
        <v>3.9144685600029712E-2</v>
      </c>
      <c r="S117">
        <f t="shared" si="41"/>
        <v>0</v>
      </c>
      <c r="T117">
        <f t="shared" si="42"/>
        <v>26.561001626950254</v>
      </c>
      <c r="U117">
        <f t="shared" si="43"/>
        <v>27.383119354838701</v>
      </c>
      <c r="V117">
        <f t="shared" si="44"/>
        <v>3.6604916663460498</v>
      </c>
      <c r="W117">
        <f t="shared" si="45"/>
        <v>-1.5064614224316499</v>
      </c>
      <c r="X117">
        <f t="shared" si="46"/>
        <v>-5.4875200818826859E-2</v>
      </c>
      <c r="Y117">
        <f t="shared" si="47"/>
        <v>3.6426555636751869</v>
      </c>
      <c r="Z117">
        <f t="shared" si="48"/>
        <v>3.7153668671648767</v>
      </c>
      <c r="AA117">
        <f t="shared" si="49"/>
        <v>-103.92883269444555</v>
      </c>
      <c r="AB117">
        <f t="shared" si="50"/>
        <v>-10.756862991451115</v>
      </c>
      <c r="AC117">
        <f t="shared" si="51"/>
        <v>-0.97339888398668484</v>
      </c>
      <c r="AD117">
        <f t="shared" si="52"/>
        <v>-115.65909456988335</v>
      </c>
      <c r="AE117">
        <v>14</v>
      </c>
      <c r="AF117">
        <v>3</v>
      </c>
      <c r="AG117">
        <f t="shared" si="53"/>
        <v>1</v>
      </c>
      <c r="AH117">
        <f t="shared" si="54"/>
        <v>0</v>
      </c>
      <c r="AI117">
        <f t="shared" si="55"/>
        <v>25561.922236413364</v>
      </c>
      <c r="AJ117">
        <f t="shared" si="56"/>
        <v>0</v>
      </c>
      <c r="AK117">
        <f t="shared" si="57"/>
        <v>0</v>
      </c>
      <c r="AL117">
        <f t="shared" si="58"/>
        <v>0</v>
      </c>
      <c r="AM117">
        <f t="shared" si="59"/>
        <v>0</v>
      </c>
      <c r="AN117">
        <v>3</v>
      </c>
      <c r="AO117">
        <v>0.5</v>
      </c>
      <c r="AP117" t="s">
        <v>331</v>
      </c>
      <c r="AQ117">
        <v>2</v>
      </c>
      <c r="AR117">
        <v>1775487031.099999</v>
      </c>
      <c r="AS117">
        <v>27.879003225806461</v>
      </c>
      <c r="AT117">
        <v>28.251745161290309</v>
      </c>
      <c r="AU117">
        <v>-0.5469024516129033</v>
      </c>
      <c r="AV117">
        <v>-1.9617058064516131</v>
      </c>
      <c r="AW117">
        <v>19.83200322580646</v>
      </c>
      <c r="AX117">
        <v>0.44236851612903227</v>
      </c>
      <c r="AY117">
        <v>499.98858064516139</v>
      </c>
      <c r="AZ117">
        <v>100.29654838709681</v>
      </c>
      <c r="BA117">
        <v>4.1639267741935493E-2</v>
      </c>
      <c r="BB117">
        <v>27.299741935483869</v>
      </c>
      <c r="BC117">
        <v>27.383119354838701</v>
      </c>
      <c r="BD117">
        <v>999.90000000000032</v>
      </c>
      <c r="BE117">
        <v>0</v>
      </c>
      <c r="BF117">
        <v>0</v>
      </c>
      <c r="BG117">
        <v>4998.1129032258068</v>
      </c>
      <c r="BH117">
        <v>0.37375012903225813</v>
      </c>
      <c r="BI117">
        <v>0.22961599999999999</v>
      </c>
      <c r="BJ117">
        <v>-0.38813803225806448</v>
      </c>
      <c r="BK117">
        <v>27.848374193548381</v>
      </c>
      <c r="BL117">
        <v>28.19642903225807</v>
      </c>
      <c r="BM117">
        <v>1.414802580645161</v>
      </c>
      <c r="BN117">
        <v>28.251745161290309</v>
      </c>
      <c r="BO117">
        <v>-1.9617058064516131</v>
      </c>
      <c r="BP117">
        <v>-5.4852406451612913E-2</v>
      </c>
      <c r="BQ117">
        <v>-0.19675225806451621</v>
      </c>
      <c r="BR117">
        <v>-99.900000000000034</v>
      </c>
      <c r="BS117">
        <v>-99.900000000000034</v>
      </c>
      <c r="BT117">
        <v>0</v>
      </c>
      <c r="BU117">
        <v>0</v>
      </c>
      <c r="BV117">
        <v>0</v>
      </c>
      <c r="BW117">
        <v>26</v>
      </c>
      <c r="BX117">
        <v>-0.98494616129032264</v>
      </c>
      <c r="BY117">
        <v>1775487056.0999999</v>
      </c>
      <c r="BZ117" t="s">
        <v>636</v>
      </c>
      <c r="CA117">
        <v>1775487056.0999999</v>
      </c>
      <c r="CB117">
        <v>1775480969.5</v>
      </c>
      <c r="CC117">
        <v>102</v>
      </c>
      <c r="CD117">
        <v>1.6E-2</v>
      </c>
      <c r="CE117">
        <v>0.19500000000000001</v>
      </c>
      <c r="CF117">
        <v>8.0470000000000006</v>
      </c>
      <c r="CG117">
        <v>-0.98899999999999999</v>
      </c>
      <c r="CH117">
        <v>29</v>
      </c>
      <c r="CI117">
        <v>-3</v>
      </c>
      <c r="CJ117">
        <v>0.19</v>
      </c>
      <c r="CK117">
        <v>0.06</v>
      </c>
      <c r="CL117">
        <v>28.43721</v>
      </c>
      <c r="CM117">
        <v>-1.140958266184978</v>
      </c>
      <c r="CN117">
        <v>0.23333463144877001</v>
      </c>
      <c r="CO117">
        <v>-1</v>
      </c>
      <c r="CP117">
        <v>499.99104999999997</v>
      </c>
      <c r="CQ117">
        <v>-6.3914420671593322E-2</v>
      </c>
      <c r="CR117">
        <v>4.4673043699004933E-2</v>
      </c>
      <c r="CS117">
        <v>-1</v>
      </c>
      <c r="CT117">
        <v>0</v>
      </c>
      <c r="CU117">
        <v>0</v>
      </c>
      <c r="CV117" t="s">
        <v>333</v>
      </c>
      <c r="CW117">
        <v>3.1675200000000001</v>
      </c>
      <c r="CX117">
        <v>2.6631999999999998</v>
      </c>
      <c r="CY117">
        <v>5.9059999999999998E-3</v>
      </c>
      <c r="CZ117">
        <v>8.5271600000000006E-3</v>
      </c>
      <c r="DA117">
        <v>3.5948400000000002E-3</v>
      </c>
      <c r="DB117">
        <v>-1.8185099999999999E-2</v>
      </c>
      <c r="DC117">
        <v>21447.8</v>
      </c>
      <c r="DD117">
        <v>21775</v>
      </c>
      <c r="DE117">
        <v>23103.200000000001</v>
      </c>
      <c r="DF117">
        <v>22315.5</v>
      </c>
      <c r="DG117">
        <v>29687.5</v>
      </c>
      <c r="DH117">
        <v>27096.6</v>
      </c>
      <c r="DI117">
        <v>40606.5</v>
      </c>
      <c r="DJ117">
        <v>36982.9</v>
      </c>
      <c r="DK117">
        <v>2.0837400000000001</v>
      </c>
      <c r="DL117">
        <v>1.7987</v>
      </c>
      <c r="DM117">
        <v>2.1728899999999999E-2</v>
      </c>
      <c r="DN117">
        <v>0</v>
      </c>
      <c r="DO117">
        <v>27.033999999999999</v>
      </c>
      <c r="DP117">
        <v>999.9</v>
      </c>
      <c r="DQ117">
        <v>76.7</v>
      </c>
      <c r="DR117">
        <v>29.9</v>
      </c>
      <c r="DS117">
        <v>32.393300000000004</v>
      </c>
      <c r="DT117">
        <v>30.794699999999999</v>
      </c>
      <c r="DU117">
        <v>9.6153899999999997</v>
      </c>
      <c r="DV117">
        <v>1</v>
      </c>
      <c r="DW117">
        <v>0.217333</v>
      </c>
      <c r="DX117">
        <v>-0.15396099999999999</v>
      </c>
      <c r="DY117">
        <v>20.367699999999999</v>
      </c>
      <c r="DZ117">
        <v>5.2112999999999996</v>
      </c>
      <c r="EA117">
        <v>11.848699999999999</v>
      </c>
      <c r="EB117">
        <v>4.9676799999999997</v>
      </c>
      <c r="EC117">
        <v>3.2923399999999998</v>
      </c>
      <c r="ED117">
        <v>894.7</v>
      </c>
      <c r="EE117">
        <v>0</v>
      </c>
      <c r="EF117">
        <v>6990</v>
      </c>
      <c r="EG117">
        <v>110.5</v>
      </c>
      <c r="EH117">
        <v>4.9716199999999997</v>
      </c>
      <c r="EI117">
        <v>1.8717999999999999</v>
      </c>
      <c r="EJ117">
        <v>1.86896</v>
      </c>
      <c r="EK117">
        <v>1.8714299999999999</v>
      </c>
      <c r="EL117">
        <v>1.86914</v>
      </c>
      <c r="EM117">
        <v>1.86812</v>
      </c>
      <c r="EN117">
        <v>1.86995</v>
      </c>
      <c r="EO117">
        <v>1.8717299999999999</v>
      </c>
      <c r="EP117">
        <v>0</v>
      </c>
      <c r="EQ117">
        <v>0</v>
      </c>
      <c r="ER117">
        <v>0</v>
      </c>
      <c r="ES117">
        <v>0</v>
      </c>
      <c r="ET117" t="s">
        <v>334</v>
      </c>
      <c r="EU117" t="s">
        <v>335</v>
      </c>
      <c r="EV117" t="s">
        <v>336</v>
      </c>
      <c r="EW117" t="s">
        <v>336</v>
      </c>
      <c r="EX117" t="s">
        <v>336</v>
      </c>
      <c r="EY117" t="s">
        <v>336</v>
      </c>
      <c r="EZ117">
        <v>0</v>
      </c>
      <c r="FA117">
        <v>100</v>
      </c>
      <c r="FB117">
        <v>100</v>
      </c>
      <c r="FC117">
        <v>8.0470000000000006</v>
      </c>
      <c r="FD117">
        <v>-0.98929999999999996</v>
      </c>
      <c r="FE117">
        <v>8.031600000000001</v>
      </c>
      <c r="FF117">
        <v>0</v>
      </c>
      <c r="FG117">
        <v>0</v>
      </c>
      <c r="FH117">
        <v>0</v>
      </c>
      <c r="FI117">
        <v>-0.98927100000000023</v>
      </c>
      <c r="FJ117">
        <v>0</v>
      </c>
      <c r="FK117">
        <v>0</v>
      </c>
      <c r="FL117">
        <v>0</v>
      </c>
      <c r="FM117">
        <v>-1</v>
      </c>
      <c r="FN117">
        <v>-1</v>
      </c>
      <c r="FO117">
        <v>-1</v>
      </c>
      <c r="FP117">
        <v>-1</v>
      </c>
      <c r="FQ117">
        <v>0.7</v>
      </c>
      <c r="FR117">
        <v>101.2</v>
      </c>
      <c r="FS117">
        <v>0.142822</v>
      </c>
      <c r="FT117">
        <v>4.99756</v>
      </c>
      <c r="FU117">
        <v>1.5979000000000001</v>
      </c>
      <c r="FV117">
        <v>2.1545399999999999</v>
      </c>
      <c r="FW117">
        <v>1.5478499999999999</v>
      </c>
      <c r="FX117">
        <v>2.4450699999999999</v>
      </c>
      <c r="FY117">
        <v>34.372500000000002</v>
      </c>
      <c r="FZ117">
        <v>15.900700000000001</v>
      </c>
      <c r="GA117">
        <v>3</v>
      </c>
      <c r="GB117">
        <v>496.87200000000001</v>
      </c>
      <c r="GC117">
        <v>405.86700000000002</v>
      </c>
      <c r="GD117">
        <v>27.888500000000001</v>
      </c>
      <c r="GE117">
        <v>29.962599999999998</v>
      </c>
      <c r="GF117">
        <v>30.0002</v>
      </c>
      <c r="GG117">
        <v>30.267299999999999</v>
      </c>
      <c r="GH117">
        <v>30.319600000000001</v>
      </c>
      <c r="GI117">
        <v>-1</v>
      </c>
      <c r="GJ117">
        <v>0</v>
      </c>
      <c r="GK117">
        <v>100</v>
      </c>
      <c r="GL117">
        <v>27.877400000000002</v>
      </c>
      <c r="GM117">
        <v>432.1</v>
      </c>
      <c r="GN117">
        <v>68.912800000000004</v>
      </c>
      <c r="GO117">
        <v>102.21</v>
      </c>
      <c r="GP117">
        <v>96.5017</v>
      </c>
    </row>
    <row r="118" spans="1:198" x14ac:dyDescent="0.35">
      <c r="A118">
        <v>102</v>
      </c>
      <c r="B118">
        <v>1775487099.0999999</v>
      </c>
      <c r="C118">
        <v>6060.5999999046326</v>
      </c>
      <c r="D118" t="s">
        <v>637</v>
      </c>
      <c r="E118" t="s">
        <v>638</v>
      </c>
      <c r="F118">
        <v>60</v>
      </c>
      <c r="G118">
        <v>1775487091.099999</v>
      </c>
      <c r="H118">
        <f t="shared" si="30"/>
        <v>2.3690485871480111E-3</v>
      </c>
      <c r="I118">
        <f t="shared" si="31"/>
        <v>2.3690485871480109</v>
      </c>
      <c r="J118">
        <f t="shared" si="32"/>
        <v>0.7191696112876762</v>
      </c>
      <c r="K118">
        <f t="shared" si="33"/>
        <v>28.484245161290321</v>
      </c>
      <c r="L118">
        <f t="shared" si="34"/>
        <v>9.0786462410575322</v>
      </c>
      <c r="M118">
        <f t="shared" si="35"/>
        <v>0.91095329503148426</v>
      </c>
      <c r="N118">
        <f t="shared" si="36"/>
        <v>2.8581152186341257</v>
      </c>
      <c r="O118">
        <f t="shared" si="37"/>
        <v>6.376160028804434E-2</v>
      </c>
      <c r="P118">
        <f t="shared" si="38"/>
        <v>2.3932203229296705</v>
      </c>
      <c r="Q118">
        <f t="shared" si="39"/>
        <v>6.2832674471763703E-2</v>
      </c>
      <c r="R118">
        <f t="shared" si="40"/>
        <v>3.9352754420499923E-2</v>
      </c>
      <c r="S118">
        <f t="shared" si="41"/>
        <v>0</v>
      </c>
      <c r="T118">
        <f t="shared" si="42"/>
        <v>26.560653618328136</v>
      </c>
      <c r="U118">
        <f t="shared" si="43"/>
        <v>27.38906129032258</v>
      </c>
      <c r="V118">
        <f t="shared" si="44"/>
        <v>3.6617656699747636</v>
      </c>
      <c r="W118">
        <f t="shared" si="45"/>
        <v>-1.4669318565902079</v>
      </c>
      <c r="X118">
        <f t="shared" si="46"/>
        <v>-5.3446185173934867E-2</v>
      </c>
      <c r="Y118">
        <f t="shared" si="47"/>
        <v>3.6433993122330315</v>
      </c>
      <c r="Z118">
        <f t="shared" si="48"/>
        <v>3.7152118551486986</v>
      </c>
      <c r="AA118">
        <f t="shared" si="49"/>
        <v>-104.47504269322729</v>
      </c>
      <c r="AB118">
        <f t="shared" si="50"/>
        <v>-11.07477687538961</v>
      </c>
      <c r="AC118">
        <f t="shared" si="51"/>
        <v>-1.0021430054708025</v>
      </c>
      <c r="AD118">
        <f t="shared" si="52"/>
        <v>-116.5519625740877</v>
      </c>
      <c r="AE118">
        <v>14</v>
      </c>
      <c r="AF118">
        <v>3</v>
      </c>
      <c r="AG118">
        <f t="shared" si="53"/>
        <v>1</v>
      </c>
      <c r="AH118">
        <f t="shared" si="54"/>
        <v>0</v>
      </c>
      <c r="AI118">
        <f t="shared" si="55"/>
        <v>25564.138365048861</v>
      </c>
      <c r="AJ118">
        <f t="shared" si="56"/>
        <v>0</v>
      </c>
      <c r="AK118">
        <f t="shared" si="57"/>
        <v>0</v>
      </c>
      <c r="AL118">
        <f t="shared" si="58"/>
        <v>0</v>
      </c>
      <c r="AM118">
        <f t="shared" si="59"/>
        <v>0</v>
      </c>
      <c r="AN118">
        <v>3</v>
      </c>
      <c r="AO118">
        <v>0.5</v>
      </c>
      <c r="AP118" t="s">
        <v>331</v>
      </c>
      <c r="AQ118">
        <v>2</v>
      </c>
      <c r="AR118">
        <v>1775487091.099999</v>
      </c>
      <c r="AS118">
        <v>28.484245161290321</v>
      </c>
      <c r="AT118">
        <v>28.956245161290319</v>
      </c>
      <c r="AU118">
        <v>-0.53264970967741931</v>
      </c>
      <c r="AV118">
        <v>-1.9548658064516129</v>
      </c>
      <c r="AW118">
        <v>20.43424516129032</v>
      </c>
      <c r="AX118">
        <v>0.45662132258064531</v>
      </c>
      <c r="AY118">
        <v>499.98951612903232</v>
      </c>
      <c r="AZ118">
        <v>100.2985483870968</v>
      </c>
      <c r="BA118">
        <v>4.1664332258064513E-2</v>
      </c>
      <c r="BB118">
        <v>27.303225806451611</v>
      </c>
      <c r="BC118">
        <v>27.38906129032258</v>
      </c>
      <c r="BD118">
        <v>999.90000000000032</v>
      </c>
      <c r="BE118">
        <v>0</v>
      </c>
      <c r="BF118">
        <v>0</v>
      </c>
      <c r="BG118">
        <v>4998.4516129032254</v>
      </c>
      <c r="BH118">
        <v>0.37008374193548382</v>
      </c>
      <c r="BI118">
        <v>0.22961599999999999</v>
      </c>
      <c r="BJ118">
        <v>-0.47451287096774192</v>
      </c>
      <c r="BK118">
        <v>28.466570967741941</v>
      </c>
      <c r="BL118">
        <v>28.899758064516131</v>
      </c>
      <c r="BM118">
        <v>1.4222161290322579</v>
      </c>
      <c r="BN118">
        <v>28.956245161290319</v>
      </c>
      <c r="BO118">
        <v>-1.9548658064516129</v>
      </c>
      <c r="BP118">
        <v>-5.342399032258064E-2</v>
      </c>
      <c r="BQ118">
        <v>-0.19607029032258061</v>
      </c>
      <c r="BR118">
        <v>-99.900000000000034</v>
      </c>
      <c r="BS118">
        <v>-99.900000000000034</v>
      </c>
      <c r="BT118">
        <v>0</v>
      </c>
      <c r="BU118">
        <v>0</v>
      </c>
      <c r="BV118">
        <v>0</v>
      </c>
      <c r="BW118">
        <v>26</v>
      </c>
      <c r="BX118">
        <v>-1</v>
      </c>
      <c r="BY118">
        <v>1775487121.5999999</v>
      </c>
      <c r="BZ118" t="s">
        <v>639</v>
      </c>
      <c r="CA118">
        <v>1775487121.5999999</v>
      </c>
      <c r="CB118">
        <v>1775480969.5</v>
      </c>
      <c r="CC118">
        <v>103</v>
      </c>
      <c r="CD118">
        <v>3.0000000000000001E-3</v>
      </c>
      <c r="CE118">
        <v>0.19500000000000001</v>
      </c>
      <c r="CF118">
        <v>8.0500000000000007</v>
      </c>
      <c r="CG118">
        <v>-0.98899999999999999</v>
      </c>
      <c r="CH118">
        <v>30</v>
      </c>
      <c r="CI118">
        <v>-3</v>
      </c>
      <c r="CJ118">
        <v>0.24</v>
      </c>
      <c r="CK118">
        <v>0.06</v>
      </c>
      <c r="CL118">
        <v>28.999429508196719</v>
      </c>
      <c r="CM118">
        <v>0.4434053939714509</v>
      </c>
      <c r="CN118">
        <v>0.35034005136193419</v>
      </c>
      <c r="CO118">
        <v>-1</v>
      </c>
      <c r="CP118">
        <v>499.999737704918</v>
      </c>
      <c r="CQ118">
        <v>-6.6409307244021831E-2</v>
      </c>
      <c r="CR118">
        <v>3.0425346227991819E-2</v>
      </c>
      <c r="CS118">
        <v>-1</v>
      </c>
      <c r="CT118">
        <v>0</v>
      </c>
      <c r="CU118">
        <v>0</v>
      </c>
      <c r="CV118" t="s">
        <v>333</v>
      </c>
      <c r="CW118">
        <v>3.16744</v>
      </c>
      <c r="CX118">
        <v>2.66303</v>
      </c>
      <c r="CY118">
        <v>6.1071199999999997E-3</v>
      </c>
      <c r="CZ118">
        <v>8.5579000000000002E-3</v>
      </c>
      <c r="DA118">
        <v>3.6606400000000002E-3</v>
      </c>
      <c r="DB118">
        <v>-1.8091699999999999E-2</v>
      </c>
      <c r="DC118">
        <v>21443.1</v>
      </c>
      <c r="DD118">
        <v>21773.8</v>
      </c>
      <c r="DE118">
        <v>23102.9</v>
      </c>
      <c r="DF118">
        <v>22315</v>
      </c>
      <c r="DG118">
        <v>29685.1</v>
      </c>
      <c r="DH118">
        <v>27093.5</v>
      </c>
      <c r="DI118">
        <v>40605.9</v>
      </c>
      <c r="DJ118">
        <v>36982.1</v>
      </c>
      <c r="DK118">
        <v>2.0838800000000002</v>
      </c>
      <c r="DL118">
        <v>1.7989200000000001</v>
      </c>
      <c r="DM118">
        <v>2.0524899999999999E-2</v>
      </c>
      <c r="DN118">
        <v>0</v>
      </c>
      <c r="DO118">
        <v>27.047799999999999</v>
      </c>
      <c r="DP118">
        <v>999.9</v>
      </c>
      <c r="DQ118">
        <v>76.7</v>
      </c>
      <c r="DR118">
        <v>29.9</v>
      </c>
      <c r="DS118">
        <v>32.390900000000002</v>
      </c>
      <c r="DT118">
        <v>30.6447</v>
      </c>
      <c r="DU118">
        <v>9.6434300000000004</v>
      </c>
      <c r="DV118">
        <v>1</v>
      </c>
      <c r="DW118">
        <v>0.217691</v>
      </c>
      <c r="DX118">
        <v>-0.10066899999999999</v>
      </c>
      <c r="DY118">
        <v>20.367799999999999</v>
      </c>
      <c r="DZ118">
        <v>5.2120199999999999</v>
      </c>
      <c r="EA118">
        <v>11.848699999999999</v>
      </c>
      <c r="EB118">
        <v>4.9677600000000002</v>
      </c>
      <c r="EC118">
        <v>3.2924199999999999</v>
      </c>
      <c r="ED118">
        <v>894.7</v>
      </c>
      <c r="EE118">
        <v>0</v>
      </c>
      <c r="EF118">
        <v>7016.4</v>
      </c>
      <c r="EG118">
        <v>110.5</v>
      </c>
      <c r="EH118">
        <v>4.9716199999999997</v>
      </c>
      <c r="EI118">
        <v>1.8717999999999999</v>
      </c>
      <c r="EJ118">
        <v>1.86894</v>
      </c>
      <c r="EK118">
        <v>1.8713599999999999</v>
      </c>
      <c r="EL118">
        <v>1.86914</v>
      </c>
      <c r="EM118">
        <v>1.8681099999999999</v>
      </c>
      <c r="EN118">
        <v>1.8699399999999999</v>
      </c>
      <c r="EO118">
        <v>1.87175</v>
      </c>
      <c r="EP118">
        <v>0</v>
      </c>
      <c r="EQ118">
        <v>0</v>
      </c>
      <c r="ER118">
        <v>0</v>
      </c>
      <c r="ES118">
        <v>0</v>
      </c>
      <c r="ET118" t="s">
        <v>334</v>
      </c>
      <c r="EU118" t="s">
        <v>335</v>
      </c>
      <c r="EV118" t="s">
        <v>336</v>
      </c>
      <c r="EW118" t="s">
        <v>336</v>
      </c>
      <c r="EX118" t="s">
        <v>336</v>
      </c>
      <c r="EY118" t="s">
        <v>336</v>
      </c>
      <c r="EZ118">
        <v>0</v>
      </c>
      <c r="FA118">
        <v>100</v>
      </c>
      <c r="FB118">
        <v>100</v>
      </c>
      <c r="FC118">
        <v>8.0500000000000007</v>
      </c>
      <c r="FD118">
        <v>-0.98929999999999996</v>
      </c>
      <c r="FE118">
        <v>8.0474850000000018</v>
      </c>
      <c r="FF118">
        <v>0</v>
      </c>
      <c r="FG118">
        <v>0</v>
      </c>
      <c r="FH118">
        <v>0</v>
      </c>
      <c r="FI118">
        <v>-0.98927100000000023</v>
      </c>
      <c r="FJ118">
        <v>0</v>
      </c>
      <c r="FK118">
        <v>0</v>
      </c>
      <c r="FL118">
        <v>0</v>
      </c>
      <c r="FM118">
        <v>-1</v>
      </c>
      <c r="FN118">
        <v>-1</v>
      </c>
      <c r="FO118">
        <v>-1</v>
      </c>
      <c r="FP118">
        <v>-1</v>
      </c>
      <c r="FQ118">
        <v>0.7</v>
      </c>
      <c r="FR118">
        <v>102.2</v>
      </c>
      <c r="FS118">
        <v>0.142822</v>
      </c>
      <c r="FT118">
        <v>4.99756</v>
      </c>
      <c r="FU118">
        <v>1.5979000000000001</v>
      </c>
      <c r="FV118">
        <v>2.1545399999999999</v>
      </c>
      <c r="FW118">
        <v>1.5478499999999999</v>
      </c>
      <c r="FX118">
        <v>2.4389599999999998</v>
      </c>
      <c r="FY118">
        <v>34.395200000000003</v>
      </c>
      <c r="FZ118">
        <v>15.8832</v>
      </c>
      <c r="GA118">
        <v>3</v>
      </c>
      <c r="GB118">
        <v>496.97300000000001</v>
      </c>
      <c r="GC118">
        <v>406.01</v>
      </c>
      <c r="GD118">
        <v>27.844000000000001</v>
      </c>
      <c r="GE118">
        <v>29.9678</v>
      </c>
      <c r="GF118">
        <v>30.0002</v>
      </c>
      <c r="GG118">
        <v>30.2699</v>
      </c>
      <c r="GH118">
        <v>30.322099999999999</v>
      </c>
      <c r="GI118">
        <v>-1</v>
      </c>
      <c r="GJ118">
        <v>0</v>
      </c>
      <c r="GK118">
        <v>100</v>
      </c>
      <c r="GL118">
        <v>27.8416</v>
      </c>
      <c r="GM118">
        <v>432.1</v>
      </c>
      <c r="GN118">
        <v>68.912800000000004</v>
      </c>
      <c r="GO118">
        <v>102.208</v>
      </c>
      <c r="GP118">
        <v>96.499499999999998</v>
      </c>
    </row>
    <row r="119" spans="1:198" x14ac:dyDescent="0.35">
      <c r="A119">
        <v>103</v>
      </c>
      <c r="B119">
        <v>1775487159.0999999</v>
      </c>
      <c r="C119">
        <v>6120.5999999046326</v>
      </c>
      <c r="D119" t="s">
        <v>640</v>
      </c>
      <c r="E119" t="s">
        <v>641</v>
      </c>
      <c r="F119">
        <v>60</v>
      </c>
      <c r="G119">
        <v>1775487151.349999</v>
      </c>
      <c r="H119">
        <f t="shared" si="30"/>
        <v>2.3402260085510292E-3</v>
      </c>
      <c r="I119">
        <f t="shared" si="31"/>
        <v>2.3402260085510291</v>
      </c>
      <c r="J119">
        <f t="shared" si="32"/>
        <v>0.90503447181219809</v>
      </c>
      <c r="K119">
        <f t="shared" si="33"/>
        <v>28.612496666666669</v>
      </c>
      <c r="L119">
        <f t="shared" si="34"/>
        <v>4.3309915880365484</v>
      </c>
      <c r="M119">
        <f t="shared" si="35"/>
        <v>0.43457348836776566</v>
      </c>
      <c r="N119">
        <f t="shared" si="36"/>
        <v>2.8709897571012024</v>
      </c>
      <c r="O119">
        <f t="shared" si="37"/>
        <v>6.2953995493467765E-2</v>
      </c>
      <c r="P119">
        <f t="shared" si="38"/>
        <v>2.3914977429480055</v>
      </c>
      <c r="Q119">
        <f t="shared" si="39"/>
        <v>6.2047629730163152E-2</v>
      </c>
      <c r="R119">
        <f t="shared" si="40"/>
        <v>3.8860114839242815E-2</v>
      </c>
      <c r="S119">
        <f t="shared" si="41"/>
        <v>0</v>
      </c>
      <c r="T119">
        <f t="shared" si="42"/>
        <v>26.563747682615819</v>
      </c>
      <c r="U119">
        <f t="shared" si="43"/>
        <v>27.386596666666669</v>
      </c>
      <c r="V119">
        <f t="shared" si="44"/>
        <v>3.6612371858605313</v>
      </c>
      <c r="W119">
        <f t="shared" si="45"/>
        <v>-1.5172020101959052</v>
      </c>
      <c r="X119">
        <f t="shared" si="46"/>
        <v>-5.5260068074101415E-2</v>
      </c>
      <c r="Y119">
        <f t="shared" si="47"/>
        <v>3.6422353584257436</v>
      </c>
      <c r="Z119">
        <f t="shared" si="48"/>
        <v>3.7164972539346328</v>
      </c>
      <c r="AA119">
        <f t="shared" si="49"/>
        <v>-103.20396697710039</v>
      </c>
      <c r="AB119">
        <f t="shared" si="50"/>
        <v>-11.45203023363686</v>
      </c>
      <c r="AC119">
        <f t="shared" si="51"/>
        <v>-1.0369856240672466</v>
      </c>
      <c r="AD119">
        <f t="shared" si="52"/>
        <v>-115.6929828348045</v>
      </c>
      <c r="AE119">
        <v>14</v>
      </c>
      <c r="AF119">
        <v>3</v>
      </c>
      <c r="AG119">
        <f t="shared" si="53"/>
        <v>1</v>
      </c>
      <c r="AH119">
        <f t="shared" si="54"/>
        <v>0</v>
      </c>
      <c r="AI119">
        <f t="shared" si="55"/>
        <v>25538.404471727179</v>
      </c>
      <c r="AJ119">
        <f t="shared" si="56"/>
        <v>0</v>
      </c>
      <c r="AK119">
        <f t="shared" si="57"/>
        <v>0</v>
      </c>
      <c r="AL119">
        <f t="shared" si="58"/>
        <v>0</v>
      </c>
      <c r="AM119">
        <f t="shared" si="59"/>
        <v>0</v>
      </c>
      <c r="AN119">
        <v>3</v>
      </c>
      <c r="AO119">
        <v>0.5</v>
      </c>
      <c r="AP119" t="s">
        <v>331</v>
      </c>
      <c r="AQ119">
        <v>2</v>
      </c>
      <c r="AR119">
        <v>1775487151.349999</v>
      </c>
      <c r="AS119">
        <v>28.612496666666669</v>
      </c>
      <c r="AT119">
        <v>29.19570666666667</v>
      </c>
      <c r="AU119">
        <v>-0.55072593333333342</v>
      </c>
      <c r="AV119">
        <v>-1.955667333333333</v>
      </c>
      <c r="AW119">
        <v>20.592496666666669</v>
      </c>
      <c r="AX119">
        <v>0.43854503333333328</v>
      </c>
      <c r="AY119">
        <v>499.98843333333338</v>
      </c>
      <c r="AZ119">
        <v>100.29866666666661</v>
      </c>
      <c r="BA119">
        <v>4.1747193333333342E-2</v>
      </c>
      <c r="BB119">
        <v>27.297773333333328</v>
      </c>
      <c r="BC119">
        <v>27.386596666666669</v>
      </c>
      <c r="BD119">
        <v>999.9000000000002</v>
      </c>
      <c r="BE119">
        <v>0</v>
      </c>
      <c r="BF119">
        <v>0</v>
      </c>
      <c r="BG119">
        <v>4994.0166666666664</v>
      </c>
      <c r="BH119">
        <v>0.36420306666666658</v>
      </c>
      <c r="BI119">
        <v>0.2334426666666666</v>
      </c>
      <c r="BJ119">
        <v>-0.55287303333333349</v>
      </c>
      <c r="BK119">
        <v>28.627056666666661</v>
      </c>
      <c r="BL119">
        <v>29.138706666666661</v>
      </c>
      <c r="BM119">
        <v>1.404941666666667</v>
      </c>
      <c r="BN119">
        <v>29.19570666666667</v>
      </c>
      <c r="BO119">
        <v>-1.955667333333333</v>
      </c>
      <c r="BP119">
        <v>-5.5237090000000003E-2</v>
      </c>
      <c r="BQ119">
        <v>-0.19615096666666659</v>
      </c>
      <c r="BR119">
        <v>-99.900000000000034</v>
      </c>
      <c r="BS119">
        <v>-99.900000000000034</v>
      </c>
      <c r="BT119">
        <v>0</v>
      </c>
      <c r="BU119">
        <v>0</v>
      </c>
      <c r="BV119">
        <v>0</v>
      </c>
      <c r="BW119">
        <v>26</v>
      </c>
      <c r="BX119">
        <v>-0.99000010000000005</v>
      </c>
      <c r="BY119">
        <v>1775487176.5999999</v>
      </c>
      <c r="BZ119" t="s">
        <v>642</v>
      </c>
      <c r="CA119">
        <v>1775487176.5999999</v>
      </c>
      <c r="CB119">
        <v>1775480969.5</v>
      </c>
      <c r="CC119">
        <v>104</v>
      </c>
      <c r="CD119">
        <v>-3.1E-2</v>
      </c>
      <c r="CE119">
        <v>0.19500000000000001</v>
      </c>
      <c r="CF119">
        <v>8.02</v>
      </c>
      <c r="CG119">
        <v>-0.98899999999999999</v>
      </c>
      <c r="CH119">
        <v>30</v>
      </c>
      <c r="CI119">
        <v>-3</v>
      </c>
      <c r="CJ119">
        <v>0.28999999999999998</v>
      </c>
      <c r="CK119">
        <v>0.06</v>
      </c>
      <c r="CL119">
        <v>29.102671666666669</v>
      </c>
      <c r="CM119">
        <v>1.02615804390112</v>
      </c>
      <c r="CN119">
        <v>0.27718446751316289</v>
      </c>
      <c r="CO119">
        <v>-1</v>
      </c>
      <c r="CP119">
        <v>500.08943333333332</v>
      </c>
      <c r="CQ119">
        <v>-1.1498127257562081</v>
      </c>
      <c r="CR119">
        <v>0.35511962147360532</v>
      </c>
      <c r="CS119">
        <v>-1</v>
      </c>
      <c r="CT119">
        <v>0</v>
      </c>
      <c r="CU119">
        <v>0</v>
      </c>
      <c r="CV119" t="s">
        <v>333</v>
      </c>
      <c r="CW119">
        <v>3.1674799999999999</v>
      </c>
      <c r="CX119">
        <v>2.6630500000000001</v>
      </c>
      <c r="CY119">
        <v>6.1905500000000004E-3</v>
      </c>
      <c r="CZ119">
        <v>8.9606600000000005E-3</v>
      </c>
      <c r="DA119">
        <v>3.5282899999999999E-3</v>
      </c>
      <c r="DB119">
        <v>-1.8127999999999998E-2</v>
      </c>
      <c r="DC119">
        <v>21441.1</v>
      </c>
      <c r="DD119">
        <v>21764.9</v>
      </c>
      <c r="DE119">
        <v>23102.6</v>
      </c>
      <c r="DF119">
        <v>22314.9</v>
      </c>
      <c r="DG119">
        <v>29688.7</v>
      </c>
      <c r="DH119">
        <v>27094.3</v>
      </c>
      <c r="DI119">
        <v>40605.4</v>
      </c>
      <c r="DJ119">
        <v>36981.9</v>
      </c>
      <c r="DK119">
        <v>2.0834600000000001</v>
      </c>
      <c r="DL119">
        <v>1.79864</v>
      </c>
      <c r="DM119">
        <v>2.0080799999999999E-2</v>
      </c>
      <c r="DN119">
        <v>0</v>
      </c>
      <c r="DO119">
        <v>27.047799999999999</v>
      </c>
      <c r="DP119">
        <v>999.9</v>
      </c>
      <c r="DQ119">
        <v>76.7</v>
      </c>
      <c r="DR119">
        <v>29.9</v>
      </c>
      <c r="DS119">
        <v>32.3932</v>
      </c>
      <c r="DT119">
        <v>30.704699999999999</v>
      </c>
      <c r="DU119">
        <v>9.7235600000000009</v>
      </c>
      <c r="DV119">
        <v>1</v>
      </c>
      <c r="DW119">
        <v>0.21848200000000001</v>
      </c>
      <c r="DX119">
        <v>-0.152619</v>
      </c>
      <c r="DY119">
        <v>20.367599999999999</v>
      </c>
      <c r="DZ119">
        <v>5.2122599999999997</v>
      </c>
      <c r="EA119">
        <v>11.849299999999999</v>
      </c>
      <c r="EB119">
        <v>4.9678399999999998</v>
      </c>
      <c r="EC119">
        <v>3.2922600000000002</v>
      </c>
      <c r="ED119">
        <v>894.7</v>
      </c>
      <c r="EE119">
        <v>0</v>
      </c>
      <c r="EF119">
        <v>7048.2</v>
      </c>
      <c r="EG119">
        <v>110.5</v>
      </c>
      <c r="EH119">
        <v>4.9716100000000001</v>
      </c>
      <c r="EI119">
        <v>1.8717999999999999</v>
      </c>
      <c r="EJ119">
        <v>1.8690100000000001</v>
      </c>
      <c r="EK119">
        <v>1.8713900000000001</v>
      </c>
      <c r="EL119">
        <v>1.86914</v>
      </c>
      <c r="EM119">
        <v>1.86812</v>
      </c>
      <c r="EN119">
        <v>1.86995</v>
      </c>
      <c r="EO119">
        <v>1.87175</v>
      </c>
      <c r="EP119">
        <v>0</v>
      </c>
      <c r="EQ119">
        <v>0</v>
      </c>
      <c r="ER119">
        <v>0</v>
      </c>
      <c r="ES119">
        <v>0</v>
      </c>
      <c r="ET119" t="s">
        <v>334</v>
      </c>
      <c r="EU119" t="s">
        <v>335</v>
      </c>
      <c r="EV119" t="s">
        <v>336</v>
      </c>
      <c r="EW119" t="s">
        <v>336</v>
      </c>
      <c r="EX119" t="s">
        <v>336</v>
      </c>
      <c r="EY119" t="s">
        <v>336</v>
      </c>
      <c r="EZ119">
        <v>0</v>
      </c>
      <c r="FA119">
        <v>100</v>
      </c>
      <c r="FB119">
        <v>100</v>
      </c>
      <c r="FC119">
        <v>8.02</v>
      </c>
      <c r="FD119">
        <v>-0.98929999999999996</v>
      </c>
      <c r="FE119">
        <v>8.0503333333333309</v>
      </c>
      <c r="FF119">
        <v>0</v>
      </c>
      <c r="FG119">
        <v>0</v>
      </c>
      <c r="FH119">
        <v>0</v>
      </c>
      <c r="FI119">
        <v>-0.98927100000000023</v>
      </c>
      <c r="FJ119">
        <v>0</v>
      </c>
      <c r="FK119">
        <v>0</v>
      </c>
      <c r="FL119">
        <v>0</v>
      </c>
      <c r="FM119">
        <v>-1</v>
      </c>
      <c r="FN119">
        <v>-1</v>
      </c>
      <c r="FO119">
        <v>-1</v>
      </c>
      <c r="FP119">
        <v>-1</v>
      </c>
      <c r="FQ119">
        <v>0.6</v>
      </c>
      <c r="FR119">
        <v>103.2</v>
      </c>
      <c r="FS119">
        <v>0.142822</v>
      </c>
      <c r="FT119">
        <v>4.99756</v>
      </c>
      <c r="FU119">
        <v>1.5979000000000001</v>
      </c>
      <c r="FV119">
        <v>2.1545399999999999</v>
      </c>
      <c r="FW119">
        <v>1.5478499999999999</v>
      </c>
      <c r="FX119">
        <v>2.4157700000000002</v>
      </c>
      <c r="FY119">
        <v>34.417999999999999</v>
      </c>
      <c r="FZ119">
        <v>15.8832</v>
      </c>
      <c r="GA119">
        <v>3</v>
      </c>
      <c r="GB119">
        <v>496.76900000000001</v>
      </c>
      <c r="GC119">
        <v>405.88299999999998</v>
      </c>
      <c r="GD119">
        <v>27.8748</v>
      </c>
      <c r="GE119">
        <v>29.9756</v>
      </c>
      <c r="GF119">
        <v>30.0001</v>
      </c>
      <c r="GG119">
        <v>30.274999999999999</v>
      </c>
      <c r="GH119">
        <v>30.327200000000001</v>
      </c>
      <c r="GI119">
        <v>-1</v>
      </c>
      <c r="GJ119">
        <v>0</v>
      </c>
      <c r="GK119">
        <v>100</v>
      </c>
      <c r="GL119">
        <v>27.876300000000001</v>
      </c>
      <c r="GM119">
        <v>432.1</v>
      </c>
      <c r="GN119">
        <v>68.912800000000004</v>
      </c>
      <c r="GO119">
        <v>102.20699999999999</v>
      </c>
      <c r="GP119">
        <v>96.499200000000002</v>
      </c>
    </row>
    <row r="120" spans="1:198" x14ac:dyDescent="0.35">
      <c r="A120">
        <v>104</v>
      </c>
      <c r="B120">
        <v>1775487219.0999999</v>
      </c>
      <c r="C120">
        <v>6180.5999999046326</v>
      </c>
      <c r="D120" t="s">
        <v>643</v>
      </c>
      <c r="E120" t="s">
        <v>644</v>
      </c>
      <c r="F120">
        <v>60</v>
      </c>
      <c r="G120">
        <v>1775487211.349999</v>
      </c>
      <c r="H120">
        <f t="shared" si="30"/>
        <v>2.3009733047076306E-3</v>
      </c>
      <c r="I120">
        <f t="shared" si="31"/>
        <v>2.3009733047076306</v>
      </c>
      <c r="J120">
        <f t="shared" si="32"/>
        <v>0.22606538551873864</v>
      </c>
      <c r="K120">
        <f t="shared" si="33"/>
        <v>28.905756666666669</v>
      </c>
      <c r="L120">
        <f t="shared" si="34"/>
        <v>21.470391561649993</v>
      </c>
      <c r="M120">
        <f t="shared" si="35"/>
        <v>2.1543443604917925</v>
      </c>
      <c r="N120">
        <f t="shared" si="36"/>
        <v>2.9004107205856524</v>
      </c>
      <c r="O120">
        <f t="shared" si="37"/>
        <v>6.1868782916113044E-2</v>
      </c>
      <c r="P120">
        <f t="shared" si="38"/>
        <v>2.3940567414818248</v>
      </c>
      <c r="Q120">
        <f t="shared" si="39"/>
        <v>6.0994083358831476E-2</v>
      </c>
      <c r="R120">
        <f t="shared" si="40"/>
        <v>3.8198860128708816E-2</v>
      </c>
      <c r="S120">
        <f t="shared" si="41"/>
        <v>0</v>
      </c>
      <c r="T120">
        <f t="shared" si="42"/>
        <v>26.57223762612276</v>
      </c>
      <c r="U120">
        <f t="shared" si="43"/>
        <v>27.378350000000001</v>
      </c>
      <c r="V120">
        <f t="shared" si="44"/>
        <v>3.6594693542841377</v>
      </c>
      <c r="W120">
        <f t="shared" si="45"/>
        <v>-1.5897067874307169</v>
      </c>
      <c r="X120">
        <f t="shared" si="46"/>
        <v>-5.7885504980804012E-2</v>
      </c>
      <c r="Y120">
        <f t="shared" si="47"/>
        <v>3.6412692855365192</v>
      </c>
      <c r="Z120">
        <f t="shared" si="48"/>
        <v>3.7173548592649417</v>
      </c>
      <c r="AA120">
        <f t="shared" si="49"/>
        <v>-101.47292273760651</v>
      </c>
      <c r="AB120">
        <f t="shared" si="50"/>
        <v>-10.984149965636703</v>
      </c>
      <c r="AC120">
        <f t="shared" si="51"/>
        <v>-0.99349236293393539</v>
      </c>
      <c r="AD120">
        <f t="shared" si="52"/>
        <v>-113.45056506617715</v>
      </c>
      <c r="AE120">
        <v>14</v>
      </c>
      <c r="AF120">
        <v>3</v>
      </c>
      <c r="AG120">
        <f t="shared" si="53"/>
        <v>1</v>
      </c>
      <c r="AH120">
        <f t="shared" si="54"/>
        <v>0</v>
      </c>
      <c r="AI120">
        <f t="shared" si="55"/>
        <v>25577.705446090727</v>
      </c>
      <c r="AJ120">
        <f t="shared" si="56"/>
        <v>0</v>
      </c>
      <c r="AK120">
        <f t="shared" si="57"/>
        <v>0</v>
      </c>
      <c r="AL120">
        <f t="shared" si="58"/>
        <v>0</v>
      </c>
      <c r="AM120">
        <f t="shared" si="59"/>
        <v>0</v>
      </c>
      <c r="AN120">
        <v>3</v>
      </c>
      <c r="AO120">
        <v>0.5</v>
      </c>
      <c r="AP120" t="s">
        <v>331</v>
      </c>
      <c r="AQ120">
        <v>2</v>
      </c>
      <c r="AR120">
        <v>1775487211.349999</v>
      </c>
      <c r="AS120">
        <v>28.905756666666669</v>
      </c>
      <c r="AT120">
        <v>29.08130666666667</v>
      </c>
      <c r="AU120">
        <v>-0.57689219999999997</v>
      </c>
      <c r="AV120">
        <v>-1.958303666666666</v>
      </c>
      <c r="AW120">
        <v>20.86575666666667</v>
      </c>
      <c r="AX120">
        <v>0.41237879999999999</v>
      </c>
      <c r="AY120">
        <v>499.98876666666661</v>
      </c>
      <c r="AZ120">
        <v>100.29859999999999</v>
      </c>
      <c r="BA120">
        <v>4.1645509999999997E-2</v>
      </c>
      <c r="BB120">
        <v>27.293246666666668</v>
      </c>
      <c r="BC120">
        <v>27.378350000000001</v>
      </c>
      <c r="BD120">
        <v>999.9000000000002</v>
      </c>
      <c r="BE120">
        <v>0</v>
      </c>
      <c r="BF120">
        <v>0</v>
      </c>
      <c r="BG120">
        <v>5000.6000000000004</v>
      </c>
      <c r="BH120">
        <v>0.38003650000000011</v>
      </c>
      <c r="BI120">
        <v>0.23344266666666669</v>
      </c>
      <c r="BJ120">
        <v>-0.19602503166666671</v>
      </c>
      <c r="BK120">
        <v>28.868623333333328</v>
      </c>
      <c r="BL120">
        <v>29.02446333333333</v>
      </c>
      <c r="BM120">
        <v>1.3814113333333331</v>
      </c>
      <c r="BN120">
        <v>29.08130666666667</v>
      </c>
      <c r="BO120">
        <v>-1.958303666666666</v>
      </c>
      <c r="BP120">
        <v>-5.7861399999999993E-2</v>
      </c>
      <c r="BQ120">
        <v>-0.19641476666666671</v>
      </c>
      <c r="BR120">
        <v>-99.900000000000034</v>
      </c>
      <c r="BS120">
        <v>-99.900000000000034</v>
      </c>
      <c r="BT120">
        <v>0</v>
      </c>
      <c r="BU120">
        <v>0</v>
      </c>
      <c r="BV120">
        <v>0</v>
      </c>
      <c r="BW120">
        <v>26</v>
      </c>
      <c r="BX120">
        <v>-0.97777776666666694</v>
      </c>
      <c r="BY120">
        <v>1775487241.0999999</v>
      </c>
      <c r="BZ120" t="s">
        <v>645</v>
      </c>
      <c r="CA120">
        <v>1775487241.0999999</v>
      </c>
      <c r="CB120">
        <v>1775480969.5</v>
      </c>
      <c r="CC120">
        <v>105</v>
      </c>
      <c r="CD120">
        <v>0.02</v>
      </c>
      <c r="CE120">
        <v>0.19500000000000001</v>
      </c>
      <c r="CF120">
        <v>8.0399999999999991</v>
      </c>
      <c r="CG120">
        <v>-0.98899999999999999</v>
      </c>
      <c r="CH120">
        <v>30</v>
      </c>
      <c r="CI120">
        <v>-3</v>
      </c>
      <c r="CJ120">
        <v>0.38</v>
      </c>
      <c r="CK120">
        <v>0.06</v>
      </c>
      <c r="CL120">
        <v>29.470267213114759</v>
      </c>
      <c r="CM120">
        <v>-2.3820590163934789</v>
      </c>
      <c r="CN120">
        <v>0.4124680660152944</v>
      </c>
      <c r="CO120">
        <v>-1</v>
      </c>
      <c r="CP120">
        <v>499.995262295082</v>
      </c>
      <c r="CQ120">
        <v>-6.566684293950939E-2</v>
      </c>
      <c r="CR120">
        <v>3.8577960938110563E-2</v>
      </c>
      <c r="CS120">
        <v>-1</v>
      </c>
      <c r="CT120">
        <v>0</v>
      </c>
      <c r="CU120">
        <v>0</v>
      </c>
      <c r="CV120" t="s">
        <v>333</v>
      </c>
      <c r="CW120">
        <v>3.1675300000000002</v>
      </c>
      <c r="CX120">
        <v>2.6629700000000001</v>
      </c>
      <c r="CY120">
        <v>6.1690199999999999E-3</v>
      </c>
      <c r="CZ120">
        <v>8.8434700000000008E-3</v>
      </c>
      <c r="DA120">
        <v>3.3190899999999998E-3</v>
      </c>
      <c r="DB120">
        <v>-1.8132700000000002E-2</v>
      </c>
      <c r="DC120">
        <v>21441.4</v>
      </c>
      <c r="DD120">
        <v>21767.4</v>
      </c>
      <c r="DE120">
        <v>23102.5</v>
      </c>
      <c r="DF120">
        <v>22314.9</v>
      </c>
      <c r="DG120">
        <v>29694.799999999999</v>
      </c>
      <c r="DH120">
        <v>27094.5</v>
      </c>
      <c r="DI120">
        <v>40605.199999999997</v>
      </c>
      <c r="DJ120">
        <v>36982</v>
      </c>
      <c r="DK120">
        <v>2.0834800000000002</v>
      </c>
      <c r="DL120">
        <v>1.79908</v>
      </c>
      <c r="DM120">
        <v>2.01017E-2</v>
      </c>
      <c r="DN120">
        <v>0</v>
      </c>
      <c r="DO120">
        <v>27.045400000000001</v>
      </c>
      <c r="DP120">
        <v>999.9</v>
      </c>
      <c r="DQ120">
        <v>76.599999999999994</v>
      </c>
      <c r="DR120">
        <v>30</v>
      </c>
      <c r="DS120">
        <v>32.539499999999997</v>
      </c>
      <c r="DT120">
        <v>30.704699999999999</v>
      </c>
      <c r="DU120">
        <v>9.8918300000000006</v>
      </c>
      <c r="DV120">
        <v>1</v>
      </c>
      <c r="DW120">
        <v>0.218669</v>
      </c>
      <c r="DX120">
        <v>-0.18601300000000001</v>
      </c>
      <c r="DY120">
        <v>20.367599999999999</v>
      </c>
      <c r="DZ120">
        <v>5.2111799999999997</v>
      </c>
      <c r="EA120">
        <v>11.8491</v>
      </c>
      <c r="EB120">
        <v>4.9677199999999999</v>
      </c>
      <c r="EC120">
        <v>3.2923</v>
      </c>
      <c r="ED120">
        <v>894.7</v>
      </c>
      <c r="EE120">
        <v>0</v>
      </c>
      <c r="EF120">
        <v>7080.7</v>
      </c>
      <c r="EG120">
        <v>110.5</v>
      </c>
      <c r="EH120">
        <v>4.9716199999999997</v>
      </c>
      <c r="EI120">
        <v>1.8717999999999999</v>
      </c>
      <c r="EJ120">
        <v>1.8689899999999999</v>
      </c>
      <c r="EK120">
        <v>1.87141</v>
      </c>
      <c r="EL120">
        <v>1.8691599999999999</v>
      </c>
      <c r="EM120">
        <v>1.8681099999999999</v>
      </c>
      <c r="EN120">
        <v>1.86992</v>
      </c>
      <c r="EO120">
        <v>1.8717699999999999</v>
      </c>
      <c r="EP120">
        <v>0</v>
      </c>
      <c r="EQ120">
        <v>0</v>
      </c>
      <c r="ER120">
        <v>0</v>
      </c>
      <c r="ES120">
        <v>0</v>
      </c>
      <c r="ET120" t="s">
        <v>334</v>
      </c>
      <c r="EU120" t="s">
        <v>335</v>
      </c>
      <c r="EV120" t="s">
        <v>336</v>
      </c>
      <c r="EW120" t="s">
        <v>336</v>
      </c>
      <c r="EX120" t="s">
        <v>336</v>
      </c>
      <c r="EY120" t="s">
        <v>336</v>
      </c>
      <c r="EZ120">
        <v>0</v>
      </c>
      <c r="FA120">
        <v>100</v>
      </c>
      <c r="FB120">
        <v>100</v>
      </c>
      <c r="FC120">
        <v>8.0399999999999991</v>
      </c>
      <c r="FD120">
        <v>-0.98929999999999996</v>
      </c>
      <c r="FE120">
        <v>8.0195380952381008</v>
      </c>
      <c r="FF120">
        <v>0</v>
      </c>
      <c r="FG120">
        <v>0</v>
      </c>
      <c r="FH120">
        <v>0</v>
      </c>
      <c r="FI120">
        <v>-0.98927100000000023</v>
      </c>
      <c r="FJ120">
        <v>0</v>
      </c>
      <c r="FK120">
        <v>0</v>
      </c>
      <c r="FL120">
        <v>0</v>
      </c>
      <c r="FM120">
        <v>-1</v>
      </c>
      <c r="FN120">
        <v>-1</v>
      </c>
      <c r="FO120">
        <v>-1</v>
      </c>
      <c r="FP120">
        <v>-1</v>
      </c>
      <c r="FQ120">
        <v>0.7</v>
      </c>
      <c r="FR120">
        <v>104.2</v>
      </c>
      <c r="FS120">
        <v>0.142822</v>
      </c>
      <c r="FT120">
        <v>4.99756</v>
      </c>
      <c r="FU120">
        <v>1.5979000000000001</v>
      </c>
      <c r="FV120">
        <v>2.1545399999999999</v>
      </c>
      <c r="FW120">
        <v>1.5478499999999999</v>
      </c>
      <c r="FX120">
        <v>2.3803700000000001</v>
      </c>
      <c r="FY120">
        <v>34.417999999999999</v>
      </c>
      <c r="FZ120">
        <v>15.874499999999999</v>
      </c>
      <c r="GA120">
        <v>3</v>
      </c>
      <c r="GB120">
        <v>496.8</v>
      </c>
      <c r="GC120">
        <v>406.13600000000002</v>
      </c>
      <c r="GD120">
        <v>27.8855</v>
      </c>
      <c r="GE120">
        <v>29.9802</v>
      </c>
      <c r="GF120">
        <v>30.0001</v>
      </c>
      <c r="GG120">
        <v>30.2775</v>
      </c>
      <c r="GH120">
        <v>30.327200000000001</v>
      </c>
      <c r="GI120">
        <v>-1</v>
      </c>
      <c r="GJ120">
        <v>0</v>
      </c>
      <c r="GK120">
        <v>100</v>
      </c>
      <c r="GL120">
        <v>27.8919</v>
      </c>
      <c r="GM120">
        <v>432.1</v>
      </c>
      <c r="GN120">
        <v>68.912800000000004</v>
      </c>
      <c r="GO120">
        <v>102.206</v>
      </c>
      <c r="GP120">
        <v>96.499300000000005</v>
      </c>
    </row>
    <row r="121" spans="1:198" x14ac:dyDescent="0.35">
      <c r="A121">
        <v>105</v>
      </c>
      <c r="B121">
        <v>1775487279.0999999</v>
      </c>
      <c r="C121">
        <v>6240.5999999046326</v>
      </c>
      <c r="D121" t="s">
        <v>646</v>
      </c>
      <c r="E121" t="s">
        <v>647</v>
      </c>
      <c r="F121">
        <v>60</v>
      </c>
      <c r="G121">
        <v>1775487271.099999</v>
      </c>
      <c r="H121">
        <f t="shared" si="30"/>
        <v>2.2992687687925493E-3</v>
      </c>
      <c r="I121">
        <f t="shared" si="31"/>
        <v>2.2992687687925493</v>
      </c>
      <c r="J121">
        <f t="shared" si="32"/>
        <v>0.88240779876906061</v>
      </c>
      <c r="K121">
        <f t="shared" si="33"/>
        <v>28.25777096774193</v>
      </c>
      <c r="L121">
        <f t="shared" si="34"/>
        <v>4.1579950179636453</v>
      </c>
      <c r="M121">
        <f t="shared" si="35"/>
        <v>0.41721150177749855</v>
      </c>
      <c r="N121">
        <f t="shared" si="36"/>
        <v>2.8353730611514858</v>
      </c>
      <c r="O121">
        <f t="shared" si="37"/>
        <v>6.1806662243697137E-2</v>
      </c>
      <c r="P121">
        <f t="shared" si="38"/>
        <v>2.3947550045650097</v>
      </c>
      <c r="Q121">
        <f t="shared" si="39"/>
        <v>6.093395562412586E-2</v>
      </c>
      <c r="R121">
        <f t="shared" si="40"/>
        <v>3.8161104894057406E-2</v>
      </c>
      <c r="S121">
        <f t="shared" si="41"/>
        <v>0</v>
      </c>
      <c r="T121">
        <f t="shared" si="42"/>
        <v>26.583175437817481</v>
      </c>
      <c r="U121">
        <f t="shared" si="43"/>
        <v>27.38265483870968</v>
      </c>
      <c r="V121">
        <f t="shared" si="44"/>
        <v>3.6603920862762309</v>
      </c>
      <c r="W121">
        <f t="shared" si="45"/>
        <v>-1.587264738153205</v>
      </c>
      <c r="X121">
        <f t="shared" si="46"/>
        <v>-5.7831157781430949E-2</v>
      </c>
      <c r="Y121">
        <f t="shared" si="47"/>
        <v>3.6434475227313348</v>
      </c>
      <c r="Z121">
        <f t="shared" si="48"/>
        <v>3.7182232440576617</v>
      </c>
      <c r="AA121">
        <f t="shared" si="49"/>
        <v>-101.39775270375142</v>
      </c>
      <c r="AB121">
        <f t="shared" si="50"/>
        <v>-10.225614190113797</v>
      </c>
      <c r="AC121">
        <f t="shared" si="51"/>
        <v>-0.92468178548262281</v>
      </c>
      <c r="AD121">
        <f t="shared" si="52"/>
        <v>-112.54804867934784</v>
      </c>
      <c r="AE121">
        <v>14</v>
      </c>
      <c r="AF121">
        <v>3</v>
      </c>
      <c r="AG121">
        <f t="shared" si="53"/>
        <v>1</v>
      </c>
      <c r="AH121">
        <f t="shared" si="54"/>
        <v>0</v>
      </c>
      <c r="AI121">
        <f t="shared" si="55"/>
        <v>25587.473750670648</v>
      </c>
      <c r="AJ121">
        <f t="shared" si="56"/>
        <v>0</v>
      </c>
      <c r="AK121">
        <f t="shared" si="57"/>
        <v>0</v>
      </c>
      <c r="AL121">
        <f t="shared" si="58"/>
        <v>0</v>
      </c>
      <c r="AM121">
        <f t="shared" si="59"/>
        <v>0</v>
      </c>
      <c r="AN121">
        <v>3</v>
      </c>
      <c r="AO121">
        <v>0.5</v>
      </c>
      <c r="AP121" t="s">
        <v>331</v>
      </c>
      <c r="AQ121">
        <v>2</v>
      </c>
      <c r="AR121">
        <v>1775487271.099999</v>
      </c>
      <c r="AS121">
        <v>28.25777096774193</v>
      </c>
      <c r="AT121">
        <v>28.8262</v>
      </c>
      <c r="AU121">
        <v>-0.57635435483870978</v>
      </c>
      <c r="AV121">
        <v>-1.956713225806451</v>
      </c>
      <c r="AW121">
        <v>20.233770967741929</v>
      </c>
      <c r="AX121">
        <v>0.41291667741935489</v>
      </c>
      <c r="AY121">
        <v>499.9990967741935</v>
      </c>
      <c r="AZ121">
        <v>100.298129032258</v>
      </c>
      <c r="BA121">
        <v>4.1457709677419352E-2</v>
      </c>
      <c r="BB121">
        <v>27.303451612903231</v>
      </c>
      <c r="BC121">
        <v>27.38265483870968</v>
      </c>
      <c r="BD121">
        <v>999.90000000000032</v>
      </c>
      <c r="BE121">
        <v>0</v>
      </c>
      <c r="BF121">
        <v>0</v>
      </c>
      <c r="BG121">
        <v>5002.4193548387093</v>
      </c>
      <c r="BH121">
        <v>0.39899661290322591</v>
      </c>
      <c r="BI121">
        <v>0.23331922580645159</v>
      </c>
      <c r="BJ121">
        <v>-0.55254416129032247</v>
      </c>
      <c r="BK121">
        <v>28.25737419354838</v>
      </c>
      <c r="BL121">
        <v>28.769916129032261</v>
      </c>
      <c r="BM121">
        <v>1.380359032258065</v>
      </c>
      <c r="BN121">
        <v>28.8262</v>
      </c>
      <c r="BO121">
        <v>-1.956713225806451</v>
      </c>
      <c r="BP121">
        <v>-5.7807283870967743E-2</v>
      </c>
      <c r="BQ121">
        <v>-0.1962547419354839</v>
      </c>
      <c r="BR121">
        <v>-99.900000000000034</v>
      </c>
      <c r="BS121">
        <v>-99.900000000000034</v>
      </c>
      <c r="BT121">
        <v>0</v>
      </c>
      <c r="BU121">
        <v>0</v>
      </c>
      <c r="BV121">
        <v>0</v>
      </c>
      <c r="BW121">
        <v>26</v>
      </c>
      <c r="BX121">
        <v>-1</v>
      </c>
      <c r="BY121">
        <v>1775487296.5999999</v>
      </c>
      <c r="BZ121" t="s">
        <v>648</v>
      </c>
      <c r="CA121">
        <v>1775487296.5999999</v>
      </c>
      <c r="CB121">
        <v>1775480969.5</v>
      </c>
      <c r="CC121">
        <v>106</v>
      </c>
      <c r="CD121">
        <v>-1.6E-2</v>
      </c>
      <c r="CE121">
        <v>0.19500000000000001</v>
      </c>
      <c r="CF121">
        <v>8.0239999999999991</v>
      </c>
      <c r="CG121">
        <v>-0.98899999999999999</v>
      </c>
      <c r="CH121">
        <v>29</v>
      </c>
      <c r="CI121">
        <v>-3</v>
      </c>
      <c r="CJ121">
        <v>0.24</v>
      </c>
      <c r="CK121">
        <v>0.06</v>
      </c>
      <c r="CL121">
        <v>28.766380000000009</v>
      </c>
      <c r="CM121">
        <v>0.43529958321761308</v>
      </c>
      <c r="CN121">
        <v>0.19951503769557499</v>
      </c>
      <c r="CO121">
        <v>-1</v>
      </c>
      <c r="CP121">
        <v>500.08498333333341</v>
      </c>
      <c r="CQ121">
        <v>-0.93607668796784305</v>
      </c>
      <c r="CR121">
        <v>0.3173559248786057</v>
      </c>
      <c r="CS121">
        <v>-1</v>
      </c>
      <c r="CT121">
        <v>0</v>
      </c>
      <c r="CU121">
        <v>0</v>
      </c>
      <c r="CV121" t="s">
        <v>333</v>
      </c>
      <c r="CW121">
        <v>3.1674699999999998</v>
      </c>
      <c r="CX121">
        <v>2.6627700000000001</v>
      </c>
      <c r="CY121">
        <v>6.0810600000000001E-3</v>
      </c>
      <c r="CZ121">
        <v>8.6840200000000006E-3</v>
      </c>
      <c r="DA121">
        <v>3.3078199999999999E-3</v>
      </c>
      <c r="DB121">
        <v>-1.8111800000000001E-2</v>
      </c>
      <c r="DC121">
        <v>21443.200000000001</v>
      </c>
      <c r="DD121">
        <v>21770.9</v>
      </c>
      <c r="DE121">
        <v>23102.400000000001</v>
      </c>
      <c r="DF121">
        <v>22314.799999999999</v>
      </c>
      <c r="DG121">
        <v>29695</v>
      </c>
      <c r="DH121">
        <v>27093.8</v>
      </c>
      <c r="DI121">
        <v>40605.1</v>
      </c>
      <c r="DJ121">
        <v>36981.800000000003</v>
      </c>
      <c r="DK121">
        <v>2.0833400000000002</v>
      </c>
      <c r="DL121">
        <v>1.7988200000000001</v>
      </c>
      <c r="DM121">
        <v>2.13146E-2</v>
      </c>
      <c r="DN121">
        <v>0</v>
      </c>
      <c r="DO121">
        <v>27.0289</v>
      </c>
      <c r="DP121">
        <v>999.9</v>
      </c>
      <c r="DQ121">
        <v>76.599999999999994</v>
      </c>
      <c r="DR121">
        <v>30</v>
      </c>
      <c r="DS121">
        <v>32.533099999999997</v>
      </c>
      <c r="DT121">
        <v>30.194700000000001</v>
      </c>
      <c r="DU121">
        <v>10.028</v>
      </c>
      <c r="DV121">
        <v>1</v>
      </c>
      <c r="DW121">
        <v>0.21826599999999999</v>
      </c>
      <c r="DX121">
        <v>-0.15370200000000001</v>
      </c>
      <c r="DY121">
        <v>20.367599999999999</v>
      </c>
      <c r="DZ121">
        <v>5.2111799999999997</v>
      </c>
      <c r="EA121">
        <v>11.848699999999999</v>
      </c>
      <c r="EB121">
        <v>4.9676799999999997</v>
      </c>
      <c r="EC121">
        <v>3.2922600000000002</v>
      </c>
      <c r="ED121">
        <v>894.7</v>
      </c>
      <c r="EE121">
        <v>0</v>
      </c>
      <c r="EF121">
        <v>7112.7</v>
      </c>
      <c r="EG121">
        <v>110.6</v>
      </c>
      <c r="EH121">
        <v>4.9716300000000002</v>
      </c>
      <c r="EI121">
        <v>1.8717999999999999</v>
      </c>
      <c r="EJ121">
        <v>1.8689899999999999</v>
      </c>
      <c r="EK121">
        <v>1.8713900000000001</v>
      </c>
      <c r="EL121">
        <v>1.8691800000000001</v>
      </c>
      <c r="EM121">
        <v>1.8681300000000001</v>
      </c>
      <c r="EN121">
        <v>1.8699300000000001</v>
      </c>
      <c r="EO121">
        <v>1.8717900000000001</v>
      </c>
      <c r="EP121">
        <v>0</v>
      </c>
      <c r="EQ121">
        <v>0</v>
      </c>
      <c r="ER121">
        <v>0</v>
      </c>
      <c r="ES121">
        <v>0</v>
      </c>
      <c r="ET121" t="s">
        <v>334</v>
      </c>
      <c r="EU121" t="s">
        <v>335</v>
      </c>
      <c r="EV121" t="s">
        <v>336</v>
      </c>
      <c r="EW121" t="s">
        <v>336</v>
      </c>
      <c r="EX121" t="s">
        <v>336</v>
      </c>
      <c r="EY121" t="s">
        <v>336</v>
      </c>
      <c r="EZ121">
        <v>0</v>
      </c>
      <c r="FA121">
        <v>100</v>
      </c>
      <c r="FB121">
        <v>100</v>
      </c>
      <c r="FC121">
        <v>8.0239999999999991</v>
      </c>
      <c r="FD121">
        <v>-0.98929999999999996</v>
      </c>
      <c r="FE121">
        <v>8.0398800000000001</v>
      </c>
      <c r="FF121">
        <v>0</v>
      </c>
      <c r="FG121">
        <v>0</v>
      </c>
      <c r="FH121">
        <v>0</v>
      </c>
      <c r="FI121">
        <v>-0.98927100000000023</v>
      </c>
      <c r="FJ121">
        <v>0</v>
      </c>
      <c r="FK121">
        <v>0</v>
      </c>
      <c r="FL121">
        <v>0</v>
      </c>
      <c r="FM121">
        <v>-1</v>
      </c>
      <c r="FN121">
        <v>-1</v>
      </c>
      <c r="FO121">
        <v>-1</v>
      </c>
      <c r="FP121">
        <v>-1</v>
      </c>
      <c r="FQ121">
        <v>0.6</v>
      </c>
      <c r="FR121">
        <v>105.2</v>
      </c>
      <c r="FS121">
        <v>0.142822</v>
      </c>
      <c r="FT121">
        <v>4.99756</v>
      </c>
      <c r="FU121">
        <v>1.5979000000000001</v>
      </c>
      <c r="FV121">
        <v>2.1545399999999999</v>
      </c>
      <c r="FW121">
        <v>1.5478499999999999</v>
      </c>
      <c r="FX121">
        <v>2.32422</v>
      </c>
      <c r="FY121">
        <v>34.440800000000003</v>
      </c>
      <c r="FZ121">
        <v>15.874499999999999</v>
      </c>
      <c r="GA121">
        <v>3</v>
      </c>
      <c r="GB121">
        <v>496.69900000000001</v>
      </c>
      <c r="GC121">
        <v>405.96899999999999</v>
      </c>
      <c r="GD121">
        <v>27.8947</v>
      </c>
      <c r="GE121">
        <v>29.9756</v>
      </c>
      <c r="GF121">
        <v>30.0002</v>
      </c>
      <c r="GG121">
        <v>30.274899999999999</v>
      </c>
      <c r="GH121">
        <v>30.3247</v>
      </c>
      <c r="GI121">
        <v>-1</v>
      </c>
      <c r="GJ121">
        <v>0</v>
      </c>
      <c r="GK121">
        <v>100</v>
      </c>
      <c r="GL121">
        <v>27.895900000000001</v>
      </c>
      <c r="GM121">
        <v>432.1</v>
      </c>
      <c r="GN121">
        <v>68.912800000000004</v>
      </c>
      <c r="GO121">
        <v>102.206</v>
      </c>
      <c r="GP121">
        <v>96.498900000000006</v>
      </c>
    </row>
    <row r="122" spans="1:198" x14ac:dyDescent="0.35">
      <c r="A122">
        <v>106</v>
      </c>
      <c r="B122">
        <v>1775487339.0999999</v>
      </c>
      <c r="C122">
        <v>6300.5999999046326</v>
      </c>
      <c r="D122" t="s">
        <v>649</v>
      </c>
      <c r="E122" t="s">
        <v>650</v>
      </c>
      <c r="F122">
        <v>60</v>
      </c>
      <c r="G122">
        <v>1775487331.349999</v>
      </c>
      <c r="H122">
        <f t="shared" si="30"/>
        <v>2.3270029653938659E-3</v>
      </c>
      <c r="I122">
        <f t="shared" si="31"/>
        <v>2.327002965393866</v>
      </c>
      <c r="J122">
        <f t="shared" si="32"/>
        <v>0.34069421838737685</v>
      </c>
      <c r="K122">
        <f t="shared" si="33"/>
        <v>27.469850000000001</v>
      </c>
      <c r="L122">
        <f t="shared" si="34"/>
        <v>17.306869132614501</v>
      </c>
      <c r="M122">
        <f t="shared" si="35"/>
        <v>1.7365560222407654</v>
      </c>
      <c r="N122">
        <f t="shared" si="36"/>
        <v>2.7563005811175358</v>
      </c>
      <c r="O122">
        <f t="shared" si="37"/>
        <v>6.2607063389138601E-2</v>
      </c>
      <c r="P122">
        <f t="shared" si="38"/>
        <v>2.3950314123996073</v>
      </c>
      <c r="Q122">
        <f t="shared" si="39"/>
        <v>6.1711885438154618E-2</v>
      </c>
      <c r="R122">
        <f t="shared" si="40"/>
        <v>3.8649290263745875E-2</v>
      </c>
      <c r="S122">
        <f t="shared" si="41"/>
        <v>0</v>
      </c>
      <c r="T122">
        <f t="shared" si="42"/>
        <v>26.574069246566939</v>
      </c>
      <c r="U122">
        <f t="shared" si="43"/>
        <v>27.38378333333333</v>
      </c>
      <c r="V122">
        <f t="shared" si="44"/>
        <v>3.6606340100185557</v>
      </c>
      <c r="W122">
        <f t="shared" si="45"/>
        <v>-1.5075583409454938</v>
      </c>
      <c r="X122">
        <f t="shared" si="46"/>
        <v>-5.4925503958448411E-2</v>
      </c>
      <c r="Y122">
        <f t="shared" si="47"/>
        <v>3.6433418506378228</v>
      </c>
      <c r="Z122">
        <f t="shared" si="48"/>
        <v>3.7155595139770039</v>
      </c>
      <c r="AA122">
        <f t="shared" si="49"/>
        <v>-102.62083077386949</v>
      </c>
      <c r="AB122">
        <f t="shared" si="50"/>
        <v>-10.436414652121195</v>
      </c>
      <c r="AC122">
        <f t="shared" si="51"/>
        <v>-0.94363811857738045</v>
      </c>
      <c r="AD122">
        <f t="shared" si="52"/>
        <v>-114.00088354456807</v>
      </c>
      <c r="AE122">
        <v>14</v>
      </c>
      <c r="AF122">
        <v>3</v>
      </c>
      <c r="AG122">
        <f t="shared" si="53"/>
        <v>1</v>
      </c>
      <c r="AH122">
        <f t="shared" si="54"/>
        <v>0</v>
      </c>
      <c r="AI122">
        <f t="shared" si="55"/>
        <v>25591.748482340285</v>
      </c>
      <c r="AJ122">
        <f t="shared" si="56"/>
        <v>0</v>
      </c>
      <c r="AK122">
        <f t="shared" si="57"/>
        <v>0</v>
      </c>
      <c r="AL122">
        <f t="shared" si="58"/>
        <v>0</v>
      </c>
      <c r="AM122">
        <f t="shared" si="59"/>
        <v>0</v>
      </c>
      <c r="AN122">
        <v>3</v>
      </c>
      <c r="AO122">
        <v>0.5</v>
      </c>
      <c r="AP122" t="s">
        <v>331</v>
      </c>
      <c r="AQ122">
        <v>2</v>
      </c>
      <c r="AR122">
        <v>1775487331.349999</v>
      </c>
      <c r="AS122">
        <v>27.469850000000001</v>
      </c>
      <c r="AT122">
        <v>27.712616666666669</v>
      </c>
      <c r="AU122">
        <v>-0.54739870000000013</v>
      </c>
      <c r="AV122">
        <v>-1.944345666666667</v>
      </c>
      <c r="AW122">
        <v>19.406849999999999</v>
      </c>
      <c r="AX122">
        <v>0.4418723</v>
      </c>
      <c r="AY122">
        <v>500.0068333333333</v>
      </c>
      <c r="AZ122">
        <v>100.2974</v>
      </c>
      <c r="BA122">
        <v>4.1720203333333331E-2</v>
      </c>
      <c r="BB122">
        <v>27.30295666666666</v>
      </c>
      <c r="BC122">
        <v>27.38378333333333</v>
      </c>
      <c r="BD122">
        <v>999.9000000000002</v>
      </c>
      <c r="BE122">
        <v>0</v>
      </c>
      <c r="BF122">
        <v>0</v>
      </c>
      <c r="BG122">
        <v>5003.166666666667</v>
      </c>
      <c r="BH122">
        <v>0.37821850000000012</v>
      </c>
      <c r="BI122">
        <v>0.23344266666666669</v>
      </c>
      <c r="BJ122">
        <v>-0.28208443333333327</v>
      </c>
      <c r="BK122">
        <v>27.415523333333329</v>
      </c>
      <c r="BL122">
        <v>27.658833333333341</v>
      </c>
      <c r="BM122">
        <v>1.3969476666666669</v>
      </c>
      <c r="BN122">
        <v>27.712616666666669</v>
      </c>
      <c r="BO122">
        <v>-1.944345666666667</v>
      </c>
      <c r="BP122">
        <v>-5.4902680000000002E-2</v>
      </c>
      <c r="BQ122">
        <v>-0.1950129333333333</v>
      </c>
      <c r="BR122">
        <v>-99.900000000000034</v>
      </c>
      <c r="BS122">
        <v>-99.900000000000034</v>
      </c>
      <c r="BT122">
        <v>0</v>
      </c>
      <c r="BU122">
        <v>0</v>
      </c>
      <c r="BV122">
        <v>0</v>
      </c>
      <c r="BW122">
        <v>26</v>
      </c>
      <c r="BX122">
        <v>-1</v>
      </c>
      <c r="BY122">
        <v>1775487351.5999999</v>
      </c>
      <c r="BZ122" t="s">
        <v>651</v>
      </c>
      <c r="CA122">
        <v>1775487351.5999999</v>
      </c>
      <c r="CB122">
        <v>1775480969.5</v>
      </c>
      <c r="CC122">
        <v>107</v>
      </c>
      <c r="CD122">
        <v>0.04</v>
      </c>
      <c r="CE122">
        <v>0.19500000000000001</v>
      </c>
      <c r="CF122">
        <v>8.0630000000000006</v>
      </c>
      <c r="CG122">
        <v>-0.98899999999999999</v>
      </c>
      <c r="CH122">
        <v>28</v>
      </c>
      <c r="CI122">
        <v>-3</v>
      </c>
      <c r="CJ122">
        <v>0.17</v>
      </c>
      <c r="CK122">
        <v>0.06</v>
      </c>
      <c r="CL122">
        <v>27.914809999999999</v>
      </c>
      <c r="CM122">
        <v>-1.9477777160322221</v>
      </c>
      <c r="CN122">
        <v>0.32202380383029622</v>
      </c>
      <c r="CO122">
        <v>-1</v>
      </c>
      <c r="CP122">
        <v>500.00161666666662</v>
      </c>
      <c r="CQ122">
        <v>-3.0018338426450561E-2</v>
      </c>
      <c r="CR122">
        <v>4.904558820344801E-2</v>
      </c>
      <c r="CS122">
        <v>-1</v>
      </c>
      <c r="CT122">
        <v>0</v>
      </c>
      <c r="CU122">
        <v>0</v>
      </c>
      <c r="CV122" t="s">
        <v>333</v>
      </c>
      <c r="CW122">
        <v>3.16751</v>
      </c>
      <c r="CX122">
        <v>2.6626400000000001</v>
      </c>
      <c r="CY122">
        <v>5.7236500000000003E-3</v>
      </c>
      <c r="CZ122">
        <v>8.1604699999999995E-3</v>
      </c>
      <c r="DA122">
        <v>3.5936200000000001E-3</v>
      </c>
      <c r="DB122">
        <v>-1.7969800000000001E-2</v>
      </c>
      <c r="DC122">
        <v>21450.400000000001</v>
      </c>
      <c r="DD122">
        <v>21782.2</v>
      </c>
      <c r="DE122">
        <v>23101.9</v>
      </c>
      <c r="DF122">
        <v>22314.6</v>
      </c>
      <c r="DG122">
        <v>29685.8</v>
      </c>
      <c r="DH122">
        <v>27089.9</v>
      </c>
      <c r="DI122">
        <v>40604.1</v>
      </c>
      <c r="DJ122">
        <v>36981.5</v>
      </c>
      <c r="DK122">
        <v>2.0836600000000001</v>
      </c>
      <c r="DL122">
        <v>1.7994399999999999</v>
      </c>
      <c r="DM122">
        <v>2.1678200000000002E-2</v>
      </c>
      <c r="DN122">
        <v>0</v>
      </c>
      <c r="DO122">
        <v>27.0303</v>
      </c>
      <c r="DP122">
        <v>999.9</v>
      </c>
      <c r="DQ122">
        <v>76.5</v>
      </c>
      <c r="DR122">
        <v>30</v>
      </c>
      <c r="DS122">
        <v>32.496099999999998</v>
      </c>
      <c r="DT122">
        <v>30.704699999999999</v>
      </c>
      <c r="DU122">
        <v>10.012</v>
      </c>
      <c r="DV122">
        <v>1</v>
      </c>
      <c r="DW122">
        <v>0.21786800000000001</v>
      </c>
      <c r="DX122">
        <v>-0.126301</v>
      </c>
      <c r="DY122">
        <v>20.367899999999999</v>
      </c>
      <c r="DZ122">
        <v>5.2120199999999999</v>
      </c>
      <c r="EA122">
        <v>11.8482</v>
      </c>
      <c r="EB122">
        <v>4.9676799999999997</v>
      </c>
      <c r="EC122">
        <v>3.29216</v>
      </c>
      <c r="ED122">
        <v>894.7</v>
      </c>
      <c r="EE122">
        <v>0</v>
      </c>
      <c r="EF122">
        <v>7139.5</v>
      </c>
      <c r="EG122">
        <v>110.6</v>
      </c>
      <c r="EH122">
        <v>4.9716100000000001</v>
      </c>
      <c r="EI122">
        <v>1.8717999999999999</v>
      </c>
      <c r="EJ122">
        <v>1.8689899999999999</v>
      </c>
      <c r="EK122">
        <v>1.87141</v>
      </c>
      <c r="EL122">
        <v>1.86917</v>
      </c>
      <c r="EM122">
        <v>1.86812</v>
      </c>
      <c r="EN122">
        <v>1.86991</v>
      </c>
      <c r="EO122">
        <v>1.8717299999999999</v>
      </c>
      <c r="EP122">
        <v>0</v>
      </c>
      <c r="EQ122">
        <v>0</v>
      </c>
      <c r="ER122">
        <v>0</v>
      </c>
      <c r="ES122">
        <v>0</v>
      </c>
      <c r="ET122" t="s">
        <v>334</v>
      </c>
      <c r="EU122" t="s">
        <v>335</v>
      </c>
      <c r="EV122" t="s">
        <v>336</v>
      </c>
      <c r="EW122" t="s">
        <v>336</v>
      </c>
      <c r="EX122" t="s">
        <v>336</v>
      </c>
      <c r="EY122" t="s">
        <v>336</v>
      </c>
      <c r="EZ122">
        <v>0</v>
      </c>
      <c r="FA122">
        <v>100</v>
      </c>
      <c r="FB122">
        <v>100</v>
      </c>
      <c r="FC122">
        <v>8.0630000000000006</v>
      </c>
      <c r="FD122">
        <v>-0.98929999999999996</v>
      </c>
      <c r="FE122">
        <v>8.0236666666666707</v>
      </c>
      <c r="FF122">
        <v>0</v>
      </c>
      <c r="FG122">
        <v>0</v>
      </c>
      <c r="FH122">
        <v>0</v>
      </c>
      <c r="FI122">
        <v>-0.98927100000000023</v>
      </c>
      <c r="FJ122">
        <v>0</v>
      </c>
      <c r="FK122">
        <v>0</v>
      </c>
      <c r="FL122">
        <v>0</v>
      </c>
      <c r="FM122">
        <v>-1</v>
      </c>
      <c r="FN122">
        <v>-1</v>
      </c>
      <c r="FO122">
        <v>-1</v>
      </c>
      <c r="FP122">
        <v>-1</v>
      </c>
      <c r="FQ122">
        <v>0.7</v>
      </c>
      <c r="FR122">
        <v>106.2</v>
      </c>
      <c r="FS122">
        <v>0.142822</v>
      </c>
      <c r="FT122">
        <v>4.99756</v>
      </c>
      <c r="FU122">
        <v>1.5979000000000001</v>
      </c>
      <c r="FV122">
        <v>2.1545399999999999</v>
      </c>
      <c r="FW122">
        <v>1.5478499999999999</v>
      </c>
      <c r="FX122">
        <v>2.32178</v>
      </c>
      <c r="FY122">
        <v>34.440800000000003</v>
      </c>
      <c r="FZ122">
        <v>15.8657</v>
      </c>
      <c r="GA122">
        <v>3</v>
      </c>
      <c r="GB122">
        <v>496.86500000000001</v>
      </c>
      <c r="GC122">
        <v>406.30900000000003</v>
      </c>
      <c r="GD122">
        <v>27.862300000000001</v>
      </c>
      <c r="GE122">
        <v>29.9724</v>
      </c>
      <c r="GF122">
        <v>30</v>
      </c>
      <c r="GG122">
        <v>30.272500000000001</v>
      </c>
      <c r="GH122">
        <v>30.322099999999999</v>
      </c>
      <c r="GI122">
        <v>-1</v>
      </c>
      <c r="GJ122">
        <v>0</v>
      </c>
      <c r="GK122">
        <v>100</v>
      </c>
      <c r="GL122">
        <v>27.86</v>
      </c>
      <c r="GM122">
        <v>432.1</v>
      </c>
      <c r="GN122">
        <v>68.912800000000004</v>
      </c>
      <c r="GO122">
        <v>102.20399999999999</v>
      </c>
      <c r="GP122">
        <v>96.498099999999994</v>
      </c>
    </row>
    <row r="123" spans="1:198" x14ac:dyDescent="0.35">
      <c r="A123">
        <v>107</v>
      </c>
      <c r="B123">
        <v>1775487399.5</v>
      </c>
      <c r="C123">
        <v>6361</v>
      </c>
      <c r="D123" t="s">
        <v>652</v>
      </c>
      <c r="E123" t="s">
        <v>653</v>
      </c>
      <c r="F123">
        <v>60</v>
      </c>
      <c r="G123">
        <v>1775487391.75</v>
      </c>
      <c r="H123">
        <f t="shared" si="30"/>
        <v>2.3075187097493389E-3</v>
      </c>
      <c r="I123">
        <f t="shared" si="31"/>
        <v>2.3075187097493388</v>
      </c>
      <c r="J123">
        <f t="shared" si="32"/>
        <v>0.80457160000129824</v>
      </c>
      <c r="K123">
        <f t="shared" si="33"/>
        <v>27.8827</v>
      </c>
      <c r="L123">
        <f t="shared" si="34"/>
        <v>5.8689767015818992</v>
      </c>
      <c r="M123">
        <f t="shared" si="35"/>
        <v>0.58888483187674479</v>
      </c>
      <c r="N123">
        <f t="shared" si="36"/>
        <v>2.7977107316415166</v>
      </c>
      <c r="O123">
        <f t="shared" si="37"/>
        <v>6.2063372798193975E-2</v>
      </c>
      <c r="P123">
        <f t="shared" si="38"/>
        <v>2.3943212361825692</v>
      </c>
      <c r="Q123">
        <f t="shared" si="39"/>
        <v>6.1183300321462512E-2</v>
      </c>
      <c r="R123">
        <f t="shared" si="40"/>
        <v>3.8317594043669495E-2</v>
      </c>
      <c r="S123">
        <f t="shared" si="41"/>
        <v>0</v>
      </c>
      <c r="T123">
        <f t="shared" si="42"/>
        <v>26.573595208155261</v>
      </c>
      <c r="U123">
        <f t="shared" si="43"/>
        <v>27.37754666666666</v>
      </c>
      <c r="V123">
        <f t="shared" si="44"/>
        <v>3.6592971841631527</v>
      </c>
      <c r="W123">
        <f t="shared" si="45"/>
        <v>-1.5658403696972898</v>
      </c>
      <c r="X123">
        <f t="shared" si="46"/>
        <v>-5.7027603394925019E-2</v>
      </c>
      <c r="Y123">
        <f t="shared" si="47"/>
        <v>3.6419806577058469</v>
      </c>
      <c r="Z123">
        <f t="shared" si="48"/>
        <v>3.7163247875580776</v>
      </c>
      <c r="AA123">
        <f t="shared" si="49"/>
        <v>-101.76157509994584</v>
      </c>
      <c r="AB123">
        <f t="shared" si="50"/>
        <v>-10.451391610407549</v>
      </c>
      <c r="AC123">
        <f t="shared" si="51"/>
        <v>-0.94521304996255329</v>
      </c>
      <c r="AD123">
        <f t="shared" si="52"/>
        <v>-113.15817976031595</v>
      </c>
      <c r="AE123">
        <v>14</v>
      </c>
      <c r="AF123">
        <v>3</v>
      </c>
      <c r="AG123">
        <f t="shared" si="53"/>
        <v>1</v>
      </c>
      <c r="AH123">
        <f t="shared" si="54"/>
        <v>0</v>
      </c>
      <c r="AI123">
        <f t="shared" si="55"/>
        <v>25581.512821862063</v>
      </c>
      <c r="AJ123">
        <f t="shared" si="56"/>
        <v>0</v>
      </c>
      <c r="AK123">
        <f t="shared" si="57"/>
        <v>0</v>
      </c>
      <c r="AL123">
        <f t="shared" si="58"/>
        <v>0</v>
      </c>
      <c r="AM123">
        <f t="shared" si="59"/>
        <v>0</v>
      </c>
      <c r="AN123">
        <v>3</v>
      </c>
      <c r="AO123">
        <v>0.5</v>
      </c>
      <c r="AP123" t="s">
        <v>331</v>
      </c>
      <c r="AQ123">
        <v>2</v>
      </c>
      <c r="AR123">
        <v>1775487391.75</v>
      </c>
      <c r="AS123">
        <v>27.8827</v>
      </c>
      <c r="AT123">
        <v>28.404013333333332</v>
      </c>
      <c r="AU123">
        <v>-0.5683516666666667</v>
      </c>
      <c r="AV123">
        <v>-1.9535606666666669</v>
      </c>
      <c r="AW123">
        <v>19.8597</v>
      </c>
      <c r="AX123">
        <v>0.42091933333333331</v>
      </c>
      <c r="AY123">
        <v>500.0321666666668</v>
      </c>
      <c r="AZ123">
        <v>100.2968666666666</v>
      </c>
      <c r="BA123">
        <v>4.172076000000001E-2</v>
      </c>
      <c r="BB123">
        <v>27.296579999999999</v>
      </c>
      <c r="BC123">
        <v>27.37754666666666</v>
      </c>
      <c r="BD123">
        <v>999.9000000000002</v>
      </c>
      <c r="BE123">
        <v>0</v>
      </c>
      <c r="BF123">
        <v>0</v>
      </c>
      <c r="BG123">
        <v>5001.3666666666668</v>
      </c>
      <c r="BH123">
        <v>0.3901640666666667</v>
      </c>
      <c r="BI123">
        <v>0.2328686666666667</v>
      </c>
      <c r="BJ123">
        <v>-0.48088186666666671</v>
      </c>
      <c r="BK123">
        <v>27.907263333333329</v>
      </c>
      <c r="BL123">
        <v>28.348633333333339</v>
      </c>
      <c r="BM123">
        <v>1.3852076666666671</v>
      </c>
      <c r="BN123">
        <v>28.404013333333332</v>
      </c>
      <c r="BO123">
        <v>-1.9535606666666669</v>
      </c>
      <c r="BP123">
        <v>-5.7003883333333318E-2</v>
      </c>
      <c r="BQ123">
        <v>-0.19593593333333331</v>
      </c>
      <c r="BR123">
        <v>-99.900000000000034</v>
      </c>
      <c r="BS123">
        <v>-99.900000000000034</v>
      </c>
      <c r="BT123">
        <v>0</v>
      </c>
      <c r="BU123">
        <v>0</v>
      </c>
      <c r="BV123">
        <v>0</v>
      </c>
      <c r="BW123">
        <v>26</v>
      </c>
      <c r="BX123">
        <v>-1</v>
      </c>
      <c r="BY123">
        <v>1775487416.5</v>
      </c>
      <c r="BZ123" t="s">
        <v>654</v>
      </c>
      <c r="CA123">
        <v>1775487416.5</v>
      </c>
      <c r="CB123">
        <v>1775480969.5</v>
      </c>
      <c r="CC123">
        <v>108</v>
      </c>
      <c r="CD123">
        <v>-0.04</v>
      </c>
      <c r="CE123">
        <v>0.19500000000000001</v>
      </c>
      <c r="CF123">
        <v>8.0229999999999997</v>
      </c>
      <c r="CG123">
        <v>-0.98899999999999999</v>
      </c>
      <c r="CH123">
        <v>28</v>
      </c>
      <c r="CI123">
        <v>-3</v>
      </c>
      <c r="CJ123">
        <v>0.23</v>
      </c>
      <c r="CK123">
        <v>0.06</v>
      </c>
      <c r="CL123">
        <v>28.346796721311481</v>
      </c>
      <c r="CM123">
        <v>0.34922939288975863</v>
      </c>
      <c r="CN123">
        <v>0.1307815773450404</v>
      </c>
      <c r="CO123">
        <v>-1</v>
      </c>
      <c r="CP123">
        <v>500.01208196721308</v>
      </c>
      <c r="CQ123">
        <v>0.12899931416167701</v>
      </c>
      <c r="CR123">
        <v>4.6792634660010317E-2</v>
      </c>
      <c r="CS123">
        <v>-1</v>
      </c>
      <c r="CT123">
        <v>0</v>
      </c>
      <c r="CU123">
        <v>0</v>
      </c>
      <c r="CV123" t="s">
        <v>333</v>
      </c>
      <c r="CW123">
        <v>3.16737</v>
      </c>
      <c r="CX123">
        <v>2.6631399999999998</v>
      </c>
      <c r="CY123">
        <v>5.9138699999999999E-3</v>
      </c>
      <c r="CZ123">
        <v>8.45366E-3</v>
      </c>
      <c r="DA123">
        <v>3.4577200000000001E-3</v>
      </c>
      <c r="DB123">
        <v>-1.8027399999999999E-2</v>
      </c>
      <c r="DC123">
        <v>21446.400000000001</v>
      </c>
      <c r="DD123">
        <v>21775.8</v>
      </c>
      <c r="DE123">
        <v>23101.9</v>
      </c>
      <c r="DF123">
        <v>22314.7</v>
      </c>
      <c r="DG123">
        <v>29690</v>
      </c>
      <c r="DH123">
        <v>27091.599999999999</v>
      </c>
      <c r="DI123">
        <v>40604.400000000001</v>
      </c>
      <c r="DJ123">
        <v>36981.800000000003</v>
      </c>
      <c r="DK123">
        <v>2.0835400000000002</v>
      </c>
      <c r="DL123">
        <v>1.8002800000000001</v>
      </c>
      <c r="DM123">
        <v>2.05189E-2</v>
      </c>
      <c r="DN123">
        <v>0</v>
      </c>
      <c r="DO123">
        <v>27.045500000000001</v>
      </c>
      <c r="DP123">
        <v>999.9</v>
      </c>
      <c r="DQ123">
        <v>76.5</v>
      </c>
      <c r="DR123">
        <v>30</v>
      </c>
      <c r="DS123">
        <v>32.496899999999997</v>
      </c>
      <c r="DT123">
        <v>30.464700000000001</v>
      </c>
      <c r="DU123">
        <v>9.6234000000000002</v>
      </c>
      <c r="DV123">
        <v>1</v>
      </c>
      <c r="DW123">
        <v>0.217833</v>
      </c>
      <c r="DX123">
        <v>-0.17562700000000001</v>
      </c>
      <c r="DY123">
        <v>20.367699999999999</v>
      </c>
      <c r="DZ123">
        <v>5.2119</v>
      </c>
      <c r="EA123">
        <v>11.848800000000001</v>
      </c>
      <c r="EB123">
        <v>4.9679599999999997</v>
      </c>
      <c r="EC123">
        <v>3.2923399999999998</v>
      </c>
      <c r="ED123">
        <v>894.7</v>
      </c>
      <c r="EE123">
        <v>0</v>
      </c>
      <c r="EF123">
        <v>7172.4</v>
      </c>
      <c r="EG123">
        <v>110.6</v>
      </c>
      <c r="EH123">
        <v>4.9716199999999997</v>
      </c>
      <c r="EI123">
        <v>1.8717999999999999</v>
      </c>
      <c r="EJ123">
        <v>1.86897</v>
      </c>
      <c r="EK123">
        <v>1.87141</v>
      </c>
      <c r="EL123">
        <v>1.86914</v>
      </c>
      <c r="EM123">
        <v>1.8681099999999999</v>
      </c>
      <c r="EN123">
        <v>1.86995</v>
      </c>
      <c r="EO123">
        <v>1.8717600000000001</v>
      </c>
      <c r="EP123">
        <v>0</v>
      </c>
      <c r="EQ123">
        <v>0</v>
      </c>
      <c r="ER123">
        <v>0</v>
      </c>
      <c r="ES123">
        <v>0</v>
      </c>
      <c r="ET123" t="s">
        <v>334</v>
      </c>
      <c r="EU123" t="s">
        <v>335</v>
      </c>
      <c r="EV123" t="s">
        <v>336</v>
      </c>
      <c r="EW123" t="s">
        <v>336</v>
      </c>
      <c r="EX123" t="s">
        <v>336</v>
      </c>
      <c r="EY123" t="s">
        <v>336</v>
      </c>
      <c r="EZ123">
        <v>0</v>
      </c>
      <c r="FA123">
        <v>100</v>
      </c>
      <c r="FB123">
        <v>100</v>
      </c>
      <c r="FC123">
        <v>8.0229999999999997</v>
      </c>
      <c r="FD123">
        <v>-0.98929999999999996</v>
      </c>
      <c r="FE123">
        <v>8.0634333333333359</v>
      </c>
      <c r="FF123">
        <v>0</v>
      </c>
      <c r="FG123">
        <v>0</v>
      </c>
      <c r="FH123">
        <v>0</v>
      </c>
      <c r="FI123">
        <v>-0.98927100000000023</v>
      </c>
      <c r="FJ123">
        <v>0</v>
      </c>
      <c r="FK123">
        <v>0</v>
      </c>
      <c r="FL123">
        <v>0</v>
      </c>
      <c r="FM123">
        <v>-1</v>
      </c>
      <c r="FN123">
        <v>-1</v>
      </c>
      <c r="FO123">
        <v>-1</v>
      </c>
      <c r="FP123">
        <v>-1</v>
      </c>
      <c r="FQ123">
        <v>0.8</v>
      </c>
      <c r="FR123">
        <v>107.2</v>
      </c>
      <c r="FS123">
        <v>0.142822</v>
      </c>
      <c r="FT123">
        <v>4.99756</v>
      </c>
      <c r="FU123">
        <v>1.5979000000000001</v>
      </c>
      <c r="FV123">
        <v>2.1545399999999999</v>
      </c>
      <c r="FW123">
        <v>1.5478499999999999</v>
      </c>
      <c r="FX123">
        <v>2.4414099999999999</v>
      </c>
      <c r="FY123">
        <v>34.4636</v>
      </c>
      <c r="FZ123">
        <v>15.874499999999999</v>
      </c>
      <c r="GA123">
        <v>3</v>
      </c>
      <c r="GB123">
        <v>496.77600000000001</v>
      </c>
      <c r="GC123">
        <v>406.79199999999997</v>
      </c>
      <c r="GD123">
        <v>27.884399999999999</v>
      </c>
      <c r="GE123">
        <v>29.970400000000001</v>
      </c>
      <c r="GF123">
        <v>30.0001</v>
      </c>
      <c r="GG123">
        <v>30.2699</v>
      </c>
      <c r="GH123">
        <v>30.322099999999999</v>
      </c>
      <c r="GI123">
        <v>-1</v>
      </c>
      <c r="GJ123">
        <v>0</v>
      </c>
      <c r="GK123">
        <v>100</v>
      </c>
      <c r="GL123">
        <v>27.881699999999999</v>
      </c>
      <c r="GM123">
        <v>432.1</v>
      </c>
      <c r="GN123">
        <v>68.912800000000004</v>
      </c>
      <c r="GO123">
        <v>102.20399999999999</v>
      </c>
      <c r="GP123">
        <v>96.498599999999996</v>
      </c>
    </row>
    <row r="124" spans="1:198" x14ac:dyDescent="0.35">
      <c r="A124">
        <v>108</v>
      </c>
      <c r="B124">
        <v>1775487459.5</v>
      </c>
      <c r="C124">
        <v>6421</v>
      </c>
      <c r="D124" t="s">
        <v>655</v>
      </c>
      <c r="E124" t="s">
        <v>656</v>
      </c>
      <c r="F124">
        <v>60</v>
      </c>
      <c r="G124">
        <v>1775487451.5</v>
      </c>
      <c r="H124">
        <f t="shared" si="30"/>
        <v>2.3130850237133224E-3</v>
      </c>
      <c r="I124">
        <f t="shared" si="31"/>
        <v>2.3130850237133225</v>
      </c>
      <c r="J124">
        <f t="shared" si="32"/>
        <v>0.82950326203399782</v>
      </c>
      <c r="K124">
        <f t="shared" si="33"/>
        <v>26.832429032258059</v>
      </c>
      <c r="L124">
        <f t="shared" si="34"/>
        <v>4.3008923820001757</v>
      </c>
      <c r="M124">
        <f t="shared" si="35"/>
        <v>0.431542084349891</v>
      </c>
      <c r="N124">
        <f t="shared" si="36"/>
        <v>2.6923069270954612</v>
      </c>
      <c r="O124">
        <f t="shared" si="37"/>
        <v>6.2220118135372995E-2</v>
      </c>
      <c r="P124">
        <f t="shared" si="38"/>
        <v>2.394800244025427</v>
      </c>
      <c r="Q124">
        <f t="shared" si="39"/>
        <v>6.1335803040038057E-2</v>
      </c>
      <c r="R124">
        <f t="shared" si="40"/>
        <v>3.8413282024196894E-2</v>
      </c>
      <c r="S124">
        <f t="shared" si="41"/>
        <v>0</v>
      </c>
      <c r="T124">
        <f t="shared" si="42"/>
        <v>26.571865350729613</v>
      </c>
      <c r="U124">
        <f t="shared" si="43"/>
        <v>27.383251612903219</v>
      </c>
      <c r="V124">
        <f t="shared" si="44"/>
        <v>3.6605200194372345</v>
      </c>
      <c r="W124">
        <f t="shared" si="45"/>
        <v>-1.5218234049755988</v>
      </c>
      <c r="X124">
        <f t="shared" si="46"/>
        <v>-5.5424128482784649E-2</v>
      </c>
      <c r="Y124">
        <f t="shared" si="47"/>
        <v>3.6419553215948421</v>
      </c>
      <c r="Z124">
        <f t="shared" si="48"/>
        <v>3.7159441479200193</v>
      </c>
      <c r="AA124">
        <f t="shared" si="49"/>
        <v>-102.00704954575752</v>
      </c>
      <c r="AB124">
        <f t="shared" si="50"/>
        <v>-11.2053658247976</v>
      </c>
      <c r="AC124">
        <f t="shared" si="51"/>
        <v>-1.0132272687914021</v>
      </c>
      <c r="AD124">
        <f t="shared" si="52"/>
        <v>-114.22564263934652</v>
      </c>
      <c r="AE124">
        <v>14</v>
      </c>
      <c r="AF124">
        <v>3</v>
      </c>
      <c r="AG124">
        <f t="shared" si="53"/>
        <v>1</v>
      </c>
      <c r="AH124">
        <f t="shared" si="54"/>
        <v>0</v>
      </c>
      <c r="AI124">
        <f t="shared" si="55"/>
        <v>25588.831815430687</v>
      </c>
      <c r="AJ124">
        <f t="shared" si="56"/>
        <v>0</v>
      </c>
      <c r="AK124">
        <f t="shared" si="57"/>
        <v>0</v>
      </c>
      <c r="AL124">
        <f t="shared" si="58"/>
        <v>0</v>
      </c>
      <c r="AM124">
        <f t="shared" si="59"/>
        <v>0</v>
      </c>
      <c r="AN124">
        <v>3</v>
      </c>
      <c r="AO124">
        <v>0.5</v>
      </c>
      <c r="AP124" t="s">
        <v>331</v>
      </c>
      <c r="AQ124">
        <v>2</v>
      </c>
      <c r="AR124">
        <v>1775487451.5</v>
      </c>
      <c r="AS124">
        <v>26.832429032258059</v>
      </c>
      <c r="AT124">
        <v>27.36735483870968</v>
      </c>
      <c r="AU124">
        <v>-0.5523753548387097</v>
      </c>
      <c r="AV124">
        <v>-1.9409525806451611</v>
      </c>
      <c r="AW124">
        <v>18.793429032258061</v>
      </c>
      <c r="AX124">
        <v>0.43689564516129031</v>
      </c>
      <c r="AY124">
        <v>500.01454838709668</v>
      </c>
      <c r="AZ124">
        <v>100.2962580645161</v>
      </c>
      <c r="BA124">
        <v>4.1543029032258073E-2</v>
      </c>
      <c r="BB124">
        <v>27.296461290322579</v>
      </c>
      <c r="BC124">
        <v>27.383251612903219</v>
      </c>
      <c r="BD124">
        <v>999.90000000000032</v>
      </c>
      <c r="BE124">
        <v>0</v>
      </c>
      <c r="BF124">
        <v>0</v>
      </c>
      <c r="BG124">
        <v>5002.6290322580644</v>
      </c>
      <c r="BH124">
        <v>0.37649203225806449</v>
      </c>
      <c r="BI124">
        <v>0.23331922580645159</v>
      </c>
      <c r="BJ124">
        <v>-0.55066435483870968</v>
      </c>
      <c r="BK124">
        <v>26.801887096774191</v>
      </c>
      <c r="BL124">
        <v>27.314332258064521</v>
      </c>
      <c r="BM124">
        <v>1.388576451612904</v>
      </c>
      <c r="BN124">
        <v>27.36735483870968</v>
      </c>
      <c r="BO124">
        <v>-1.9409525806451611</v>
      </c>
      <c r="BP124">
        <v>-5.5401148387096782E-2</v>
      </c>
      <c r="BQ124">
        <v>-0.1946701935483871</v>
      </c>
      <c r="BR124">
        <v>-99.900000000000034</v>
      </c>
      <c r="BS124">
        <v>-99.900000000000034</v>
      </c>
      <c r="BT124">
        <v>0</v>
      </c>
      <c r="BU124">
        <v>0</v>
      </c>
      <c r="BV124">
        <v>0</v>
      </c>
      <c r="BW124">
        <v>26</v>
      </c>
      <c r="BX124">
        <v>-1</v>
      </c>
      <c r="BY124">
        <v>1775487476.5</v>
      </c>
      <c r="BZ124" t="s">
        <v>657</v>
      </c>
      <c r="CA124">
        <v>1775487476.5</v>
      </c>
      <c r="CB124">
        <v>1775480969.5</v>
      </c>
      <c r="CC124">
        <v>109</v>
      </c>
      <c r="CD124">
        <v>1.6E-2</v>
      </c>
      <c r="CE124">
        <v>0.19500000000000001</v>
      </c>
      <c r="CF124">
        <v>8.0389999999999997</v>
      </c>
      <c r="CG124">
        <v>-0.98899999999999999</v>
      </c>
      <c r="CH124">
        <v>28</v>
      </c>
      <c r="CI124">
        <v>-3</v>
      </c>
      <c r="CJ124">
        <v>0.35</v>
      </c>
      <c r="CK124">
        <v>0.06</v>
      </c>
      <c r="CL124">
        <v>27.307578333333339</v>
      </c>
      <c r="CM124">
        <v>0.49507652125594892</v>
      </c>
      <c r="CN124">
        <v>7.8929270218482395E-2</v>
      </c>
      <c r="CO124">
        <v>-1</v>
      </c>
      <c r="CP124">
        <v>499.99903333333327</v>
      </c>
      <c r="CQ124">
        <v>5.6348985829375572E-2</v>
      </c>
      <c r="CR124">
        <v>4.444433472208411E-2</v>
      </c>
      <c r="CS124">
        <v>-1</v>
      </c>
      <c r="CT124">
        <v>0</v>
      </c>
      <c r="CU124">
        <v>0</v>
      </c>
      <c r="CV124" t="s">
        <v>333</v>
      </c>
      <c r="CW124">
        <v>3.1674099999999998</v>
      </c>
      <c r="CX124">
        <v>2.6629900000000002</v>
      </c>
      <c r="CY124">
        <v>5.6328100000000002E-3</v>
      </c>
      <c r="CZ124">
        <v>8.2011600000000007E-3</v>
      </c>
      <c r="DA124">
        <v>3.5131899999999998E-3</v>
      </c>
      <c r="DB124">
        <v>-1.7958499999999999E-2</v>
      </c>
      <c r="DC124">
        <v>21452.400000000001</v>
      </c>
      <c r="DD124">
        <v>21781.5</v>
      </c>
      <c r="DE124">
        <v>23101.8</v>
      </c>
      <c r="DF124">
        <v>22314.799999999999</v>
      </c>
      <c r="DG124">
        <v>29688.2</v>
      </c>
      <c r="DH124">
        <v>27089.8</v>
      </c>
      <c r="DI124">
        <v>40604.1</v>
      </c>
      <c r="DJ124">
        <v>36981.800000000003</v>
      </c>
      <c r="DK124">
        <v>2.0836000000000001</v>
      </c>
      <c r="DL124">
        <v>1.7989599999999999</v>
      </c>
      <c r="DM124">
        <v>2.1028499999999999E-2</v>
      </c>
      <c r="DN124">
        <v>0</v>
      </c>
      <c r="DO124">
        <v>27.036300000000001</v>
      </c>
      <c r="DP124">
        <v>999.9</v>
      </c>
      <c r="DQ124">
        <v>76.5</v>
      </c>
      <c r="DR124">
        <v>30</v>
      </c>
      <c r="DS124">
        <v>32.494599999999998</v>
      </c>
      <c r="DT124">
        <v>30.614699999999999</v>
      </c>
      <c r="DU124">
        <v>9.6714699999999993</v>
      </c>
      <c r="DV124">
        <v>1</v>
      </c>
      <c r="DW124">
        <v>0.21787599999999999</v>
      </c>
      <c r="DX124">
        <v>-0.18357299999999999</v>
      </c>
      <c r="DY124">
        <v>20.367799999999999</v>
      </c>
      <c r="DZ124">
        <v>5.2119</v>
      </c>
      <c r="EA124">
        <v>11.848599999999999</v>
      </c>
      <c r="EB124">
        <v>4.9677199999999999</v>
      </c>
      <c r="EC124">
        <v>3.2922799999999999</v>
      </c>
      <c r="ED124">
        <v>894.7</v>
      </c>
      <c r="EE124">
        <v>0</v>
      </c>
      <c r="EF124">
        <v>7204.7</v>
      </c>
      <c r="EG124">
        <v>110.6</v>
      </c>
      <c r="EH124">
        <v>4.97159</v>
      </c>
      <c r="EI124">
        <v>1.8717999999999999</v>
      </c>
      <c r="EJ124">
        <v>1.8690199999999999</v>
      </c>
      <c r="EK124">
        <v>1.8713900000000001</v>
      </c>
      <c r="EL124">
        <v>1.86917</v>
      </c>
      <c r="EM124">
        <v>1.86808</v>
      </c>
      <c r="EN124">
        <v>1.86995</v>
      </c>
      <c r="EO124">
        <v>1.8717600000000001</v>
      </c>
      <c r="EP124">
        <v>0</v>
      </c>
      <c r="EQ124">
        <v>0</v>
      </c>
      <c r="ER124">
        <v>0</v>
      </c>
      <c r="ES124">
        <v>0</v>
      </c>
      <c r="ET124" t="s">
        <v>334</v>
      </c>
      <c r="EU124" t="s">
        <v>335</v>
      </c>
      <c r="EV124" t="s">
        <v>336</v>
      </c>
      <c r="EW124" t="s">
        <v>336</v>
      </c>
      <c r="EX124" t="s">
        <v>336</v>
      </c>
      <c r="EY124" t="s">
        <v>336</v>
      </c>
      <c r="EZ124">
        <v>0</v>
      </c>
      <c r="FA124">
        <v>100</v>
      </c>
      <c r="FB124">
        <v>100</v>
      </c>
      <c r="FC124">
        <v>8.0389999999999997</v>
      </c>
      <c r="FD124">
        <v>-0.98929999999999996</v>
      </c>
      <c r="FE124">
        <v>8.0232600000000005</v>
      </c>
      <c r="FF124">
        <v>0</v>
      </c>
      <c r="FG124">
        <v>0</v>
      </c>
      <c r="FH124">
        <v>0</v>
      </c>
      <c r="FI124">
        <v>-0.98927100000000023</v>
      </c>
      <c r="FJ124">
        <v>0</v>
      </c>
      <c r="FK124">
        <v>0</v>
      </c>
      <c r="FL124">
        <v>0</v>
      </c>
      <c r="FM124">
        <v>-1</v>
      </c>
      <c r="FN124">
        <v>-1</v>
      </c>
      <c r="FO124">
        <v>-1</v>
      </c>
      <c r="FP124">
        <v>-1</v>
      </c>
      <c r="FQ124">
        <v>0.7</v>
      </c>
      <c r="FR124">
        <v>108.2</v>
      </c>
      <c r="FS124">
        <v>0.142822</v>
      </c>
      <c r="FT124">
        <v>4.99756</v>
      </c>
      <c r="FU124">
        <v>1.5979000000000001</v>
      </c>
      <c r="FV124">
        <v>2.1545399999999999</v>
      </c>
      <c r="FW124">
        <v>1.5478499999999999</v>
      </c>
      <c r="FX124">
        <v>2.4511699999999998</v>
      </c>
      <c r="FY124">
        <v>34.4636</v>
      </c>
      <c r="FZ124">
        <v>15.8657</v>
      </c>
      <c r="GA124">
        <v>3</v>
      </c>
      <c r="GB124">
        <v>496.81099999999998</v>
      </c>
      <c r="GC124">
        <v>406.03300000000002</v>
      </c>
      <c r="GD124">
        <v>27.9071</v>
      </c>
      <c r="GE124">
        <v>29.970400000000001</v>
      </c>
      <c r="GF124">
        <v>30.0001</v>
      </c>
      <c r="GG124">
        <v>30.2699</v>
      </c>
      <c r="GH124">
        <v>30.322099999999999</v>
      </c>
      <c r="GI124">
        <v>-1</v>
      </c>
      <c r="GJ124">
        <v>0</v>
      </c>
      <c r="GK124">
        <v>100</v>
      </c>
      <c r="GL124">
        <v>27.907800000000002</v>
      </c>
      <c r="GM124">
        <v>432.1</v>
      </c>
      <c r="GN124">
        <v>68.912800000000004</v>
      </c>
      <c r="GO124">
        <v>102.20399999999999</v>
      </c>
      <c r="GP124">
        <v>96.498900000000006</v>
      </c>
    </row>
    <row r="125" spans="1:198" x14ac:dyDescent="0.35">
      <c r="A125">
        <v>109</v>
      </c>
      <c r="B125">
        <v>1775487519.5</v>
      </c>
      <c r="C125">
        <v>6481</v>
      </c>
      <c r="D125" t="s">
        <v>658</v>
      </c>
      <c r="E125" t="s">
        <v>659</v>
      </c>
      <c r="F125">
        <v>60</v>
      </c>
      <c r="G125">
        <v>1775487511.5</v>
      </c>
      <c r="H125">
        <f t="shared" si="30"/>
        <v>2.2682675305610396E-3</v>
      </c>
      <c r="I125">
        <f t="shared" si="31"/>
        <v>2.2682675305610394</v>
      </c>
      <c r="J125">
        <f t="shared" si="32"/>
        <v>0.52877224976560788</v>
      </c>
      <c r="K125">
        <f t="shared" si="33"/>
        <v>27.37239677419355</v>
      </c>
      <c r="L125">
        <f t="shared" si="34"/>
        <v>12.133757967703341</v>
      </c>
      <c r="M125">
        <f t="shared" si="35"/>
        <v>1.2174716246240891</v>
      </c>
      <c r="N125">
        <f t="shared" si="36"/>
        <v>2.7464794055753137</v>
      </c>
      <c r="O125">
        <f t="shared" si="37"/>
        <v>6.0952464939486639E-2</v>
      </c>
      <c r="P125">
        <f t="shared" si="38"/>
        <v>2.39307310083072</v>
      </c>
      <c r="Q125">
        <f t="shared" si="39"/>
        <v>6.0102947736896804E-2</v>
      </c>
      <c r="R125">
        <f t="shared" si="40"/>
        <v>3.7639681672256772E-2</v>
      </c>
      <c r="S125">
        <f t="shared" si="41"/>
        <v>0</v>
      </c>
      <c r="T125">
        <f t="shared" si="42"/>
        <v>26.590269673385873</v>
      </c>
      <c r="U125">
        <f t="shared" si="43"/>
        <v>27.381893548387101</v>
      </c>
      <c r="V125">
        <f t="shared" si="44"/>
        <v>3.6602288907187241</v>
      </c>
      <c r="W125">
        <f t="shared" si="45"/>
        <v>-1.6062957297625164</v>
      </c>
      <c r="X125">
        <f t="shared" si="46"/>
        <v>-5.8517141257688123E-2</v>
      </c>
      <c r="Y125">
        <f t="shared" si="47"/>
        <v>3.6429867908781421</v>
      </c>
      <c r="Z125">
        <f t="shared" si="48"/>
        <v>3.7187460319764121</v>
      </c>
      <c r="AA125">
        <f t="shared" si="49"/>
        <v>-100.03059809774184</v>
      </c>
      <c r="AB125">
        <f t="shared" si="50"/>
        <v>-10.398637775166113</v>
      </c>
      <c r="AC125">
        <f t="shared" si="51"/>
        <v>-0.94097512515326165</v>
      </c>
      <c r="AD125">
        <f t="shared" si="52"/>
        <v>-111.37021099806121</v>
      </c>
      <c r="AE125">
        <v>14</v>
      </c>
      <c r="AF125">
        <v>3</v>
      </c>
      <c r="AG125">
        <f t="shared" si="53"/>
        <v>1</v>
      </c>
      <c r="AH125">
        <f t="shared" si="54"/>
        <v>0</v>
      </c>
      <c r="AI125">
        <f t="shared" si="55"/>
        <v>25562.173333835817</v>
      </c>
      <c r="AJ125">
        <f t="shared" si="56"/>
        <v>0</v>
      </c>
      <c r="AK125">
        <f t="shared" si="57"/>
        <v>0</v>
      </c>
      <c r="AL125">
        <f t="shared" si="58"/>
        <v>0</v>
      </c>
      <c r="AM125">
        <f t="shared" si="59"/>
        <v>0</v>
      </c>
      <c r="AN125">
        <v>3</v>
      </c>
      <c r="AO125">
        <v>0.5</v>
      </c>
      <c r="AP125" t="s">
        <v>331</v>
      </c>
      <c r="AQ125">
        <v>2</v>
      </c>
      <c r="AR125">
        <v>1775487511.5</v>
      </c>
      <c r="AS125">
        <v>27.37239677419355</v>
      </c>
      <c r="AT125">
        <v>27.726896774193548</v>
      </c>
      <c r="AU125">
        <v>-0.58320277419354838</v>
      </c>
      <c r="AV125">
        <v>-1.9448951612903229</v>
      </c>
      <c r="AW125">
        <v>19.35139677419355</v>
      </c>
      <c r="AX125">
        <v>0.40606822580645158</v>
      </c>
      <c r="AY125">
        <v>500.02270967741941</v>
      </c>
      <c r="AZ125">
        <v>100.2958064516129</v>
      </c>
      <c r="BA125">
        <v>4.1749964516129029E-2</v>
      </c>
      <c r="BB125">
        <v>27.3012935483871</v>
      </c>
      <c r="BC125">
        <v>27.381893548387101</v>
      </c>
      <c r="BD125">
        <v>999.90000000000032</v>
      </c>
      <c r="BE125">
        <v>0</v>
      </c>
      <c r="BF125">
        <v>0</v>
      </c>
      <c r="BG125">
        <v>4998.2096774193551</v>
      </c>
      <c r="BH125">
        <v>0.3823490322580646</v>
      </c>
      <c r="BI125">
        <v>0.23335625806451621</v>
      </c>
      <c r="BJ125">
        <v>-0.3361481290322581</v>
      </c>
      <c r="BK125">
        <v>27.374770967741931</v>
      </c>
      <c r="BL125">
        <v>27.67306129032259</v>
      </c>
      <c r="BM125">
        <v>1.361691935483871</v>
      </c>
      <c r="BN125">
        <v>27.726896774193548</v>
      </c>
      <c r="BO125">
        <v>-1.9448951612903229</v>
      </c>
      <c r="BP125">
        <v>-5.8492767741935493E-2</v>
      </c>
      <c r="BQ125">
        <v>-0.19506470967741929</v>
      </c>
      <c r="BR125">
        <v>-99.900000000000034</v>
      </c>
      <c r="BS125">
        <v>-99.900000000000034</v>
      </c>
      <c r="BT125">
        <v>0</v>
      </c>
      <c r="BU125">
        <v>0</v>
      </c>
      <c r="BV125">
        <v>0</v>
      </c>
      <c r="BW125">
        <v>26</v>
      </c>
      <c r="BX125">
        <v>-1</v>
      </c>
      <c r="BY125">
        <v>1775487537.5</v>
      </c>
      <c r="BZ125" t="s">
        <v>660</v>
      </c>
      <c r="CA125">
        <v>1775487537.5</v>
      </c>
      <c r="CB125">
        <v>1775480969.5</v>
      </c>
      <c r="CC125">
        <v>110</v>
      </c>
      <c r="CD125">
        <v>-1.7999999999999999E-2</v>
      </c>
      <c r="CE125">
        <v>0.19500000000000001</v>
      </c>
      <c r="CF125">
        <v>8.0210000000000008</v>
      </c>
      <c r="CG125">
        <v>-0.98899999999999999</v>
      </c>
      <c r="CH125">
        <v>28</v>
      </c>
      <c r="CI125">
        <v>-3</v>
      </c>
      <c r="CJ125">
        <v>0.13</v>
      </c>
      <c r="CK125">
        <v>0.06</v>
      </c>
      <c r="CL125">
        <v>27.82294666666666</v>
      </c>
      <c r="CM125">
        <v>-0.66206524034451697</v>
      </c>
      <c r="CN125">
        <v>0.1446798459434562</v>
      </c>
      <c r="CO125">
        <v>-1</v>
      </c>
      <c r="CP125">
        <v>500.01016666666658</v>
      </c>
      <c r="CQ125">
        <v>0.13831175326620851</v>
      </c>
      <c r="CR125">
        <v>4.7008214412187978E-2</v>
      </c>
      <c r="CS125">
        <v>-1</v>
      </c>
      <c r="CT125">
        <v>0</v>
      </c>
      <c r="CU125">
        <v>0</v>
      </c>
      <c r="CV125" t="s">
        <v>333</v>
      </c>
      <c r="CW125">
        <v>3.1674799999999999</v>
      </c>
      <c r="CX125">
        <v>2.6629900000000002</v>
      </c>
      <c r="CY125">
        <v>5.7206100000000001E-3</v>
      </c>
      <c r="CZ125">
        <v>8.2036000000000001E-3</v>
      </c>
      <c r="DA125">
        <v>3.2868099999999998E-3</v>
      </c>
      <c r="DB125">
        <v>-1.7961600000000001E-2</v>
      </c>
      <c r="DC125">
        <v>21450.400000000001</v>
      </c>
      <c r="DD125">
        <v>21781.200000000001</v>
      </c>
      <c r="DE125">
        <v>23101.7</v>
      </c>
      <c r="DF125">
        <v>22314.6</v>
      </c>
      <c r="DG125">
        <v>29694.799999999999</v>
      </c>
      <c r="DH125">
        <v>27089.7</v>
      </c>
      <c r="DI125">
        <v>40604</v>
      </c>
      <c r="DJ125">
        <v>36981.599999999999</v>
      </c>
      <c r="DK125">
        <v>2.0838999999999999</v>
      </c>
      <c r="DL125">
        <v>1.8003199999999999</v>
      </c>
      <c r="DM125">
        <v>2.10464E-2</v>
      </c>
      <c r="DN125">
        <v>0</v>
      </c>
      <c r="DO125">
        <v>27.036300000000001</v>
      </c>
      <c r="DP125">
        <v>999.9</v>
      </c>
      <c r="DQ125">
        <v>76.400000000000006</v>
      </c>
      <c r="DR125">
        <v>30</v>
      </c>
      <c r="DS125">
        <v>32.451700000000002</v>
      </c>
      <c r="DT125">
        <v>30.674700000000001</v>
      </c>
      <c r="DU125">
        <v>9.6273999999999997</v>
      </c>
      <c r="DV125">
        <v>1</v>
      </c>
      <c r="DW125">
        <v>0.21790899999999999</v>
      </c>
      <c r="DX125">
        <v>-0.16127900000000001</v>
      </c>
      <c r="DY125">
        <v>20.367799999999999</v>
      </c>
      <c r="DZ125">
        <v>5.21082</v>
      </c>
      <c r="EA125">
        <v>11.8491</v>
      </c>
      <c r="EB125">
        <v>4.9678000000000004</v>
      </c>
      <c r="EC125">
        <v>3.29216</v>
      </c>
      <c r="ED125">
        <v>894.7</v>
      </c>
      <c r="EE125">
        <v>0</v>
      </c>
      <c r="EF125">
        <v>7231.1</v>
      </c>
      <c r="EG125">
        <v>110.6</v>
      </c>
      <c r="EH125">
        <v>4.9716199999999997</v>
      </c>
      <c r="EI125">
        <v>1.8717999999999999</v>
      </c>
      <c r="EJ125">
        <v>1.86904</v>
      </c>
      <c r="EK125">
        <v>1.8714200000000001</v>
      </c>
      <c r="EL125">
        <v>1.86913</v>
      </c>
      <c r="EM125">
        <v>1.86809</v>
      </c>
      <c r="EN125">
        <v>1.8699300000000001</v>
      </c>
      <c r="EO125">
        <v>1.87178</v>
      </c>
      <c r="EP125">
        <v>0</v>
      </c>
      <c r="EQ125">
        <v>0</v>
      </c>
      <c r="ER125">
        <v>0</v>
      </c>
      <c r="ES125">
        <v>0</v>
      </c>
      <c r="ET125" t="s">
        <v>334</v>
      </c>
      <c r="EU125" t="s">
        <v>335</v>
      </c>
      <c r="EV125" t="s">
        <v>336</v>
      </c>
      <c r="EW125" t="s">
        <v>336</v>
      </c>
      <c r="EX125" t="s">
        <v>336</v>
      </c>
      <c r="EY125" t="s">
        <v>336</v>
      </c>
      <c r="EZ125">
        <v>0</v>
      </c>
      <c r="FA125">
        <v>100</v>
      </c>
      <c r="FB125">
        <v>100</v>
      </c>
      <c r="FC125">
        <v>8.0210000000000008</v>
      </c>
      <c r="FD125">
        <v>-0.98929999999999996</v>
      </c>
      <c r="FE125">
        <v>8.0393450000000009</v>
      </c>
      <c r="FF125">
        <v>0</v>
      </c>
      <c r="FG125">
        <v>0</v>
      </c>
      <c r="FH125">
        <v>0</v>
      </c>
      <c r="FI125">
        <v>-0.98927100000000023</v>
      </c>
      <c r="FJ125">
        <v>0</v>
      </c>
      <c r="FK125">
        <v>0</v>
      </c>
      <c r="FL125">
        <v>0</v>
      </c>
      <c r="FM125">
        <v>-1</v>
      </c>
      <c r="FN125">
        <v>-1</v>
      </c>
      <c r="FO125">
        <v>-1</v>
      </c>
      <c r="FP125">
        <v>-1</v>
      </c>
      <c r="FQ125">
        <v>0.7</v>
      </c>
      <c r="FR125">
        <v>109.2</v>
      </c>
      <c r="FS125">
        <v>0.142822</v>
      </c>
      <c r="FT125">
        <v>4.99756</v>
      </c>
      <c r="FU125">
        <v>1.5979000000000001</v>
      </c>
      <c r="FV125">
        <v>2.1545399999999999</v>
      </c>
      <c r="FW125">
        <v>1.5478499999999999</v>
      </c>
      <c r="FX125">
        <v>2.4475099999999999</v>
      </c>
      <c r="FY125">
        <v>34.4636</v>
      </c>
      <c r="FZ125">
        <v>15.8569</v>
      </c>
      <c r="GA125">
        <v>3</v>
      </c>
      <c r="GB125">
        <v>496.98500000000001</v>
      </c>
      <c r="GC125">
        <v>406.815</v>
      </c>
      <c r="GD125">
        <v>27.886900000000001</v>
      </c>
      <c r="GE125">
        <v>29.970400000000001</v>
      </c>
      <c r="GF125">
        <v>30.0001</v>
      </c>
      <c r="GG125">
        <v>30.2699</v>
      </c>
      <c r="GH125">
        <v>30.322099999999999</v>
      </c>
      <c r="GI125">
        <v>-1</v>
      </c>
      <c r="GJ125">
        <v>0</v>
      </c>
      <c r="GK125">
        <v>100</v>
      </c>
      <c r="GL125">
        <v>27.885400000000001</v>
      </c>
      <c r="GM125">
        <v>432.1</v>
      </c>
      <c r="GN125">
        <v>68.912800000000004</v>
      </c>
      <c r="GO125">
        <v>102.203</v>
      </c>
      <c r="GP125">
        <v>96.498199999999997</v>
      </c>
    </row>
    <row r="126" spans="1:198" x14ac:dyDescent="0.35">
      <c r="A126">
        <v>110</v>
      </c>
      <c r="B126">
        <v>1775487579.5</v>
      </c>
      <c r="C126">
        <v>6541</v>
      </c>
      <c r="D126" t="s">
        <v>661</v>
      </c>
      <c r="E126" t="s">
        <v>662</v>
      </c>
      <c r="F126">
        <v>60</v>
      </c>
      <c r="G126">
        <v>1775487571.5</v>
      </c>
      <c r="H126">
        <f t="shared" si="30"/>
        <v>2.2470092979506944E-3</v>
      </c>
      <c r="I126">
        <f t="shared" si="31"/>
        <v>2.2470092979506946</v>
      </c>
      <c r="J126">
        <f t="shared" si="32"/>
        <v>0.63306153043946944</v>
      </c>
      <c r="K126">
        <f t="shared" si="33"/>
        <v>26.87963548387097</v>
      </c>
      <c r="L126">
        <f t="shared" si="34"/>
        <v>8.815337675413895</v>
      </c>
      <c r="M126">
        <f t="shared" si="35"/>
        <v>0.88449128040193914</v>
      </c>
      <c r="N126">
        <f t="shared" si="36"/>
        <v>2.6969815656834908</v>
      </c>
      <c r="O126">
        <f t="shared" si="37"/>
        <v>6.033819390476923E-2</v>
      </c>
      <c r="P126">
        <f t="shared" si="38"/>
        <v>2.3936176264390197</v>
      </c>
      <c r="Q126">
        <f t="shared" si="39"/>
        <v>5.9505773546795211E-2</v>
      </c>
      <c r="R126">
        <f t="shared" si="40"/>
        <v>3.7264941370365581E-2</v>
      </c>
      <c r="S126">
        <f t="shared" si="41"/>
        <v>0</v>
      </c>
      <c r="T126">
        <f t="shared" si="42"/>
        <v>26.594940387344785</v>
      </c>
      <c r="U126">
        <f t="shared" si="43"/>
        <v>27.38829354838709</v>
      </c>
      <c r="V126">
        <f t="shared" si="44"/>
        <v>3.6616010375326762</v>
      </c>
      <c r="W126">
        <f t="shared" si="45"/>
        <v>-1.6244608269895009</v>
      </c>
      <c r="X126">
        <f t="shared" si="46"/>
        <v>-5.9171476881453064E-2</v>
      </c>
      <c r="Y126">
        <f t="shared" si="47"/>
        <v>3.6425302413177545</v>
      </c>
      <c r="Z126">
        <f t="shared" si="48"/>
        <v>3.7207725144141293</v>
      </c>
      <c r="AA126">
        <f t="shared" si="49"/>
        <v>-99.093110039625628</v>
      </c>
      <c r="AB126">
        <f t="shared" si="50"/>
        <v>-11.502879249994878</v>
      </c>
      <c r="AC126">
        <f t="shared" si="51"/>
        <v>-1.0406835476361791</v>
      </c>
      <c r="AD126">
        <f t="shared" si="52"/>
        <v>-111.63667283725668</v>
      </c>
      <c r="AE126">
        <v>14</v>
      </c>
      <c r="AF126">
        <v>3</v>
      </c>
      <c r="AG126">
        <f t="shared" si="53"/>
        <v>1</v>
      </c>
      <c r="AH126">
        <f t="shared" si="54"/>
        <v>0</v>
      </c>
      <c r="AI126">
        <f t="shared" si="55"/>
        <v>25570.715392335635</v>
      </c>
      <c r="AJ126">
        <f t="shared" si="56"/>
        <v>0</v>
      </c>
      <c r="AK126">
        <f t="shared" si="57"/>
        <v>0</v>
      </c>
      <c r="AL126">
        <f t="shared" si="58"/>
        <v>0</v>
      </c>
      <c r="AM126">
        <f t="shared" si="59"/>
        <v>0</v>
      </c>
      <c r="AN126">
        <v>3</v>
      </c>
      <c r="AO126">
        <v>0.5</v>
      </c>
      <c r="AP126" t="s">
        <v>331</v>
      </c>
      <c r="AQ126">
        <v>2</v>
      </c>
      <c r="AR126">
        <v>1775487571.5</v>
      </c>
      <c r="AS126">
        <v>26.87963548387097</v>
      </c>
      <c r="AT126">
        <v>27.2957</v>
      </c>
      <c r="AU126">
        <v>-0.58973622580645169</v>
      </c>
      <c r="AV126">
        <v>-1.9386990322580651</v>
      </c>
      <c r="AW126">
        <v>18.839635483870971</v>
      </c>
      <c r="AX126">
        <v>0.39953477419354849</v>
      </c>
      <c r="AY126">
        <v>500.01403225806439</v>
      </c>
      <c r="AZ126">
        <v>100.29380645161289</v>
      </c>
      <c r="BA126">
        <v>4.1689812903225799E-2</v>
      </c>
      <c r="BB126">
        <v>27.299154838709669</v>
      </c>
      <c r="BC126">
        <v>27.38829354838709</v>
      </c>
      <c r="BD126">
        <v>999.90000000000032</v>
      </c>
      <c r="BE126">
        <v>0</v>
      </c>
      <c r="BF126">
        <v>0</v>
      </c>
      <c r="BG126">
        <v>4999.7096774193551</v>
      </c>
      <c r="BH126">
        <v>0.38558509677419361</v>
      </c>
      <c r="BI126">
        <v>0.23331922580645159</v>
      </c>
      <c r="BJ126">
        <v>-0.43484583870967741</v>
      </c>
      <c r="BK126">
        <v>26.84501612903226</v>
      </c>
      <c r="BL126">
        <v>27.242883870967741</v>
      </c>
      <c r="BM126">
        <v>1.3489632258064519</v>
      </c>
      <c r="BN126">
        <v>27.2957</v>
      </c>
      <c r="BO126">
        <v>-1.9386990322580651</v>
      </c>
      <c r="BP126">
        <v>-5.9146935483870962E-2</v>
      </c>
      <c r="BQ126">
        <v>-0.19443970967741939</v>
      </c>
      <c r="BR126">
        <v>-99.900000000000034</v>
      </c>
      <c r="BS126">
        <v>-99.900000000000034</v>
      </c>
      <c r="BT126">
        <v>0</v>
      </c>
      <c r="BU126">
        <v>0</v>
      </c>
      <c r="BV126">
        <v>0</v>
      </c>
      <c r="BW126">
        <v>26</v>
      </c>
      <c r="BX126">
        <v>-1</v>
      </c>
      <c r="BY126">
        <v>1775487596.5</v>
      </c>
      <c r="BZ126" t="s">
        <v>663</v>
      </c>
      <c r="CA126">
        <v>1775487596.5</v>
      </c>
      <c r="CB126">
        <v>1775480969.5</v>
      </c>
      <c r="CC126">
        <v>111</v>
      </c>
      <c r="CD126">
        <v>1.9E-2</v>
      </c>
      <c r="CE126">
        <v>0.19500000000000001</v>
      </c>
      <c r="CF126">
        <v>8.0399999999999991</v>
      </c>
      <c r="CG126">
        <v>-0.98899999999999999</v>
      </c>
      <c r="CH126">
        <v>28</v>
      </c>
      <c r="CI126">
        <v>-3</v>
      </c>
      <c r="CJ126">
        <v>0.19</v>
      </c>
      <c r="CK126">
        <v>0.06</v>
      </c>
      <c r="CL126">
        <v>27.323883333333331</v>
      </c>
      <c r="CM126">
        <v>-0.41972792442342283</v>
      </c>
      <c r="CN126">
        <v>9.494792110532084E-2</v>
      </c>
      <c r="CO126">
        <v>-1</v>
      </c>
      <c r="CP126">
        <v>500.00349999999997</v>
      </c>
      <c r="CQ126">
        <v>6.8338983052795982E-2</v>
      </c>
      <c r="CR126">
        <v>2.6409278672464991E-2</v>
      </c>
      <c r="CS126">
        <v>-1</v>
      </c>
      <c r="CT126">
        <v>0</v>
      </c>
      <c r="CU126">
        <v>0</v>
      </c>
      <c r="CV126" t="s">
        <v>333</v>
      </c>
      <c r="CW126">
        <v>3.16743</v>
      </c>
      <c r="CX126">
        <v>2.66289</v>
      </c>
      <c r="CY126">
        <v>5.6198799999999998E-3</v>
      </c>
      <c r="CZ126">
        <v>8.1994800000000003E-3</v>
      </c>
      <c r="DA126">
        <v>3.2232200000000002E-3</v>
      </c>
      <c r="DB126">
        <v>-1.7929400000000002E-2</v>
      </c>
      <c r="DC126">
        <v>21452.400000000001</v>
      </c>
      <c r="DD126">
        <v>21781.599999999999</v>
      </c>
      <c r="DE126">
        <v>23101.5</v>
      </c>
      <c r="DF126">
        <v>22314.799999999999</v>
      </c>
      <c r="DG126">
        <v>29696.400000000001</v>
      </c>
      <c r="DH126">
        <v>27089</v>
      </c>
      <c r="DI126">
        <v>40603.599999999999</v>
      </c>
      <c r="DJ126">
        <v>36981.800000000003</v>
      </c>
      <c r="DK126">
        <v>2.08372</v>
      </c>
      <c r="DL126">
        <v>1.79938</v>
      </c>
      <c r="DM126">
        <v>2.1582799999999999E-2</v>
      </c>
      <c r="DN126">
        <v>0</v>
      </c>
      <c r="DO126">
        <v>27.036300000000001</v>
      </c>
      <c r="DP126">
        <v>999.9</v>
      </c>
      <c r="DQ126">
        <v>76.400000000000006</v>
      </c>
      <c r="DR126">
        <v>30</v>
      </c>
      <c r="DS126">
        <v>32.455300000000001</v>
      </c>
      <c r="DT126">
        <v>30.374700000000001</v>
      </c>
      <c r="DU126">
        <v>9.8597800000000007</v>
      </c>
      <c r="DV126">
        <v>1</v>
      </c>
      <c r="DW126">
        <v>0.217502</v>
      </c>
      <c r="DX126">
        <v>-0.16925299999999999</v>
      </c>
      <c r="DY126">
        <v>20.367799999999999</v>
      </c>
      <c r="DZ126">
        <v>5.2111799999999997</v>
      </c>
      <c r="EA126">
        <v>11.848699999999999</v>
      </c>
      <c r="EB126">
        <v>4.9677199999999999</v>
      </c>
      <c r="EC126">
        <v>3.2924000000000002</v>
      </c>
      <c r="ED126">
        <v>894.7</v>
      </c>
      <c r="EE126">
        <v>0</v>
      </c>
      <c r="EF126">
        <v>7263.9</v>
      </c>
      <c r="EG126">
        <v>110.6</v>
      </c>
      <c r="EH126">
        <v>4.9715999999999996</v>
      </c>
      <c r="EI126">
        <v>1.8717999999999999</v>
      </c>
      <c r="EJ126">
        <v>1.86903</v>
      </c>
      <c r="EK126">
        <v>1.87141</v>
      </c>
      <c r="EL126">
        <v>1.8691599999999999</v>
      </c>
      <c r="EM126">
        <v>1.8681099999999999</v>
      </c>
      <c r="EN126">
        <v>1.86995</v>
      </c>
      <c r="EO126">
        <v>1.8717200000000001</v>
      </c>
      <c r="EP126">
        <v>0</v>
      </c>
      <c r="EQ126">
        <v>0</v>
      </c>
      <c r="ER126">
        <v>0</v>
      </c>
      <c r="ES126">
        <v>0</v>
      </c>
      <c r="ET126" t="s">
        <v>334</v>
      </c>
      <c r="EU126" t="s">
        <v>335</v>
      </c>
      <c r="EV126" t="s">
        <v>336</v>
      </c>
      <c r="EW126" t="s">
        <v>336</v>
      </c>
      <c r="EX126" t="s">
        <v>336</v>
      </c>
      <c r="EY126" t="s">
        <v>336</v>
      </c>
      <c r="EZ126">
        <v>0</v>
      </c>
      <c r="FA126">
        <v>100</v>
      </c>
      <c r="FB126">
        <v>100</v>
      </c>
      <c r="FC126">
        <v>8.0399999999999991</v>
      </c>
      <c r="FD126">
        <v>-0.98929999999999996</v>
      </c>
      <c r="FE126">
        <v>8.0212249999999976</v>
      </c>
      <c r="FF126">
        <v>0</v>
      </c>
      <c r="FG126">
        <v>0</v>
      </c>
      <c r="FH126">
        <v>0</v>
      </c>
      <c r="FI126">
        <v>-0.98927100000000023</v>
      </c>
      <c r="FJ126">
        <v>0</v>
      </c>
      <c r="FK126">
        <v>0</v>
      </c>
      <c r="FL126">
        <v>0</v>
      </c>
      <c r="FM126">
        <v>-1</v>
      </c>
      <c r="FN126">
        <v>-1</v>
      </c>
      <c r="FO126">
        <v>-1</v>
      </c>
      <c r="FP126">
        <v>-1</v>
      </c>
      <c r="FQ126">
        <v>0.7</v>
      </c>
      <c r="FR126">
        <v>110.2</v>
      </c>
      <c r="FS126">
        <v>0.142822</v>
      </c>
      <c r="FT126">
        <v>4.99756</v>
      </c>
      <c r="FU126">
        <v>1.5979000000000001</v>
      </c>
      <c r="FV126">
        <v>2.1545399999999999</v>
      </c>
      <c r="FW126">
        <v>1.5478499999999999</v>
      </c>
      <c r="FX126">
        <v>2.3828100000000001</v>
      </c>
      <c r="FY126">
        <v>34.486400000000003</v>
      </c>
      <c r="FZ126">
        <v>15.8482</v>
      </c>
      <c r="GA126">
        <v>3</v>
      </c>
      <c r="GB126">
        <v>496.86099999999999</v>
      </c>
      <c r="GC126">
        <v>406.25799999999998</v>
      </c>
      <c r="GD126">
        <v>27.8825</v>
      </c>
      <c r="GE126">
        <v>29.969799999999999</v>
      </c>
      <c r="GF126">
        <v>30</v>
      </c>
      <c r="GG126">
        <v>30.267299999999999</v>
      </c>
      <c r="GH126">
        <v>30.319600000000001</v>
      </c>
      <c r="GI126">
        <v>-1</v>
      </c>
      <c r="GJ126">
        <v>0</v>
      </c>
      <c r="GK126">
        <v>100</v>
      </c>
      <c r="GL126">
        <v>27.8813</v>
      </c>
      <c r="GM126">
        <v>432.1</v>
      </c>
      <c r="GN126">
        <v>68.912800000000004</v>
      </c>
      <c r="GO126">
        <v>102.202</v>
      </c>
      <c r="GP126">
        <v>96.498900000000006</v>
      </c>
    </row>
    <row r="127" spans="1:198" x14ac:dyDescent="0.35">
      <c r="A127">
        <v>111</v>
      </c>
      <c r="B127">
        <v>1775487639.5</v>
      </c>
      <c r="C127">
        <v>6601</v>
      </c>
      <c r="D127" t="s">
        <v>664</v>
      </c>
      <c r="E127" t="s">
        <v>665</v>
      </c>
      <c r="F127">
        <v>60</v>
      </c>
      <c r="G127">
        <v>1775487631.5</v>
      </c>
      <c r="H127">
        <f t="shared" si="30"/>
        <v>2.2576518781662713E-3</v>
      </c>
      <c r="I127">
        <f t="shared" si="31"/>
        <v>2.2576518781662713</v>
      </c>
      <c r="J127">
        <f t="shared" si="32"/>
        <v>1.0579569185188356</v>
      </c>
      <c r="K127">
        <f t="shared" si="33"/>
        <v>27.65835483870968</v>
      </c>
      <c r="L127">
        <f t="shared" si="34"/>
        <v>-1.3678133489220894</v>
      </c>
      <c r="M127">
        <f t="shared" si="35"/>
        <v>-0.13723897616169384</v>
      </c>
      <c r="N127">
        <f t="shared" si="36"/>
        <v>2.7750893814369082</v>
      </c>
      <c r="O127">
        <f t="shared" si="37"/>
        <v>6.067528634919947E-2</v>
      </c>
      <c r="P127">
        <f t="shared" si="38"/>
        <v>2.394515696196946</v>
      </c>
      <c r="Q127">
        <f t="shared" si="39"/>
        <v>5.9833919925970168E-2</v>
      </c>
      <c r="R127">
        <f t="shared" si="40"/>
        <v>3.747082138690621E-2</v>
      </c>
      <c r="S127">
        <f t="shared" si="41"/>
        <v>0</v>
      </c>
      <c r="T127">
        <f t="shared" si="42"/>
        <v>26.58893052584688</v>
      </c>
      <c r="U127">
        <f t="shared" si="43"/>
        <v>27.373699999999999</v>
      </c>
      <c r="V127">
        <f t="shared" si="44"/>
        <v>3.6584728658671457</v>
      </c>
      <c r="W127">
        <f t="shared" si="45"/>
        <v>-1.6323771690165185</v>
      </c>
      <c r="X127">
        <f t="shared" si="46"/>
        <v>-5.9449671718092977E-2</v>
      </c>
      <c r="Y127">
        <f t="shared" si="47"/>
        <v>3.6419078168013379</v>
      </c>
      <c r="Z127">
        <f t="shared" si="48"/>
        <v>3.7179225375852387</v>
      </c>
      <c r="AA127">
        <f t="shared" si="49"/>
        <v>-99.562447827132559</v>
      </c>
      <c r="AB127">
        <f t="shared" si="50"/>
        <v>-9.9997204381081986</v>
      </c>
      <c r="AC127">
        <f t="shared" si="51"/>
        <v>-0.90427201656699585</v>
      </c>
      <c r="AD127">
        <f t="shared" si="52"/>
        <v>-110.46644028180775</v>
      </c>
      <c r="AE127">
        <v>14</v>
      </c>
      <c r="AF127">
        <v>3</v>
      </c>
      <c r="AG127">
        <f t="shared" si="53"/>
        <v>1</v>
      </c>
      <c r="AH127">
        <f t="shared" si="54"/>
        <v>0</v>
      </c>
      <c r="AI127">
        <f t="shared" si="55"/>
        <v>25584.644055786732</v>
      </c>
      <c r="AJ127">
        <f t="shared" si="56"/>
        <v>0</v>
      </c>
      <c r="AK127">
        <f t="shared" si="57"/>
        <v>0</v>
      </c>
      <c r="AL127">
        <f t="shared" si="58"/>
        <v>0</v>
      </c>
      <c r="AM127">
        <f t="shared" si="59"/>
        <v>0</v>
      </c>
      <c r="AN127">
        <v>3</v>
      </c>
      <c r="AO127">
        <v>0.5</v>
      </c>
      <c r="AP127" t="s">
        <v>331</v>
      </c>
      <c r="AQ127">
        <v>2</v>
      </c>
      <c r="AR127">
        <v>1775487631.5</v>
      </c>
      <c r="AS127">
        <v>27.65835483870968</v>
      </c>
      <c r="AT127">
        <v>28.330625806451621</v>
      </c>
      <c r="AU127">
        <v>-0.59251429032258063</v>
      </c>
      <c r="AV127">
        <v>-1.9479706451612899</v>
      </c>
      <c r="AW127">
        <v>19.619354838709679</v>
      </c>
      <c r="AX127">
        <v>0.39675670967741927</v>
      </c>
      <c r="AY127">
        <v>499.97690322580638</v>
      </c>
      <c r="AZ127">
        <v>100.2932258064516</v>
      </c>
      <c r="BA127">
        <v>4.1352935483870958E-2</v>
      </c>
      <c r="BB127">
        <v>27.296238709677421</v>
      </c>
      <c r="BC127">
        <v>27.373699999999999</v>
      </c>
      <c r="BD127">
        <v>999.90000000000032</v>
      </c>
      <c r="BE127">
        <v>0</v>
      </c>
      <c r="BF127">
        <v>0</v>
      </c>
      <c r="BG127">
        <v>5002.0483870967746</v>
      </c>
      <c r="BH127">
        <v>0.34899832258064523</v>
      </c>
      <c r="BI127">
        <v>0.23335625806451621</v>
      </c>
      <c r="BJ127">
        <v>-0.67102812903225806</v>
      </c>
      <c r="BK127">
        <v>27.64321935483871</v>
      </c>
      <c r="BL127">
        <v>28.275554838709681</v>
      </c>
      <c r="BM127">
        <v>1.3554567741935479</v>
      </c>
      <c r="BN127">
        <v>28.330625806451621</v>
      </c>
      <c r="BO127">
        <v>-1.9479706451612899</v>
      </c>
      <c r="BP127">
        <v>-5.9425164516129017E-2</v>
      </c>
      <c r="BQ127">
        <v>-0.1953682580645161</v>
      </c>
      <c r="BR127">
        <v>-99.900000000000034</v>
      </c>
      <c r="BS127">
        <v>-99.900000000000034</v>
      </c>
      <c r="BT127">
        <v>0</v>
      </c>
      <c r="BU127">
        <v>0</v>
      </c>
      <c r="BV127">
        <v>0</v>
      </c>
      <c r="BW127">
        <v>26</v>
      </c>
      <c r="BX127">
        <v>-1</v>
      </c>
      <c r="BY127">
        <v>1775487657</v>
      </c>
      <c r="BZ127" t="s">
        <v>666</v>
      </c>
      <c r="CA127">
        <v>1775487657</v>
      </c>
      <c r="CB127">
        <v>1775480969.5</v>
      </c>
      <c r="CC127">
        <v>112</v>
      </c>
      <c r="CD127">
        <v>-1E-3</v>
      </c>
      <c r="CE127">
        <v>0.19500000000000001</v>
      </c>
      <c r="CF127">
        <v>8.0389999999999997</v>
      </c>
      <c r="CG127">
        <v>-0.98899999999999999</v>
      </c>
      <c r="CH127">
        <v>29</v>
      </c>
      <c r="CI127">
        <v>-3</v>
      </c>
      <c r="CJ127">
        <v>0.28000000000000003</v>
      </c>
      <c r="CK127">
        <v>0.06</v>
      </c>
      <c r="CL127">
        <v>28.172554999999999</v>
      </c>
      <c r="CM127">
        <v>1.147806501806047</v>
      </c>
      <c r="CN127">
        <v>0.2392229381595056</v>
      </c>
      <c r="CO127">
        <v>-1</v>
      </c>
      <c r="CP127">
        <v>499.99678333333333</v>
      </c>
      <c r="CQ127">
        <v>-0.1070530702960166</v>
      </c>
      <c r="CR127">
        <v>5.3945371029915611E-2</v>
      </c>
      <c r="CS127">
        <v>-1</v>
      </c>
      <c r="CT127">
        <v>0</v>
      </c>
      <c r="CU127">
        <v>0</v>
      </c>
      <c r="CV127" t="s">
        <v>333</v>
      </c>
      <c r="CW127">
        <v>3.1674799999999999</v>
      </c>
      <c r="CX127">
        <v>2.6626099999999999</v>
      </c>
      <c r="CY127">
        <v>5.92363E-3</v>
      </c>
      <c r="CZ127">
        <v>8.5534200000000008E-3</v>
      </c>
      <c r="DA127">
        <v>3.1744400000000002E-3</v>
      </c>
      <c r="DB127">
        <v>-1.8004099999999999E-2</v>
      </c>
      <c r="DC127">
        <v>21446.1</v>
      </c>
      <c r="DD127">
        <v>21773.9</v>
      </c>
      <c r="DE127">
        <v>23101.8</v>
      </c>
      <c r="DF127">
        <v>22315</v>
      </c>
      <c r="DG127">
        <v>29698.2</v>
      </c>
      <c r="DH127">
        <v>27091.3</v>
      </c>
      <c r="DI127">
        <v>40604</v>
      </c>
      <c r="DJ127">
        <v>36982.199999999997</v>
      </c>
      <c r="DK127">
        <v>2.08372</v>
      </c>
      <c r="DL127">
        <v>1.7996799999999999</v>
      </c>
      <c r="DM127">
        <v>2.0858600000000001E-2</v>
      </c>
      <c r="DN127">
        <v>0</v>
      </c>
      <c r="DO127">
        <v>27.027799999999999</v>
      </c>
      <c r="DP127">
        <v>999.9</v>
      </c>
      <c r="DQ127">
        <v>76.3</v>
      </c>
      <c r="DR127">
        <v>30.1</v>
      </c>
      <c r="DS127">
        <v>32.6004</v>
      </c>
      <c r="DT127">
        <v>30.3447</v>
      </c>
      <c r="DU127">
        <v>9.9639399999999991</v>
      </c>
      <c r="DV127">
        <v>1</v>
      </c>
      <c r="DW127">
        <v>0.21732099999999999</v>
      </c>
      <c r="DX127">
        <v>-0.189582</v>
      </c>
      <c r="DY127">
        <v>20.367699999999999</v>
      </c>
      <c r="DZ127">
        <v>5.2117800000000001</v>
      </c>
      <c r="EA127">
        <v>11.8485</v>
      </c>
      <c r="EB127">
        <v>4.9678000000000004</v>
      </c>
      <c r="EC127">
        <v>3.2922799999999999</v>
      </c>
      <c r="ED127">
        <v>894.7</v>
      </c>
      <c r="EE127">
        <v>0</v>
      </c>
      <c r="EF127">
        <v>7296.6</v>
      </c>
      <c r="EG127">
        <v>110.7</v>
      </c>
      <c r="EH127">
        <v>4.9715800000000003</v>
      </c>
      <c r="EI127">
        <v>1.87181</v>
      </c>
      <c r="EJ127">
        <v>1.8690100000000001</v>
      </c>
      <c r="EK127">
        <v>1.8713500000000001</v>
      </c>
      <c r="EL127">
        <v>1.8691899999999999</v>
      </c>
      <c r="EM127">
        <v>1.8681099999999999</v>
      </c>
      <c r="EN127">
        <v>1.8698999999999999</v>
      </c>
      <c r="EO127">
        <v>1.87174</v>
      </c>
      <c r="EP127">
        <v>0</v>
      </c>
      <c r="EQ127">
        <v>0</v>
      </c>
      <c r="ER127">
        <v>0</v>
      </c>
      <c r="ES127">
        <v>0</v>
      </c>
      <c r="ET127" t="s">
        <v>334</v>
      </c>
      <c r="EU127" t="s">
        <v>335</v>
      </c>
      <c r="EV127" t="s">
        <v>336</v>
      </c>
      <c r="EW127" t="s">
        <v>336</v>
      </c>
      <c r="EX127" t="s">
        <v>336</v>
      </c>
      <c r="EY127" t="s">
        <v>336</v>
      </c>
      <c r="EZ127">
        <v>0</v>
      </c>
      <c r="FA127">
        <v>100</v>
      </c>
      <c r="FB127">
        <v>100</v>
      </c>
      <c r="FC127">
        <v>8.0389999999999997</v>
      </c>
      <c r="FD127">
        <v>-0.98929999999999996</v>
      </c>
      <c r="FE127">
        <v>8.0402450000000059</v>
      </c>
      <c r="FF127">
        <v>0</v>
      </c>
      <c r="FG127">
        <v>0</v>
      </c>
      <c r="FH127">
        <v>0</v>
      </c>
      <c r="FI127">
        <v>-0.98927100000000023</v>
      </c>
      <c r="FJ127">
        <v>0</v>
      </c>
      <c r="FK127">
        <v>0</v>
      </c>
      <c r="FL127">
        <v>0</v>
      </c>
      <c r="FM127">
        <v>-1</v>
      </c>
      <c r="FN127">
        <v>-1</v>
      </c>
      <c r="FO127">
        <v>-1</v>
      </c>
      <c r="FP127">
        <v>-1</v>
      </c>
      <c r="FQ127">
        <v>0.7</v>
      </c>
      <c r="FR127">
        <v>111.2</v>
      </c>
      <c r="FS127">
        <v>0.142822</v>
      </c>
      <c r="FT127">
        <v>4.99756</v>
      </c>
      <c r="FU127">
        <v>1.5979000000000001</v>
      </c>
      <c r="FV127">
        <v>2.1533199999999999</v>
      </c>
      <c r="FW127">
        <v>1.5478499999999999</v>
      </c>
      <c r="FX127">
        <v>2.36572</v>
      </c>
      <c r="FY127">
        <v>34.486400000000003</v>
      </c>
      <c r="FZ127">
        <v>15.839399999999999</v>
      </c>
      <c r="GA127">
        <v>3</v>
      </c>
      <c r="GB127">
        <v>496.85700000000003</v>
      </c>
      <c r="GC127">
        <v>406.416</v>
      </c>
      <c r="GD127">
        <v>27.882200000000001</v>
      </c>
      <c r="GE127">
        <v>29.9678</v>
      </c>
      <c r="GF127">
        <v>30.0001</v>
      </c>
      <c r="GG127">
        <v>30.2668</v>
      </c>
      <c r="GH127">
        <v>30.317499999999999</v>
      </c>
      <c r="GI127">
        <v>-1</v>
      </c>
      <c r="GJ127">
        <v>0</v>
      </c>
      <c r="GK127">
        <v>100</v>
      </c>
      <c r="GL127">
        <v>27.8874</v>
      </c>
      <c r="GM127">
        <v>432.1</v>
      </c>
      <c r="GN127">
        <v>68.912800000000004</v>
      </c>
      <c r="GO127">
        <v>102.203</v>
      </c>
      <c r="GP127">
        <v>96.499799999999993</v>
      </c>
    </row>
    <row r="128" spans="1:198" x14ac:dyDescent="0.35">
      <c r="A128">
        <v>112</v>
      </c>
      <c r="B128">
        <v>1775487699.5</v>
      </c>
      <c r="C128">
        <v>6661</v>
      </c>
      <c r="D128" t="s">
        <v>667</v>
      </c>
      <c r="E128" t="s">
        <v>668</v>
      </c>
      <c r="F128">
        <v>60</v>
      </c>
      <c r="G128">
        <v>1775487691.75</v>
      </c>
      <c r="H128">
        <f t="shared" si="30"/>
        <v>2.248097709339438E-3</v>
      </c>
      <c r="I128">
        <f t="shared" si="31"/>
        <v>2.2480977093394379</v>
      </c>
      <c r="J128">
        <f t="shared" si="32"/>
        <v>0.78367801110790447</v>
      </c>
      <c r="K128">
        <f t="shared" si="33"/>
        <v>28.37677333333334</v>
      </c>
      <c r="L128">
        <f t="shared" si="34"/>
        <v>6.3249134608656989</v>
      </c>
      <c r="M128">
        <f t="shared" si="35"/>
        <v>0.63460535958799646</v>
      </c>
      <c r="N128">
        <f t="shared" si="36"/>
        <v>2.8471618713155147</v>
      </c>
      <c r="O128">
        <f t="shared" si="37"/>
        <v>6.0406874050736394E-2</v>
      </c>
      <c r="P128">
        <f t="shared" si="38"/>
        <v>2.3933325399882266</v>
      </c>
      <c r="Q128">
        <f t="shared" si="39"/>
        <v>5.9572473833229271E-2</v>
      </c>
      <c r="R128">
        <f t="shared" si="40"/>
        <v>3.7306803469723461E-2</v>
      </c>
      <c r="S128">
        <f t="shared" si="41"/>
        <v>0</v>
      </c>
      <c r="T128">
        <f t="shared" si="42"/>
        <v>26.591825902563379</v>
      </c>
      <c r="U128">
        <f t="shared" si="43"/>
        <v>27.37598333333333</v>
      </c>
      <c r="V128">
        <f t="shared" si="44"/>
        <v>3.6589621513712687</v>
      </c>
      <c r="W128">
        <f t="shared" si="45"/>
        <v>-1.6324251092465818</v>
      </c>
      <c r="X128">
        <f t="shared" si="46"/>
        <v>-5.9452188641693625E-2</v>
      </c>
      <c r="Y128">
        <f t="shared" si="47"/>
        <v>3.6419550462031776</v>
      </c>
      <c r="Z128">
        <f t="shared" si="48"/>
        <v>3.7184143400129623</v>
      </c>
      <c r="AA128">
        <f t="shared" si="49"/>
        <v>-99.141108981869209</v>
      </c>
      <c r="AB128">
        <f t="shared" si="50"/>
        <v>-10.260843524410266</v>
      </c>
      <c r="AC128">
        <f t="shared" si="51"/>
        <v>-0.92835562522130488</v>
      </c>
      <c r="AD128">
        <f t="shared" si="52"/>
        <v>-110.33030813150077</v>
      </c>
      <c r="AE128">
        <v>14</v>
      </c>
      <c r="AF128">
        <v>3</v>
      </c>
      <c r="AG128">
        <f t="shared" si="53"/>
        <v>1</v>
      </c>
      <c r="AH128">
        <f t="shared" si="54"/>
        <v>0</v>
      </c>
      <c r="AI128">
        <f t="shared" si="55"/>
        <v>25566.654990145897</v>
      </c>
      <c r="AJ128">
        <f t="shared" si="56"/>
        <v>0</v>
      </c>
      <c r="AK128">
        <f t="shared" si="57"/>
        <v>0</v>
      </c>
      <c r="AL128">
        <f t="shared" si="58"/>
        <v>0</v>
      </c>
      <c r="AM128">
        <f t="shared" si="59"/>
        <v>0</v>
      </c>
      <c r="AN128">
        <v>3</v>
      </c>
      <c r="AO128">
        <v>0.5</v>
      </c>
      <c r="AP128" t="s">
        <v>331</v>
      </c>
      <c r="AQ128">
        <v>2</v>
      </c>
      <c r="AR128">
        <v>1775487691.75</v>
      </c>
      <c r="AS128">
        <v>28.37677333333334</v>
      </c>
      <c r="AT128">
        <v>28.88525666666666</v>
      </c>
      <c r="AU128">
        <v>-0.5925414</v>
      </c>
      <c r="AV128">
        <v>-1.9421999999999999</v>
      </c>
      <c r="AW128">
        <v>20.345773333333341</v>
      </c>
      <c r="AX128">
        <v>0.39672960000000013</v>
      </c>
      <c r="AY128">
        <v>499.99973333333332</v>
      </c>
      <c r="AZ128">
        <v>100.2926666666667</v>
      </c>
      <c r="BA128">
        <v>4.1569289999999988E-2</v>
      </c>
      <c r="BB128">
        <v>27.29646</v>
      </c>
      <c r="BC128">
        <v>27.37598333333333</v>
      </c>
      <c r="BD128">
        <v>999.9000000000002</v>
      </c>
      <c r="BE128">
        <v>0</v>
      </c>
      <c r="BF128">
        <v>0</v>
      </c>
      <c r="BG128">
        <v>4999.0333333333338</v>
      </c>
      <c r="BH128">
        <v>0.36452040000000002</v>
      </c>
      <c r="BI128">
        <v>0.23344266666666669</v>
      </c>
      <c r="BJ128">
        <v>-0.50020293333333343</v>
      </c>
      <c r="BK128">
        <v>28.368253333333332</v>
      </c>
      <c r="BL128">
        <v>28.829266666666658</v>
      </c>
      <c r="BM128">
        <v>1.3496583333333341</v>
      </c>
      <c r="BN128">
        <v>28.88525666666666</v>
      </c>
      <c r="BO128">
        <v>-1.9421999999999999</v>
      </c>
      <c r="BP128">
        <v>-5.9427599999999997E-2</v>
      </c>
      <c r="BQ128">
        <v>-0.19478843333333329</v>
      </c>
      <c r="BR128">
        <v>-99.900000000000034</v>
      </c>
      <c r="BS128">
        <v>-99.900000000000034</v>
      </c>
      <c r="BT128">
        <v>0</v>
      </c>
      <c r="BU128">
        <v>0</v>
      </c>
      <c r="BV128">
        <v>0</v>
      </c>
      <c r="BW128">
        <v>26</v>
      </c>
      <c r="BX128">
        <v>-1</v>
      </c>
      <c r="BY128">
        <v>1775487716</v>
      </c>
      <c r="BZ128" t="s">
        <v>669</v>
      </c>
      <c r="CA128">
        <v>1775487716</v>
      </c>
      <c r="CB128">
        <v>1775480969.5</v>
      </c>
      <c r="CC128">
        <v>113</v>
      </c>
      <c r="CD128">
        <v>-8.0000000000000002E-3</v>
      </c>
      <c r="CE128">
        <v>0.19500000000000001</v>
      </c>
      <c r="CF128">
        <v>8.0310000000000006</v>
      </c>
      <c r="CG128">
        <v>-0.98899999999999999</v>
      </c>
      <c r="CH128">
        <v>29</v>
      </c>
      <c r="CI128">
        <v>-3</v>
      </c>
      <c r="CJ128">
        <v>0.3</v>
      </c>
      <c r="CK128">
        <v>0.06</v>
      </c>
      <c r="CL128">
        <v>28.854575000000001</v>
      </c>
      <c r="CM128">
        <v>0.16298093914980449</v>
      </c>
      <c r="CN128">
        <v>4.5538008392257703E-2</v>
      </c>
      <c r="CO128">
        <v>-1</v>
      </c>
      <c r="CP128">
        <v>499.99938333333341</v>
      </c>
      <c r="CQ128">
        <v>-5.1047513189010829E-3</v>
      </c>
      <c r="CR128">
        <v>4.4007988542481238E-2</v>
      </c>
      <c r="CS128">
        <v>-1</v>
      </c>
      <c r="CT128">
        <v>0</v>
      </c>
      <c r="CU128">
        <v>0</v>
      </c>
      <c r="CV128" t="s">
        <v>333</v>
      </c>
      <c r="CW128">
        <v>3.1674799999999999</v>
      </c>
      <c r="CX128">
        <v>2.6629100000000001</v>
      </c>
      <c r="CY128">
        <v>6.0870999999999998E-3</v>
      </c>
      <c r="CZ128">
        <v>8.6298399999999997E-3</v>
      </c>
      <c r="DA128">
        <v>3.2030000000000001E-3</v>
      </c>
      <c r="DB128">
        <v>-1.79607E-2</v>
      </c>
      <c r="DC128">
        <v>21442.400000000001</v>
      </c>
      <c r="DD128">
        <v>21772.2</v>
      </c>
      <c r="DE128">
        <v>23101.599999999999</v>
      </c>
      <c r="DF128">
        <v>22314.9</v>
      </c>
      <c r="DG128">
        <v>29697.1</v>
      </c>
      <c r="DH128">
        <v>27090.1</v>
      </c>
      <c r="DI128">
        <v>40603.599999999999</v>
      </c>
      <c r="DJ128">
        <v>36982.199999999997</v>
      </c>
      <c r="DK128">
        <v>2.08378</v>
      </c>
      <c r="DL128">
        <v>1.7989200000000001</v>
      </c>
      <c r="DM128">
        <v>2.2923900000000001E-2</v>
      </c>
      <c r="DN128">
        <v>0</v>
      </c>
      <c r="DO128">
        <v>27.008800000000001</v>
      </c>
      <c r="DP128">
        <v>999.9</v>
      </c>
      <c r="DQ128">
        <v>76.3</v>
      </c>
      <c r="DR128">
        <v>30.1</v>
      </c>
      <c r="DS128">
        <v>32.595999999999997</v>
      </c>
      <c r="DT128">
        <v>30.224699999999999</v>
      </c>
      <c r="DU128">
        <v>9.9639399999999991</v>
      </c>
      <c r="DV128">
        <v>1</v>
      </c>
      <c r="DW128">
        <v>0.21679699999999999</v>
      </c>
      <c r="DX128">
        <v>-0.23824000000000001</v>
      </c>
      <c r="DY128">
        <v>20.367599999999999</v>
      </c>
      <c r="DZ128">
        <v>5.2127400000000002</v>
      </c>
      <c r="EA128">
        <v>11.8485</v>
      </c>
      <c r="EB128">
        <v>4.9677600000000002</v>
      </c>
      <c r="EC128">
        <v>3.2923</v>
      </c>
      <c r="ED128">
        <v>894.7</v>
      </c>
      <c r="EE128">
        <v>0</v>
      </c>
      <c r="EF128">
        <v>7328.9</v>
      </c>
      <c r="EG128">
        <v>110.7</v>
      </c>
      <c r="EH128">
        <v>4.9715699999999998</v>
      </c>
      <c r="EI128">
        <v>1.8717999999999999</v>
      </c>
      <c r="EJ128">
        <v>1.8690199999999999</v>
      </c>
      <c r="EK128">
        <v>1.8713599999999999</v>
      </c>
      <c r="EL128">
        <v>1.8691800000000001</v>
      </c>
      <c r="EM128">
        <v>1.86812</v>
      </c>
      <c r="EN128">
        <v>1.8699399999999999</v>
      </c>
      <c r="EO128">
        <v>1.8717699999999999</v>
      </c>
      <c r="EP128">
        <v>0</v>
      </c>
      <c r="EQ128">
        <v>0</v>
      </c>
      <c r="ER128">
        <v>0</v>
      </c>
      <c r="ES128">
        <v>0</v>
      </c>
      <c r="ET128" t="s">
        <v>334</v>
      </c>
      <c r="EU128" t="s">
        <v>335</v>
      </c>
      <c r="EV128" t="s">
        <v>336</v>
      </c>
      <c r="EW128" t="s">
        <v>336</v>
      </c>
      <c r="EX128" t="s">
        <v>336</v>
      </c>
      <c r="EY128" t="s">
        <v>336</v>
      </c>
      <c r="EZ128">
        <v>0</v>
      </c>
      <c r="FA128">
        <v>100</v>
      </c>
      <c r="FB128">
        <v>100</v>
      </c>
      <c r="FC128">
        <v>8.0310000000000006</v>
      </c>
      <c r="FD128">
        <v>-0.98929999999999996</v>
      </c>
      <c r="FE128">
        <v>8.039280952380949</v>
      </c>
      <c r="FF128">
        <v>0</v>
      </c>
      <c r="FG128">
        <v>0</v>
      </c>
      <c r="FH128">
        <v>0</v>
      </c>
      <c r="FI128">
        <v>-0.98927100000000023</v>
      </c>
      <c r="FJ128">
        <v>0</v>
      </c>
      <c r="FK128">
        <v>0</v>
      </c>
      <c r="FL128">
        <v>0</v>
      </c>
      <c r="FM128">
        <v>-1</v>
      </c>
      <c r="FN128">
        <v>-1</v>
      </c>
      <c r="FO128">
        <v>-1</v>
      </c>
      <c r="FP128">
        <v>-1</v>
      </c>
      <c r="FQ128">
        <v>0.7</v>
      </c>
      <c r="FR128">
        <v>112.2</v>
      </c>
      <c r="FS128">
        <v>0.142822</v>
      </c>
      <c r="FT128">
        <v>4.99756</v>
      </c>
      <c r="FU128">
        <v>1.5979000000000001</v>
      </c>
      <c r="FV128">
        <v>2.1545399999999999</v>
      </c>
      <c r="FW128">
        <v>1.5478499999999999</v>
      </c>
      <c r="FX128">
        <v>2.3791500000000001</v>
      </c>
      <c r="FY128">
        <v>34.5092</v>
      </c>
      <c r="FZ128">
        <v>15.8307</v>
      </c>
      <c r="GA128">
        <v>3</v>
      </c>
      <c r="GB128">
        <v>496.85599999999999</v>
      </c>
      <c r="GC128">
        <v>405.96</v>
      </c>
      <c r="GD128">
        <v>27.9391</v>
      </c>
      <c r="GE128">
        <v>29.962599999999998</v>
      </c>
      <c r="GF128">
        <v>30</v>
      </c>
      <c r="GG128">
        <v>30.2621</v>
      </c>
      <c r="GH128">
        <v>30.314399999999999</v>
      </c>
      <c r="GI128">
        <v>-1</v>
      </c>
      <c r="GJ128">
        <v>0</v>
      </c>
      <c r="GK128">
        <v>100</v>
      </c>
      <c r="GL128">
        <v>27.94</v>
      </c>
      <c r="GM128">
        <v>432.1</v>
      </c>
      <c r="GN128">
        <v>68.912800000000004</v>
      </c>
      <c r="GO128">
        <v>102.202</v>
      </c>
      <c r="GP128">
        <v>96.499700000000004</v>
      </c>
    </row>
    <row r="129" spans="1:198" x14ac:dyDescent="0.35">
      <c r="A129">
        <v>113</v>
      </c>
      <c r="B129">
        <v>1775487759.5</v>
      </c>
      <c r="C129">
        <v>6721</v>
      </c>
      <c r="D129" t="s">
        <v>670</v>
      </c>
      <c r="E129" t="s">
        <v>671</v>
      </c>
      <c r="F129">
        <v>60</v>
      </c>
      <c r="G129">
        <v>1775487751.75</v>
      </c>
      <c r="H129">
        <f t="shared" si="30"/>
        <v>2.2163818569892421E-3</v>
      </c>
      <c r="I129">
        <f t="shared" si="31"/>
        <v>2.2163818569892419</v>
      </c>
      <c r="J129">
        <f t="shared" si="32"/>
        <v>0.58338287946960987</v>
      </c>
      <c r="K129">
        <f t="shared" si="33"/>
        <v>28.59755333333332</v>
      </c>
      <c r="L129">
        <f t="shared" si="34"/>
        <v>11.520492464836961</v>
      </c>
      <c r="M129">
        <f t="shared" si="35"/>
        <v>1.155887273702495</v>
      </c>
      <c r="N129">
        <f t="shared" si="36"/>
        <v>2.8692825465509428</v>
      </c>
      <c r="O129">
        <f t="shared" si="37"/>
        <v>5.9519175617704395E-2</v>
      </c>
      <c r="P129">
        <f t="shared" si="38"/>
        <v>2.3945664487036797</v>
      </c>
      <c r="Q129">
        <f t="shared" si="39"/>
        <v>5.8709352787761071E-2</v>
      </c>
      <c r="R129">
        <f t="shared" si="40"/>
        <v>3.6765186862471821E-2</v>
      </c>
      <c r="S129">
        <f t="shared" si="41"/>
        <v>0</v>
      </c>
      <c r="T129">
        <f t="shared" si="42"/>
        <v>26.606964544920324</v>
      </c>
      <c r="U129">
        <f t="shared" si="43"/>
        <v>27.376953333333329</v>
      </c>
      <c r="V129">
        <f t="shared" si="44"/>
        <v>3.659170025708212</v>
      </c>
      <c r="W129">
        <f t="shared" si="45"/>
        <v>-1.665075414615274</v>
      </c>
      <c r="X129">
        <f t="shared" si="46"/>
        <v>-6.0658595135748429E-2</v>
      </c>
      <c r="Y129">
        <f t="shared" si="47"/>
        <v>3.6429938610176387</v>
      </c>
      <c r="Z129">
        <f t="shared" si="48"/>
        <v>3.7198286208439604</v>
      </c>
      <c r="AA129">
        <f t="shared" si="49"/>
        <v>-97.74243989322558</v>
      </c>
      <c r="AB129">
        <f t="shared" si="50"/>
        <v>-9.7630900549550415</v>
      </c>
      <c r="AC129">
        <f t="shared" si="51"/>
        <v>-0.88289166208959213</v>
      </c>
      <c r="AD129">
        <f t="shared" si="52"/>
        <v>-108.38842161027021</v>
      </c>
      <c r="AE129">
        <v>14</v>
      </c>
      <c r="AF129">
        <v>3</v>
      </c>
      <c r="AG129">
        <f t="shared" si="53"/>
        <v>1</v>
      </c>
      <c r="AH129">
        <f t="shared" si="54"/>
        <v>0</v>
      </c>
      <c r="AI129">
        <f t="shared" si="55"/>
        <v>25585.052386547752</v>
      </c>
      <c r="AJ129">
        <f t="shared" si="56"/>
        <v>0</v>
      </c>
      <c r="AK129">
        <f t="shared" si="57"/>
        <v>0</v>
      </c>
      <c r="AL129">
        <f t="shared" si="58"/>
        <v>0</v>
      </c>
      <c r="AM129">
        <f t="shared" si="59"/>
        <v>0</v>
      </c>
      <c r="AN129">
        <v>3</v>
      </c>
      <c r="AO129">
        <v>0.5</v>
      </c>
      <c r="AP129" t="s">
        <v>331</v>
      </c>
      <c r="AQ129">
        <v>2</v>
      </c>
      <c r="AR129">
        <v>1775487751.75</v>
      </c>
      <c r="AS129">
        <v>28.59755333333332</v>
      </c>
      <c r="AT129">
        <v>28.985590000000009</v>
      </c>
      <c r="AU129">
        <v>-0.60457183333333331</v>
      </c>
      <c r="AV129">
        <v>-1.9351263333333331</v>
      </c>
      <c r="AW129">
        <v>20.555553333333329</v>
      </c>
      <c r="AX129">
        <v>0.38469913333333328</v>
      </c>
      <c r="AY129">
        <v>500.02953333333329</v>
      </c>
      <c r="AZ129">
        <v>100.29146666666669</v>
      </c>
      <c r="BA129">
        <v>4.1681176666666667E-2</v>
      </c>
      <c r="BB129">
        <v>27.301326666666661</v>
      </c>
      <c r="BC129">
        <v>27.376953333333329</v>
      </c>
      <c r="BD129">
        <v>999.9000000000002</v>
      </c>
      <c r="BE129">
        <v>0</v>
      </c>
      <c r="BF129">
        <v>0</v>
      </c>
      <c r="BG129">
        <v>5002.2666666666664</v>
      </c>
      <c r="BH129">
        <v>0.36152786666666681</v>
      </c>
      <c r="BI129">
        <v>0.23344266666666669</v>
      </c>
      <c r="BJ129">
        <v>-0.39884700000000001</v>
      </c>
      <c r="BK129">
        <v>28.569466666666671</v>
      </c>
      <c r="BL129">
        <v>28.929606666666661</v>
      </c>
      <c r="BM129">
        <v>1.330554333333333</v>
      </c>
      <c r="BN129">
        <v>28.985590000000009</v>
      </c>
      <c r="BO129">
        <v>-1.9351263333333331</v>
      </c>
      <c r="BP129">
        <v>-6.0633396666666672E-2</v>
      </c>
      <c r="BQ129">
        <v>-0.19407659999999999</v>
      </c>
      <c r="BR129">
        <v>-99.900000000000034</v>
      </c>
      <c r="BS129">
        <v>-99.900000000000034</v>
      </c>
      <c r="BT129">
        <v>0</v>
      </c>
      <c r="BU129">
        <v>0</v>
      </c>
      <c r="BV129">
        <v>0</v>
      </c>
      <c r="BW129">
        <v>26</v>
      </c>
      <c r="BX129">
        <v>-1</v>
      </c>
      <c r="BY129">
        <v>1775487775.5</v>
      </c>
      <c r="BZ129" t="s">
        <v>672</v>
      </c>
      <c r="CA129">
        <v>1775487775.5</v>
      </c>
      <c r="CB129">
        <v>1775480969.5</v>
      </c>
      <c r="CC129">
        <v>114</v>
      </c>
      <c r="CD129">
        <v>1.0999999999999999E-2</v>
      </c>
      <c r="CE129">
        <v>0.19500000000000001</v>
      </c>
      <c r="CF129">
        <v>8.0419999999999998</v>
      </c>
      <c r="CG129">
        <v>-0.98899999999999999</v>
      </c>
      <c r="CH129">
        <v>29</v>
      </c>
      <c r="CI129">
        <v>-3</v>
      </c>
      <c r="CJ129">
        <v>0.16</v>
      </c>
      <c r="CK129">
        <v>0.06</v>
      </c>
      <c r="CL129">
        <v>29.061936666666661</v>
      </c>
      <c r="CM129">
        <v>-0.4285323701027477</v>
      </c>
      <c r="CN129">
        <v>8.3880325398086542E-2</v>
      </c>
      <c r="CO129">
        <v>-1</v>
      </c>
      <c r="CP129">
        <v>500.00336666666669</v>
      </c>
      <c r="CQ129">
        <v>7.5580994720952061E-2</v>
      </c>
      <c r="CR129">
        <v>4.5255926560935307E-2</v>
      </c>
      <c r="CS129">
        <v>-1</v>
      </c>
      <c r="CT129">
        <v>0</v>
      </c>
      <c r="CU129">
        <v>0</v>
      </c>
      <c r="CV129" t="s">
        <v>333</v>
      </c>
      <c r="CW129">
        <v>3.1675499999999999</v>
      </c>
      <c r="CX129">
        <v>2.6631499999999999</v>
      </c>
      <c r="CY129">
        <v>6.1208800000000004E-3</v>
      </c>
      <c r="CZ129">
        <v>8.6523599999999996E-3</v>
      </c>
      <c r="DA129">
        <v>3.11816E-3</v>
      </c>
      <c r="DB129">
        <v>-1.7870199999999999E-2</v>
      </c>
      <c r="DC129">
        <v>21442.1</v>
      </c>
      <c r="DD129">
        <v>21772.2</v>
      </c>
      <c r="DE129">
        <v>23102</v>
      </c>
      <c r="DF129">
        <v>22315.4</v>
      </c>
      <c r="DG129">
        <v>29700.1</v>
      </c>
      <c r="DH129">
        <v>27088.400000000001</v>
      </c>
      <c r="DI129">
        <v>40604.400000000001</v>
      </c>
      <c r="DJ129">
        <v>36983</v>
      </c>
      <c r="DK129">
        <v>2.08406</v>
      </c>
      <c r="DL129">
        <v>1.7991600000000001</v>
      </c>
      <c r="DM129">
        <v>2.2405399999999999E-2</v>
      </c>
      <c r="DN129">
        <v>0</v>
      </c>
      <c r="DO129">
        <v>27.008800000000001</v>
      </c>
      <c r="DP129">
        <v>999.9</v>
      </c>
      <c r="DQ129">
        <v>76.3</v>
      </c>
      <c r="DR129">
        <v>30.1</v>
      </c>
      <c r="DS129">
        <v>32.601799999999997</v>
      </c>
      <c r="DT129">
        <v>30.5547</v>
      </c>
      <c r="DU129">
        <v>9.6674699999999998</v>
      </c>
      <c r="DV129">
        <v>1</v>
      </c>
      <c r="DW129">
        <v>0.21612200000000001</v>
      </c>
      <c r="DX129">
        <v>-0.198325</v>
      </c>
      <c r="DY129">
        <v>20.3675</v>
      </c>
      <c r="DZ129">
        <v>5.2109399999999999</v>
      </c>
      <c r="EA129">
        <v>11.849500000000001</v>
      </c>
      <c r="EB129">
        <v>4.9676799999999997</v>
      </c>
      <c r="EC129">
        <v>3.2921800000000001</v>
      </c>
      <c r="ED129">
        <v>894.7</v>
      </c>
      <c r="EE129">
        <v>0</v>
      </c>
      <c r="EF129">
        <v>7355.9</v>
      </c>
      <c r="EG129">
        <v>110.7</v>
      </c>
      <c r="EH129">
        <v>4.9715999999999996</v>
      </c>
      <c r="EI129">
        <v>1.8717999999999999</v>
      </c>
      <c r="EJ129">
        <v>1.86897</v>
      </c>
      <c r="EK129">
        <v>1.8714299999999999</v>
      </c>
      <c r="EL129">
        <v>1.86917</v>
      </c>
      <c r="EM129">
        <v>1.86812</v>
      </c>
      <c r="EN129">
        <v>1.8699300000000001</v>
      </c>
      <c r="EO129">
        <v>1.87175</v>
      </c>
      <c r="EP129">
        <v>0</v>
      </c>
      <c r="EQ129">
        <v>0</v>
      </c>
      <c r="ER129">
        <v>0</v>
      </c>
      <c r="ES129">
        <v>0</v>
      </c>
      <c r="ET129" t="s">
        <v>334</v>
      </c>
      <c r="EU129" t="s">
        <v>335</v>
      </c>
      <c r="EV129" t="s">
        <v>336</v>
      </c>
      <c r="EW129" t="s">
        <v>336</v>
      </c>
      <c r="EX129" t="s">
        <v>336</v>
      </c>
      <c r="EY129" t="s">
        <v>336</v>
      </c>
      <c r="EZ129">
        <v>0</v>
      </c>
      <c r="FA129">
        <v>100</v>
      </c>
      <c r="FB129">
        <v>100</v>
      </c>
      <c r="FC129">
        <v>8.0419999999999998</v>
      </c>
      <c r="FD129">
        <v>-0.98929999999999996</v>
      </c>
      <c r="FE129">
        <v>8.0311904761904778</v>
      </c>
      <c r="FF129">
        <v>0</v>
      </c>
      <c r="FG129">
        <v>0</v>
      </c>
      <c r="FH129">
        <v>0</v>
      </c>
      <c r="FI129">
        <v>-0.98927100000000023</v>
      </c>
      <c r="FJ129">
        <v>0</v>
      </c>
      <c r="FK129">
        <v>0</v>
      </c>
      <c r="FL129">
        <v>0</v>
      </c>
      <c r="FM129">
        <v>-1</v>
      </c>
      <c r="FN129">
        <v>-1</v>
      </c>
      <c r="FO129">
        <v>-1</v>
      </c>
      <c r="FP129">
        <v>-1</v>
      </c>
      <c r="FQ129">
        <v>0.7</v>
      </c>
      <c r="FR129">
        <v>113.2</v>
      </c>
      <c r="FS129">
        <v>0.142822</v>
      </c>
      <c r="FT129">
        <v>4.99756</v>
      </c>
      <c r="FU129">
        <v>1.5979000000000001</v>
      </c>
      <c r="FV129">
        <v>2.1533199999999999</v>
      </c>
      <c r="FW129">
        <v>1.5478499999999999</v>
      </c>
      <c r="FX129">
        <v>2.4536099999999998</v>
      </c>
      <c r="FY129">
        <v>34.5092</v>
      </c>
      <c r="FZ129">
        <v>15.8307</v>
      </c>
      <c r="GA129">
        <v>3</v>
      </c>
      <c r="GB129">
        <v>496.976</v>
      </c>
      <c r="GC129">
        <v>406.05900000000003</v>
      </c>
      <c r="GD129">
        <v>27.905799999999999</v>
      </c>
      <c r="GE129">
        <v>29.954899999999999</v>
      </c>
      <c r="GF129">
        <v>30.0001</v>
      </c>
      <c r="GG129">
        <v>30.256599999999999</v>
      </c>
      <c r="GH129">
        <v>30.308599999999998</v>
      </c>
      <c r="GI129">
        <v>-1</v>
      </c>
      <c r="GJ129">
        <v>0</v>
      </c>
      <c r="GK129">
        <v>100</v>
      </c>
      <c r="GL129">
        <v>27.903400000000001</v>
      </c>
      <c r="GM129">
        <v>432.1</v>
      </c>
      <c r="GN129">
        <v>68.912800000000004</v>
      </c>
      <c r="GO129">
        <v>102.20399999999999</v>
      </c>
      <c r="GP129">
        <v>96.501900000000006</v>
      </c>
    </row>
    <row r="130" spans="1:198" x14ac:dyDescent="0.35">
      <c r="A130">
        <v>114</v>
      </c>
      <c r="B130">
        <v>1775487819.5</v>
      </c>
      <c r="C130">
        <v>6781</v>
      </c>
      <c r="D130" t="s">
        <v>673</v>
      </c>
      <c r="E130" t="s">
        <v>674</v>
      </c>
      <c r="F130">
        <v>60</v>
      </c>
      <c r="G130">
        <v>1775487811.5</v>
      </c>
      <c r="H130">
        <f t="shared" si="30"/>
        <v>2.1966478435605243E-3</v>
      </c>
      <c r="I130">
        <f t="shared" si="31"/>
        <v>2.1966478435605241</v>
      </c>
      <c r="J130">
        <f t="shared" si="32"/>
        <v>1.1179423479902844</v>
      </c>
      <c r="K130">
        <f t="shared" si="33"/>
        <v>29.16488064516129</v>
      </c>
      <c r="L130">
        <f t="shared" si="34"/>
        <v>-2.333039764658364</v>
      </c>
      <c r="M130">
        <f t="shared" si="35"/>
        <v>-0.23408090902193268</v>
      </c>
      <c r="N130">
        <f t="shared" si="36"/>
        <v>2.9262003487262556</v>
      </c>
      <c r="O130">
        <f t="shared" si="37"/>
        <v>5.8967635284700858E-2</v>
      </c>
      <c r="P130">
        <f t="shared" si="38"/>
        <v>2.3931988051905941</v>
      </c>
      <c r="Q130">
        <f t="shared" si="39"/>
        <v>5.8172195720099393E-2</v>
      </c>
      <c r="R130">
        <f t="shared" si="40"/>
        <v>3.6428195441659379E-2</v>
      </c>
      <c r="S130">
        <f t="shared" si="41"/>
        <v>0</v>
      </c>
      <c r="T130">
        <f t="shared" si="42"/>
        <v>26.610070975773723</v>
      </c>
      <c r="U130">
        <f t="shared" si="43"/>
        <v>27.375435483870969</v>
      </c>
      <c r="V130">
        <f t="shared" si="44"/>
        <v>3.6588447499011765</v>
      </c>
      <c r="W130">
        <f t="shared" si="45"/>
        <v>-1.7002852921399647</v>
      </c>
      <c r="X130">
        <f t="shared" si="46"/>
        <v>-6.1931439084640653E-2</v>
      </c>
      <c r="Y130">
        <f t="shared" si="47"/>
        <v>3.6424145624817039</v>
      </c>
      <c r="Z130">
        <f t="shared" si="48"/>
        <v>3.7207761889858171</v>
      </c>
      <c r="AA130">
        <f t="shared" si="49"/>
        <v>-96.87216990101912</v>
      </c>
      <c r="AB130">
        <f t="shared" si="50"/>
        <v>-9.9118132931067873</v>
      </c>
      <c r="AC130">
        <f t="shared" si="51"/>
        <v>-0.89683421865385271</v>
      </c>
      <c r="AD130">
        <f t="shared" si="52"/>
        <v>-107.68081741277976</v>
      </c>
      <c r="AE130">
        <v>14</v>
      </c>
      <c r="AF130">
        <v>3</v>
      </c>
      <c r="AG130">
        <f t="shared" si="53"/>
        <v>1</v>
      </c>
      <c r="AH130">
        <f t="shared" si="54"/>
        <v>0</v>
      </c>
      <c r="AI130">
        <f t="shared" si="55"/>
        <v>25564.480020962459</v>
      </c>
      <c r="AJ130">
        <f t="shared" si="56"/>
        <v>0</v>
      </c>
      <c r="AK130">
        <f t="shared" si="57"/>
        <v>0</v>
      </c>
      <c r="AL130">
        <f t="shared" si="58"/>
        <v>0</v>
      </c>
      <c r="AM130">
        <f t="shared" si="59"/>
        <v>0</v>
      </c>
      <c r="AN130">
        <v>3</v>
      </c>
      <c r="AO130">
        <v>0.5</v>
      </c>
      <c r="AP130" t="s">
        <v>331</v>
      </c>
      <c r="AQ130">
        <v>2</v>
      </c>
      <c r="AR130">
        <v>1775487811.5</v>
      </c>
      <c r="AS130">
        <v>29.16488064516129</v>
      </c>
      <c r="AT130">
        <v>29.8741129032258</v>
      </c>
      <c r="AU130">
        <v>-0.61725883870967746</v>
      </c>
      <c r="AV130">
        <v>-1.936112903225806</v>
      </c>
      <c r="AW130">
        <v>21.113880645161291</v>
      </c>
      <c r="AX130">
        <v>0.37201216129032261</v>
      </c>
      <c r="AY130">
        <v>499.98035483870967</v>
      </c>
      <c r="AZ130">
        <v>100.2916129032258</v>
      </c>
      <c r="BA130">
        <v>4.1400090322580643E-2</v>
      </c>
      <c r="BB130">
        <v>27.298612903225809</v>
      </c>
      <c r="BC130">
        <v>27.375435483870969</v>
      </c>
      <c r="BD130">
        <v>999.90000000000032</v>
      </c>
      <c r="BE130">
        <v>0</v>
      </c>
      <c r="BF130">
        <v>0</v>
      </c>
      <c r="BG130">
        <v>4998.7419354838712</v>
      </c>
      <c r="BH130">
        <v>0.37029777419354848</v>
      </c>
      <c r="BI130">
        <v>0.23331922580645159</v>
      </c>
      <c r="BJ130">
        <v>-0.71837519354838719</v>
      </c>
      <c r="BK130">
        <v>29.137745161290319</v>
      </c>
      <c r="BL130">
        <v>29.816377419354829</v>
      </c>
      <c r="BM130">
        <v>1.3188545161290319</v>
      </c>
      <c r="BN130">
        <v>29.8741129032258</v>
      </c>
      <c r="BO130">
        <v>-1.936112903225806</v>
      </c>
      <c r="BP130">
        <v>-6.1905883870967737E-2</v>
      </c>
      <c r="BQ130">
        <v>-0.19417599999999999</v>
      </c>
      <c r="BR130">
        <v>-99.900000000000034</v>
      </c>
      <c r="BS130">
        <v>-99.900000000000034</v>
      </c>
      <c r="BT130">
        <v>0</v>
      </c>
      <c r="BU130">
        <v>0</v>
      </c>
      <c r="BV130">
        <v>0</v>
      </c>
      <c r="BW130">
        <v>26</v>
      </c>
      <c r="BX130">
        <v>-1</v>
      </c>
      <c r="BY130">
        <v>1775487835.5</v>
      </c>
      <c r="BZ130" t="s">
        <v>675</v>
      </c>
      <c r="CA130">
        <v>1775487835.5</v>
      </c>
      <c r="CB130">
        <v>1775480969.5</v>
      </c>
      <c r="CC130">
        <v>115</v>
      </c>
      <c r="CD130">
        <v>8.9999999999999993E-3</v>
      </c>
      <c r="CE130">
        <v>0.19500000000000001</v>
      </c>
      <c r="CF130">
        <v>8.0510000000000002</v>
      </c>
      <c r="CG130">
        <v>-0.98899999999999999</v>
      </c>
      <c r="CH130">
        <v>30</v>
      </c>
      <c r="CI130">
        <v>-3</v>
      </c>
      <c r="CJ130">
        <v>0.13</v>
      </c>
      <c r="CK130">
        <v>0.06</v>
      </c>
      <c r="CL130">
        <v>29.565361666666671</v>
      </c>
      <c r="CM130">
        <v>1.998200722422939</v>
      </c>
      <c r="CN130">
        <v>0.3349772430537466</v>
      </c>
      <c r="CO130">
        <v>-1</v>
      </c>
      <c r="CP130">
        <v>499.99619999999987</v>
      </c>
      <c r="CQ130">
        <v>-5.2901361489034897E-2</v>
      </c>
      <c r="CR130">
        <v>6.401426924261848E-2</v>
      </c>
      <c r="CS130">
        <v>-1</v>
      </c>
      <c r="CT130">
        <v>0</v>
      </c>
      <c r="CU130">
        <v>0</v>
      </c>
      <c r="CV130" t="s">
        <v>333</v>
      </c>
      <c r="CW130">
        <v>3.1675</v>
      </c>
      <c r="CX130">
        <v>2.66256</v>
      </c>
      <c r="CY130">
        <v>6.3621700000000003E-3</v>
      </c>
      <c r="CZ130">
        <v>8.8415300000000002E-3</v>
      </c>
      <c r="DA130">
        <v>2.9877100000000002E-3</v>
      </c>
      <c r="DB130">
        <v>-1.7906999999999999E-2</v>
      </c>
      <c r="DC130">
        <v>21437.1</v>
      </c>
      <c r="DD130">
        <v>21768</v>
      </c>
      <c r="DE130">
        <v>23102.3</v>
      </c>
      <c r="DF130">
        <v>22315.4</v>
      </c>
      <c r="DG130">
        <v>29704.2</v>
      </c>
      <c r="DH130">
        <v>27089.3</v>
      </c>
      <c r="DI130">
        <v>40604.6</v>
      </c>
      <c r="DJ130">
        <v>36983</v>
      </c>
      <c r="DK130">
        <v>2.08426</v>
      </c>
      <c r="DL130">
        <v>1.7988</v>
      </c>
      <c r="DM130">
        <v>2.2059700000000002E-2</v>
      </c>
      <c r="DN130">
        <v>0</v>
      </c>
      <c r="DO130">
        <v>27.013300000000001</v>
      </c>
      <c r="DP130">
        <v>999.9</v>
      </c>
      <c r="DQ130">
        <v>76.3</v>
      </c>
      <c r="DR130">
        <v>30.1</v>
      </c>
      <c r="DS130">
        <v>32.599899999999998</v>
      </c>
      <c r="DT130">
        <v>30.494700000000002</v>
      </c>
      <c r="DU130">
        <v>9.8838100000000004</v>
      </c>
      <c r="DV130">
        <v>1</v>
      </c>
      <c r="DW130">
        <v>0.21538599999999999</v>
      </c>
      <c r="DX130">
        <v>-0.20883699999999999</v>
      </c>
      <c r="DY130">
        <v>20.3675</v>
      </c>
      <c r="DZ130">
        <v>5.2112999999999996</v>
      </c>
      <c r="EA130">
        <v>11.848699999999999</v>
      </c>
      <c r="EB130">
        <v>4.9674800000000001</v>
      </c>
      <c r="EC130">
        <v>3.2921999999999998</v>
      </c>
      <c r="ED130">
        <v>894.7</v>
      </c>
      <c r="EE130">
        <v>0</v>
      </c>
      <c r="EF130">
        <v>7389.2</v>
      </c>
      <c r="EG130">
        <v>110.7</v>
      </c>
      <c r="EH130">
        <v>4.9715800000000003</v>
      </c>
      <c r="EI130">
        <v>1.8717999999999999</v>
      </c>
      <c r="EJ130">
        <v>1.8689899999999999</v>
      </c>
      <c r="EK130">
        <v>1.87137</v>
      </c>
      <c r="EL130">
        <v>1.8691500000000001</v>
      </c>
      <c r="EM130">
        <v>1.8681300000000001</v>
      </c>
      <c r="EN130">
        <v>1.86991</v>
      </c>
      <c r="EO130">
        <v>1.87174</v>
      </c>
      <c r="EP130">
        <v>0</v>
      </c>
      <c r="EQ130">
        <v>0</v>
      </c>
      <c r="ER130">
        <v>0</v>
      </c>
      <c r="ES130">
        <v>0</v>
      </c>
      <c r="ET130" t="s">
        <v>334</v>
      </c>
      <c r="EU130" t="s">
        <v>335</v>
      </c>
      <c r="EV130" t="s">
        <v>336</v>
      </c>
      <c r="EW130" t="s">
        <v>336</v>
      </c>
      <c r="EX130" t="s">
        <v>336</v>
      </c>
      <c r="EY130" t="s">
        <v>336</v>
      </c>
      <c r="EZ130">
        <v>0</v>
      </c>
      <c r="FA130">
        <v>100</v>
      </c>
      <c r="FB130">
        <v>100</v>
      </c>
      <c r="FC130">
        <v>8.0510000000000002</v>
      </c>
      <c r="FD130">
        <v>-0.98929999999999996</v>
      </c>
      <c r="FE130">
        <v>8.0418649999999943</v>
      </c>
      <c r="FF130">
        <v>0</v>
      </c>
      <c r="FG130">
        <v>0</v>
      </c>
      <c r="FH130">
        <v>0</v>
      </c>
      <c r="FI130">
        <v>-0.98927100000000023</v>
      </c>
      <c r="FJ130">
        <v>0</v>
      </c>
      <c r="FK130">
        <v>0</v>
      </c>
      <c r="FL130">
        <v>0</v>
      </c>
      <c r="FM130">
        <v>-1</v>
      </c>
      <c r="FN130">
        <v>-1</v>
      </c>
      <c r="FO130">
        <v>-1</v>
      </c>
      <c r="FP130">
        <v>-1</v>
      </c>
      <c r="FQ130">
        <v>0.7</v>
      </c>
      <c r="FR130">
        <v>114.2</v>
      </c>
      <c r="FS130">
        <v>0.142822</v>
      </c>
      <c r="FT130">
        <v>4.99756</v>
      </c>
      <c r="FU130">
        <v>1.5979000000000001</v>
      </c>
      <c r="FV130">
        <v>2.1533199999999999</v>
      </c>
      <c r="FW130">
        <v>1.5478499999999999</v>
      </c>
      <c r="FX130">
        <v>2.36938</v>
      </c>
      <c r="FY130">
        <v>34.5092</v>
      </c>
      <c r="FZ130">
        <v>15.821899999999999</v>
      </c>
      <c r="GA130">
        <v>3</v>
      </c>
      <c r="GB130">
        <v>497.01799999999997</v>
      </c>
      <c r="GC130">
        <v>405.79500000000002</v>
      </c>
      <c r="GD130">
        <v>27.899699999999999</v>
      </c>
      <c r="GE130">
        <v>29.944500000000001</v>
      </c>
      <c r="GF130">
        <v>30</v>
      </c>
      <c r="GG130">
        <v>30.2469</v>
      </c>
      <c r="GH130">
        <v>30.299800000000001</v>
      </c>
      <c r="GI130">
        <v>-1</v>
      </c>
      <c r="GJ130">
        <v>0</v>
      </c>
      <c r="GK130">
        <v>100</v>
      </c>
      <c r="GL130">
        <v>27.900200000000002</v>
      </c>
      <c r="GM130">
        <v>432.1</v>
      </c>
      <c r="GN130">
        <v>68.912800000000004</v>
      </c>
      <c r="GO130">
        <v>102.205</v>
      </c>
      <c r="GP130">
        <v>96.501599999999996</v>
      </c>
    </row>
    <row r="131" spans="1:198" x14ac:dyDescent="0.35">
      <c r="A131">
        <v>115</v>
      </c>
      <c r="B131">
        <v>1775487879.5</v>
      </c>
      <c r="C131">
        <v>6841</v>
      </c>
      <c r="D131" t="s">
        <v>676</v>
      </c>
      <c r="E131" t="s">
        <v>677</v>
      </c>
      <c r="F131">
        <v>60</v>
      </c>
      <c r="G131">
        <v>1775487871.5</v>
      </c>
      <c r="H131">
        <f t="shared" si="30"/>
        <v>2.1920948831095411E-3</v>
      </c>
      <c r="I131">
        <f t="shared" si="31"/>
        <v>2.192094883109541</v>
      </c>
      <c r="J131">
        <f t="shared" si="32"/>
        <v>0.64480473338044286</v>
      </c>
      <c r="K131">
        <f t="shared" si="33"/>
        <v>29.46945483870968</v>
      </c>
      <c r="L131">
        <f t="shared" si="34"/>
        <v>10.524103007616393</v>
      </c>
      <c r="M131">
        <f t="shared" si="35"/>
        <v>1.0559212828195501</v>
      </c>
      <c r="N131">
        <f t="shared" si="36"/>
        <v>2.956776889656358</v>
      </c>
      <c r="O131">
        <f t="shared" si="37"/>
        <v>5.8837643617521349E-2</v>
      </c>
      <c r="P131">
        <f t="shared" si="38"/>
        <v>2.3927265041951178</v>
      </c>
      <c r="Q131">
        <f t="shared" si="39"/>
        <v>5.8045527759526878E-2</v>
      </c>
      <c r="R131">
        <f t="shared" si="40"/>
        <v>3.6348734838820972E-2</v>
      </c>
      <c r="S131">
        <f t="shared" si="41"/>
        <v>0</v>
      </c>
      <c r="T131">
        <f t="shared" si="42"/>
        <v>26.611761045991344</v>
      </c>
      <c r="U131">
        <f t="shared" si="43"/>
        <v>27.377348387096781</v>
      </c>
      <c r="V131">
        <f t="shared" si="44"/>
        <v>3.6592546900423981</v>
      </c>
      <c r="W131">
        <f t="shared" si="45"/>
        <v>-1.7001266348158006</v>
      </c>
      <c r="X131">
        <f t="shared" si="46"/>
        <v>-6.1927064897814389E-2</v>
      </c>
      <c r="Y131">
        <f t="shared" si="47"/>
        <v>3.6424971898945544</v>
      </c>
      <c r="Z131">
        <f t="shared" si="48"/>
        <v>3.7211817549402126</v>
      </c>
      <c r="AA131">
        <f t="shared" si="49"/>
        <v>-96.671384345130761</v>
      </c>
      <c r="AB131">
        <f t="shared" si="50"/>
        <v>-10.106681136753052</v>
      </c>
      <c r="AC131">
        <f t="shared" si="51"/>
        <v>-0.91465713766140233</v>
      </c>
      <c r="AD131">
        <f t="shared" si="52"/>
        <v>-107.69272261954522</v>
      </c>
      <c r="AE131">
        <v>14</v>
      </c>
      <c r="AF131">
        <v>3</v>
      </c>
      <c r="AG131">
        <f t="shared" si="53"/>
        <v>1</v>
      </c>
      <c r="AH131">
        <f t="shared" si="54"/>
        <v>0</v>
      </c>
      <c r="AI131">
        <f t="shared" si="55"/>
        <v>25557.256180209839</v>
      </c>
      <c r="AJ131">
        <f t="shared" si="56"/>
        <v>0</v>
      </c>
      <c r="AK131">
        <f t="shared" si="57"/>
        <v>0</v>
      </c>
      <c r="AL131">
        <f t="shared" si="58"/>
        <v>0</v>
      </c>
      <c r="AM131">
        <f t="shared" si="59"/>
        <v>0</v>
      </c>
      <c r="AN131">
        <v>3</v>
      </c>
      <c r="AO131">
        <v>0.5</v>
      </c>
      <c r="AP131" t="s">
        <v>331</v>
      </c>
      <c r="AQ131">
        <v>2</v>
      </c>
      <c r="AR131">
        <v>1775487871.5</v>
      </c>
      <c r="AS131">
        <v>29.46945483870968</v>
      </c>
      <c r="AT131">
        <v>29.895099999999999</v>
      </c>
      <c r="AU131">
        <v>-0.6172115483870968</v>
      </c>
      <c r="AV131">
        <v>-1.9332877419354839</v>
      </c>
      <c r="AW131">
        <v>21.420454838709681</v>
      </c>
      <c r="AX131">
        <v>0.37205945161290321</v>
      </c>
      <c r="AY131">
        <v>499.99716129032271</v>
      </c>
      <c r="AZ131">
        <v>100.29183870967741</v>
      </c>
      <c r="BA131">
        <v>4.1774716129032247E-2</v>
      </c>
      <c r="BB131">
        <v>27.298999999999989</v>
      </c>
      <c r="BC131">
        <v>27.377348387096781</v>
      </c>
      <c r="BD131">
        <v>999.90000000000032</v>
      </c>
      <c r="BE131">
        <v>0</v>
      </c>
      <c r="BF131">
        <v>0</v>
      </c>
      <c r="BG131">
        <v>4997.5161290322594</v>
      </c>
      <c r="BH131">
        <v>0.36206906451612902</v>
      </c>
      <c r="BI131">
        <v>0.23331922580645159</v>
      </c>
      <c r="BJ131">
        <v>-0.42397880645161301</v>
      </c>
      <c r="BK131">
        <v>29.452948387096779</v>
      </c>
      <c r="BL131">
        <v>29.837425806451609</v>
      </c>
      <c r="BM131">
        <v>1.3160754838709681</v>
      </c>
      <c r="BN131">
        <v>29.895099999999999</v>
      </c>
      <c r="BO131">
        <v>-1.9332877419354839</v>
      </c>
      <c r="BP131">
        <v>-6.1901258064516129E-2</v>
      </c>
      <c r="BQ131">
        <v>-0.19389296774193551</v>
      </c>
      <c r="BR131">
        <v>-99.900000000000034</v>
      </c>
      <c r="BS131">
        <v>-99.900000000000034</v>
      </c>
      <c r="BT131">
        <v>0</v>
      </c>
      <c r="BU131">
        <v>0</v>
      </c>
      <c r="BV131">
        <v>0</v>
      </c>
      <c r="BW131">
        <v>26</v>
      </c>
      <c r="BX131">
        <v>-1</v>
      </c>
      <c r="BY131">
        <v>1775487895.5</v>
      </c>
      <c r="BZ131" t="s">
        <v>678</v>
      </c>
      <c r="CA131">
        <v>1775487895.5</v>
      </c>
      <c r="CB131">
        <v>1775480969.5</v>
      </c>
      <c r="CC131">
        <v>116</v>
      </c>
      <c r="CD131">
        <v>-1E-3</v>
      </c>
      <c r="CE131">
        <v>0.19500000000000001</v>
      </c>
      <c r="CF131">
        <v>8.0489999999999995</v>
      </c>
      <c r="CG131">
        <v>-0.98899999999999999</v>
      </c>
      <c r="CH131">
        <v>30</v>
      </c>
      <c r="CI131">
        <v>-3</v>
      </c>
      <c r="CJ131">
        <v>0.19</v>
      </c>
      <c r="CK131">
        <v>0.06</v>
      </c>
      <c r="CL131">
        <v>29.94324098360655</v>
      </c>
      <c r="CM131">
        <v>-7.8956953992553258E-2</v>
      </c>
      <c r="CN131">
        <v>0.1221370157463576</v>
      </c>
      <c r="CO131">
        <v>-1</v>
      </c>
      <c r="CP131">
        <v>499.98529508196708</v>
      </c>
      <c r="CQ131">
        <v>8.2166049708584113E-2</v>
      </c>
      <c r="CR131">
        <v>4.3098189175872839E-2</v>
      </c>
      <c r="CS131">
        <v>-1</v>
      </c>
      <c r="CT131">
        <v>0</v>
      </c>
      <c r="CU131">
        <v>0</v>
      </c>
      <c r="CV131" t="s">
        <v>333</v>
      </c>
      <c r="CW131">
        <v>3.1674899999999999</v>
      </c>
      <c r="CX131">
        <v>2.6629999999999998</v>
      </c>
      <c r="CY131">
        <v>6.3966300000000004E-3</v>
      </c>
      <c r="CZ131">
        <v>8.9035799999999995E-3</v>
      </c>
      <c r="DA131">
        <v>3.04259E-3</v>
      </c>
      <c r="DB131">
        <v>-1.7847999999999999E-2</v>
      </c>
      <c r="DC131">
        <v>21436.9</v>
      </c>
      <c r="DD131">
        <v>21767.200000000001</v>
      </c>
      <c r="DE131">
        <v>23102.7</v>
      </c>
      <c r="DF131">
        <v>22315.8</v>
      </c>
      <c r="DG131">
        <v>29703.3</v>
      </c>
      <c r="DH131">
        <v>27088.5</v>
      </c>
      <c r="DI131">
        <v>40605.599999999999</v>
      </c>
      <c r="DJ131">
        <v>36984</v>
      </c>
      <c r="DK131">
        <v>2.0841799999999999</v>
      </c>
      <c r="DL131">
        <v>1.7989599999999999</v>
      </c>
      <c r="DM131">
        <v>2.2357700000000001E-2</v>
      </c>
      <c r="DN131">
        <v>0</v>
      </c>
      <c r="DO131">
        <v>27.015599999999999</v>
      </c>
      <c r="DP131">
        <v>999.9</v>
      </c>
      <c r="DQ131">
        <v>76.3</v>
      </c>
      <c r="DR131">
        <v>30.1</v>
      </c>
      <c r="DS131">
        <v>32.599499999999999</v>
      </c>
      <c r="DT131">
        <v>30.6447</v>
      </c>
      <c r="DU131">
        <v>9.9959900000000008</v>
      </c>
      <c r="DV131">
        <v>1</v>
      </c>
      <c r="DW131">
        <v>0.21415400000000001</v>
      </c>
      <c r="DX131">
        <v>-0.22520699999999999</v>
      </c>
      <c r="DY131">
        <v>20.367699999999999</v>
      </c>
      <c r="DZ131">
        <v>5.2114200000000004</v>
      </c>
      <c r="EA131">
        <v>11.8492</v>
      </c>
      <c r="EB131">
        <v>4.9676799999999997</v>
      </c>
      <c r="EC131">
        <v>3.2921</v>
      </c>
      <c r="ED131">
        <v>894.7</v>
      </c>
      <c r="EE131">
        <v>0</v>
      </c>
      <c r="EF131">
        <v>7421.7</v>
      </c>
      <c r="EG131">
        <v>110.7</v>
      </c>
      <c r="EH131">
        <v>4.9715800000000003</v>
      </c>
      <c r="EI131">
        <v>1.8717999999999999</v>
      </c>
      <c r="EJ131">
        <v>1.86897</v>
      </c>
      <c r="EK131">
        <v>1.8713900000000001</v>
      </c>
      <c r="EL131">
        <v>1.8691800000000001</v>
      </c>
      <c r="EM131">
        <v>1.86812</v>
      </c>
      <c r="EN131">
        <v>1.86995</v>
      </c>
      <c r="EO131">
        <v>1.87175</v>
      </c>
      <c r="EP131">
        <v>0</v>
      </c>
      <c r="EQ131">
        <v>0</v>
      </c>
      <c r="ER131">
        <v>0</v>
      </c>
      <c r="ES131">
        <v>0</v>
      </c>
      <c r="ET131" t="s">
        <v>334</v>
      </c>
      <c r="EU131" t="s">
        <v>335</v>
      </c>
      <c r="EV131" t="s">
        <v>336</v>
      </c>
      <c r="EW131" t="s">
        <v>336</v>
      </c>
      <c r="EX131" t="s">
        <v>336</v>
      </c>
      <c r="EY131" t="s">
        <v>336</v>
      </c>
      <c r="EZ131">
        <v>0</v>
      </c>
      <c r="FA131">
        <v>100</v>
      </c>
      <c r="FB131">
        <v>100</v>
      </c>
      <c r="FC131">
        <v>8.0489999999999995</v>
      </c>
      <c r="FD131">
        <v>-0.98929999999999996</v>
      </c>
      <c r="FE131">
        <v>8.0506749999999982</v>
      </c>
      <c r="FF131">
        <v>0</v>
      </c>
      <c r="FG131">
        <v>0</v>
      </c>
      <c r="FH131">
        <v>0</v>
      </c>
      <c r="FI131">
        <v>-0.98927100000000023</v>
      </c>
      <c r="FJ131">
        <v>0</v>
      </c>
      <c r="FK131">
        <v>0</v>
      </c>
      <c r="FL131">
        <v>0</v>
      </c>
      <c r="FM131">
        <v>-1</v>
      </c>
      <c r="FN131">
        <v>-1</v>
      </c>
      <c r="FO131">
        <v>-1</v>
      </c>
      <c r="FP131">
        <v>-1</v>
      </c>
      <c r="FQ131">
        <v>0.7</v>
      </c>
      <c r="FR131">
        <v>115.2</v>
      </c>
      <c r="FS131">
        <v>0.142822</v>
      </c>
      <c r="FT131">
        <v>4.99756</v>
      </c>
      <c r="FU131">
        <v>1.5979000000000001</v>
      </c>
      <c r="FV131">
        <v>2.1533199999999999</v>
      </c>
      <c r="FW131">
        <v>1.5478499999999999</v>
      </c>
      <c r="FX131">
        <v>2.3913600000000002</v>
      </c>
      <c r="FY131">
        <v>34.5321</v>
      </c>
      <c r="FZ131">
        <v>15.8132</v>
      </c>
      <c r="GA131">
        <v>3</v>
      </c>
      <c r="GB131">
        <v>496.9</v>
      </c>
      <c r="GC131">
        <v>405.83199999999999</v>
      </c>
      <c r="GD131">
        <v>27.914000000000001</v>
      </c>
      <c r="GE131">
        <v>29.932300000000001</v>
      </c>
      <c r="GF131">
        <v>30</v>
      </c>
      <c r="GG131">
        <v>30.2376</v>
      </c>
      <c r="GH131">
        <v>30.291399999999999</v>
      </c>
      <c r="GI131">
        <v>-1</v>
      </c>
      <c r="GJ131">
        <v>0</v>
      </c>
      <c r="GK131">
        <v>100</v>
      </c>
      <c r="GL131">
        <v>27.9145</v>
      </c>
      <c r="GM131">
        <v>432.1</v>
      </c>
      <c r="GN131">
        <v>68.912800000000004</v>
      </c>
      <c r="GO131">
        <v>102.20699999999999</v>
      </c>
      <c r="GP131">
        <v>96.504099999999994</v>
      </c>
    </row>
    <row r="132" spans="1:198" x14ac:dyDescent="0.35">
      <c r="A132">
        <v>116</v>
      </c>
      <c r="B132">
        <v>1775487939.5</v>
      </c>
      <c r="C132">
        <v>6901</v>
      </c>
      <c r="D132" t="s">
        <v>679</v>
      </c>
      <c r="E132" t="s">
        <v>680</v>
      </c>
      <c r="F132">
        <v>60</v>
      </c>
      <c r="G132">
        <v>1775487931.5</v>
      </c>
      <c r="H132">
        <f t="shared" si="30"/>
        <v>2.182222952292083E-3</v>
      </c>
      <c r="I132">
        <f t="shared" si="31"/>
        <v>2.1822229522920829</v>
      </c>
      <c r="J132">
        <f t="shared" si="32"/>
        <v>0.95605620772410327</v>
      </c>
      <c r="K132">
        <f t="shared" si="33"/>
        <v>29.53535161290322</v>
      </c>
      <c r="L132">
        <f t="shared" si="34"/>
        <v>2.1686558990027609</v>
      </c>
      <c r="M132">
        <f t="shared" si="35"/>
        <v>0.21758759524099586</v>
      </c>
      <c r="N132">
        <f t="shared" si="36"/>
        <v>2.9633682941604831</v>
      </c>
      <c r="O132">
        <f t="shared" si="37"/>
        <v>5.8592757997439453E-2</v>
      </c>
      <c r="P132">
        <f t="shared" si="38"/>
        <v>2.3920221472613541</v>
      </c>
      <c r="Q132">
        <f t="shared" si="39"/>
        <v>5.7806946630887264E-2</v>
      </c>
      <c r="R132">
        <f t="shared" si="40"/>
        <v>3.6199065627677537E-2</v>
      </c>
      <c r="S132">
        <f t="shared" si="41"/>
        <v>0</v>
      </c>
      <c r="T132">
        <f t="shared" si="42"/>
        <v>26.616949948590513</v>
      </c>
      <c r="U132">
        <f t="shared" si="43"/>
        <v>27.376496774193551</v>
      </c>
      <c r="V132">
        <f t="shared" si="44"/>
        <v>3.6590721822300214</v>
      </c>
      <c r="W132">
        <f t="shared" si="45"/>
        <v>-1.6632742154681839</v>
      </c>
      <c r="X132">
        <f t="shared" si="46"/>
        <v>-6.0592802694974766E-2</v>
      </c>
      <c r="Y132">
        <f t="shared" si="47"/>
        <v>3.6429833476327236</v>
      </c>
      <c r="Z132">
        <f t="shared" si="48"/>
        <v>3.7196649849249961</v>
      </c>
      <c r="AA132">
        <f t="shared" si="49"/>
        <v>-96.236032196080856</v>
      </c>
      <c r="AB132">
        <f t="shared" si="50"/>
        <v>-9.7001900646375372</v>
      </c>
      <c r="AC132">
        <f t="shared" si="51"/>
        <v>-0.87813434554286329</v>
      </c>
      <c r="AD132">
        <f t="shared" si="52"/>
        <v>-106.81435660626126</v>
      </c>
      <c r="AE132">
        <v>14</v>
      </c>
      <c r="AF132">
        <v>3</v>
      </c>
      <c r="AG132">
        <f t="shared" si="53"/>
        <v>1</v>
      </c>
      <c r="AH132">
        <f t="shared" si="54"/>
        <v>0</v>
      </c>
      <c r="AI132">
        <f t="shared" si="55"/>
        <v>25546.381784906716</v>
      </c>
      <c r="AJ132">
        <f t="shared" si="56"/>
        <v>0</v>
      </c>
      <c r="AK132">
        <f t="shared" si="57"/>
        <v>0</v>
      </c>
      <c r="AL132">
        <f t="shared" si="58"/>
        <v>0</v>
      </c>
      <c r="AM132">
        <f t="shared" si="59"/>
        <v>0</v>
      </c>
      <c r="AN132">
        <v>3</v>
      </c>
      <c r="AO132">
        <v>0.5</v>
      </c>
      <c r="AP132" t="s">
        <v>331</v>
      </c>
      <c r="AQ132">
        <v>2</v>
      </c>
      <c r="AR132">
        <v>1775487931.5</v>
      </c>
      <c r="AS132">
        <v>29.53535161290322</v>
      </c>
      <c r="AT132">
        <v>30.14766451612903</v>
      </c>
      <c r="AU132">
        <v>-0.60391741935483878</v>
      </c>
      <c r="AV132">
        <v>-1.914058064516128</v>
      </c>
      <c r="AW132">
        <v>21.488351612903219</v>
      </c>
      <c r="AX132">
        <v>0.38535358064516118</v>
      </c>
      <c r="AY132">
        <v>499.99383870967739</v>
      </c>
      <c r="AZ132">
        <v>100.29109677419351</v>
      </c>
      <c r="BA132">
        <v>4.1830796774193553E-2</v>
      </c>
      <c r="BB132">
        <v>27.30127741935484</v>
      </c>
      <c r="BC132">
        <v>27.376496774193551</v>
      </c>
      <c r="BD132">
        <v>999.90000000000032</v>
      </c>
      <c r="BE132">
        <v>0</v>
      </c>
      <c r="BF132">
        <v>0</v>
      </c>
      <c r="BG132">
        <v>4995.7419354838712</v>
      </c>
      <c r="BH132">
        <v>0.37874158064516128</v>
      </c>
      <c r="BI132">
        <v>0.23331922580645159</v>
      </c>
      <c r="BJ132">
        <v>-0.60982738709677409</v>
      </c>
      <c r="BK132">
        <v>29.520009677419349</v>
      </c>
      <c r="BL132">
        <v>30.090067741935488</v>
      </c>
      <c r="BM132">
        <v>1.31014064516129</v>
      </c>
      <c r="BN132">
        <v>30.14766451612903</v>
      </c>
      <c r="BO132">
        <v>-1.914058064516128</v>
      </c>
      <c r="BP132">
        <v>-6.0567577419354833E-2</v>
      </c>
      <c r="BQ132">
        <v>-0.191962935483871</v>
      </c>
      <c r="BR132">
        <v>-99.900000000000034</v>
      </c>
      <c r="BS132">
        <v>-99.900000000000034</v>
      </c>
      <c r="BT132">
        <v>0</v>
      </c>
      <c r="BU132">
        <v>0</v>
      </c>
      <c r="BV132">
        <v>0</v>
      </c>
      <c r="BW132">
        <v>26</v>
      </c>
      <c r="BX132">
        <v>-1</v>
      </c>
      <c r="BY132">
        <v>1775487955.5</v>
      </c>
      <c r="BZ132" t="s">
        <v>681</v>
      </c>
      <c r="CA132">
        <v>1775487955.5</v>
      </c>
      <c r="CB132">
        <v>1775480969.5</v>
      </c>
      <c r="CC132">
        <v>117</v>
      </c>
      <c r="CD132">
        <v>-3.0000000000000001E-3</v>
      </c>
      <c r="CE132">
        <v>0.19500000000000001</v>
      </c>
      <c r="CF132">
        <v>8.0470000000000006</v>
      </c>
      <c r="CG132">
        <v>-0.98899999999999999</v>
      </c>
      <c r="CH132">
        <v>30</v>
      </c>
      <c r="CI132">
        <v>-3</v>
      </c>
      <c r="CJ132">
        <v>0.16</v>
      </c>
      <c r="CK132">
        <v>0.06</v>
      </c>
      <c r="CL132">
        <v>29.954756666666661</v>
      </c>
      <c r="CM132">
        <v>1.332736871353229</v>
      </c>
      <c r="CN132">
        <v>0.23395561713472271</v>
      </c>
      <c r="CO132">
        <v>-1</v>
      </c>
      <c r="CP132">
        <v>500.00656666666669</v>
      </c>
      <c r="CQ132">
        <v>-1.4684078910112201E-2</v>
      </c>
      <c r="CR132">
        <v>4.1711855495637017E-2</v>
      </c>
      <c r="CS132">
        <v>-1</v>
      </c>
      <c r="CT132">
        <v>0</v>
      </c>
      <c r="CU132">
        <v>0</v>
      </c>
      <c r="CV132" t="s">
        <v>333</v>
      </c>
      <c r="CW132">
        <v>3.1673399999999998</v>
      </c>
      <c r="CX132">
        <v>2.66343</v>
      </c>
      <c r="CY132">
        <v>6.44868E-3</v>
      </c>
      <c r="CZ132">
        <v>8.8941999999999997E-3</v>
      </c>
      <c r="DA132">
        <v>3.1235099999999999E-3</v>
      </c>
      <c r="DB132">
        <v>-1.7648799999999999E-2</v>
      </c>
      <c r="DC132">
        <v>21435.9</v>
      </c>
      <c r="DD132">
        <v>21767.5</v>
      </c>
      <c r="DE132">
        <v>23102.9</v>
      </c>
      <c r="DF132">
        <v>22315.9</v>
      </c>
      <c r="DG132">
        <v>29701</v>
      </c>
      <c r="DH132">
        <v>27083.4</v>
      </c>
      <c r="DI132">
        <v>40605.699999999997</v>
      </c>
      <c r="DJ132">
        <v>36984.300000000003</v>
      </c>
      <c r="DK132">
        <v>2.0842800000000001</v>
      </c>
      <c r="DL132">
        <v>1.8002</v>
      </c>
      <c r="DM132">
        <v>2.2286199999999999E-2</v>
      </c>
      <c r="DN132">
        <v>0</v>
      </c>
      <c r="DO132">
        <v>27.006499999999999</v>
      </c>
      <c r="DP132">
        <v>999.9</v>
      </c>
      <c r="DQ132">
        <v>76.2</v>
      </c>
      <c r="DR132">
        <v>30.1</v>
      </c>
      <c r="DS132">
        <v>32.557299999999998</v>
      </c>
      <c r="DT132">
        <v>30.764700000000001</v>
      </c>
      <c r="DU132">
        <v>9.6794899999999995</v>
      </c>
      <c r="DV132">
        <v>1</v>
      </c>
      <c r="DW132">
        <v>0.21307499999999999</v>
      </c>
      <c r="DX132">
        <v>-0.20507</v>
      </c>
      <c r="DY132">
        <v>20.367699999999999</v>
      </c>
      <c r="DZ132">
        <v>5.2112999999999996</v>
      </c>
      <c r="EA132">
        <v>11.8485</v>
      </c>
      <c r="EB132">
        <v>4.9677199999999999</v>
      </c>
      <c r="EC132">
        <v>3.2921399999999998</v>
      </c>
      <c r="ED132">
        <v>894.7</v>
      </c>
      <c r="EE132">
        <v>0</v>
      </c>
      <c r="EF132">
        <v>7448.5</v>
      </c>
      <c r="EG132">
        <v>110.7</v>
      </c>
      <c r="EH132">
        <v>4.97159</v>
      </c>
      <c r="EI132">
        <v>1.87181</v>
      </c>
      <c r="EJ132">
        <v>1.8689899999999999</v>
      </c>
      <c r="EK132">
        <v>1.8714599999999999</v>
      </c>
      <c r="EL132">
        <v>1.8691899999999999</v>
      </c>
      <c r="EM132">
        <v>1.8681300000000001</v>
      </c>
      <c r="EN132">
        <v>1.8699600000000001</v>
      </c>
      <c r="EO132">
        <v>1.8717900000000001</v>
      </c>
      <c r="EP132">
        <v>0</v>
      </c>
      <c r="EQ132">
        <v>0</v>
      </c>
      <c r="ER132">
        <v>0</v>
      </c>
      <c r="ES132">
        <v>0</v>
      </c>
      <c r="ET132" t="s">
        <v>334</v>
      </c>
      <c r="EU132" t="s">
        <v>335</v>
      </c>
      <c r="EV132" t="s">
        <v>336</v>
      </c>
      <c r="EW132" t="s">
        <v>336</v>
      </c>
      <c r="EX132" t="s">
        <v>336</v>
      </c>
      <c r="EY132" t="s">
        <v>336</v>
      </c>
      <c r="EZ132">
        <v>0</v>
      </c>
      <c r="FA132">
        <v>100</v>
      </c>
      <c r="FB132">
        <v>100</v>
      </c>
      <c r="FC132">
        <v>8.0470000000000006</v>
      </c>
      <c r="FD132">
        <v>-0.98929999999999996</v>
      </c>
      <c r="FE132">
        <v>8.0494900000000023</v>
      </c>
      <c r="FF132">
        <v>0</v>
      </c>
      <c r="FG132">
        <v>0</v>
      </c>
      <c r="FH132">
        <v>0</v>
      </c>
      <c r="FI132">
        <v>-0.98927100000000023</v>
      </c>
      <c r="FJ132">
        <v>0</v>
      </c>
      <c r="FK132">
        <v>0</v>
      </c>
      <c r="FL132">
        <v>0</v>
      </c>
      <c r="FM132">
        <v>-1</v>
      </c>
      <c r="FN132">
        <v>-1</v>
      </c>
      <c r="FO132">
        <v>-1</v>
      </c>
      <c r="FP132">
        <v>-1</v>
      </c>
      <c r="FQ132">
        <v>0.7</v>
      </c>
      <c r="FR132">
        <v>116.2</v>
      </c>
      <c r="FS132">
        <v>0.142822</v>
      </c>
      <c r="FT132">
        <v>4.99756</v>
      </c>
      <c r="FU132">
        <v>1.5979000000000001</v>
      </c>
      <c r="FV132">
        <v>2.1533199999999999</v>
      </c>
      <c r="FW132">
        <v>1.5478499999999999</v>
      </c>
      <c r="FX132">
        <v>2.4499499999999999</v>
      </c>
      <c r="FY132">
        <v>34.5321</v>
      </c>
      <c r="FZ132">
        <v>15.804399999999999</v>
      </c>
      <c r="GA132">
        <v>3</v>
      </c>
      <c r="GB132">
        <v>496.86900000000003</v>
      </c>
      <c r="GC132">
        <v>406.46800000000002</v>
      </c>
      <c r="GD132">
        <v>27.902999999999999</v>
      </c>
      <c r="GE132">
        <v>29.919899999999998</v>
      </c>
      <c r="GF132">
        <v>30.0001</v>
      </c>
      <c r="GG132">
        <v>30.226099999999999</v>
      </c>
      <c r="GH132">
        <v>30.279800000000002</v>
      </c>
      <c r="GI132">
        <v>-1</v>
      </c>
      <c r="GJ132">
        <v>0</v>
      </c>
      <c r="GK132">
        <v>100</v>
      </c>
      <c r="GL132">
        <v>27.901800000000001</v>
      </c>
      <c r="GM132">
        <v>432.1</v>
      </c>
      <c r="GN132">
        <v>68.912800000000004</v>
      </c>
      <c r="GO132">
        <v>102.208</v>
      </c>
      <c r="GP132">
        <v>96.5047</v>
      </c>
    </row>
    <row r="133" spans="1:198" x14ac:dyDescent="0.35">
      <c r="A133">
        <v>117</v>
      </c>
      <c r="B133">
        <v>1775487999.5</v>
      </c>
      <c r="C133">
        <v>6961</v>
      </c>
      <c r="D133" t="s">
        <v>682</v>
      </c>
      <c r="E133" t="s">
        <v>683</v>
      </c>
      <c r="F133">
        <v>60</v>
      </c>
      <c r="G133">
        <v>1775487991.5</v>
      </c>
      <c r="H133">
        <f t="shared" si="30"/>
        <v>2.1744975949921481E-3</v>
      </c>
      <c r="I133">
        <f t="shared" si="31"/>
        <v>2.1744975949921481</v>
      </c>
      <c r="J133">
        <f t="shared" si="32"/>
        <v>0.77328498409039126</v>
      </c>
      <c r="K133">
        <f t="shared" si="33"/>
        <v>29.32724838709677</v>
      </c>
      <c r="L133">
        <f t="shared" si="34"/>
        <v>6.8044255417877419</v>
      </c>
      <c r="M133">
        <f t="shared" si="35"/>
        <v>0.68270688301619453</v>
      </c>
      <c r="N133">
        <f t="shared" si="36"/>
        <v>2.9424841540019488</v>
      </c>
      <c r="O133">
        <f t="shared" si="37"/>
        <v>5.839355106549874E-2</v>
      </c>
      <c r="P133">
        <f t="shared" si="38"/>
        <v>2.3930809095079764</v>
      </c>
      <c r="Q133">
        <f t="shared" si="39"/>
        <v>5.7613375870224283E-2</v>
      </c>
      <c r="R133">
        <f t="shared" si="40"/>
        <v>3.6077587108062269E-2</v>
      </c>
      <c r="S133">
        <f t="shared" si="41"/>
        <v>0</v>
      </c>
      <c r="T133">
        <f t="shared" si="42"/>
        <v>26.610392386867449</v>
      </c>
      <c r="U133">
        <f t="shared" si="43"/>
        <v>27.368319354838711</v>
      </c>
      <c r="V133">
        <f t="shared" si="44"/>
        <v>3.6573200967909001</v>
      </c>
      <c r="W133">
        <f t="shared" si="45"/>
        <v>-1.6939717335729576</v>
      </c>
      <c r="X133">
        <f t="shared" si="46"/>
        <v>-6.1677659382184842E-2</v>
      </c>
      <c r="Y133">
        <f t="shared" si="47"/>
        <v>3.6410087700869211</v>
      </c>
      <c r="Z133">
        <f t="shared" si="48"/>
        <v>3.7189977561730849</v>
      </c>
      <c r="AA133">
        <f t="shared" si="49"/>
        <v>-95.895343939153733</v>
      </c>
      <c r="AB133">
        <f t="shared" si="50"/>
        <v>-9.8430715010373149</v>
      </c>
      <c r="AC133">
        <f t="shared" si="51"/>
        <v>-0.89059729024477285</v>
      </c>
      <c r="AD133">
        <f t="shared" si="52"/>
        <v>-106.62901273043582</v>
      </c>
      <c r="AE133">
        <v>14</v>
      </c>
      <c r="AF133">
        <v>3</v>
      </c>
      <c r="AG133">
        <f t="shared" si="53"/>
        <v>1</v>
      </c>
      <c r="AH133">
        <f t="shared" si="54"/>
        <v>0</v>
      </c>
      <c r="AI133">
        <f t="shared" si="55"/>
        <v>25563.258268247388</v>
      </c>
      <c r="AJ133">
        <f t="shared" si="56"/>
        <v>0</v>
      </c>
      <c r="AK133">
        <f t="shared" si="57"/>
        <v>0</v>
      </c>
      <c r="AL133">
        <f t="shared" si="58"/>
        <v>0</v>
      </c>
      <c r="AM133">
        <f t="shared" si="59"/>
        <v>0</v>
      </c>
      <c r="AN133">
        <v>3</v>
      </c>
      <c r="AO133">
        <v>0.5</v>
      </c>
      <c r="AP133" t="s">
        <v>331</v>
      </c>
      <c r="AQ133">
        <v>2</v>
      </c>
      <c r="AR133">
        <v>1775487991.5</v>
      </c>
      <c r="AS133">
        <v>29.32724838709677</v>
      </c>
      <c r="AT133">
        <v>29.829493548387099</v>
      </c>
      <c r="AU133">
        <v>-0.61473093548387092</v>
      </c>
      <c r="AV133">
        <v>-1.9202600000000001</v>
      </c>
      <c r="AW133">
        <v>21.29224838709677</v>
      </c>
      <c r="AX133">
        <v>0.37454009677419348</v>
      </c>
      <c r="AY133">
        <v>499.98909677419363</v>
      </c>
      <c r="AZ133">
        <v>100.29135483870969</v>
      </c>
      <c r="BA133">
        <v>4.1418122580645172E-2</v>
      </c>
      <c r="BB133">
        <v>27.292025806451619</v>
      </c>
      <c r="BC133">
        <v>27.368319354838711</v>
      </c>
      <c r="BD133">
        <v>999.90000000000032</v>
      </c>
      <c r="BE133">
        <v>0</v>
      </c>
      <c r="BF133">
        <v>0</v>
      </c>
      <c r="BG133">
        <v>4998.4516129032254</v>
      </c>
      <c r="BH133">
        <v>0.38305996774193563</v>
      </c>
      <c r="BI133">
        <v>0.23331922580645159</v>
      </c>
      <c r="BJ133">
        <v>-0.49031235483870961</v>
      </c>
      <c r="BK133">
        <v>29.32114838709677</v>
      </c>
      <c r="BL133">
        <v>29.772319354838711</v>
      </c>
      <c r="BM133">
        <v>1.3055293548387099</v>
      </c>
      <c r="BN133">
        <v>29.829493548387099</v>
      </c>
      <c r="BO133">
        <v>-1.9202600000000001</v>
      </c>
      <c r="BP133">
        <v>-6.1652212903225811E-2</v>
      </c>
      <c r="BQ133">
        <v>-0.19258548387096769</v>
      </c>
      <c r="BR133">
        <v>-99.900000000000034</v>
      </c>
      <c r="BS133">
        <v>-99.900000000000034</v>
      </c>
      <c r="BT133">
        <v>0</v>
      </c>
      <c r="BU133">
        <v>0</v>
      </c>
      <c r="BV133">
        <v>0</v>
      </c>
      <c r="BW133">
        <v>26</v>
      </c>
      <c r="BX133">
        <v>-1</v>
      </c>
      <c r="BY133">
        <v>1775488016.5</v>
      </c>
      <c r="BZ133" t="s">
        <v>684</v>
      </c>
      <c r="CA133">
        <v>1775488016.5</v>
      </c>
      <c r="CB133">
        <v>1775480969.5</v>
      </c>
      <c r="CC133">
        <v>118</v>
      </c>
      <c r="CD133">
        <v>-1.2E-2</v>
      </c>
      <c r="CE133">
        <v>0.19500000000000001</v>
      </c>
      <c r="CF133">
        <v>8.0350000000000001</v>
      </c>
      <c r="CG133">
        <v>-0.98899999999999999</v>
      </c>
      <c r="CH133">
        <v>30</v>
      </c>
      <c r="CI133">
        <v>-3</v>
      </c>
      <c r="CJ133">
        <v>0.23</v>
      </c>
      <c r="CK133">
        <v>0.06</v>
      </c>
      <c r="CL133">
        <v>29.737851666666671</v>
      </c>
      <c r="CM133">
        <v>0.62727657682685456</v>
      </c>
      <c r="CN133">
        <v>0.10563679676398539</v>
      </c>
      <c r="CO133">
        <v>-1</v>
      </c>
      <c r="CP133">
        <v>499.99829999999997</v>
      </c>
      <c r="CQ133">
        <v>-6.289747151959596E-2</v>
      </c>
      <c r="CR133">
        <v>5.4566259416115592E-2</v>
      </c>
      <c r="CS133">
        <v>-1</v>
      </c>
      <c r="CT133">
        <v>0</v>
      </c>
      <c r="CU133">
        <v>0</v>
      </c>
      <c r="CV133" t="s">
        <v>333</v>
      </c>
      <c r="CW133">
        <v>3.1674600000000002</v>
      </c>
      <c r="CX133">
        <v>2.6627000000000001</v>
      </c>
      <c r="CY133">
        <v>6.3662600000000003E-3</v>
      </c>
      <c r="CZ133">
        <v>8.8854799999999994E-3</v>
      </c>
      <c r="DA133">
        <v>3.0205900000000001E-3</v>
      </c>
      <c r="DB133">
        <v>-1.7759500000000001E-2</v>
      </c>
      <c r="DC133">
        <v>21438.1</v>
      </c>
      <c r="DD133">
        <v>21768</v>
      </c>
      <c r="DE133">
        <v>23103.3</v>
      </c>
      <c r="DF133">
        <v>22316.2</v>
      </c>
      <c r="DG133">
        <v>29704.5</v>
      </c>
      <c r="DH133">
        <v>27086.6</v>
      </c>
      <c r="DI133">
        <v>40606.300000000003</v>
      </c>
      <c r="DJ133">
        <v>36984.6</v>
      </c>
      <c r="DK133">
        <v>2.0848399999999998</v>
      </c>
      <c r="DL133">
        <v>1.79864</v>
      </c>
      <c r="DM133">
        <v>2.3347099999999999E-2</v>
      </c>
      <c r="DN133">
        <v>0</v>
      </c>
      <c r="DO133">
        <v>26.990500000000001</v>
      </c>
      <c r="DP133">
        <v>999.9</v>
      </c>
      <c r="DQ133">
        <v>76.2</v>
      </c>
      <c r="DR133">
        <v>30.1</v>
      </c>
      <c r="DS133">
        <v>32.555900000000001</v>
      </c>
      <c r="DT133">
        <v>30.674700000000001</v>
      </c>
      <c r="DU133">
        <v>10.100199999999999</v>
      </c>
      <c r="DV133">
        <v>1</v>
      </c>
      <c r="DW133">
        <v>0.21223</v>
      </c>
      <c r="DX133">
        <v>-0.27833999999999998</v>
      </c>
      <c r="DY133">
        <v>20.3674</v>
      </c>
      <c r="DZ133">
        <v>5.2115400000000003</v>
      </c>
      <c r="EA133">
        <v>11.8485</v>
      </c>
      <c r="EB133">
        <v>4.9677199999999999</v>
      </c>
      <c r="EC133">
        <v>3.2920799999999999</v>
      </c>
      <c r="ED133">
        <v>894.7</v>
      </c>
      <c r="EE133">
        <v>0</v>
      </c>
      <c r="EF133">
        <v>7482</v>
      </c>
      <c r="EG133">
        <v>110.8</v>
      </c>
      <c r="EH133">
        <v>4.9716100000000001</v>
      </c>
      <c r="EI133">
        <v>1.8717999999999999</v>
      </c>
      <c r="EJ133">
        <v>1.86903</v>
      </c>
      <c r="EK133">
        <v>1.8714299999999999</v>
      </c>
      <c r="EL133">
        <v>1.8691899999999999</v>
      </c>
      <c r="EM133">
        <v>1.86812</v>
      </c>
      <c r="EN133">
        <v>1.8699399999999999</v>
      </c>
      <c r="EO133">
        <v>1.8717600000000001</v>
      </c>
      <c r="EP133">
        <v>0</v>
      </c>
      <c r="EQ133">
        <v>0</v>
      </c>
      <c r="ER133">
        <v>0</v>
      </c>
      <c r="ES133">
        <v>0</v>
      </c>
      <c r="ET133" t="s">
        <v>334</v>
      </c>
      <c r="EU133" t="s">
        <v>335</v>
      </c>
      <c r="EV133" t="s">
        <v>336</v>
      </c>
      <c r="EW133" t="s">
        <v>336</v>
      </c>
      <c r="EX133" t="s">
        <v>336</v>
      </c>
      <c r="EY133" t="s">
        <v>336</v>
      </c>
      <c r="EZ133">
        <v>0</v>
      </c>
      <c r="FA133">
        <v>100</v>
      </c>
      <c r="FB133">
        <v>100</v>
      </c>
      <c r="FC133">
        <v>8.0350000000000001</v>
      </c>
      <c r="FD133">
        <v>-0.98929999999999996</v>
      </c>
      <c r="FE133">
        <v>8.0469299999999926</v>
      </c>
      <c r="FF133">
        <v>0</v>
      </c>
      <c r="FG133">
        <v>0</v>
      </c>
      <c r="FH133">
        <v>0</v>
      </c>
      <c r="FI133">
        <v>-0.98927100000000023</v>
      </c>
      <c r="FJ133">
        <v>0</v>
      </c>
      <c r="FK133">
        <v>0</v>
      </c>
      <c r="FL133">
        <v>0</v>
      </c>
      <c r="FM133">
        <v>-1</v>
      </c>
      <c r="FN133">
        <v>-1</v>
      </c>
      <c r="FO133">
        <v>-1</v>
      </c>
      <c r="FP133">
        <v>-1</v>
      </c>
      <c r="FQ133">
        <v>0.7</v>
      </c>
      <c r="FR133">
        <v>117.2</v>
      </c>
      <c r="FS133">
        <v>0.142822</v>
      </c>
      <c r="FT133">
        <v>4.99756</v>
      </c>
      <c r="FU133">
        <v>1.5979000000000001</v>
      </c>
      <c r="FV133">
        <v>2.1533199999999999</v>
      </c>
      <c r="FW133">
        <v>1.5478499999999999</v>
      </c>
      <c r="FX133">
        <v>2.31812</v>
      </c>
      <c r="FY133">
        <v>34.5321</v>
      </c>
      <c r="FZ133">
        <v>15.7957</v>
      </c>
      <c r="GA133">
        <v>3</v>
      </c>
      <c r="GB133">
        <v>497.11500000000001</v>
      </c>
      <c r="GC133">
        <v>405.50200000000001</v>
      </c>
      <c r="GD133">
        <v>27.945</v>
      </c>
      <c r="GE133">
        <v>29.907499999999999</v>
      </c>
      <c r="GF133">
        <v>30</v>
      </c>
      <c r="GG133">
        <v>30.215800000000002</v>
      </c>
      <c r="GH133">
        <v>30.269100000000002</v>
      </c>
      <c r="GI133">
        <v>-1</v>
      </c>
      <c r="GJ133">
        <v>0</v>
      </c>
      <c r="GK133">
        <v>100</v>
      </c>
      <c r="GL133">
        <v>27.950099999999999</v>
      </c>
      <c r="GM133">
        <v>432.1</v>
      </c>
      <c r="GN133">
        <v>68.912800000000004</v>
      </c>
      <c r="GO133">
        <v>102.209</v>
      </c>
      <c r="GP133">
        <v>96.505700000000004</v>
      </c>
    </row>
    <row r="134" spans="1:198" x14ac:dyDescent="0.35">
      <c r="A134">
        <v>118</v>
      </c>
      <c r="B134">
        <v>1775488059.5</v>
      </c>
      <c r="C134">
        <v>7021</v>
      </c>
      <c r="D134" t="s">
        <v>685</v>
      </c>
      <c r="E134" t="s">
        <v>686</v>
      </c>
      <c r="F134">
        <v>60</v>
      </c>
      <c r="G134">
        <v>1775488051.5</v>
      </c>
      <c r="H134">
        <f t="shared" si="30"/>
        <v>2.1820020505010805E-3</v>
      </c>
      <c r="I134">
        <f t="shared" si="31"/>
        <v>2.1820020505010804</v>
      </c>
      <c r="J134">
        <f t="shared" si="32"/>
        <v>0.84590170888987581</v>
      </c>
      <c r="K134">
        <f t="shared" si="33"/>
        <v>29.258380645161289</v>
      </c>
      <c r="L134">
        <f t="shared" si="34"/>
        <v>4.8554974009348069</v>
      </c>
      <c r="M134">
        <f t="shared" si="35"/>
        <v>0.48715625337958196</v>
      </c>
      <c r="N134">
        <f t="shared" si="36"/>
        <v>2.9355186334372885</v>
      </c>
      <c r="O134">
        <f t="shared" si="37"/>
        <v>5.8576212092026687E-2</v>
      </c>
      <c r="P134">
        <f t="shared" si="38"/>
        <v>2.3932002128193202</v>
      </c>
      <c r="Q134">
        <f t="shared" si="39"/>
        <v>5.7791222278416834E-2</v>
      </c>
      <c r="R134">
        <f t="shared" si="40"/>
        <v>3.618916568075526E-2</v>
      </c>
      <c r="S134">
        <f t="shared" si="41"/>
        <v>0</v>
      </c>
      <c r="T134">
        <f t="shared" si="42"/>
        <v>26.617941363067768</v>
      </c>
      <c r="U134">
        <f t="shared" si="43"/>
        <v>27.375745161290322</v>
      </c>
      <c r="V134">
        <f t="shared" si="44"/>
        <v>3.6589111118591191</v>
      </c>
      <c r="W134">
        <f t="shared" si="45"/>
        <v>-1.6834048480638</v>
      </c>
      <c r="X134">
        <f t="shared" si="46"/>
        <v>-6.1328360944713049E-2</v>
      </c>
      <c r="Y134">
        <f t="shared" si="47"/>
        <v>3.6431141929554869</v>
      </c>
      <c r="Z134">
        <f t="shared" si="48"/>
        <v>3.7202394728038319</v>
      </c>
      <c r="AA134">
        <f t="shared" si="49"/>
        <v>-96.226290427097652</v>
      </c>
      <c r="AB134">
        <f t="shared" si="50"/>
        <v>-9.5289145001752082</v>
      </c>
      <c r="AC134">
        <f t="shared" si="51"/>
        <v>-0.86220395839718567</v>
      </c>
      <c r="AD134">
        <f t="shared" si="52"/>
        <v>-106.61740888567005</v>
      </c>
      <c r="AE134">
        <v>14</v>
      </c>
      <c r="AF134">
        <v>3</v>
      </c>
      <c r="AG134">
        <f t="shared" si="53"/>
        <v>1</v>
      </c>
      <c r="AH134">
        <f t="shared" si="54"/>
        <v>0</v>
      </c>
      <c r="AI134">
        <f t="shared" si="55"/>
        <v>25564.322608435519</v>
      </c>
      <c r="AJ134">
        <f t="shared" si="56"/>
        <v>0</v>
      </c>
      <c r="AK134">
        <f t="shared" si="57"/>
        <v>0</v>
      </c>
      <c r="AL134">
        <f t="shared" si="58"/>
        <v>0</v>
      </c>
      <c r="AM134">
        <f t="shared" si="59"/>
        <v>0</v>
      </c>
      <c r="AN134">
        <v>3</v>
      </c>
      <c r="AO134">
        <v>0.5</v>
      </c>
      <c r="AP134" t="s">
        <v>331</v>
      </c>
      <c r="AQ134">
        <v>2</v>
      </c>
      <c r="AR134">
        <v>1775488051.5</v>
      </c>
      <c r="AS134">
        <v>29.258380645161289</v>
      </c>
      <c r="AT134">
        <v>29.804229032258061</v>
      </c>
      <c r="AU134">
        <v>-0.6112611612903226</v>
      </c>
      <c r="AV134">
        <v>-1.9212680645161291</v>
      </c>
      <c r="AW134">
        <v>21.229380645161289</v>
      </c>
      <c r="AX134">
        <v>0.37800983870967753</v>
      </c>
      <c r="AY134">
        <v>499.99793548387089</v>
      </c>
      <c r="AZ134">
        <v>100.2890967741936</v>
      </c>
      <c r="BA134">
        <v>4.1768048387096773E-2</v>
      </c>
      <c r="BB134">
        <v>27.30189032258064</v>
      </c>
      <c r="BC134">
        <v>27.375745161290322</v>
      </c>
      <c r="BD134">
        <v>999.90000000000032</v>
      </c>
      <c r="BE134">
        <v>0</v>
      </c>
      <c r="BF134">
        <v>0</v>
      </c>
      <c r="BG134">
        <v>4998.8709677419356</v>
      </c>
      <c r="BH134">
        <v>0.37109829032258068</v>
      </c>
      <c r="BI134">
        <v>0.23331922580645159</v>
      </c>
      <c r="BJ134">
        <v>-0.54004232258064522</v>
      </c>
      <c r="BK134">
        <v>29.246316129032259</v>
      </c>
      <c r="BL134">
        <v>29.747077419354831</v>
      </c>
      <c r="BM134">
        <v>1.3100064516129031</v>
      </c>
      <c r="BN134">
        <v>29.804229032258061</v>
      </c>
      <c r="BO134">
        <v>-1.9212680645161291</v>
      </c>
      <c r="BP134">
        <v>-6.1302790322580653E-2</v>
      </c>
      <c r="BQ134">
        <v>-0.19268212903225809</v>
      </c>
      <c r="BR134">
        <v>-99.900000000000034</v>
      </c>
      <c r="BS134">
        <v>-99.900000000000034</v>
      </c>
      <c r="BT134">
        <v>0</v>
      </c>
      <c r="BU134">
        <v>0</v>
      </c>
      <c r="BV134">
        <v>0</v>
      </c>
      <c r="BW134">
        <v>26</v>
      </c>
      <c r="BX134">
        <v>-1</v>
      </c>
      <c r="BY134">
        <v>1775488083</v>
      </c>
      <c r="BZ134" t="s">
        <v>687</v>
      </c>
      <c r="CA134">
        <v>1775488083</v>
      </c>
      <c r="CB134">
        <v>1775480969.5</v>
      </c>
      <c r="CC134">
        <v>119</v>
      </c>
      <c r="CD134">
        <v>-6.0000000000000001E-3</v>
      </c>
      <c r="CE134">
        <v>0.19500000000000001</v>
      </c>
      <c r="CF134">
        <v>8.0289999999999999</v>
      </c>
      <c r="CG134">
        <v>-0.98899999999999999</v>
      </c>
      <c r="CH134">
        <v>30</v>
      </c>
      <c r="CI134">
        <v>-3</v>
      </c>
      <c r="CJ134">
        <v>0.28999999999999998</v>
      </c>
      <c r="CK134">
        <v>0.06</v>
      </c>
      <c r="CL134">
        <v>29.71576833333334</v>
      </c>
      <c r="CM134">
        <v>0.39268874687416788</v>
      </c>
      <c r="CN134">
        <v>0.1066969469911029</v>
      </c>
      <c r="CO134">
        <v>-1</v>
      </c>
      <c r="CP134">
        <v>500.00608333333338</v>
      </c>
      <c r="CQ134">
        <v>-3.8167268685652893E-2</v>
      </c>
      <c r="CR134">
        <v>4.7001876440083919E-2</v>
      </c>
      <c r="CS134">
        <v>-1</v>
      </c>
      <c r="CT134">
        <v>0</v>
      </c>
      <c r="CU134">
        <v>0</v>
      </c>
      <c r="CV134" t="s">
        <v>333</v>
      </c>
      <c r="CW134">
        <v>3.1673800000000001</v>
      </c>
      <c r="CX134">
        <v>2.66303</v>
      </c>
      <c r="CY134">
        <v>6.3609599999999997E-3</v>
      </c>
      <c r="CZ134">
        <v>8.9216299999999998E-3</v>
      </c>
      <c r="DA134">
        <v>3.0390600000000001E-3</v>
      </c>
      <c r="DB134">
        <v>-1.77018E-2</v>
      </c>
      <c r="DC134">
        <v>21438.5</v>
      </c>
      <c r="DD134">
        <v>21767.3</v>
      </c>
      <c r="DE134">
        <v>23103.5</v>
      </c>
      <c r="DF134">
        <v>22316.3</v>
      </c>
      <c r="DG134">
        <v>29704.3</v>
      </c>
      <c r="DH134">
        <v>27085.200000000001</v>
      </c>
      <c r="DI134">
        <v>40606.699999999997</v>
      </c>
      <c r="DJ134">
        <v>36984.800000000003</v>
      </c>
      <c r="DK134">
        <v>2.0848</v>
      </c>
      <c r="DL134">
        <v>1.7994000000000001</v>
      </c>
      <c r="DM134">
        <v>2.33948E-2</v>
      </c>
      <c r="DN134">
        <v>0</v>
      </c>
      <c r="DO134">
        <v>26.992699999999999</v>
      </c>
      <c r="DP134">
        <v>999.9</v>
      </c>
      <c r="DQ134">
        <v>76.2</v>
      </c>
      <c r="DR134">
        <v>30.1</v>
      </c>
      <c r="DS134">
        <v>32.5565</v>
      </c>
      <c r="DT134">
        <v>30.614699999999999</v>
      </c>
      <c r="DU134">
        <v>9.7035300000000007</v>
      </c>
      <c r="DV134">
        <v>1</v>
      </c>
      <c r="DW134">
        <v>0.21116299999999999</v>
      </c>
      <c r="DX134">
        <v>-0.23818500000000001</v>
      </c>
      <c r="DY134">
        <v>20.367699999999999</v>
      </c>
      <c r="DZ134">
        <v>5.2115400000000003</v>
      </c>
      <c r="EA134">
        <v>11.8485</v>
      </c>
      <c r="EB134">
        <v>4.9677199999999999</v>
      </c>
      <c r="EC134">
        <v>3.2921399999999998</v>
      </c>
      <c r="ED134">
        <v>894.7</v>
      </c>
      <c r="EE134">
        <v>0</v>
      </c>
      <c r="EF134">
        <v>7514.9</v>
      </c>
      <c r="EG134">
        <v>110.8</v>
      </c>
      <c r="EH134">
        <v>4.9716100000000001</v>
      </c>
      <c r="EI134">
        <v>1.8717999999999999</v>
      </c>
      <c r="EJ134">
        <v>1.86904</v>
      </c>
      <c r="EK134">
        <v>1.87148</v>
      </c>
      <c r="EL134">
        <v>1.86917</v>
      </c>
      <c r="EM134">
        <v>1.86812</v>
      </c>
      <c r="EN134">
        <v>1.8699600000000001</v>
      </c>
      <c r="EO134">
        <v>1.8717900000000001</v>
      </c>
      <c r="EP134">
        <v>0</v>
      </c>
      <c r="EQ134">
        <v>0</v>
      </c>
      <c r="ER134">
        <v>0</v>
      </c>
      <c r="ES134">
        <v>0</v>
      </c>
      <c r="ET134" t="s">
        <v>334</v>
      </c>
      <c r="EU134" t="s">
        <v>335</v>
      </c>
      <c r="EV134" t="s">
        <v>336</v>
      </c>
      <c r="EW134" t="s">
        <v>336</v>
      </c>
      <c r="EX134" t="s">
        <v>336</v>
      </c>
      <c r="EY134" t="s">
        <v>336</v>
      </c>
      <c r="EZ134">
        <v>0</v>
      </c>
      <c r="FA134">
        <v>100</v>
      </c>
      <c r="FB134">
        <v>100</v>
      </c>
      <c r="FC134">
        <v>8.0289999999999999</v>
      </c>
      <c r="FD134">
        <v>-0.98929999999999996</v>
      </c>
      <c r="FE134">
        <v>8.0347950000000026</v>
      </c>
      <c r="FF134">
        <v>0</v>
      </c>
      <c r="FG134">
        <v>0</v>
      </c>
      <c r="FH134">
        <v>0</v>
      </c>
      <c r="FI134">
        <v>-0.98927100000000023</v>
      </c>
      <c r="FJ134">
        <v>0</v>
      </c>
      <c r="FK134">
        <v>0</v>
      </c>
      <c r="FL134">
        <v>0</v>
      </c>
      <c r="FM134">
        <v>-1</v>
      </c>
      <c r="FN134">
        <v>-1</v>
      </c>
      <c r="FO134">
        <v>-1</v>
      </c>
      <c r="FP134">
        <v>-1</v>
      </c>
      <c r="FQ134">
        <v>0.7</v>
      </c>
      <c r="FR134">
        <v>118.2</v>
      </c>
      <c r="FS134">
        <v>0.142822</v>
      </c>
      <c r="FT134">
        <v>4.99756</v>
      </c>
      <c r="FU134">
        <v>1.5979000000000001</v>
      </c>
      <c r="FV134">
        <v>2.1520999999999999</v>
      </c>
      <c r="FW134">
        <v>1.5478499999999999</v>
      </c>
      <c r="FX134">
        <v>2.4377399999999998</v>
      </c>
      <c r="FY134">
        <v>34.5321</v>
      </c>
      <c r="FZ134">
        <v>15.804399999999999</v>
      </c>
      <c r="GA134">
        <v>3</v>
      </c>
      <c r="GB134">
        <v>496.995</v>
      </c>
      <c r="GC134">
        <v>405.86599999999999</v>
      </c>
      <c r="GD134">
        <v>27.927900000000001</v>
      </c>
      <c r="GE134">
        <v>29.894600000000001</v>
      </c>
      <c r="GF134">
        <v>30.0001</v>
      </c>
      <c r="GG134">
        <v>30.203099999999999</v>
      </c>
      <c r="GH134">
        <v>30.258099999999999</v>
      </c>
      <c r="GI134">
        <v>-1</v>
      </c>
      <c r="GJ134">
        <v>0</v>
      </c>
      <c r="GK134">
        <v>100</v>
      </c>
      <c r="GL134">
        <v>27.931699999999999</v>
      </c>
      <c r="GM134">
        <v>432.1</v>
      </c>
      <c r="GN134">
        <v>68.912800000000004</v>
      </c>
      <c r="GO134">
        <v>102.21</v>
      </c>
      <c r="GP134">
        <v>96.506200000000007</v>
      </c>
    </row>
    <row r="135" spans="1:198" x14ac:dyDescent="0.35">
      <c r="A135">
        <v>119</v>
      </c>
      <c r="B135">
        <v>1775488119.5</v>
      </c>
      <c r="C135">
        <v>7081</v>
      </c>
      <c r="D135" t="s">
        <v>688</v>
      </c>
      <c r="E135" t="s">
        <v>689</v>
      </c>
      <c r="F135">
        <v>60</v>
      </c>
      <c r="G135">
        <v>1775488111.75</v>
      </c>
      <c r="H135">
        <f t="shared" si="30"/>
        <v>2.1581846282126794E-3</v>
      </c>
      <c r="I135">
        <f t="shared" si="31"/>
        <v>2.1581846282126795</v>
      </c>
      <c r="J135">
        <f t="shared" si="32"/>
        <v>0.5413594535355406</v>
      </c>
      <c r="K135">
        <f t="shared" si="33"/>
        <v>30.12005666666667</v>
      </c>
      <c r="L135">
        <f t="shared" si="34"/>
        <v>13.689256446556138</v>
      </c>
      <c r="M135">
        <f t="shared" si="35"/>
        <v>1.3734378228047115</v>
      </c>
      <c r="N135">
        <f t="shared" si="36"/>
        <v>3.0219336756912263</v>
      </c>
      <c r="O135">
        <f t="shared" si="37"/>
        <v>5.7980127263192079E-2</v>
      </c>
      <c r="P135">
        <f t="shared" si="38"/>
        <v>2.392820189485148</v>
      </c>
      <c r="Q135">
        <f t="shared" si="39"/>
        <v>5.7210799082239611E-2</v>
      </c>
      <c r="R135">
        <f t="shared" si="40"/>
        <v>3.582502000613684E-2</v>
      </c>
      <c r="S135">
        <f t="shared" si="41"/>
        <v>0</v>
      </c>
      <c r="T135">
        <f t="shared" si="42"/>
        <v>26.62023524813937</v>
      </c>
      <c r="U135">
        <f t="shared" si="43"/>
        <v>27.36330666666667</v>
      </c>
      <c r="V135">
        <f t="shared" si="44"/>
        <v>3.6562464454109467</v>
      </c>
      <c r="W135">
        <f t="shared" si="45"/>
        <v>-1.6668619554600053</v>
      </c>
      <c r="X135">
        <f t="shared" si="46"/>
        <v>-6.0707643833160053E-2</v>
      </c>
      <c r="Y135">
        <f t="shared" si="47"/>
        <v>3.6420318811827768</v>
      </c>
      <c r="Z135">
        <f t="shared" si="48"/>
        <v>3.7169540892441066</v>
      </c>
      <c r="AA135">
        <f t="shared" si="49"/>
        <v>-95.175942104179157</v>
      </c>
      <c r="AB135">
        <f t="shared" si="50"/>
        <v>-8.5768944937319489</v>
      </c>
      <c r="AC135">
        <f t="shared" si="51"/>
        <v>-0.77611779207377296</v>
      </c>
      <c r="AD135">
        <f t="shared" si="52"/>
        <v>-104.52895438998488</v>
      </c>
      <c r="AE135">
        <v>14</v>
      </c>
      <c r="AF135">
        <v>3</v>
      </c>
      <c r="AG135">
        <f t="shared" si="53"/>
        <v>1</v>
      </c>
      <c r="AH135">
        <f t="shared" si="54"/>
        <v>0</v>
      </c>
      <c r="AI135">
        <f t="shared" si="55"/>
        <v>25559.020516958059</v>
      </c>
      <c r="AJ135">
        <f t="shared" si="56"/>
        <v>0</v>
      </c>
      <c r="AK135">
        <f t="shared" si="57"/>
        <v>0</v>
      </c>
      <c r="AL135">
        <f t="shared" si="58"/>
        <v>0</v>
      </c>
      <c r="AM135">
        <f t="shared" si="59"/>
        <v>0</v>
      </c>
      <c r="AN135">
        <v>3</v>
      </c>
      <c r="AO135">
        <v>0.5</v>
      </c>
      <c r="AP135" t="s">
        <v>331</v>
      </c>
      <c r="AQ135">
        <v>2</v>
      </c>
      <c r="AR135">
        <v>1775488111.75</v>
      </c>
      <c r="AS135">
        <v>30.12005666666667</v>
      </c>
      <c r="AT135">
        <v>30.483879999999999</v>
      </c>
      <c r="AU135">
        <v>-0.6050819999999999</v>
      </c>
      <c r="AV135">
        <v>-1.900793666666666</v>
      </c>
      <c r="AW135">
        <v>22.075056666666669</v>
      </c>
      <c r="AX135">
        <v>0.38418896666666669</v>
      </c>
      <c r="AY135">
        <v>499.99329999999992</v>
      </c>
      <c r="AZ135">
        <v>100.2879666666667</v>
      </c>
      <c r="BA135">
        <v>4.1647886666666668E-2</v>
      </c>
      <c r="BB135">
        <v>27.29682</v>
      </c>
      <c r="BC135">
        <v>27.36330666666667</v>
      </c>
      <c r="BD135">
        <v>999.9000000000002</v>
      </c>
      <c r="BE135">
        <v>0</v>
      </c>
      <c r="BF135">
        <v>0</v>
      </c>
      <c r="BG135">
        <v>4997.95</v>
      </c>
      <c r="BH135">
        <v>0.37066993333333342</v>
      </c>
      <c r="BI135">
        <v>0.22961599999999999</v>
      </c>
      <c r="BJ135">
        <v>-0.38026549999999998</v>
      </c>
      <c r="BK135">
        <v>30.08541</v>
      </c>
      <c r="BL135">
        <v>30.426046666666672</v>
      </c>
      <c r="BM135">
        <v>1.2957133333333331</v>
      </c>
      <c r="BN135">
        <v>30.483879999999999</v>
      </c>
      <c r="BO135">
        <v>-1.900793666666666</v>
      </c>
      <c r="BP135">
        <v>-6.0682470000000002E-2</v>
      </c>
      <c r="BQ135">
        <v>-0.1906268666666667</v>
      </c>
      <c r="BR135">
        <v>-99.900000000000034</v>
      </c>
      <c r="BS135">
        <v>-99.900000000000034</v>
      </c>
      <c r="BT135">
        <v>0</v>
      </c>
      <c r="BU135">
        <v>0</v>
      </c>
      <c r="BV135">
        <v>0</v>
      </c>
      <c r="BW135">
        <v>26</v>
      </c>
      <c r="BX135">
        <v>-1</v>
      </c>
      <c r="BY135">
        <v>1775488133.5</v>
      </c>
      <c r="BZ135" t="s">
        <v>690</v>
      </c>
      <c r="CA135">
        <v>1775488133.5</v>
      </c>
      <c r="CB135">
        <v>1775480969.5</v>
      </c>
      <c r="CC135">
        <v>120</v>
      </c>
      <c r="CD135">
        <v>1.6E-2</v>
      </c>
      <c r="CE135">
        <v>0.19500000000000001</v>
      </c>
      <c r="CF135">
        <v>8.0449999999999999</v>
      </c>
      <c r="CG135">
        <v>-0.98899999999999999</v>
      </c>
      <c r="CH135">
        <v>30</v>
      </c>
      <c r="CI135">
        <v>-3</v>
      </c>
      <c r="CJ135">
        <v>0.13</v>
      </c>
      <c r="CK135">
        <v>0.06</v>
      </c>
      <c r="CL135">
        <v>30.522516666666661</v>
      </c>
      <c r="CM135">
        <v>-6.4954709641495939E-2</v>
      </c>
      <c r="CN135">
        <v>0.1963233303903425</v>
      </c>
      <c r="CO135">
        <v>-1</v>
      </c>
      <c r="CP135">
        <v>500.30540000000002</v>
      </c>
      <c r="CQ135">
        <v>-3.393375937759866</v>
      </c>
      <c r="CR135">
        <v>0.96108014233985783</v>
      </c>
      <c r="CS135">
        <v>-1</v>
      </c>
      <c r="CT135">
        <v>0</v>
      </c>
      <c r="CU135">
        <v>0</v>
      </c>
      <c r="CV135" t="s">
        <v>333</v>
      </c>
      <c r="CW135">
        <v>3.1675</v>
      </c>
      <c r="CX135">
        <v>2.6632899999999999</v>
      </c>
      <c r="CY135">
        <v>6.5610900000000003E-3</v>
      </c>
      <c r="CZ135">
        <v>9.0366600000000002E-3</v>
      </c>
      <c r="DA135">
        <v>3.1520599999999999E-3</v>
      </c>
      <c r="DB135">
        <v>-1.75278E-2</v>
      </c>
      <c r="DC135">
        <v>21434.9</v>
      </c>
      <c r="DD135">
        <v>21764.9</v>
      </c>
      <c r="DE135">
        <v>23104.2</v>
      </c>
      <c r="DF135">
        <v>22316.400000000001</v>
      </c>
      <c r="DG135">
        <v>29701.599999999999</v>
      </c>
      <c r="DH135">
        <v>27080.9</v>
      </c>
      <c r="DI135">
        <v>40607.599999999999</v>
      </c>
      <c r="DJ135">
        <v>36985.199999999997</v>
      </c>
      <c r="DK135">
        <v>2.0845600000000002</v>
      </c>
      <c r="DL135">
        <v>1.79956</v>
      </c>
      <c r="DM135">
        <v>2.38359E-2</v>
      </c>
      <c r="DN135">
        <v>0</v>
      </c>
      <c r="DO135">
        <v>26.977499999999999</v>
      </c>
      <c r="DP135">
        <v>999.9</v>
      </c>
      <c r="DQ135">
        <v>76.099999999999994</v>
      </c>
      <c r="DR135">
        <v>30.1</v>
      </c>
      <c r="DS135">
        <v>32.513300000000001</v>
      </c>
      <c r="DT135">
        <v>30.6447</v>
      </c>
      <c r="DU135">
        <v>10.0601</v>
      </c>
      <c r="DV135">
        <v>1</v>
      </c>
      <c r="DW135">
        <v>0.20999799999999999</v>
      </c>
      <c r="DX135">
        <v>-0.27062700000000001</v>
      </c>
      <c r="DY135">
        <v>20.3673</v>
      </c>
      <c r="DZ135">
        <v>5.2096200000000001</v>
      </c>
      <c r="EA135">
        <v>11.8482</v>
      </c>
      <c r="EB135">
        <v>4.9675599999999998</v>
      </c>
      <c r="EC135">
        <v>3.29176</v>
      </c>
      <c r="ED135">
        <v>894.7</v>
      </c>
      <c r="EE135">
        <v>0</v>
      </c>
      <c r="EF135">
        <v>7546.6</v>
      </c>
      <c r="EG135">
        <v>110.8</v>
      </c>
      <c r="EH135">
        <v>4.9716100000000001</v>
      </c>
      <c r="EI135">
        <v>1.8717999999999999</v>
      </c>
      <c r="EJ135">
        <v>1.86904</v>
      </c>
      <c r="EK135">
        <v>1.87147</v>
      </c>
      <c r="EL135">
        <v>1.86917</v>
      </c>
      <c r="EM135">
        <v>1.8681300000000001</v>
      </c>
      <c r="EN135">
        <v>1.8699600000000001</v>
      </c>
      <c r="EO135">
        <v>1.8716999999999999</v>
      </c>
      <c r="EP135">
        <v>0</v>
      </c>
      <c r="EQ135">
        <v>0</v>
      </c>
      <c r="ER135">
        <v>0</v>
      </c>
      <c r="ES135">
        <v>0</v>
      </c>
      <c r="ET135" t="s">
        <v>334</v>
      </c>
      <c r="EU135" t="s">
        <v>335</v>
      </c>
      <c r="EV135" t="s">
        <v>336</v>
      </c>
      <c r="EW135" t="s">
        <v>336</v>
      </c>
      <c r="EX135" t="s">
        <v>336</v>
      </c>
      <c r="EY135" t="s">
        <v>336</v>
      </c>
      <c r="EZ135">
        <v>0</v>
      </c>
      <c r="FA135">
        <v>100</v>
      </c>
      <c r="FB135">
        <v>100</v>
      </c>
      <c r="FC135">
        <v>8.0449999999999999</v>
      </c>
      <c r="FD135">
        <v>-0.98929999999999996</v>
      </c>
      <c r="FE135">
        <v>8.0285619047619114</v>
      </c>
      <c r="FF135">
        <v>0</v>
      </c>
      <c r="FG135">
        <v>0</v>
      </c>
      <c r="FH135">
        <v>0</v>
      </c>
      <c r="FI135">
        <v>-0.98927100000000023</v>
      </c>
      <c r="FJ135">
        <v>0</v>
      </c>
      <c r="FK135">
        <v>0</v>
      </c>
      <c r="FL135">
        <v>0</v>
      </c>
      <c r="FM135">
        <v>-1</v>
      </c>
      <c r="FN135">
        <v>-1</v>
      </c>
      <c r="FO135">
        <v>-1</v>
      </c>
      <c r="FP135">
        <v>-1</v>
      </c>
      <c r="FQ135">
        <v>0.6</v>
      </c>
      <c r="FR135">
        <v>119.2</v>
      </c>
      <c r="FS135">
        <v>0.142822</v>
      </c>
      <c r="FT135">
        <v>4.99756</v>
      </c>
      <c r="FU135">
        <v>1.5979000000000001</v>
      </c>
      <c r="FV135">
        <v>2.1533199999999999</v>
      </c>
      <c r="FW135">
        <v>1.5478499999999999</v>
      </c>
      <c r="FX135">
        <v>2.36084</v>
      </c>
      <c r="FY135">
        <v>34.5321</v>
      </c>
      <c r="FZ135">
        <v>15.786899999999999</v>
      </c>
      <c r="GA135">
        <v>3</v>
      </c>
      <c r="GB135">
        <v>496.77499999999998</v>
      </c>
      <c r="GC135">
        <v>405.88</v>
      </c>
      <c r="GD135">
        <v>27.9541</v>
      </c>
      <c r="GE135">
        <v>29.8811</v>
      </c>
      <c r="GF135">
        <v>30.0001</v>
      </c>
      <c r="GG135">
        <v>30.192599999999999</v>
      </c>
      <c r="GH135">
        <v>30.246099999999998</v>
      </c>
      <c r="GI135">
        <v>-1</v>
      </c>
      <c r="GJ135">
        <v>0</v>
      </c>
      <c r="GK135">
        <v>100</v>
      </c>
      <c r="GL135">
        <v>27.954699999999999</v>
      </c>
      <c r="GM135">
        <v>432.1</v>
      </c>
      <c r="GN135">
        <v>68.912800000000004</v>
      </c>
      <c r="GO135">
        <v>102.21299999999999</v>
      </c>
      <c r="GP135">
        <v>96.506900000000002</v>
      </c>
    </row>
    <row r="136" spans="1:198" x14ac:dyDescent="0.35">
      <c r="A136">
        <v>120</v>
      </c>
      <c r="B136">
        <v>1775488179.5</v>
      </c>
      <c r="C136">
        <v>7141</v>
      </c>
      <c r="D136" t="s">
        <v>691</v>
      </c>
      <c r="E136" t="s">
        <v>692</v>
      </c>
      <c r="F136">
        <v>60</v>
      </c>
      <c r="G136">
        <v>1775488171.5</v>
      </c>
      <c r="H136">
        <f t="shared" si="30"/>
        <v>2.2074150432824604E-3</v>
      </c>
      <c r="I136">
        <f t="shared" si="31"/>
        <v>2.2074150432824604</v>
      </c>
      <c r="J136">
        <f t="shared" si="32"/>
        <v>0.99870870259909794</v>
      </c>
      <c r="K136">
        <f t="shared" si="33"/>
        <v>29.95894516129032</v>
      </c>
      <c r="L136">
        <f t="shared" si="34"/>
        <v>1.7542029429495398</v>
      </c>
      <c r="M136">
        <f t="shared" si="35"/>
        <v>0.17599838982068799</v>
      </c>
      <c r="N136">
        <f t="shared" si="36"/>
        <v>3.005767451425978</v>
      </c>
      <c r="O136">
        <f t="shared" si="37"/>
        <v>5.9330870197712639E-2</v>
      </c>
      <c r="P136">
        <f t="shared" si="38"/>
        <v>2.3946990364459664</v>
      </c>
      <c r="Q136">
        <f t="shared" si="39"/>
        <v>5.8526170006197586E-2</v>
      </c>
      <c r="R136">
        <f t="shared" si="40"/>
        <v>3.6650246071899067E-2</v>
      </c>
      <c r="S136">
        <f t="shared" si="41"/>
        <v>0</v>
      </c>
      <c r="T136">
        <f t="shared" si="42"/>
        <v>26.612464338606024</v>
      </c>
      <c r="U136">
        <f t="shared" si="43"/>
        <v>27.375196774193551</v>
      </c>
      <c r="V136">
        <f t="shared" si="44"/>
        <v>3.6587935966088705</v>
      </c>
      <c r="W136">
        <f t="shared" si="45"/>
        <v>-1.575139289232244</v>
      </c>
      <c r="X136">
        <f t="shared" si="46"/>
        <v>-5.7391152572157801E-2</v>
      </c>
      <c r="Y136">
        <f t="shared" si="47"/>
        <v>3.6435604752219377</v>
      </c>
      <c r="Z136">
        <f t="shared" si="48"/>
        <v>3.7161847491810285</v>
      </c>
      <c r="AA136">
        <f t="shared" si="49"/>
        <v>-97.347003408756507</v>
      </c>
      <c r="AB136">
        <f t="shared" si="50"/>
        <v>-9.1942169357299175</v>
      </c>
      <c r="AC136">
        <f t="shared" si="51"/>
        <v>-0.83140525690857536</v>
      </c>
      <c r="AD136">
        <f t="shared" si="52"/>
        <v>-107.372625601395</v>
      </c>
      <c r="AE136">
        <v>14</v>
      </c>
      <c r="AF136">
        <v>3</v>
      </c>
      <c r="AG136">
        <f t="shared" si="53"/>
        <v>1</v>
      </c>
      <c r="AH136">
        <f t="shared" si="54"/>
        <v>0</v>
      </c>
      <c r="AI136">
        <f t="shared" si="55"/>
        <v>25586.975363819874</v>
      </c>
      <c r="AJ136">
        <f t="shared" si="56"/>
        <v>0</v>
      </c>
      <c r="AK136">
        <f t="shared" si="57"/>
        <v>0</v>
      </c>
      <c r="AL136">
        <f t="shared" si="58"/>
        <v>0</v>
      </c>
      <c r="AM136">
        <f t="shared" si="59"/>
        <v>0</v>
      </c>
      <c r="AN136">
        <v>3</v>
      </c>
      <c r="AO136">
        <v>0.5</v>
      </c>
      <c r="AP136" t="s">
        <v>331</v>
      </c>
      <c r="AQ136">
        <v>2</v>
      </c>
      <c r="AR136">
        <v>1775488171.5</v>
      </c>
      <c r="AS136">
        <v>29.95894516129032</v>
      </c>
      <c r="AT136">
        <v>30.597841935483871</v>
      </c>
      <c r="AU136">
        <v>-0.57202641935483878</v>
      </c>
      <c r="AV136">
        <v>-1.897217419354839</v>
      </c>
      <c r="AW136">
        <v>21.92694516129032</v>
      </c>
      <c r="AX136">
        <v>0.41724458064516118</v>
      </c>
      <c r="AY136">
        <v>500.00590322580649</v>
      </c>
      <c r="AZ136">
        <v>100.2881290322581</v>
      </c>
      <c r="BA136">
        <v>4.1419796774193551E-2</v>
      </c>
      <c r="BB136">
        <v>27.303980645161289</v>
      </c>
      <c r="BC136">
        <v>27.375196774193551</v>
      </c>
      <c r="BD136">
        <v>999.90000000000032</v>
      </c>
      <c r="BE136">
        <v>0</v>
      </c>
      <c r="BF136">
        <v>0</v>
      </c>
      <c r="BG136">
        <v>5002.7741935483873</v>
      </c>
      <c r="BH136">
        <v>0.38795948387096768</v>
      </c>
      <c r="BI136">
        <v>0.23331922580645159</v>
      </c>
      <c r="BJ136">
        <v>-0.62638906451612908</v>
      </c>
      <c r="BK136">
        <v>29.95430967741936</v>
      </c>
      <c r="BL136">
        <v>30.539887096774201</v>
      </c>
      <c r="BM136">
        <v>1.32519064516129</v>
      </c>
      <c r="BN136">
        <v>30.597841935483871</v>
      </c>
      <c r="BO136">
        <v>-1.897217419354839</v>
      </c>
      <c r="BP136">
        <v>-5.7367445161290317E-2</v>
      </c>
      <c r="BQ136">
        <v>-0.19026829032258069</v>
      </c>
      <c r="BR136">
        <v>-99.900000000000034</v>
      </c>
      <c r="BS136">
        <v>-99.900000000000034</v>
      </c>
      <c r="BT136">
        <v>0</v>
      </c>
      <c r="BU136">
        <v>0</v>
      </c>
      <c r="BV136">
        <v>0</v>
      </c>
      <c r="BW136">
        <v>26</v>
      </c>
      <c r="BX136">
        <v>-1</v>
      </c>
      <c r="BY136">
        <v>1775488198.5</v>
      </c>
      <c r="BZ136" t="s">
        <v>693</v>
      </c>
      <c r="CA136">
        <v>1775488198.5</v>
      </c>
      <c r="CB136">
        <v>1775480969.5</v>
      </c>
      <c r="CC136">
        <v>121</v>
      </c>
      <c r="CD136">
        <v>-1.2E-2</v>
      </c>
      <c r="CE136">
        <v>0.19500000000000001</v>
      </c>
      <c r="CF136">
        <v>8.032</v>
      </c>
      <c r="CG136">
        <v>-0.98899999999999999</v>
      </c>
      <c r="CH136">
        <v>30</v>
      </c>
      <c r="CI136">
        <v>-3</v>
      </c>
      <c r="CJ136">
        <v>0.19</v>
      </c>
      <c r="CK136">
        <v>0.06</v>
      </c>
      <c r="CL136">
        <v>30.386839344262299</v>
      </c>
      <c r="CM136">
        <v>1.549777472236856</v>
      </c>
      <c r="CN136">
        <v>0.24679534116194771</v>
      </c>
      <c r="CO136">
        <v>-1</v>
      </c>
      <c r="CP136">
        <v>499.99095081967221</v>
      </c>
      <c r="CQ136">
        <v>9.4273929138544127E-2</v>
      </c>
      <c r="CR136">
        <v>4.6572146122017953E-2</v>
      </c>
      <c r="CS136">
        <v>-1</v>
      </c>
      <c r="CT136">
        <v>0</v>
      </c>
      <c r="CU136">
        <v>0</v>
      </c>
      <c r="CV136" t="s">
        <v>333</v>
      </c>
      <c r="CW136">
        <v>3.1673900000000001</v>
      </c>
      <c r="CX136">
        <v>2.6628699999999998</v>
      </c>
      <c r="CY136">
        <v>6.6051699999999996E-3</v>
      </c>
      <c r="CZ136">
        <v>9.1297400000000008E-3</v>
      </c>
      <c r="DA136">
        <v>3.4248E-3</v>
      </c>
      <c r="DB136">
        <v>-1.7494800000000001E-2</v>
      </c>
      <c r="DC136">
        <v>21433.1</v>
      </c>
      <c r="DD136">
        <v>21762.9</v>
      </c>
      <c r="DE136">
        <v>23103.3</v>
      </c>
      <c r="DF136">
        <v>22316.400000000001</v>
      </c>
      <c r="DG136">
        <v>29692.400000000001</v>
      </c>
      <c r="DH136">
        <v>27080.1</v>
      </c>
      <c r="DI136">
        <v>40606.1</v>
      </c>
      <c r="DJ136">
        <v>36985.300000000003</v>
      </c>
      <c r="DK136">
        <v>2.0851600000000001</v>
      </c>
      <c r="DL136">
        <v>1.79976</v>
      </c>
      <c r="DM136">
        <v>2.4426E-2</v>
      </c>
      <c r="DN136">
        <v>0</v>
      </c>
      <c r="DO136">
        <v>26.9756</v>
      </c>
      <c r="DP136">
        <v>999.9</v>
      </c>
      <c r="DQ136">
        <v>76.099999999999994</v>
      </c>
      <c r="DR136">
        <v>30.1</v>
      </c>
      <c r="DS136">
        <v>32.5169</v>
      </c>
      <c r="DT136">
        <v>30.494700000000002</v>
      </c>
      <c r="DU136">
        <v>9.7476000000000003</v>
      </c>
      <c r="DV136">
        <v>1</v>
      </c>
      <c r="DW136">
        <v>0.20986399999999999</v>
      </c>
      <c r="DX136">
        <v>-0.21473400000000001</v>
      </c>
      <c r="DY136">
        <v>20.367699999999999</v>
      </c>
      <c r="DZ136">
        <v>5.2115400000000003</v>
      </c>
      <c r="EA136">
        <v>11.8485</v>
      </c>
      <c r="EB136">
        <v>4.9678000000000004</v>
      </c>
      <c r="EC136">
        <v>3.2923</v>
      </c>
      <c r="ED136">
        <v>894.7</v>
      </c>
      <c r="EE136">
        <v>0</v>
      </c>
      <c r="EF136">
        <v>7574.4</v>
      </c>
      <c r="EG136">
        <v>110.8</v>
      </c>
      <c r="EH136">
        <v>4.97159</v>
      </c>
      <c r="EI136">
        <v>1.8717999999999999</v>
      </c>
      <c r="EJ136">
        <v>1.8690100000000001</v>
      </c>
      <c r="EK136">
        <v>1.8714500000000001</v>
      </c>
      <c r="EL136">
        <v>1.86917</v>
      </c>
      <c r="EM136">
        <v>1.8681300000000001</v>
      </c>
      <c r="EN136">
        <v>1.86995</v>
      </c>
      <c r="EO136">
        <v>1.87175</v>
      </c>
      <c r="EP136">
        <v>0</v>
      </c>
      <c r="EQ136">
        <v>0</v>
      </c>
      <c r="ER136">
        <v>0</v>
      </c>
      <c r="ES136">
        <v>0</v>
      </c>
      <c r="ET136" t="s">
        <v>334</v>
      </c>
      <c r="EU136" t="s">
        <v>335</v>
      </c>
      <c r="EV136" t="s">
        <v>336</v>
      </c>
      <c r="EW136" t="s">
        <v>336</v>
      </c>
      <c r="EX136" t="s">
        <v>336</v>
      </c>
      <c r="EY136" t="s">
        <v>336</v>
      </c>
      <c r="EZ136">
        <v>0</v>
      </c>
      <c r="FA136">
        <v>100</v>
      </c>
      <c r="FB136">
        <v>100</v>
      </c>
      <c r="FC136">
        <v>8.032</v>
      </c>
      <c r="FD136">
        <v>-0.98929999999999996</v>
      </c>
      <c r="FE136">
        <v>8.0445099999999989</v>
      </c>
      <c r="FF136">
        <v>0</v>
      </c>
      <c r="FG136">
        <v>0</v>
      </c>
      <c r="FH136">
        <v>0</v>
      </c>
      <c r="FI136">
        <v>-0.98927100000000023</v>
      </c>
      <c r="FJ136">
        <v>0</v>
      </c>
      <c r="FK136">
        <v>0</v>
      </c>
      <c r="FL136">
        <v>0</v>
      </c>
      <c r="FM136">
        <v>-1</v>
      </c>
      <c r="FN136">
        <v>-1</v>
      </c>
      <c r="FO136">
        <v>-1</v>
      </c>
      <c r="FP136">
        <v>-1</v>
      </c>
      <c r="FQ136">
        <v>0.8</v>
      </c>
      <c r="FR136">
        <v>120.2</v>
      </c>
      <c r="FS136">
        <v>0.142822</v>
      </c>
      <c r="FT136">
        <v>4.99756</v>
      </c>
      <c r="FU136">
        <v>1.5979000000000001</v>
      </c>
      <c r="FV136">
        <v>2.1533199999999999</v>
      </c>
      <c r="FW136">
        <v>1.5478499999999999</v>
      </c>
      <c r="FX136">
        <v>2.4011200000000001</v>
      </c>
      <c r="FY136">
        <v>34.5321</v>
      </c>
      <c r="FZ136">
        <v>15.786899999999999</v>
      </c>
      <c r="GA136">
        <v>3</v>
      </c>
      <c r="GB136">
        <v>497.06400000000002</v>
      </c>
      <c r="GC136">
        <v>405.93799999999999</v>
      </c>
      <c r="GD136">
        <v>27.937000000000001</v>
      </c>
      <c r="GE136">
        <v>29.872199999999999</v>
      </c>
      <c r="GF136">
        <v>30.0001</v>
      </c>
      <c r="GG136">
        <v>30.184899999999999</v>
      </c>
      <c r="GH136">
        <v>30.2376</v>
      </c>
      <c r="GI136">
        <v>-1</v>
      </c>
      <c r="GJ136">
        <v>0</v>
      </c>
      <c r="GK136">
        <v>100</v>
      </c>
      <c r="GL136">
        <v>27.932200000000002</v>
      </c>
      <c r="GM136">
        <v>432.1</v>
      </c>
      <c r="GN136">
        <v>68.912800000000004</v>
      </c>
      <c r="GO136">
        <v>102.209</v>
      </c>
      <c r="GP136">
        <v>96.507099999999994</v>
      </c>
    </row>
    <row r="137" spans="1:198" x14ac:dyDescent="0.35">
      <c r="A137">
        <v>121</v>
      </c>
      <c r="B137">
        <v>1775488239.5</v>
      </c>
      <c r="C137">
        <v>7201</v>
      </c>
      <c r="D137" t="s">
        <v>694</v>
      </c>
      <c r="E137" t="s">
        <v>695</v>
      </c>
      <c r="F137">
        <v>60</v>
      </c>
      <c r="G137">
        <v>1775488231.5</v>
      </c>
      <c r="H137">
        <f t="shared" si="30"/>
        <v>2.199063718869044E-3</v>
      </c>
      <c r="I137">
        <f t="shared" si="31"/>
        <v>2.1990637188690441</v>
      </c>
      <c r="J137">
        <f t="shared" si="32"/>
        <v>0.71921814000818807</v>
      </c>
      <c r="K137">
        <f t="shared" si="33"/>
        <v>30.324309677419361</v>
      </c>
      <c r="L137">
        <f t="shared" si="34"/>
        <v>9.4253192283443674</v>
      </c>
      <c r="M137">
        <f t="shared" si="35"/>
        <v>0.94562325332494879</v>
      </c>
      <c r="N137">
        <f t="shared" si="36"/>
        <v>3.0423767808055007</v>
      </c>
      <c r="O137">
        <f t="shared" si="37"/>
        <v>5.9094977800878787E-2</v>
      </c>
      <c r="P137">
        <f t="shared" si="38"/>
        <v>2.3895738871984094</v>
      </c>
      <c r="Q137">
        <f t="shared" si="39"/>
        <v>5.829492992256792E-2</v>
      </c>
      <c r="R137">
        <f t="shared" si="40"/>
        <v>3.6505309921539414E-2</v>
      </c>
      <c r="S137">
        <f t="shared" si="41"/>
        <v>0</v>
      </c>
      <c r="T137">
        <f t="shared" si="42"/>
        <v>26.60919733796333</v>
      </c>
      <c r="U137">
        <f t="shared" si="43"/>
        <v>27.372409677419359</v>
      </c>
      <c r="V137">
        <f t="shared" si="44"/>
        <v>3.6581963935429287</v>
      </c>
      <c r="W137">
        <f t="shared" si="45"/>
        <v>-1.6084401492218694</v>
      </c>
      <c r="X137">
        <f t="shared" si="46"/>
        <v>-5.8588948859832422E-2</v>
      </c>
      <c r="Y137">
        <f t="shared" si="47"/>
        <v>3.6425942791950674</v>
      </c>
      <c r="Z137">
        <f t="shared" si="48"/>
        <v>3.716785342402761</v>
      </c>
      <c r="AA137">
        <f t="shared" si="49"/>
        <v>-96.978710002124842</v>
      </c>
      <c r="AB137">
        <f t="shared" si="50"/>
        <v>-9.3985316603506792</v>
      </c>
      <c r="AC137">
        <f t="shared" si="51"/>
        <v>-0.85167253540824173</v>
      </c>
      <c r="AD137">
        <f t="shared" si="52"/>
        <v>-107.22891419788377</v>
      </c>
      <c r="AE137">
        <v>14</v>
      </c>
      <c r="AF137">
        <v>3</v>
      </c>
      <c r="AG137">
        <f t="shared" si="53"/>
        <v>1</v>
      </c>
      <c r="AH137">
        <f t="shared" si="54"/>
        <v>0</v>
      </c>
      <c r="AI137">
        <f t="shared" si="55"/>
        <v>25509.496932974096</v>
      </c>
      <c r="AJ137">
        <f t="shared" si="56"/>
        <v>0</v>
      </c>
      <c r="AK137">
        <f t="shared" si="57"/>
        <v>0</v>
      </c>
      <c r="AL137">
        <f t="shared" si="58"/>
        <v>0</v>
      </c>
      <c r="AM137">
        <f t="shared" si="59"/>
        <v>0</v>
      </c>
      <c r="AN137">
        <v>3</v>
      </c>
      <c r="AO137">
        <v>0.5</v>
      </c>
      <c r="AP137" t="s">
        <v>331</v>
      </c>
      <c r="AQ137">
        <v>2</v>
      </c>
      <c r="AR137">
        <v>1775488231.5</v>
      </c>
      <c r="AS137">
        <v>30.324309677419361</v>
      </c>
      <c r="AT137">
        <v>30.795858064516128</v>
      </c>
      <c r="AU137">
        <v>-0.58397416129032265</v>
      </c>
      <c r="AV137">
        <v>-1.9042009677419349</v>
      </c>
      <c r="AW137">
        <v>22.27730967741936</v>
      </c>
      <c r="AX137">
        <v>0.40529683870967748</v>
      </c>
      <c r="AY137">
        <v>499.99316129032258</v>
      </c>
      <c r="AZ137">
        <v>100.2864838709677</v>
      </c>
      <c r="BA137">
        <v>4.1497645161290321E-2</v>
      </c>
      <c r="BB137">
        <v>27.299454838709678</v>
      </c>
      <c r="BC137">
        <v>27.372409677419359</v>
      </c>
      <c r="BD137">
        <v>999.90000000000032</v>
      </c>
      <c r="BE137">
        <v>0</v>
      </c>
      <c r="BF137">
        <v>0</v>
      </c>
      <c r="BG137">
        <v>4989.677419354839</v>
      </c>
      <c r="BH137">
        <v>0.36980519354838709</v>
      </c>
      <c r="BI137">
        <v>0.23331922580645159</v>
      </c>
      <c r="BJ137">
        <v>-0.48619816129032262</v>
      </c>
      <c r="BK137">
        <v>30.29196774193549</v>
      </c>
      <c r="BL137">
        <v>30.737332258064509</v>
      </c>
      <c r="BM137">
        <v>1.3202261290322579</v>
      </c>
      <c r="BN137">
        <v>30.795858064516128</v>
      </c>
      <c r="BO137">
        <v>-1.9042009677419349</v>
      </c>
      <c r="BP137">
        <v>-5.8564741935483861E-2</v>
      </c>
      <c r="BQ137">
        <v>-0.19096561290322589</v>
      </c>
      <c r="BR137">
        <v>-99.900000000000034</v>
      </c>
      <c r="BS137">
        <v>-99.900000000000034</v>
      </c>
      <c r="BT137">
        <v>0</v>
      </c>
      <c r="BU137">
        <v>0</v>
      </c>
      <c r="BV137">
        <v>0</v>
      </c>
      <c r="BW137">
        <v>26</v>
      </c>
      <c r="BX137">
        <v>-0.98924741935483884</v>
      </c>
      <c r="BY137">
        <v>1775488256.5</v>
      </c>
      <c r="BZ137" t="s">
        <v>696</v>
      </c>
      <c r="CA137">
        <v>1775488256.5</v>
      </c>
      <c r="CB137">
        <v>1775480969.5</v>
      </c>
      <c r="CC137">
        <v>122</v>
      </c>
      <c r="CD137">
        <v>1.4999999999999999E-2</v>
      </c>
      <c r="CE137">
        <v>0.19500000000000001</v>
      </c>
      <c r="CF137">
        <v>8.0470000000000006</v>
      </c>
      <c r="CG137">
        <v>-0.98899999999999999</v>
      </c>
      <c r="CH137">
        <v>31</v>
      </c>
      <c r="CI137">
        <v>-3</v>
      </c>
      <c r="CJ137">
        <v>0.23</v>
      </c>
      <c r="CK137">
        <v>0.06</v>
      </c>
      <c r="CL137">
        <v>30.823441666666671</v>
      </c>
      <c r="CM137">
        <v>2.8501583773253372E-2</v>
      </c>
      <c r="CN137">
        <v>0.13697089872386109</v>
      </c>
      <c r="CO137">
        <v>-1</v>
      </c>
      <c r="CP137">
        <v>500.01</v>
      </c>
      <c r="CQ137">
        <v>-9.7560433452240553E-2</v>
      </c>
      <c r="CR137">
        <v>5.3555889809931249E-2</v>
      </c>
      <c r="CS137">
        <v>-1</v>
      </c>
      <c r="CT137">
        <v>0</v>
      </c>
      <c r="CU137">
        <v>0</v>
      </c>
      <c r="CV137" t="s">
        <v>333</v>
      </c>
      <c r="CW137">
        <v>3.1673800000000001</v>
      </c>
      <c r="CX137">
        <v>2.6627399999999999</v>
      </c>
      <c r="CY137">
        <v>6.6658100000000003E-3</v>
      </c>
      <c r="CZ137">
        <v>9.1512199999999998E-3</v>
      </c>
      <c r="DA137">
        <v>3.2762500000000001E-3</v>
      </c>
      <c r="DB137">
        <v>-1.75751E-2</v>
      </c>
      <c r="DC137">
        <v>21431.8</v>
      </c>
      <c r="DD137">
        <v>21761.8</v>
      </c>
      <c r="DE137">
        <v>23103.3</v>
      </c>
      <c r="DF137">
        <v>22315.7</v>
      </c>
      <c r="DG137">
        <v>29696.799999999999</v>
      </c>
      <c r="DH137">
        <v>27081.4</v>
      </c>
      <c r="DI137">
        <v>40606.1</v>
      </c>
      <c r="DJ137">
        <v>36984.1</v>
      </c>
      <c r="DK137">
        <v>2.08474</v>
      </c>
      <c r="DL137">
        <v>1.79976</v>
      </c>
      <c r="DM137">
        <v>2.3472300000000001E-2</v>
      </c>
      <c r="DN137">
        <v>0</v>
      </c>
      <c r="DO137">
        <v>26.985900000000001</v>
      </c>
      <c r="DP137">
        <v>999.9</v>
      </c>
      <c r="DQ137">
        <v>76.099999999999994</v>
      </c>
      <c r="DR137">
        <v>30.1</v>
      </c>
      <c r="DS137">
        <v>32.515700000000002</v>
      </c>
      <c r="DT137">
        <v>30.944700000000001</v>
      </c>
      <c r="DU137">
        <v>9.9919899999999995</v>
      </c>
      <c r="DV137">
        <v>1</v>
      </c>
      <c r="DW137">
        <v>0.210004</v>
      </c>
      <c r="DX137">
        <v>-0.23384099999999999</v>
      </c>
      <c r="DY137">
        <v>20.367599999999999</v>
      </c>
      <c r="DZ137">
        <v>5.2112999999999996</v>
      </c>
      <c r="EA137">
        <v>11.848599999999999</v>
      </c>
      <c r="EB137">
        <v>4.9677199999999999</v>
      </c>
      <c r="EC137">
        <v>3.2920600000000002</v>
      </c>
      <c r="ED137">
        <v>894.7</v>
      </c>
      <c r="EE137">
        <v>0</v>
      </c>
      <c r="EF137">
        <v>7607.1</v>
      </c>
      <c r="EG137">
        <v>110.8</v>
      </c>
      <c r="EH137">
        <v>4.9716500000000003</v>
      </c>
      <c r="EI137">
        <v>1.87181</v>
      </c>
      <c r="EJ137">
        <v>1.8690500000000001</v>
      </c>
      <c r="EK137">
        <v>1.87147</v>
      </c>
      <c r="EL137">
        <v>1.8691899999999999</v>
      </c>
      <c r="EM137">
        <v>1.86812</v>
      </c>
      <c r="EN137">
        <v>1.86995</v>
      </c>
      <c r="EO137">
        <v>1.8717600000000001</v>
      </c>
      <c r="EP137">
        <v>0</v>
      </c>
      <c r="EQ137">
        <v>0</v>
      </c>
      <c r="ER137">
        <v>0</v>
      </c>
      <c r="ES137">
        <v>0</v>
      </c>
      <c r="ET137" t="s">
        <v>334</v>
      </c>
      <c r="EU137" t="s">
        <v>335</v>
      </c>
      <c r="EV137" t="s">
        <v>336</v>
      </c>
      <c r="EW137" t="s">
        <v>336</v>
      </c>
      <c r="EX137" t="s">
        <v>336</v>
      </c>
      <c r="EY137" t="s">
        <v>336</v>
      </c>
      <c r="EZ137">
        <v>0</v>
      </c>
      <c r="FA137">
        <v>100</v>
      </c>
      <c r="FB137">
        <v>100</v>
      </c>
      <c r="FC137">
        <v>8.0470000000000006</v>
      </c>
      <c r="FD137">
        <v>-0.98929999999999996</v>
      </c>
      <c r="FE137">
        <v>8.032350000000001</v>
      </c>
      <c r="FF137">
        <v>0</v>
      </c>
      <c r="FG137">
        <v>0</v>
      </c>
      <c r="FH137">
        <v>0</v>
      </c>
      <c r="FI137">
        <v>-0.98927100000000023</v>
      </c>
      <c r="FJ137">
        <v>0</v>
      </c>
      <c r="FK137">
        <v>0</v>
      </c>
      <c r="FL137">
        <v>0</v>
      </c>
      <c r="FM137">
        <v>-1</v>
      </c>
      <c r="FN137">
        <v>-1</v>
      </c>
      <c r="FO137">
        <v>-1</v>
      </c>
      <c r="FP137">
        <v>-1</v>
      </c>
      <c r="FQ137">
        <v>0.7</v>
      </c>
      <c r="FR137">
        <v>121.2</v>
      </c>
      <c r="FS137">
        <v>0.142822</v>
      </c>
      <c r="FT137">
        <v>4.99756</v>
      </c>
      <c r="FU137">
        <v>1.5979000000000001</v>
      </c>
      <c r="FV137">
        <v>2.1533199999999999</v>
      </c>
      <c r="FW137">
        <v>1.5478499999999999</v>
      </c>
      <c r="FX137">
        <v>2.4316399999999998</v>
      </c>
      <c r="FY137">
        <v>34.5321</v>
      </c>
      <c r="FZ137">
        <v>15.7781</v>
      </c>
      <c r="GA137">
        <v>3</v>
      </c>
      <c r="GB137">
        <v>496.78100000000001</v>
      </c>
      <c r="GC137">
        <v>405.92099999999999</v>
      </c>
      <c r="GD137">
        <v>27.906700000000001</v>
      </c>
      <c r="GE137">
        <v>29.872199999999999</v>
      </c>
      <c r="GF137">
        <v>30.0002</v>
      </c>
      <c r="GG137">
        <v>30.1798</v>
      </c>
      <c r="GH137">
        <v>30.234999999999999</v>
      </c>
      <c r="GI137">
        <v>-1</v>
      </c>
      <c r="GJ137">
        <v>0</v>
      </c>
      <c r="GK137">
        <v>100</v>
      </c>
      <c r="GL137">
        <v>27.927700000000002</v>
      </c>
      <c r="GM137">
        <v>432.1</v>
      </c>
      <c r="GN137">
        <v>68.912800000000004</v>
      </c>
      <c r="GO137">
        <v>102.209</v>
      </c>
      <c r="GP137">
        <v>96.504199999999997</v>
      </c>
    </row>
    <row r="138" spans="1:198" x14ac:dyDescent="0.35">
      <c r="A138">
        <v>122</v>
      </c>
      <c r="B138">
        <v>1775488299.5</v>
      </c>
      <c r="C138">
        <v>7261</v>
      </c>
      <c r="D138" t="s">
        <v>697</v>
      </c>
      <c r="E138" t="s">
        <v>698</v>
      </c>
      <c r="F138">
        <v>60</v>
      </c>
      <c r="G138">
        <v>1775488291.5</v>
      </c>
      <c r="H138">
        <f t="shared" si="30"/>
        <v>2.1944217654320873E-3</v>
      </c>
      <c r="I138">
        <f t="shared" si="31"/>
        <v>2.1944217654320872</v>
      </c>
      <c r="J138">
        <f t="shared" si="32"/>
        <v>1.9710487993585786</v>
      </c>
      <c r="K138">
        <f t="shared" si="33"/>
        <v>31.154709677419358</v>
      </c>
      <c r="L138">
        <f t="shared" si="34"/>
        <v>-23.189860681398862</v>
      </c>
      <c r="M138">
        <f t="shared" si="35"/>
        <v>-2.3265911302121189</v>
      </c>
      <c r="N138">
        <f t="shared" si="36"/>
        <v>3.125688083928805</v>
      </c>
      <c r="O138">
        <f t="shared" si="37"/>
        <v>5.8971127974221646E-2</v>
      </c>
      <c r="P138">
        <f t="shared" si="38"/>
        <v>2.3929256850707477</v>
      </c>
      <c r="Q138">
        <f t="shared" si="39"/>
        <v>5.8175505385346146E-2</v>
      </c>
      <c r="R138">
        <f t="shared" si="40"/>
        <v>3.6430280068171554E-2</v>
      </c>
      <c r="S138">
        <f t="shared" si="41"/>
        <v>0</v>
      </c>
      <c r="T138">
        <f t="shared" si="42"/>
        <v>26.607101150066722</v>
      </c>
      <c r="U138">
        <f t="shared" si="43"/>
        <v>27.367087096774199</v>
      </c>
      <c r="V138">
        <f t="shared" si="44"/>
        <v>3.657056137939644</v>
      </c>
      <c r="W138">
        <f t="shared" si="45"/>
        <v>-1.6348490021384592</v>
      </c>
      <c r="X138">
        <f t="shared" si="46"/>
        <v>-5.9535439167929437E-2</v>
      </c>
      <c r="Y138">
        <f t="shared" si="47"/>
        <v>3.6416475827464363</v>
      </c>
      <c r="Z138">
        <f t="shared" si="48"/>
        <v>3.7165915771075735</v>
      </c>
      <c r="AA138">
        <f t="shared" si="49"/>
        <v>-96.773999855555047</v>
      </c>
      <c r="AB138">
        <f t="shared" si="50"/>
        <v>-9.2972726980285287</v>
      </c>
      <c r="AC138">
        <f t="shared" si="51"/>
        <v>-0.8412755932174909</v>
      </c>
      <c r="AD138">
        <f t="shared" si="52"/>
        <v>-106.91254814680107</v>
      </c>
      <c r="AE138">
        <v>14</v>
      </c>
      <c r="AF138">
        <v>3</v>
      </c>
      <c r="AG138">
        <f t="shared" si="53"/>
        <v>1</v>
      </c>
      <c r="AH138">
        <f t="shared" si="54"/>
        <v>0</v>
      </c>
      <c r="AI138">
        <f t="shared" si="55"/>
        <v>25560.846007049895</v>
      </c>
      <c r="AJ138">
        <f t="shared" si="56"/>
        <v>0</v>
      </c>
      <c r="AK138">
        <f t="shared" si="57"/>
        <v>0</v>
      </c>
      <c r="AL138">
        <f t="shared" si="58"/>
        <v>0</v>
      </c>
      <c r="AM138">
        <f t="shared" si="59"/>
        <v>0</v>
      </c>
      <c r="AN138">
        <v>3</v>
      </c>
      <c r="AO138">
        <v>0.5</v>
      </c>
      <c r="AP138" t="s">
        <v>331</v>
      </c>
      <c r="AQ138">
        <v>2</v>
      </c>
      <c r="AR138">
        <v>1775488291.5</v>
      </c>
      <c r="AS138">
        <v>31.154709677419358</v>
      </c>
      <c r="AT138">
        <v>32.378296774193537</v>
      </c>
      <c r="AU138">
        <v>-0.59340832258064513</v>
      </c>
      <c r="AV138">
        <v>-1.9107758064516129</v>
      </c>
      <c r="AW138">
        <v>23.122709677419358</v>
      </c>
      <c r="AX138">
        <v>0.39586267741935488</v>
      </c>
      <c r="AY138">
        <v>500.02538709677412</v>
      </c>
      <c r="AZ138">
        <v>100.2862580645161</v>
      </c>
      <c r="BA138">
        <v>4.1689661290322567E-2</v>
      </c>
      <c r="BB138">
        <v>27.295019354838711</v>
      </c>
      <c r="BC138">
        <v>27.367087096774199</v>
      </c>
      <c r="BD138">
        <v>999.90000000000032</v>
      </c>
      <c r="BE138">
        <v>0</v>
      </c>
      <c r="BF138">
        <v>0</v>
      </c>
      <c r="BG138">
        <v>4998.3064516129034</v>
      </c>
      <c r="BH138">
        <v>0.38003754838709691</v>
      </c>
      <c r="BI138">
        <v>0.23331922580645159</v>
      </c>
      <c r="BJ138">
        <v>-1.208389580645161</v>
      </c>
      <c r="BK138">
        <v>31.151429032258061</v>
      </c>
      <c r="BL138">
        <v>32.316548387096773</v>
      </c>
      <c r="BM138">
        <v>1.317368064516129</v>
      </c>
      <c r="BN138">
        <v>32.378296774193537</v>
      </c>
      <c r="BO138">
        <v>-1.9107758064516129</v>
      </c>
      <c r="BP138">
        <v>-5.9510670967741937E-2</v>
      </c>
      <c r="BQ138">
        <v>-0.19162454838709669</v>
      </c>
      <c r="BR138">
        <v>-99.900000000000034</v>
      </c>
      <c r="BS138">
        <v>-99.900000000000034</v>
      </c>
      <c r="BT138">
        <v>0</v>
      </c>
      <c r="BU138">
        <v>0</v>
      </c>
      <c r="BV138">
        <v>0</v>
      </c>
      <c r="BW138">
        <v>26</v>
      </c>
      <c r="BX138">
        <v>-0.98924741935483884</v>
      </c>
      <c r="BY138">
        <v>1775488316.5</v>
      </c>
      <c r="BZ138" t="s">
        <v>699</v>
      </c>
      <c r="CA138">
        <v>1775488316.5</v>
      </c>
      <c r="CB138">
        <v>1775480969.5</v>
      </c>
      <c r="CC138">
        <v>123</v>
      </c>
      <c r="CD138">
        <v>-1.4999999999999999E-2</v>
      </c>
      <c r="CE138">
        <v>0.19500000000000001</v>
      </c>
      <c r="CF138">
        <v>8.032</v>
      </c>
      <c r="CG138">
        <v>-0.98899999999999999</v>
      </c>
      <c r="CH138">
        <v>31</v>
      </c>
      <c r="CI138">
        <v>-3</v>
      </c>
      <c r="CJ138">
        <v>0.28000000000000003</v>
      </c>
      <c r="CK138">
        <v>0.06</v>
      </c>
      <c r="CL138">
        <v>31.658300000000001</v>
      </c>
      <c r="CM138">
        <v>5.5083807724368299</v>
      </c>
      <c r="CN138">
        <v>0.85906728296837553</v>
      </c>
      <c r="CO138">
        <v>-1</v>
      </c>
      <c r="CP138">
        <v>500.00948333333332</v>
      </c>
      <c r="CQ138">
        <v>0.14801778271856431</v>
      </c>
      <c r="CR138">
        <v>4.5593673415898907E-2</v>
      </c>
      <c r="CS138">
        <v>-1</v>
      </c>
      <c r="CT138">
        <v>0</v>
      </c>
      <c r="CU138">
        <v>0</v>
      </c>
      <c r="CV138" t="s">
        <v>333</v>
      </c>
      <c r="CW138">
        <v>3.1674000000000002</v>
      </c>
      <c r="CX138">
        <v>2.66289</v>
      </c>
      <c r="CY138">
        <v>7.1028899999999997E-3</v>
      </c>
      <c r="CZ138">
        <v>9.6118999999999996E-3</v>
      </c>
      <c r="DA138">
        <v>3.1792600000000002E-3</v>
      </c>
      <c r="DB138">
        <v>-1.7646200000000001E-2</v>
      </c>
      <c r="DC138">
        <v>21422.2</v>
      </c>
      <c r="DD138">
        <v>21751.7</v>
      </c>
      <c r="DE138">
        <v>23103.1</v>
      </c>
      <c r="DF138">
        <v>22315.7</v>
      </c>
      <c r="DG138">
        <v>29699.599999999999</v>
      </c>
      <c r="DH138">
        <v>27083.3</v>
      </c>
      <c r="DI138">
        <v>40606</v>
      </c>
      <c r="DJ138">
        <v>36984.199999999997</v>
      </c>
      <c r="DK138">
        <v>2.0850399999999998</v>
      </c>
      <c r="DL138">
        <v>1.80036</v>
      </c>
      <c r="DM138">
        <v>2.3478300000000001E-2</v>
      </c>
      <c r="DN138">
        <v>0</v>
      </c>
      <c r="DO138">
        <v>26.983599999999999</v>
      </c>
      <c r="DP138">
        <v>999.9</v>
      </c>
      <c r="DQ138">
        <v>76.099999999999994</v>
      </c>
      <c r="DR138">
        <v>30.1</v>
      </c>
      <c r="DS138">
        <v>32.518099999999997</v>
      </c>
      <c r="DT138">
        <v>30.584700000000002</v>
      </c>
      <c r="DU138">
        <v>10.052099999999999</v>
      </c>
      <c r="DV138">
        <v>1</v>
      </c>
      <c r="DW138">
        <v>0.210033</v>
      </c>
      <c r="DX138">
        <v>-0.26826100000000003</v>
      </c>
      <c r="DY138">
        <v>20.3672</v>
      </c>
      <c r="DZ138">
        <v>5.2109399999999999</v>
      </c>
      <c r="EA138">
        <v>11.848599999999999</v>
      </c>
      <c r="EB138">
        <v>4.9678000000000004</v>
      </c>
      <c r="EC138">
        <v>3.2921800000000001</v>
      </c>
      <c r="ED138">
        <v>894.7</v>
      </c>
      <c r="EE138">
        <v>0</v>
      </c>
      <c r="EF138">
        <v>7639.5</v>
      </c>
      <c r="EG138">
        <v>110.8</v>
      </c>
      <c r="EH138">
        <v>4.9716399999999998</v>
      </c>
      <c r="EI138">
        <v>1.87181</v>
      </c>
      <c r="EJ138">
        <v>1.8690199999999999</v>
      </c>
      <c r="EK138">
        <v>1.8714500000000001</v>
      </c>
      <c r="EL138">
        <v>1.8691800000000001</v>
      </c>
      <c r="EM138">
        <v>1.86812</v>
      </c>
      <c r="EN138">
        <v>1.8699600000000001</v>
      </c>
      <c r="EO138">
        <v>1.8717600000000001</v>
      </c>
      <c r="EP138">
        <v>0</v>
      </c>
      <c r="EQ138">
        <v>0</v>
      </c>
      <c r="ER138">
        <v>0</v>
      </c>
      <c r="ES138">
        <v>0</v>
      </c>
      <c r="ET138" t="s">
        <v>334</v>
      </c>
      <c r="EU138" t="s">
        <v>335</v>
      </c>
      <c r="EV138" t="s">
        <v>336</v>
      </c>
      <c r="EW138" t="s">
        <v>336</v>
      </c>
      <c r="EX138" t="s">
        <v>336</v>
      </c>
      <c r="EY138" t="s">
        <v>336</v>
      </c>
      <c r="EZ138">
        <v>0</v>
      </c>
      <c r="FA138">
        <v>100</v>
      </c>
      <c r="FB138">
        <v>100</v>
      </c>
      <c r="FC138">
        <v>8.032</v>
      </c>
      <c r="FD138">
        <v>-0.98929999999999996</v>
      </c>
      <c r="FE138">
        <v>8.0471899999999934</v>
      </c>
      <c r="FF138">
        <v>0</v>
      </c>
      <c r="FG138">
        <v>0</v>
      </c>
      <c r="FH138">
        <v>0</v>
      </c>
      <c r="FI138">
        <v>-0.98927100000000023</v>
      </c>
      <c r="FJ138">
        <v>0</v>
      </c>
      <c r="FK138">
        <v>0</v>
      </c>
      <c r="FL138">
        <v>0</v>
      </c>
      <c r="FM138">
        <v>-1</v>
      </c>
      <c r="FN138">
        <v>-1</v>
      </c>
      <c r="FO138">
        <v>-1</v>
      </c>
      <c r="FP138">
        <v>-1</v>
      </c>
      <c r="FQ138">
        <v>0.7</v>
      </c>
      <c r="FR138">
        <v>122.2</v>
      </c>
      <c r="FS138">
        <v>0.142822</v>
      </c>
      <c r="FT138">
        <v>4.99756</v>
      </c>
      <c r="FU138">
        <v>1.5979000000000001</v>
      </c>
      <c r="FV138">
        <v>2.1520999999999999</v>
      </c>
      <c r="FW138">
        <v>1.5478499999999999</v>
      </c>
      <c r="FX138">
        <v>2.3584000000000001</v>
      </c>
      <c r="FY138">
        <v>34.5321</v>
      </c>
      <c r="FZ138">
        <v>15.769399999999999</v>
      </c>
      <c r="GA138">
        <v>3</v>
      </c>
      <c r="GB138">
        <v>496.935</v>
      </c>
      <c r="GC138">
        <v>406.23200000000003</v>
      </c>
      <c r="GD138">
        <v>27.9587</v>
      </c>
      <c r="GE138">
        <v>29.872199999999999</v>
      </c>
      <c r="GF138">
        <v>30.0002</v>
      </c>
      <c r="GG138">
        <v>30.177099999999999</v>
      </c>
      <c r="GH138">
        <v>30.229900000000001</v>
      </c>
      <c r="GI138">
        <v>-1</v>
      </c>
      <c r="GJ138">
        <v>0</v>
      </c>
      <c r="GK138">
        <v>100</v>
      </c>
      <c r="GL138">
        <v>27.962299999999999</v>
      </c>
      <c r="GM138">
        <v>432.1</v>
      </c>
      <c r="GN138">
        <v>68.912800000000004</v>
      </c>
      <c r="GO138">
        <v>102.209</v>
      </c>
      <c r="GP138">
        <v>96.504300000000001</v>
      </c>
    </row>
    <row r="139" spans="1:198" x14ac:dyDescent="0.35">
      <c r="A139">
        <v>123</v>
      </c>
      <c r="B139">
        <v>1775488359.5</v>
      </c>
      <c r="C139">
        <v>7321</v>
      </c>
      <c r="D139" t="s">
        <v>700</v>
      </c>
      <c r="E139" t="s">
        <v>701</v>
      </c>
      <c r="F139">
        <v>60</v>
      </c>
      <c r="G139">
        <v>1775488351.5</v>
      </c>
      <c r="H139">
        <f t="shared" si="30"/>
        <v>2.2015230975138563E-3</v>
      </c>
      <c r="I139">
        <f t="shared" si="31"/>
        <v>2.2015230975138564</v>
      </c>
      <c r="J139">
        <f t="shared" si="32"/>
        <v>1.3459205046909999</v>
      </c>
      <c r="K139">
        <f t="shared" si="33"/>
        <v>31.329432258064521</v>
      </c>
      <c r="L139">
        <f t="shared" si="34"/>
        <v>-6.2664483721258577</v>
      </c>
      <c r="M139">
        <f t="shared" si="35"/>
        <v>-0.6286897722825916</v>
      </c>
      <c r="N139">
        <f t="shared" si="36"/>
        <v>3.1431669842966468</v>
      </c>
      <c r="O139">
        <f t="shared" si="37"/>
        <v>5.9140903223054243E-2</v>
      </c>
      <c r="P139">
        <f t="shared" si="38"/>
        <v>2.3903821669404755</v>
      </c>
      <c r="Q139">
        <f t="shared" si="39"/>
        <v>5.8339887432238093E-2</v>
      </c>
      <c r="R139">
        <f t="shared" si="40"/>
        <v>3.6533493846312395E-2</v>
      </c>
      <c r="S139">
        <f t="shared" si="41"/>
        <v>0</v>
      </c>
      <c r="T139">
        <f t="shared" si="42"/>
        <v>26.611312130641629</v>
      </c>
      <c r="U139">
        <f t="shared" si="43"/>
        <v>27.374019354838701</v>
      </c>
      <c r="V139">
        <f t="shared" si="44"/>
        <v>3.6585412955825269</v>
      </c>
      <c r="W139">
        <f t="shared" si="45"/>
        <v>-1.6326860879633143</v>
      </c>
      <c r="X139">
        <f t="shared" si="46"/>
        <v>-5.9481439401213199E-2</v>
      </c>
      <c r="Y139">
        <f t="shared" si="47"/>
        <v>3.6431644661965001</v>
      </c>
      <c r="Z139">
        <f t="shared" si="48"/>
        <v>3.71802273498374</v>
      </c>
      <c r="AA139">
        <f t="shared" si="49"/>
        <v>-97.087168600361068</v>
      </c>
      <c r="AB139">
        <f t="shared" si="50"/>
        <v>-9.2649419541339935</v>
      </c>
      <c r="AC139">
        <f t="shared" si="51"/>
        <v>-0.83930100798058105</v>
      </c>
      <c r="AD139">
        <f t="shared" si="52"/>
        <v>-107.19141156247564</v>
      </c>
      <c r="AE139">
        <v>14</v>
      </c>
      <c r="AF139">
        <v>3</v>
      </c>
      <c r="AG139">
        <f t="shared" si="53"/>
        <v>1</v>
      </c>
      <c r="AH139">
        <f t="shared" si="54"/>
        <v>0</v>
      </c>
      <c r="AI139">
        <f t="shared" si="55"/>
        <v>25521.625461062653</v>
      </c>
      <c r="AJ139">
        <f t="shared" si="56"/>
        <v>0</v>
      </c>
      <c r="AK139">
        <f t="shared" si="57"/>
        <v>0</v>
      </c>
      <c r="AL139">
        <f t="shared" si="58"/>
        <v>0</v>
      </c>
      <c r="AM139">
        <f t="shared" si="59"/>
        <v>0</v>
      </c>
      <c r="AN139">
        <v>3</v>
      </c>
      <c r="AO139">
        <v>0.5</v>
      </c>
      <c r="AP139" t="s">
        <v>331</v>
      </c>
      <c r="AQ139">
        <v>2</v>
      </c>
      <c r="AR139">
        <v>1775488351.5</v>
      </c>
      <c r="AS139">
        <v>31.329432258064521</v>
      </c>
      <c r="AT139">
        <v>32.17838387096775</v>
      </c>
      <c r="AU139">
        <v>-0.59287964516129033</v>
      </c>
      <c r="AV139">
        <v>-1.91460129032258</v>
      </c>
      <c r="AW139">
        <v>23.306432258064518</v>
      </c>
      <c r="AX139">
        <v>0.39639125806451608</v>
      </c>
      <c r="AY139">
        <v>499.99067741935482</v>
      </c>
      <c r="AZ139">
        <v>100.28480645161289</v>
      </c>
      <c r="BA139">
        <v>4.152434193548387E-2</v>
      </c>
      <c r="BB139">
        <v>27.302125806451599</v>
      </c>
      <c r="BC139">
        <v>27.374019354838701</v>
      </c>
      <c r="BD139">
        <v>999.90000000000032</v>
      </c>
      <c r="BE139">
        <v>0</v>
      </c>
      <c r="BF139">
        <v>0</v>
      </c>
      <c r="BG139">
        <v>4991.8387096774204</v>
      </c>
      <c r="BH139">
        <v>0.3633626451612903</v>
      </c>
      <c r="BI139">
        <v>0.23331922580645159</v>
      </c>
      <c r="BJ139">
        <v>-0.8402188387096774</v>
      </c>
      <c r="BK139">
        <v>31.319606451612909</v>
      </c>
      <c r="BL139">
        <v>32.116900000000001</v>
      </c>
      <c r="BM139">
        <v>1.3217216129032261</v>
      </c>
      <c r="BN139">
        <v>32.17838387096775</v>
      </c>
      <c r="BO139">
        <v>-1.91460129032258</v>
      </c>
      <c r="BP139">
        <v>-5.9456777419354838E-2</v>
      </c>
      <c r="BQ139">
        <v>-0.19200529032258071</v>
      </c>
      <c r="BR139">
        <v>-99.900000000000034</v>
      </c>
      <c r="BS139">
        <v>-99.900000000000034</v>
      </c>
      <c r="BT139">
        <v>0</v>
      </c>
      <c r="BU139">
        <v>0</v>
      </c>
      <c r="BV139">
        <v>0</v>
      </c>
      <c r="BW139">
        <v>26</v>
      </c>
      <c r="BX139">
        <v>-1</v>
      </c>
      <c r="BY139">
        <v>1775488375.5</v>
      </c>
      <c r="BZ139" t="s">
        <v>702</v>
      </c>
      <c r="CA139">
        <v>1775488375.5</v>
      </c>
      <c r="CB139">
        <v>1775480969.5</v>
      </c>
      <c r="CC139">
        <v>124</v>
      </c>
      <c r="CD139">
        <v>-8.9999999999999993E-3</v>
      </c>
      <c r="CE139">
        <v>0.19500000000000001</v>
      </c>
      <c r="CF139">
        <v>8.0229999999999997</v>
      </c>
      <c r="CG139">
        <v>-0.98899999999999999</v>
      </c>
      <c r="CH139">
        <v>32</v>
      </c>
      <c r="CI139">
        <v>-3</v>
      </c>
      <c r="CJ139">
        <v>0.19</v>
      </c>
      <c r="CK139">
        <v>0.06</v>
      </c>
      <c r="CL139">
        <v>31.741550819672131</v>
      </c>
      <c r="CM139">
        <v>2.8881759915388932</v>
      </c>
      <c r="CN139">
        <v>0.50842845769851308</v>
      </c>
      <c r="CO139">
        <v>-1</v>
      </c>
      <c r="CP139">
        <v>499.99700000000013</v>
      </c>
      <c r="CQ139">
        <v>-8.9114754098326962E-2</v>
      </c>
      <c r="CR139">
        <v>4.6398841138725062E-2</v>
      </c>
      <c r="CS139">
        <v>-1</v>
      </c>
      <c r="CT139">
        <v>0</v>
      </c>
      <c r="CU139">
        <v>0</v>
      </c>
      <c r="CV139" t="s">
        <v>333</v>
      </c>
      <c r="CW139">
        <v>3.1674000000000002</v>
      </c>
      <c r="CX139">
        <v>2.6629999999999998</v>
      </c>
      <c r="CY139">
        <v>7.0225900000000004E-3</v>
      </c>
      <c r="CZ139">
        <v>9.5072100000000003E-3</v>
      </c>
      <c r="DA139">
        <v>3.1864300000000001E-3</v>
      </c>
      <c r="DB139">
        <v>-1.7687700000000001E-2</v>
      </c>
      <c r="DC139">
        <v>21424</v>
      </c>
      <c r="DD139">
        <v>21753.8</v>
      </c>
      <c r="DE139">
        <v>23103.1</v>
      </c>
      <c r="DF139">
        <v>22315.5</v>
      </c>
      <c r="DG139">
        <v>29699.4</v>
      </c>
      <c r="DH139">
        <v>27083.9</v>
      </c>
      <c r="DI139">
        <v>40606</v>
      </c>
      <c r="DJ139">
        <v>36983.599999999999</v>
      </c>
      <c r="DK139">
        <v>2.0853799999999998</v>
      </c>
      <c r="DL139">
        <v>1.7994000000000001</v>
      </c>
      <c r="DM139">
        <v>2.3770300000000001E-2</v>
      </c>
      <c r="DN139">
        <v>0</v>
      </c>
      <c r="DO139">
        <v>26.978999999999999</v>
      </c>
      <c r="DP139">
        <v>999.9</v>
      </c>
      <c r="DQ139">
        <v>76</v>
      </c>
      <c r="DR139">
        <v>30.2</v>
      </c>
      <c r="DS139">
        <v>32.661999999999999</v>
      </c>
      <c r="DT139">
        <v>31.0047</v>
      </c>
      <c r="DU139">
        <v>9.7395899999999997</v>
      </c>
      <c r="DV139">
        <v>1</v>
      </c>
      <c r="DW139">
        <v>0.20974000000000001</v>
      </c>
      <c r="DX139">
        <v>-0.225268</v>
      </c>
      <c r="DY139">
        <v>20.3675</v>
      </c>
      <c r="DZ139">
        <v>5.2107000000000001</v>
      </c>
      <c r="EA139">
        <v>11.8483</v>
      </c>
      <c r="EB139">
        <v>4.9677199999999999</v>
      </c>
      <c r="EC139">
        <v>3.2920600000000002</v>
      </c>
      <c r="ED139">
        <v>894.7</v>
      </c>
      <c r="EE139">
        <v>0</v>
      </c>
      <c r="EF139">
        <v>7666.1</v>
      </c>
      <c r="EG139">
        <v>110.9</v>
      </c>
      <c r="EH139">
        <v>4.9715999999999996</v>
      </c>
      <c r="EI139">
        <v>1.8717999999999999</v>
      </c>
      <c r="EJ139">
        <v>1.86903</v>
      </c>
      <c r="EK139">
        <v>1.87144</v>
      </c>
      <c r="EL139">
        <v>1.8691899999999999</v>
      </c>
      <c r="EM139">
        <v>1.8681000000000001</v>
      </c>
      <c r="EN139">
        <v>1.8699600000000001</v>
      </c>
      <c r="EO139">
        <v>1.8717600000000001</v>
      </c>
      <c r="EP139">
        <v>0</v>
      </c>
      <c r="EQ139">
        <v>0</v>
      </c>
      <c r="ER139">
        <v>0</v>
      </c>
      <c r="ES139">
        <v>0</v>
      </c>
      <c r="ET139" t="s">
        <v>334</v>
      </c>
      <c r="EU139" t="s">
        <v>335</v>
      </c>
      <c r="EV139" t="s">
        <v>336</v>
      </c>
      <c r="EW139" t="s">
        <v>336</v>
      </c>
      <c r="EX139" t="s">
        <v>336</v>
      </c>
      <c r="EY139" t="s">
        <v>336</v>
      </c>
      <c r="EZ139">
        <v>0</v>
      </c>
      <c r="FA139">
        <v>100</v>
      </c>
      <c r="FB139">
        <v>100</v>
      </c>
      <c r="FC139">
        <v>8.0229999999999997</v>
      </c>
      <c r="FD139">
        <v>-0.98929999999999996</v>
      </c>
      <c r="FE139">
        <v>8.0317350000000047</v>
      </c>
      <c r="FF139">
        <v>0</v>
      </c>
      <c r="FG139">
        <v>0</v>
      </c>
      <c r="FH139">
        <v>0</v>
      </c>
      <c r="FI139">
        <v>-0.98927100000000023</v>
      </c>
      <c r="FJ139">
        <v>0</v>
      </c>
      <c r="FK139">
        <v>0</v>
      </c>
      <c r="FL139">
        <v>0</v>
      </c>
      <c r="FM139">
        <v>-1</v>
      </c>
      <c r="FN139">
        <v>-1</v>
      </c>
      <c r="FO139">
        <v>-1</v>
      </c>
      <c r="FP139">
        <v>-1</v>
      </c>
      <c r="FQ139">
        <v>0.7</v>
      </c>
      <c r="FR139">
        <v>123.2</v>
      </c>
      <c r="FS139">
        <v>0.142822</v>
      </c>
      <c r="FT139">
        <v>4.99756</v>
      </c>
      <c r="FU139">
        <v>1.5979000000000001</v>
      </c>
      <c r="FV139">
        <v>2.1533199999999999</v>
      </c>
      <c r="FW139">
        <v>1.5478499999999999</v>
      </c>
      <c r="FX139">
        <v>2.4218799999999998</v>
      </c>
      <c r="FY139">
        <v>34.5321</v>
      </c>
      <c r="FZ139">
        <v>15.769399999999999</v>
      </c>
      <c r="GA139">
        <v>3</v>
      </c>
      <c r="GB139">
        <v>497.11200000000002</v>
      </c>
      <c r="GC139">
        <v>405.66399999999999</v>
      </c>
      <c r="GD139">
        <v>27.934799999999999</v>
      </c>
      <c r="GE139">
        <v>29.869599999999998</v>
      </c>
      <c r="GF139">
        <v>30.0001</v>
      </c>
      <c r="GG139">
        <v>30.174600000000002</v>
      </c>
      <c r="GH139">
        <v>30.2272</v>
      </c>
      <c r="GI139">
        <v>-1</v>
      </c>
      <c r="GJ139">
        <v>0</v>
      </c>
      <c r="GK139">
        <v>100</v>
      </c>
      <c r="GL139">
        <v>27.934200000000001</v>
      </c>
      <c r="GM139">
        <v>432.1</v>
      </c>
      <c r="GN139">
        <v>68.912800000000004</v>
      </c>
      <c r="GO139">
        <v>102.209</v>
      </c>
      <c r="GP139">
        <v>96.502899999999997</v>
      </c>
    </row>
    <row r="140" spans="1:198" x14ac:dyDescent="0.35">
      <c r="A140">
        <v>124</v>
      </c>
      <c r="B140">
        <v>1775488419.5</v>
      </c>
      <c r="C140">
        <v>7381</v>
      </c>
      <c r="D140" t="s">
        <v>703</v>
      </c>
      <c r="E140" t="s">
        <v>704</v>
      </c>
      <c r="F140">
        <v>60</v>
      </c>
      <c r="G140">
        <v>1775488411.5</v>
      </c>
      <c r="H140">
        <f t="shared" si="30"/>
        <v>2.1990562134926533E-3</v>
      </c>
      <c r="I140">
        <f t="shared" si="31"/>
        <v>2.1990562134926535</v>
      </c>
      <c r="J140">
        <f t="shared" si="32"/>
        <v>0.95528086567383663</v>
      </c>
      <c r="K140">
        <f t="shared" si="33"/>
        <v>31.775790322580651</v>
      </c>
      <c r="L140">
        <f t="shared" si="34"/>
        <v>4.5185678836827901</v>
      </c>
      <c r="M140">
        <f t="shared" si="35"/>
        <v>0.45332846674594496</v>
      </c>
      <c r="N140">
        <f t="shared" si="36"/>
        <v>3.1879282722727744</v>
      </c>
      <c r="O140">
        <f t="shared" si="37"/>
        <v>5.9104116277716327E-2</v>
      </c>
      <c r="P140">
        <f t="shared" si="38"/>
        <v>2.3900070322008857</v>
      </c>
      <c r="Q140">
        <f t="shared" si="39"/>
        <v>5.8303965668563128E-2</v>
      </c>
      <c r="R140">
        <f t="shared" si="40"/>
        <v>3.6510966400514239E-2</v>
      </c>
      <c r="S140">
        <f t="shared" si="41"/>
        <v>0</v>
      </c>
      <c r="T140">
        <f t="shared" si="42"/>
        <v>26.609511287937305</v>
      </c>
      <c r="U140">
        <f t="shared" si="43"/>
        <v>27.369516129032259</v>
      </c>
      <c r="V140">
        <f t="shared" si="44"/>
        <v>3.6575764706489764</v>
      </c>
      <c r="W140">
        <f t="shared" si="45"/>
        <v>-1.6072101555329923</v>
      </c>
      <c r="X140">
        <f t="shared" si="46"/>
        <v>-5.8544820270591408E-2</v>
      </c>
      <c r="Y140">
        <f t="shared" si="47"/>
        <v>3.642636283067564</v>
      </c>
      <c r="Z140">
        <f t="shared" si="48"/>
        <v>3.7161212909195678</v>
      </c>
      <c r="AA140">
        <f t="shared" si="49"/>
        <v>-96.978379015026007</v>
      </c>
      <c r="AB140">
        <f t="shared" si="50"/>
        <v>-9.0020470336180853</v>
      </c>
      <c r="AC140">
        <f t="shared" si="51"/>
        <v>-0.81558521894020097</v>
      </c>
      <c r="AD140">
        <f t="shared" si="52"/>
        <v>-106.79601126758429</v>
      </c>
      <c r="AE140">
        <v>14</v>
      </c>
      <c r="AF140">
        <v>3</v>
      </c>
      <c r="AG140">
        <f t="shared" si="53"/>
        <v>1</v>
      </c>
      <c r="AH140">
        <f t="shared" si="54"/>
        <v>0</v>
      </c>
      <c r="AI140">
        <f t="shared" si="55"/>
        <v>25516.155511575198</v>
      </c>
      <c r="AJ140">
        <f t="shared" si="56"/>
        <v>0</v>
      </c>
      <c r="AK140">
        <f t="shared" si="57"/>
        <v>0</v>
      </c>
      <c r="AL140">
        <f t="shared" si="58"/>
        <v>0</v>
      </c>
      <c r="AM140">
        <f t="shared" si="59"/>
        <v>0</v>
      </c>
      <c r="AN140">
        <v>3</v>
      </c>
      <c r="AO140">
        <v>0.5</v>
      </c>
      <c r="AP140" t="s">
        <v>331</v>
      </c>
      <c r="AQ140">
        <v>2</v>
      </c>
      <c r="AR140">
        <v>1775488411.5</v>
      </c>
      <c r="AS140">
        <v>31.775790322580651</v>
      </c>
      <c r="AT140">
        <v>32.390903225806447</v>
      </c>
      <c r="AU140">
        <v>-0.58354761290322565</v>
      </c>
      <c r="AV140">
        <v>-1.90379064516129</v>
      </c>
      <c r="AW140">
        <v>23.736790322580649</v>
      </c>
      <c r="AX140">
        <v>0.40572332258064508</v>
      </c>
      <c r="AY140">
        <v>499.98509677419361</v>
      </c>
      <c r="AZ140">
        <v>100.2842258064516</v>
      </c>
      <c r="BA140">
        <v>4.1469948387096778E-2</v>
      </c>
      <c r="BB140">
        <v>27.299651612903219</v>
      </c>
      <c r="BC140">
        <v>27.369516129032259</v>
      </c>
      <c r="BD140">
        <v>999.90000000000032</v>
      </c>
      <c r="BE140">
        <v>0</v>
      </c>
      <c r="BF140">
        <v>0</v>
      </c>
      <c r="BG140">
        <v>4990.9032258064517</v>
      </c>
      <c r="BH140">
        <v>0.37599935483870972</v>
      </c>
      <c r="BI140">
        <v>0.23331922580645159</v>
      </c>
      <c r="BJ140">
        <v>-0.63126603225806444</v>
      </c>
      <c r="BK140">
        <v>31.741112903225812</v>
      </c>
      <c r="BL140">
        <v>32.329364516129033</v>
      </c>
      <c r="BM140">
        <v>1.3202435483870969</v>
      </c>
      <c r="BN140">
        <v>32.390903225806447</v>
      </c>
      <c r="BO140">
        <v>-1.90379064516129</v>
      </c>
      <c r="BP140">
        <v>-5.8520580645161267E-2</v>
      </c>
      <c r="BQ140">
        <v>-0.19092000000000001</v>
      </c>
      <c r="BR140">
        <v>-99.900000000000034</v>
      </c>
      <c r="BS140">
        <v>-99.900000000000034</v>
      </c>
      <c r="BT140">
        <v>0</v>
      </c>
      <c r="BU140">
        <v>0</v>
      </c>
      <c r="BV140">
        <v>0</v>
      </c>
      <c r="BW140">
        <v>26</v>
      </c>
      <c r="BX140">
        <v>-1</v>
      </c>
      <c r="BY140">
        <v>1775488436</v>
      </c>
      <c r="BZ140" t="s">
        <v>705</v>
      </c>
      <c r="CA140">
        <v>1775488436</v>
      </c>
      <c r="CB140">
        <v>1775480969.5</v>
      </c>
      <c r="CC140">
        <v>125</v>
      </c>
      <c r="CD140">
        <v>1.7000000000000001E-2</v>
      </c>
      <c r="CE140">
        <v>0.19500000000000001</v>
      </c>
      <c r="CF140">
        <v>8.0389999999999997</v>
      </c>
      <c r="CG140">
        <v>-0.98899999999999999</v>
      </c>
      <c r="CH140">
        <v>33</v>
      </c>
      <c r="CI140">
        <v>-3</v>
      </c>
      <c r="CJ140">
        <v>0.33</v>
      </c>
      <c r="CK140">
        <v>0.06</v>
      </c>
      <c r="CL140">
        <v>32.276190000000007</v>
      </c>
      <c r="CM140">
        <v>0.9880337871631375</v>
      </c>
      <c r="CN140">
        <v>0.18252066887524421</v>
      </c>
      <c r="CO140">
        <v>-1</v>
      </c>
      <c r="CP140">
        <v>499.99604999999991</v>
      </c>
      <c r="CQ140">
        <v>1.1939983329841671E-2</v>
      </c>
      <c r="CR140">
        <v>4.5508396661132461E-2</v>
      </c>
      <c r="CS140">
        <v>-1</v>
      </c>
      <c r="CT140">
        <v>0</v>
      </c>
      <c r="CU140">
        <v>0</v>
      </c>
      <c r="CV140" t="s">
        <v>333</v>
      </c>
      <c r="CW140">
        <v>3.16743</v>
      </c>
      <c r="CX140">
        <v>2.6628799999999999</v>
      </c>
      <c r="CY140">
        <v>7.1347199999999998E-3</v>
      </c>
      <c r="CZ140">
        <v>9.7083699999999992E-3</v>
      </c>
      <c r="DA140">
        <v>3.3568399999999998E-3</v>
      </c>
      <c r="DB140">
        <v>-1.7512300000000001E-2</v>
      </c>
      <c r="DC140">
        <v>21421.4</v>
      </c>
      <c r="DD140">
        <v>21749.200000000001</v>
      </c>
      <c r="DE140">
        <v>23103</v>
      </c>
      <c r="DF140">
        <v>22315.4</v>
      </c>
      <c r="DG140">
        <v>29694.1</v>
      </c>
      <c r="DH140">
        <v>27079.200000000001</v>
      </c>
      <c r="DI140">
        <v>40605.599999999999</v>
      </c>
      <c r="DJ140">
        <v>36983.4</v>
      </c>
      <c r="DK140">
        <v>2.0850399999999998</v>
      </c>
      <c r="DL140">
        <v>1.79972</v>
      </c>
      <c r="DM140">
        <v>2.4670399999999999E-2</v>
      </c>
      <c r="DN140">
        <v>0</v>
      </c>
      <c r="DO140">
        <v>26.974499999999999</v>
      </c>
      <c r="DP140">
        <v>999.9</v>
      </c>
      <c r="DQ140">
        <v>76</v>
      </c>
      <c r="DR140">
        <v>30.2</v>
      </c>
      <c r="DS140">
        <v>32.659700000000001</v>
      </c>
      <c r="DT140">
        <v>31.034700000000001</v>
      </c>
      <c r="DU140">
        <v>10.068099999999999</v>
      </c>
      <c r="DV140">
        <v>1</v>
      </c>
      <c r="DW140">
        <v>0.20955299999999999</v>
      </c>
      <c r="DX140">
        <v>-0.231181</v>
      </c>
      <c r="DY140">
        <v>20.3674</v>
      </c>
      <c r="DZ140">
        <v>5.2127400000000002</v>
      </c>
      <c r="EA140">
        <v>11.8485</v>
      </c>
      <c r="EB140">
        <v>4.9677600000000002</v>
      </c>
      <c r="EC140">
        <v>3.29216</v>
      </c>
      <c r="ED140">
        <v>894.7</v>
      </c>
      <c r="EE140">
        <v>0</v>
      </c>
      <c r="EF140">
        <v>7699.8</v>
      </c>
      <c r="EG140">
        <v>110.9</v>
      </c>
      <c r="EH140">
        <v>4.97159</v>
      </c>
      <c r="EI140">
        <v>1.8717999999999999</v>
      </c>
      <c r="EJ140">
        <v>1.86903</v>
      </c>
      <c r="EK140">
        <v>1.8714299999999999</v>
      </c>
      <c r="EL140">
        <v>1.8691800000000001</v>
      </c>
      <c r="EM140">
        <v>1.86809</v>
      </c>
      <c r="EN140">
        <v>1.86995</v>
      </c>
      <c r="EO140">
        <v>1.8717299999999999</v>
      </c>
      <c r="EP140">
        <v>0</v>
      </c>
      <c r="EQ140">
        <v>0</v>
      </c>
      <c r="ER140">
        <v>0</v>
      </c>
      <c r="ES140">
        <v>0</v>
      </c>
      <c r="ET140" t="s">
        <v>334</v>
      </c>
      <c r="EU140" t="s">
        <v>335</v>
      </c>
      <c r="EV140" t="s">
        <v>336</v>
      </c>
      <c r="EW140" t="s">
        <v>336</v>
      </c>
      <c r="EX140" t="s">
        <v>336</v>
      </c>
      <c r="EY140" t="s">
        <v>336</v>
      </c>
      <c r="EZ140">
        <v>0</v>
      </c>
      <c r="FA140">
        <v>100</v>
      </c>
      <c r="FB140">
        <v>100</v>
      </c>
      <c r="FC140">
        <v>8.0389999999999997</v>
      </c>
      <c r="FD140">
        <v>-0.98929999999999996</v>
      </c>
      <c r="FE140">
        <v>8.0228550000000034</v>
      </c>
      <c r="FF140">
        <v>0</v>
      </c>
      <c r="FG140">
        <v>0</v>
      </c>
      <c r="FH140">
        <v>0</v>
      </c>
      <c r="FI140">
        <v>-0.98927100000000023</v>
      </c>
      <c r="FJ140">
        <v>0</v>
      </c>
      <c r="FK140">
        <v>0</v>
      </c>
      <c r="FL140">
        <v>0</v>
      </c>
      <c r="FM140">
        <v>-1</v>
      </c>
      <c r="FN140">
        <v>-1</v>
      </c>
      <c r="FO140">
        <v>-1</v>
      </c>
      <c r="FP140">
        <v>-1</v>
      </c>
      <c r="FQ140">
        <v>0.7</v>
      </c>
      <c r="FR140">
        <v>124.2</v>
      </c>
      <c r="FS140">
        <v>0.142822</v>
      </c>
      <c r="FT140">
        <v>4.99756</v>
      </c>
      <c r="FU140">
        <v>1.5979000000000001</v>
      </c>
      <c r="FV140">
        <v>2.1533199999999999</v>
      </c>
      <c r="FW140">
        <v>1.5478499999999999</v>
      </c>
      <c r="FX140">
        <v>2.4133300000000002</v>
      </c>
      <c r="FY140">
        <v>34.5321</v>
      </c>
      <c r="FZ140">
        <v>15.7606</v>
      </c>
      <c r="GA140">
        <v>3</v>
      </c>
      <c r="GB140">
        <v>496.88900000000001</v>
      </c>
      <c r="GC140">
        <v>405.81400000000002</v>
      </c>
      <c r="GD140">
        <v>27.942299999999999</v>
      </c>
      <c r="GE140">
        <v>29.867000000000001</v>
      </c>
      <c r="GF140">
        <v>30.0001</v>
      </c>
      <c r="GG140">
        <v>30.171199999999999</v>
      </c>
      <c r="GH140">
        <v>30.222300000000001</v>
      </c>
      <c r="GI140">
        <v>-1</v>
      </c>
      <c r="GJ140">
        <v>0</v>
      </c>
      <c r="GK140">
        <v>100</v>
      </c>
      <c r="GL140">
        <v>27.939399999999999</v>
      </c>
      <c r="GM140">
        <v>432.1</v>
      </c>
      <c r="GN140">
        <v>68.912800000000004</v>
      </c>
      <c r="GO140">
        <v>102.208</v>
      </c>
      <c r="GP140">
        <v>96.502399999999994</v>
      </c>
    </row>
    <row r="141" spans="1:198" x14ac:dyDescent="0.35">
      <c r="A141">
        <v>125</v>
      </c>
      <c r="B141">
        <v>1775488479.5</v>
      </c>
      <c r="C141">
        <v>7441</v>
      </c>
      <c r="D141" t="s">
        <v>706</v>
      </c>
      <c r="E141" t="s">
        <v>707</v>
      </c>
      <c r="F141">
        <v>60</v>
      </c>
      <c r="G141">
        <v>1775488471.75</v>
      </c>
      <c r="H141">
        <f t="shared" si="30"/>
        <v>2.1843990555953869E-3</v>
      </c>
      <c r="I141">
        <f t="shared" si="31"/>
        <v>2.1843990555953869</v>
      </c>
      <c r="J141">
        <f t="shared" si="32"/>
        <v>0.5527325993574479</v>
      </c>
      <c r="K141">
        <f t="shared" si="33"/>
        <v>32.367593333333332</v>
      </c>
      <c r="L141">
        <f t="shared" si="34"/>
        <v>15.676332310231295</v>
      </c>
      <c r="M141">
        <f t="shared" si="35"/>
        <v>1.5727295044474994</v>
      </c>
      <c r="N141">
        <f t="shared" si="36"/>
        <v>3.2472818268892913</v>
      </c>
      <c r="O141">
        <f t="shared" si="37"/>
        <v>5.8690715060716374E-2</v>
      </c>
      <c r="P141">
        <f t="shared" si="38"/>
        <v>2.3918845923453524</v>
      </c>
      <c r="Q141">
        <f t="shared" si="39"/>
        <v>5.7902248393676782E-2</v>
      </c>
      <c r="R141">
        <f t="shared" si="40"/>
        <v>3.6258863331011547E-2</v>
      </c>
      <c r="S141">
        <f t="shared" si="41"/>
        <v>0</v>
      </c>
      <c r="T141">
        <f t="shared" si="42"/>
        <v>26.609716964882711</v>
      </c>
      <c r="U141">
        <f t="shared" si="43"/>
        <v>27.366616666666669</v>
      </c>
      <c r="V141">
        <f t="shared" si="44"/>
        <v>3.656955372693738</v>
      </c>
      <c r="W141">
        <f t="shared" si="45"/>
        <v>-1.6482940718561021</v>
      </c>
      <c r="X141">
        <f t="shared" si="46"/>
        <v>-6.0024172356275524E-2</v>
      </c>
      <c r="Y141">
        <f t="shared" si="47"/>
        <v>3.6415936562026112</v>
      </c>
      <c r="Z141">
        <f t="shared" si="48"/>
        <v>3.7169795450500134</v>
      </c>
      <c r="AA141">
        <f t="shared" si="49"/>
        <v>-96.331998351756567</v>
      </c>
      <c r="AB141">
        <f t="shared" si="50"/>
        <v>-9.2651496219413367</v>
      </c>
      <c r="AC141">
        <f t="shared" si="51"/>
        <v>-0.83873077521917661</v>
      </c>
      <c r="AD141">
        <f t="shared" si="52"/>
        <v>-106.43587874891708</v>
      </c>
      <c r="AE141">
        <v>14</v>
      </c>
      <c r="AF141">
        <v>3</v>
      </c>
      <c r="AG141">
        <f t="shared" si="53"/>
        <v>1</v>
      </c>
      <c r="AH141">
        <f t="shared" si="54"/>
        <v>0</v>
      </c>
      <c r="AI141">
        <f t="shared" si="55"/>
        <v>25545.146792704301</v>
      </c>
      <c r="AJ141">
        <f t="shared" si="56"/>
        <v>0</v>
      </c>
      <c r="AK141">
        <f t="shared" si="57"/>
        <v>0</v>
      </c>
      <c r="AL141">
        <f t="shared" si="58"/>
        <v>0</v>
      </c>
      <c r="AM141">
        <f t="shared" si="59"/>
        <v>0</v>
      </c>
      <c r="AN141">
        <v>3</v>
      </c>
      <c r="AO141">
        <v>0.5</v>
      </c>
      <c r="AP141" t="s">
        <v>331</v>
      </c>
      <c r="AQ141">
        <v>2</v>
      </c>
      <c r="AR141">
        <v>1775488471.75</v>
      </c>
      <c r="AS141">
        <v>32.367593333333332</v>
      </c>
      <c r="AT141">
        <v>32.741660000000003</v>
      </c>
      <c r="AU141">
        <v>-0.59829670000000001</v>
      </c>
      <c r="AV141">
        <v>-1.909737333333333</v>
      </c>
      <c r="AW141">
        <v>24.323593333333331</v>
      </c>
      <c r="AX141">
        <v>0.39097429999999989</v>
      </c>
      <c r="AY141">
        <v>499.99349999999998</v>
      </c>
      <c r="AZ141">
        <v>100.2835</v>
      </c>
      <c r="BA141">
        <v>4.1593480000000002E-2</v>
      </c>
      <c r="BB141">
        <v>27.294766666666661</v>
      </c>
      <c r="BC141">
        <v>27.366616666666669</v>
      </c>
      <c r="BD141">
        <v>999.9000000000002</v>
      </c>
      <c r="BE141">
        <v>0</v>
      </c>
      <c r="BF141">
        <v>0</v>
      </c>
      <c r="BG141">
        <v>4995.7666666666664</v>
      </c>
      <c r="BH141">
        <v>0.38564050000000011</v>
      </c>
      <c r="BI141">
        <v>0.23344266666666669</v>
      </c>
      <c r="BJ141">
        <v>-0.37858360000000002</v>
      </c>
      <c r="BK141">
        <v>32.343716666666673</v>
      </c>
      <c r="BL141">
        <v>32.679246666666657</v>
      </c>
      <c r="BM141">
        <v>1.3114399999999999</v>
      </c>
      <c r="BN141">
        <v>32.741660000000003</v>
      </c>
      <c r="BO141">
        <v>-1.909737333333333</v>
      </c>
      <c r="BP141">
        <v>-5.9999310000000007E-2</v>
      </c>
      <c r="BQ141">
        <v>-0.1915152333333334</v>
      </c>
      <c r="BR141">
        <v>-99.900000000000034</v>
      </c>
      <c r="BS141">
        <v>-99.900000000000034</v>
      </c>
      <c r="BT141">
        <v>0</v>
      </c>
      <c r="BU141">
        <v>0</v>
      </c>
      <c r="BV141">
        <v>0</v>
      </c>
      <c r="BW141">
        <v>26</v>
      </c>
      <c r="BX141">
        <v>-1</v>
      </c>
      <c r="BY141">
        <v>1775488495.5</v>
      </c>
      <c r="BZ141" t="s">
        <v>708</v>
      </c>
      <c r="CA141">
        <v>1775488495.5</v>
      </c>
      <c r="CB141">
        <v>1775480969.5</v>
      </c>
      <c r="CC141">
        <v>126</v>
      </c>
      <c r="CD141">
        <v>4.0000000000000001E-3</v>
      </c>
      <c r="CE141">
        <v>0.19500000000000001</v>
      </c>
      <c r="CF141">
        <v>8.0440000000000005</v>
      </c>
      <c r="CG141">
        <v>-0.98899999999999999</v>
      </c>
      <c r="CH141">
        <v>33</v>
      </c>
      <c r="CI141">
        <v>-3</v>
      </c>
      <c r="CJ141">
        <v>0.13</v>
      </c>
      <c r="CK141">
        <v>0.06</v>
      </c>
      <c r="CL141">
        <v>32.814750819672128</v>
      </c>
      <c r="CM141">
        <v>-0.27803447911161461</v>
      </c>
      <c r="CN141">
        <v>0.15533689207754781</v>
      </c>
      <c r="CO141">
        <v>-1</v>
      </c>
      <c r="CP141">
        <v>499.9938032786884</v>
      </c>
      <c r="CQ141">
        <v>-5.654151242689847E-3</v>
      </c>
      <c r="CR141">
        <v>3.9212251210404218E-2</v>
      </c>
      <c r="CS141">
        <v>-1</v>
      </c>
      <c r="CT141">
        <v>0</v>
      </c>
      <c r="CU141">
        <v>0</v>
      </c>
      <c r="CV141" t="s">
        <v>333</v>
      </c>
      <c r="CW141">
        <v>3.1674199999999999</v>
      </c>
      <c r="CX141">
        <v>2.66289</v>
      </c>
      <c r="CY141">
        <v>7.2246200000000002E-3</v>
      </c>
      <c r="CZ141">
        <v>9.7702399999999995E-3</v>
      </c>
      <c r="DA141">
        <v>3.1347900000000001E-3</v>
      </c>
      <c r="DB141">
        <v>-1.7629499999999999E-2</v>
      </c>
      <c r="DC141">
        <v>21419.599999999999</v>
      </c>
      <c r="DD141">
        <v>21748.1</v>
      </c>
      <c r="DE141">
        <v>23103.1</v>
      </c>
      <c r="DF141">
        <v>22315.7</v>
      </c>
      <c r="DG141">
        <v>29700.9</v>
      </c>
      <c r="DH141">
        <v>27082.7</v>
      </c>
      <c r="DI141">
        <v>40605.9</v>
      </c>
      <c r="DJ141">
        <v>36984</v>
      </c>
      <c r="DK141">
        <v>2.0851000000000002</v>
      </c>
      <c r="DL141">
        <v>1.7991200000000001</v>
      </c>
      <c r="DM141">
        <v>2.37167E-2</v>
      </c>
      <c r="DN141">
        <v>0</v>
      </c>
      <c r="DO141">
        <v>26.976700000000001</v>
      </c>
      <c r="DP141">
        <v>999.9</v>
      </c>
      <c r="DQ141">
        <v>76</v>
      </c>
      <c r="DR141">
        <v>30.2</v>
      </c>
      <c r="DS141">
        <v>32.661299999999997</v>
      </c>
      <c r="DT141">
        <v>30.5547</v>
      </c>
      <c r="DU141">
        <v>9.8637800000000002</v>
      </c>
      <c r="DV141">
        <v>1</v>
      </c>
      <c r="DW141">
        <v>0.20946699999999999</v>
      </c>
      <c r="DX141">
        <v>-0.25751600000000002</v>
      </c>
      <c r="DY141">
        <v>20.3675</v>
      </c>
      <c r="DZ141">
        <v>5.2105800000000002</v>
      </c>
      <c r="EA141">
        <v>11.8482</v>
      </c>
      <c r="EB141">
        <v>4.9677600000000002</v>
      </c>
      <c r="EC141">
        <v>3.2922600000000002</v>
      </c>
      <c r="ED141">
        <v>894.7</v>
      </c>
      <c r="EE141">
        <v>0</v>
      </c>
      <c r="EF141">
        <v>7732.8</v>
      </c>
      <c r="EG141">
        <v>110.9</v>
      </c>
      <c r="EH141">
        <v>4.9716199999999997</v>
      </c>
      <c r="EI141">
        <v>1.8717999999999999</v>
      </c>
      <c r="EJ141">
        <v>1.8689899999999999</v>
      </c>
      <c r="EK141">
        <v>1.8714</v>
      </c>
      <c r="EL141">
        <v>1.8691500000000001</v>
      </c>
      <c r="EM141">
        <v>1.86808</v>
      </c>
      <c r="EN141">
        <v>1.86992</v>
      </c>
      <c r="EO141">
        <v>1.87175</v>
      </c>
      <c r="EP141">
        <v>0</v>
      </c>
      <c r="EQ141">
        <v>0</v>
      </c>
      <c r="ER141">
        <v>0</v>
      </c>
      <c r="ES141">
        <v>0</v>
      </c>
      <c r="ET141" t="s">
        <v>334</v>
      </c>
      <c r="EU141" t="s">
        <v>335</v>
      </c>
      <c r="EV141" t="s">
        <v>336</v>
      </c>
      <c r="EW141" t="s">
        <v>336</v>
      </c>
      <c r="EX141" t="s">
        <v>336</v>
      </c>
      <c r="EY141" t="s">
        <v>336</v>
      </c>
      <c r="EZ141">
        <v>0</v>
      </c>
      <c r="FA141">
        <v>100</v>
      </c>
      <c r="FB141">
        <v>100</v>
      </c>
      <c r="FC141">
        <v>8.0440000000000005</v>
      </c>
      <c r="FD141">
        <v>-0.98929999999999996</v>
      </c>
      <c r="FE141">
        <v>8.0394761904761936</v>
      </c>
      <c r="FF141">
        <v>0</v>
      </c>
      <c r="FG141">
        <v>0</v>
      </c>
      <c r="FH141">
        <v>0</v>
      </c>
      <c r="FI141">
        <v>-0.98927100000000023</v>
      </c>
      <c r="FJ141">
        <v>0</v>
      </c>
      <c r="FK141">
        <v>0</v>
      </c>
      <c r="FL141">
        <v>0</v>
      </c>
      <c r="FM141">
        <v>-1</v>
      </c>
      <c r="FN141">
        <v>-1</v>
      </c>
      <c r="FO141">
        <v>-1</v>
      </c>
      <c r="FP141">
        <v>-1</v>
      </c>
      <c r="FQ141">
        <v>0.7</v>
      </c>
      <c r="FR141">
        <v>125.2</v>
      </c>
      <c r="FS141">
        <v>0.142822</v>
      </c>
      <c r="FT141">
        <v>4.99756</v>
      </c>
      <c r="FU141">
        <v>1.5979000000000001</v>
      </c>
      <c r="FV141">
        <v>2.1533199999999999</v>
      </c>
      <c r="FW141">
        <v>1.5478499999999999</v>
      </c>
      <c r="FX141">
        <v>2.34009</v>
      </c>
      <c r="FY141">
        <v>34.5321</v>
      </c>
      <c r="FZ141">
        <v>15.751899999999999</v>
      </c>
      <c r="GA141">
        <v>3</v>
      </c>
      <c r="GB141">
        <v>496.91</v>
      </c>
      <c r="GC141">
        <v>405.45699999999999</v>
      </c>
      <c r="GD141">
        <v>27.9419</v>
      </c>
      <c r="GE141">
        <v>29.867000000000001</v>
      </c>
      <c r="GF141">
        <v>30.0001</v>
      </c>
      <c r="GG141">
        <v>30.169499999999999</v>
      </c>
      <c r="GH141">
        <v>30.220199999999998</v>
      </c>
      <c r="GI141">
        <v>-1</v>
      </c>
      <c r="GJ141">
        <v>0</v>
      </c>
      <c r="GK141">
        <v>100</v>
      </c>
      <c r="GL141">
        <v>27.946899999999999</v>
      </c>
      <c r="GM141">
        <v>432.1</v>
      </c>
      <c r="GN141">
        <v>68.912800000000004</v>
      </c>
      <c r="GO141">
        <v>102.209</v>
      </c>
      <c r="GP141">
        <v>96.503900000000002</v>
      </c>
    </row>
    <row r="142" spans="1:198" x14ac:dyDescent="0.35">
      <c r="A142">
        <v>126</v>
      </c>
      <c r="B142">
        <v>1775488539.5</v>
      </c>
      <c r="C142">
        <v>7501</v>
      </c>
      <c r="D142" t="s">
        <v>709</v>
      </c>
      <c r="E142" t="s">
        <v>710</v>
      </c>
      <c r="F142">
        <v>60</v>
      </c>
      <c r="G142">
        <v>1775488531.5</v>
      </c>
      <c r="H142">
        <f t="shared" si="30"/>
        <v>2.1769502651375304E-3</v>
      </c>
      <c r="I142">
        <f t="shared" si="31"/>
        <v>2.1769502651375303</v>
      </c>
      <c r="J142">
        <f t="shared" si="32"/>
        <v>0.8313546369533078</v>
      </c>
      <c r="K142">
        <f t="shared" si="33"/>
        <v>33.001025806451608</v>
      </c>
      <c r="L142">
        <f t="shared" si="34"/>
        <v>8.7235443349759532</v>
      </c>
      <c r="M142">
        <f t="shared" si="35"/>
        <v>0.87518647633526137</v>
      </c>
      <c r="N142">
        <f t="shared" si="36"/>
        <v>3.3108161524666593</v>
      </c>
      <c r="O142">
        <f t="shared" si="37"/>
        <v>5.8453847242973249E-2</v>
      </c>
      <c r="P142">
        <f t="shared" si="38"/>
        <v>2.393985698242453</v>
      </c>
      <c r="Q142">
        <f t="shared" si="39"/>
        <v>5.7672362862484491E-2</v>
      </c>
      <c r="R142">
        <f t="shared" si="40"/>
        <v>3.6114569585791567E-2</v>
      </c>
      <c r="S142">
        <f t="shared" si="41"/>
        <v>0</v>
      </c>
      <c r="T142">
        <f t="shared" si="42"/>
        <v>26.616757523625974</v>
      </c>
      <c r="U142">
        <f t="shared" si="43"/>
        <v>27.37165806451614</v>
      </c>
      <c r="V142">
        <f t="shared" si="44"/>
        <v>3.658035356818516</v>
      </c>
      <c r="W142">
        <f t="shared" si="45"/>
        <v>-1.6751292521819097</v>
      </c>
      <c r="X142">
        <f t="shared" si="46"/>
        <v>-6.1016247578075604E-2</v>
      </c>
      <c r="Y142">
        <f t="shared" si="47"/>
        <v>3.6424799757153057</v>
      </c>
      <c r="Z142">
        <f t="shared" si="48"/>
        <v>3.7190516043965918</v>
      </c>
      <c r="AA142">
        <f t="shared" si="49"/>
        <v>-96.003506692565097</v>
      </c>
      <c r="AB142">
        <f t="shared" si="50"/>
        <v>-9.3879893386249567</v>
      </c>
      <c r="AC142">
        <f t="shared" si="51"/>
        <v>-0.84914399311921007</v>
      </c>
      <c r="AD142">
        <f t="shared" si="52"/>
        <v>-106.24064002430927</v>
      </c>
      <c r="AE142">
        <v>14</v>
      </c>
      <c r="AF142">
        <v>3</v>
      </c>
      <c r="AG142">
        <f t="shared" si="53"/>
        <v>1</v>
      </c>
      <c r="AH142">
        <f t="shared" si="54"/>
        <v>0</v>
      </c>
      <c r="AI142">
        <f t="shared" si="55"/>
        <v>25576.761498489272</v>
      </c>
      <c r="AJ142">
        <f t="shared" si="56"/>
        <v>0</v>
      </c>
      <c r="AK142">
        <f t="shared" si="57"/>
        <v>0</v>
      </c>
      <c r="AL142">
        <f t="shared" si="58"/>
        <v>0</v>
      </c>
      <c r="AM142">
        <f t="shared" si="59"/>
        <v>0</v>
      </c>
      <c r="AN142">
        <v>3</v>
      </c>
      <c r="AO142">
        <v>0.5</v>
      </c>
      <c r="AP142" t="s">
        <v>331</v>
      </c>
      <c r="AQ142">
        <v>2</v>
      </c>
      <c r="AR142">
        <v>1775488531.5</v>
      </c>
      <c r="AS142">
        <v>33.001025806451608</v>
      </c>
      <c r="AT142">
        <v>33.542941935483867</v>
      </c>
      <c r="AU142">
        <v>-0.6081880322580645</v>
      </c>
      <c r="AV142">
        <v>-1.9151487096774189</v>
      </c>
      <c r="AW142">
        <v>24.954025806451611</v>
      </c>
      <c r="AX142">
        <v>0.38108293548387101</v>
      </c>
      <c r="AY142">
        <v>500.00148387096777</v>
      </c>
      <c r="AZ142">
        <v>100.28303225806449</v>
      </c>
      <c r="BA142">
        <v>4.161134193548386E-2</v>
      </c>
      <c r="BB142">
        <v>27.298919354838709</v>
      </c>
      <c r="BC142">
        <v>27.37165806451614</v>
      </c>
      <c r="BD142">
        <v>999.90000000000032</v>
      </c>
      <c r="BE142">
        <v>0</v>
      </c>
      <c r="BF142">
        <v>0</v>
      </c>
      <c r="BG142">
        <v>5001.1935483870966</v>
      </c>
      <c r="BH142">
        <v>0.37735619354838718</v>
      </c>
      <c r="BI142">
        <v>0.23331922580645159</v>
      </c>
      <c r="BJ142">
        <v>-0.54510658064516126</v>
      </c>
      <c r="BK142">
        <v>32.977774193548377</v>
      </c>
      <c r="BL142">
        <v>33.478832258064507</v>
      </c>
      <c r="BM142">
        <v>1.306960645161291</v>
      </c>
      <c r="BN142">
        <v>33.542941935483867</v>
      </c>
      <c r="BO142">
        <v>-1.9151487096774189</v>
      </c>
      <c r="BP142">
        <v>-6.099088064516129E-2</v>
      </c>
      <c r="BQ142">
        <v>-0.19205670967741931</v>
      </c>
      <c r="BR142">
        <v>-99.900000000000034</v>
      </c>
      <c r="BS142">
        <v>-99.900000000000034</v>
      </c>
      <c r="BT142">
        <v>0</v>
      </c>
      <c r="BU142">
        <v>0</v>
      </c>
      <c r="BV142">
        <v>0</v>
      </c>
      <c r="BW142">
        <v>26</v>
      </c>
      <c r="BX142">
        <v>-0.98924741935483884</v>
      </c>
      <c r="BY142">
        <v>1775488556.5</v>
      </c>
      <c r="BZ142" t="s">
        <v>711</v>
      </c>
      <c r="CA142">
        <v>1775488556.5</v>
      </c>
      <c r="CB142">
        <v>1775480969.5</v>
      </c>
      <c r="CC142">
        <v>127</v>
      </c>
      <c r="CD142">
        <v>3.0000000000000001E-3</v>
      </c>
      <c r="CE142">
        <v>0.19500000000000001</v>
      </c>
      <c r="CF142">
        <v>8.0470000000000006</v>
      </c>
      <c r="CG142">
        <v>-0.98899999999999999</v>
      </c>
      <c r="CH142">
        <v>34</v>
      </c>
      <c r="CI142">
        <v>-3</v>
      </c>
      <c r="CJ142">
        <v>0.31</v>
      </c>
      <c r="CK142">
        <v>0.06</v>
      </c>
      <c r="CL142">
        <v>33.463795081967213</v>
      </c>
      <c r="CM142">
        <v>0.84018466419878279</v>
      </c>
      <c r="CN142">
        <v>0.15913830506747059</v>
      </c>
      <c r="CO142">
        <v>-1</v>
      </c>
      <c r="CP142">
        <v>500.00163934426229</v>
      </c>
      <c r="CQ142">
        <v>-2.671602326837132E-2</v>
      </c>
      <c r="CR142">
        <v>3.9365472424984491E-2</v>
      </c>
      <c r="CS142">
        <v>-1</v>
      </c>
      <c r="CT142">
        <v>0</v>
      </c>
      <c r="CU142">
        <v>0</v>
      </c>
      <c r="CV142" t="s">
        <v>333</v>
      </c>
      <c r="CW142">
        <v>3.1674199999999999</v>
      </c>
      <c r="CX142">
        <v>2.6629800000000001</v>
      </c>
      <c r="CY142">
        <v>7.4643899999999996E-3</v>
      </c>
      <c r="CZ142">
        <v>1.00039E-2</v>
      </c>
      <c r="DA142">
        <v>3.1324500000000002E-3</v>
      </c>
      <c r="DB142">
        <v>-1.7638600000000001E-2</v>
      </c>
      <c r="DC142">
        <v>21414.5</v>
      </c>
      <c r="DD142">
        <v>21743.1</v>
      </c>
      <c r="DE142">
        <v>23103.200000000001</v>
      </c>
      <c r="DF142">
        <v>22315.7</v>
      </c>
      <c r="DG142">
        <v>29701.200000000001</v>
      </c>
      <c r="DH142">
        <v>27082.9</v>
      </c>
      <c r="DI142">
        <v>40606.199999999997</v>
      </c>
      <c r="DJ142">
        <v>36984</v>
      </c>
      <c r="DK142">
        <v>2.0851799999999998</v>
      </c>
      <c r="DL142">
        <v>1.79932</v>
      </c>
      <c r="DM142">
        <v>2.4795500000000002E-2</v>
      </c>
      <c r="DN142">
        <v>0</v>
      </c>
      <c r="DO142">
        <v>26.969899999999999</v>
      </c>
      <c r="DP142">
        <v>999.9</v>
      </c>
      <c r="DQ142">
        <v>76</v>
      </c>
      <c r="DR142">
        <v>30.2</v>
      </c>
      <c r="DS142">
        <v>32.6648</v>
      </c>
      <c r="DT142">
        <v>30.8247</v>
      </c>
      <c r="DU142">
        <v>9.7155500000000004</v>
      </c>
      <c r="DV142">
        <v>1</v>
      </c>
      <c r="DW142">
        <v>0.208791</v>
      </c>
      <c r="DX142">
        <v>-0.24603900000000001</v>
      </c>
      <c r="DY142">
        <v>20.3675</v>
      </c>
      <c r="DZ142">
        <v>5.2112999999999996</v>
      </c>
      <c r="EA142">
        <v>11.848599999999999</v>
      </c>
      <c r="EB142">
        <v>4.9677600000000002</v>
      </c>
      <c r="EC142">
        <v>3.29236</v>
      </c>
      <c r="ED142">
        <v>894.7</v>
      </c>
      <c r="EE142">
        <v>0</v>
      </c>
      <c r="EF142">
        <v>7765.3</v>
      </c>
      <c r="EG142">
        <v>110.9</v>
      </c>
      <c r="EH142">
        <v>4.97159</v>
      </c>
      <c r="EI142">
        <v>1.8717999999999999</v>
      </c>
      <c r="EJ142">
        <v>1.8690199999999999</v>
      </c>
      <c r="EK142">
        <v>1.8714200000000001</v>
      </c>
      <c r="EL142">
        <v>1.86917</v>
      </c>
      <c r="EM142">
        <v>1.8681300000000001</v>
      </c>
      <c r="EN142">
        <v>1.86995</v>
      </c>
      <c r="EO142">
        <v>1.87175</v>
      </c>
      <c r="EP142">
        <v>0</v>
      </c>
      <c r="EQ142">
        <v>0</v>
      </c>
      <c r="ER142">
        <v>0</v>
      </c>
      <c r="ES142">
        <v>0</v>
      </c>
      <c r="ET142" t="s">
        <v>334</v>
      </c>
      <c r="EU142" t="s">
        <v>335</v>
      </c>
      <c r="EV142" t="s">
        <v>336</v>
      </c>
      <c r="EW142" t="s">
        <v>336</v>
      </c>
      <c r="EX142" t="s">
        <v>336</v>
      </c>
      <c r="EY142" t="s">
        <v>336</v>
      </c>
      <c r="EZ142">
        <v>0</v>
      </c>
      <c r="FA142">
        <v>100</v>
      </c>
      <c r="FB142">
        <v>100</v>
      </c>
      <c r="FC142">
        <v>8.0470000000000006</v>
      </c>
      <c r="FD142">
        <v>-0.98929999999999996</v>
      </c>
      <c r="FE142">
        <v>8.0438100000000006</v>
      </c>
      <c r="FF142">
        <v>0</v>
      </c>
      <c r="FG142">
        <v>0</v>
      </c>
      <c r="FH142">
        <v>0</v>
      </c>
      <c r="FI142">
        <v>-0.98927100000000023</v>
      </c>
      <c r="FJ142">
        <v>0</v>
      </c>
      <c r="FK142">
        <v>0</v>
      </c>
      <c r="FL142">
        <v>0</v>
      </c>
      <c r="FM142">
        <v>-1</v>
      </c>
      <c r="FN142">
        <v>-1</v>
      </c>
      <c r="FO142">
        <v>-1</v>
      </c>
      <c r="FP142">
        <v>-1</v>
      </c>
      <c r="FQ142">
        <v>0.7</v>
      </c>
      <c r="FR142">
        <v>126.2</v>
      </c>
      <c r="FS142">
        <v>0.142822</v>
      </c>
      <c r="FT142">
        <v>4.99756</v>
      </c>
      <c r="FU142">
        <v>1.5979000000000001</v>
      </c>
      <c r="FV142">
        <v>2.1533199999999999</v>
      </c>
      <c r="FW142">
        <v>1.5478499999999999</v>
      </c>
      <c r="FX142">
        <v>2.3925800000000002</v>
      </c>
      <c r="FY142">
        <v>34.5092</v>
      </c>
      <c r="FZ142">
        <v>15.751899999999999</v>
      </c>
      <c r="GA142">
        <v>3</v>
      </c>
      <c r="GB142">
        <v>496.90699999999998</v>
      </c>
      <c r="GC142">
        <v>405.53399999999999</v>
      </c>
      <c r="GD142">
        <v>27.986000000000001</v>
      </c>
      <c r="GE142">
        <v>29.861899999999999</v>
      </c>
      <c r="GF142">
        <v>30.0001</v>
      </c>
      <c r="GG142">
        <v>30.163</v>
      </c>
      <c r="GH142">
        <v>30.214600000000001</v>
      </c>
      <c r="GI142">
        <v>-1</v>
      </c>
      <c r="GJ142">
        <v>0</v>
      </c>
      <c r="GK142">
        <v>100</v>
      </c>
      <c r="GL142">
        <v>27.959099999999999</v>
      </c>
      <c r="GM142">
        <v>432.1</v>
      </c>
      <c r="GN142">
        <v>68.912800000000004</v>
      </c>
      <c r="GO142">
        <v>102.209</v>
      </c>
      <c r="GP142">
        <v>96.503900000000002</v>
      </c>
    </row>
    <row r="143" spans="1:198" x14ac:dyDescent="0.35">
      <c r="A143">
        <v>127</v>
      </c>
      <c r="B143">
        <v>1775488599.5</v>
      </c>
      <c r="C143">
        <v>7561</v>
      </c>
      <c r="D143" t="s">
        <v>712</v>
      </c>
      <c r="E143" t="s">
        <v>713</v>
      </c>
      <c r="F143">
        <v>60</v>
      </c>
      <c r="G143">
        <v>1775488591.5</v>
      </c>
      <c r="H143">
        <f t="shared" si="30"/>
        <v>2.1673499772117471E-3</v>
      </c>
      <c r="I143">
        <f t="shared" si="31"/>
        <v>2.1673499772117473</v>
      </c>
      <c r="J143">
        <f t="shared" si="32"/>
        <v>0.88743421630405084</v>
      </c>
      <c r="K143">
        <f t="shared" si="33"/>
        <v>33.929709677419353</v>
      </c>
      <c r="L143">
        <f t="shared" si="34"/>
        <v>7.9935116687684058</v>
      </c>
      <c r="M143">
        <f t="shared" si="35"/>
        <v>0.80193303574233199</v>
      </c>
      <c r="N143">
        <f t="shared" si="36"/>
        <v>3.4039301136919642</v>
      </c>
      <c r="O143">
        <f t="shared" si="37"/>
        <v>5.8213302705450783E-2</v>
      </c>
      <c r="P143">
        <f t="shared" si="38"/>
        <v>2.3942704493517444</v>
      </c>
      <c r="Q143">
        <f t="shared" si="39"/>
        <v>5.7438281764661488E-2</v>
      </c>
      <c r="R143">
        <f t="shared" si="40"/>
        <v>3.5967698982231226E-2</v>
      </c>
      <c r="S143">
        <f t="shared" si="41"/>
        <v>0</v>
      </c>
      <c r="T143">
        <f t="shared" si="42"/>
        <v>26.620650045498458</v>
      </c>
      <c r="U143">
        <f t="shared" si="43"/>
        <v>27.367496774193551</v>
      </c>
      <c r="V143">
        <f t="shared" si="44"/>
        <v>3.657143892047793</v>
      </c>
      <c r="W143">
        <f t="shared" si="45"/>
        <v>-1.6620328532662692</v>
      </c>
      <c r="X143">
        <f t="shared" si="46"/>
        <v>-6.0542086420946425E-2</v>
      </c>
      <c r="Y143">
        <f t="shared" si="47"/>
        <v>3.6426528092972159</v>
      </c>
      <c r="Z143">
        <f t="shared" si="48"/>
        <v>3.7176859784687393</v>
      </c>
      <c r="AA143">
        <f t="shared" si="49"/>
        <v>-95.580133995038054</v>
      </c>
      <c r="AB143">
        <f t="shared" si="50"/>
        <v>-8.7474539259434678</v>
      </c>
      <c r="AC143">
        <f t="shared" si="51"/>
        <v>-0.79110019798038334</v>
      </c>
      <c r="AD143">
        <f t="shared" si="52"/>
        <v>-105.1186881189619</v>
      </c>
      <c r="AE143">
        <v>14</v>
      </c>
      <c r="AF143">
        <v>3</v>
      </c>
      <c r="AG143">
        <f t="shared" si="53"/>
        <v>1</v>
      </c>
      <c r="AH143">
        <f t="shared" si="54"/>
        <v>0</v>
      </c>
      <c r="AI143">
        <f t="shared" si="55"/>
        <v>25581.081776296749</v>
      </c>
      <c r="AJ143">
        <f t="shared" si="56"/>
        <v>0</v>
      </c>
      <c r="AK143">
        <f t="shared" si="57"/>
        <v>0</v>
      </c>
      <c r="AL143">
        <f t="shared" si="58"/>
        <v>0</v>
      </c>
      <c r="AM143">
        <f t="shared" si="59"/>
        <v>0</v>
      </c>
      <c r="AN143">
        <v>3</v>
      </c>
      <c r="AO143">
        <v>0.5</v>
      </c>
      <c r="AP143" t="s">
        <v>331</v>
      </c>
      <c r="AQ143">
        <v>2</v>
      </c>
      <c r="AR143">
        <v>1775488591.5</v>
      </c>
      <c r="AS143">
        <v>33.929709677419353</v>
      </c>
      <c r="AT143">
        <v>34.506290322580647</v>
      </c>
      <c r="AU143">
        <v>-0.60347167741935481</v>
      </c>
      <c r="AV143">
        <v>-1.9046609677419351</v>
      </c>
      <c r="AW143">
        <v>25.91270967741935</v>
      </c>
      <c r="AX143">
        <v>0.38579932258064531</v>
      </c>
      <c r="AY143">
        <v>500.00209677419349</v>
      </c>
      <c r="AZ143">
        <v>100.28154838709681</v>
      </c>
      <c r="BA143">
        <v>4.1447183870967748E-2</v>
      </c>
      <c r="BB143">
        <v>27.29972903225806</v>
      </c>
      <c r="BC143">
        <v>27.367496774193551</v>
      </c>
      <c r="BD143">
        <v>999.90000000000032</v>
      </c>
      <c r="BE143">
        <v>0</v>
      </c>
      <c r="BF143">
        <v>0</v>
      </c>
      <c r="BG143">
        <v>5002</v>
      </c>
      <c r="BH143">
        <v>0.36456612903225788</v>
      </c>
      <c r="BI143">
        <v>0.23331922580645159</v>
      </c>
      <c r="BJ143">
        <v>-0.54704648387096777</v>
      </c>
      <c r="BK143">
        <v>33.938751612903218</v>
      </c>
      <c r="BL143">
        <v>34.440693548387102</v>
      </c>
      <c r="BM143">
        <v>1.3011900000000001</v>
      </c>
      <c r="BN143">
        <v>34.506290322580647</v>
      </c>
      <c r="BO143">
        <v>-1.9046609677419351</v>
      </c>
      <c r="BP143">
        <v>-6.051708709677419E-2</v>
      </c>
      <c r="BQ143">
        <v>-0.1910023870967742</v>
      </c>
      <c r="BR143">
        <v>-99.900000000000034</v>
      </c>
      <c r="BS143">
        <v>-99.900000000000034</v>
      </c>
      <c r="BT143">
        <v>0</v>
      </c>
      <c r="BU143">
        <v>0</v>
      </c>
      <c r="BV143">
        <v>0</v>
      </c>
      <c r="BW143">
        <v>26</v>
      </c>
      <c r="BX143">
        <v>-1</v>
      </c>
      <c r="BY143">
        <v>1775488614.5</v>
      </c>
      <c r="BZ143" t="s">
        <v>714</v>
      </c>
      <c r="CA143">
        <v>1775488614.5</v>
      </c>
      <c r="CB143">
        <v>1775480969.5</v>
      </c>
      <c r="CC143">
        <v>128</v>
      </c>
      <c r="CD143">
        <v>-2.9000000000000001E-2</v>
      </c>
      <c r="CE143">
        <v>0.19500000000000001</v>
      </c>
      <c r="CF143">
        <v>8.0169999999999995</v>
      </c>
      <c r="CG143">
        <v>-0.98899999999999999</v>
      </c>
      <c r="CH143">
        <v>34</v>
      </c>
      <c r="CI143">
        <v>-3</v>
      </c>
      <c r="CJ143">
        <v>0.15</v>
      </c>
      <c r="CK143">
        <v>0.06</v>
      </c>
      <c r="CL143">
        <v>34.616543333333333</v>
      </c>
      <c r="CM143">
        <v>-1.446349763823247</v>
      </c>
      <c r="CN143">
        <v>0.44672878512085562</v>
      </c>
      <c r="CO143">
        <v>-1</v>
      </c>
      <c r="CP143">
        <v>500.00083333333328</v>
      </c>
      <c r="CQ143">
        <v>-6.931925534805379E-2</v>
      </c>
      <c r="CR143">
        <v>4.7702608826864112E-2</v>
      </c>
      <c r="CS143">
        <v>-1</v>
      </c>
      <c r="CT143">
        <v>0</v>
      </c>
      <c r="CU143">
        <v>0</v>
      </c>
      <c r="CV143" t="s">
        <v>333</v>
      </c>
      <c r="CW143">
        <v>3.1674600000000002</v>
      </c>
      <c r="CX143">
        <v>2.6627999999999998</v>
      </c>
      <c r="CY143">
        <v>7.7681099999999999E-3</v>
      </c>
      <c r="CZ143">
        <v>1.03543E-2</v>
      </c>
      <c r="DA143">
        <v>3.1056399999999998E-3</v>
      </c>
      <c r="DB143">
        <v>-1.7621499999999998E-2</v>
      </c>
      <c r="DC143">
        <v>21408.2</v>
      </c>
      <c r="DD143">
        <v>21735.9</v>
      </c>
      <c r="DE143">
        <v>23103.4</v>
      </c>
      <c r="DF143">
        <v>22316.2</v>
      </c>
      <c r="DG143">
        <v>29702.1</v>
      </c>
      <c r="DH143">
        <v>27083.1</v>
      </c>
      <c r="DI143">
        <v>40606.400000000001</v>
      </c>
      <c r="DJ143">
        <v>36984.800000000003</v>
      </c>
      <c r="DK143">
        <v>2.0855000000000001</v>
      </c>
      <c r="DL143">
        <v>1.7996399999999999</v>
      </c>
      <c r="DM143">
        <v>2.40684E-2</v>
      </c>
      <c r="DN143">
        <v>0</v>
      </c>
      <c r="DO143">
        <v>26.967600000000001</v>
      </c>
      <c r="DP143">
        <v>999.9</v>
      </c>
      <c r="DQ143">
        <v>76</v>
      </c>
      <c r="DR143">
        <v>30.2</v>
      </c>
      <c r="DS143">
        <v>32.664700000000003</v>
      </c>
      <c r="DT143">
        <v>30.404699999999998</v>
      </c>
      <c r="DU143">
        <v>9.6794899999999995</v>
      </c>
      <c r="DV143">
        <v>1</v>
      </c>
      <c r="DW143">
        <v>0.208067</v>
      </c>
      <c r="DX143">
        <v>-0.287638</v>
      </c>
      <c r="DY143">
        <v>20.367599999999999</v>
      </c>
      <c r="DZ143">
        <v>5.2120199999999999</v>
      </c>
      <c r="EA143">
        <v>11.8485</v>
      </c>
      <c r="EB143">
        <v>4.9677199999999999</v>
      </c>
      <c r="EC143">
        <v>3.2924199999999999</v>
      </c>
      <c r="ED143">
        <v>894.7</v>
      </c>
      <c r="EE143">
        <v>0</v>
      </c>
      <c r="EF143">
        <v>7792.4</v>
      </c>
      <c r="EG143">
        <v>110.9</v>
      </c>
      <c r="EH143">
        <v>4.97166</v>
      </c>
      <c r="EI143">
        <v>1.87181</v>
      </c>
      <c r="EJ143">
        <v>1.86904</v>
      </c>
      <c r="EK143">
        <v>1.8714200000000001</v>
      </c>
      <c r="EL143">
        <v>1.8692</v>
      </c>
      <c r="EM143">
        <v>1.8681000000000001</v>
      </c>
      <c r="EN143">
        <v>1.8699600000000001</v>
      </c>
      <c r="EO143">
        <v>1.8717200000000001</v>
      </c>
      <c r="EP143">
        <v>0</v>
      </c>
      <c r="EQ143">
        <v>0</v>
      </c>
      <c r="ER143">
        <v>0</v>
      </c>
      <c r="ES143">
        <v>0</v>
      </c>
      <c r="ET143" t="s">
        <v>334</v>
      </c>
      <c r="EU143" t="s">
        <v>335</v>
      </c>
      <c r="EV143" t="s">
        <v>336</v>
      </c>
      <c r="EW143" t="s">
        <v>336</v>
      </c>
      <c r="EX143" t="s">
        <v>336</v>
      </c>
      <c r="EY143" t="s">
        <v>336</v>
      </c>
      <c r="EZ143">
        <v>0</v>
      </c>
      <c r="FA143">
        <v>100</v>
      </c>
      <c r="FB143">
        <v>100</v>
      </c>
      <c r="FC143">
        <v>8.0169999999999995</v>
      </c>
      <c r="FD143">
        <v>-0.98929999999999996</v>
      </c>
      <c r="FE143">
        <v>8.0465450000000018</v>
      </c>
      <c r="FF143">
        <v>0</v>
      </c>
      <c r="FG143">
        <v>0</v>
      </c>
      <c r="FH143">
        <v>0</v>
      </c>
      <c r="FI143">
        <v>-0.98927100000000023</v>
      </c>
      <c r="FJ143">
        <v>0</v>
      </c>
      <c r="FK143">
        <v>0</v>
      </c>
      <c r="FL143">
        <v>0</v>
      </c>
      <c r="FM143">
        <v>-1</v>
      </c>
      <c r="FN143">
        <v>-1</v>
      </c>
      <c r="FO143">
        <v>-1</v>
      </c>
      <c r="FP143">
        <v>-1</v>
      </c>
      <c r="FQ143">
        <v>0.7</v>
      </c>
      <c r="FR143">
        <v>127.2</v>
      </c>
      <c r="FS143">
        <v>0.142822</v>
      </c>
      <c r="FT143">
        <v>4.99756</v>
      </c>
      <c r="FU143">
        <v>1.5979000000000001</v>
      </c>
      <c r="FV143">
        <v>2.1533199999999999</v>
      </c>
      <c r="FW143">
        <v>1.5478499999999999</v>
      </c>
      <c r="FX143">
        <v>2.4352999999999998</v>
      </c>
      <c r="FY143">
        <v>34.5092</v>
      </c>
      <c r="FZ143">
        <v>15.7431</v>
      </c>
      <c r="GA143">
        <v>3</v>
      </c>
      <c r="GB143">
        <v>497.04399999999998</v>
      </c>
      <c r="GC143">
        <v>405.66800000000001</v>
      </c>
      <c r="GD143">
        <v>27.9419</v>
      </c>
      <c r="GE143">
        <v>29.854099999999999</v>
      </c>
      <c r="GF143">
        <v>30</v>
      </c>
      <c r="GG143">
        <v>30.156600000000001</v>
      </c>
      <c r="GH143">
        <v>30.207000000000001</v>
      </c>
      <c r="GI143">
        <v>-1</v>
      </c>
      <c r="GJ143">
        <v>0</v>
      </c>
      <c r="GK143">
        <v>100</v>
      </c>
      <c r="GL143">
        <v>27.947099999999999</v>
      </c>
      <c r="GM143">
        <v>432.1</v>
      </c>
      <c r="GN143">
        <v>68.912800000000004</v>
      </c>
      <c r="GO143">
        <v>102.21</v>
      </c>
      <c r="GP143">
        <v>96.505899999999997</v>
      </c>
    </row>
    <row r="144" spans="1:198" x14ac:dyDescent="0.35">
      <c r="A144">
        <v>128</v>
      </c>
      <c r="B144">
        <v>1775488659.5</v>
      </c>
      <c r="C144">
        <v>7621</v>
      </c>
      <c r="D144" t="s">
        <v>715</v>
      </c>
      <c r="E144" t="s">
        <v>716</v>
      </c>
      <c r="F144">
        <v>60</v>
      </c>
      <c r="G144">
        <v>1775488651.5</v>
      </c>
      <c r="H144">
        <f t="shared" si="30"/>
        <v>2.1830510492246466E-3</v>
      </c>
      <c r="I144">
        <f t="shared" si="31"/>
        <v>2.1830510492246464</v>
      </c>
      <c r="J144">
        <f t="shared" si="32"/>
        <v>0.66779778735933648</v>
      </c>
      <c r="K144">
        <f t="shared" si="33"/>
        <v>32.833783870967743</v>
      </c>
      <c r="L144">
        <f t="shared" si="34"/>
        <v>13.020060339607014</v>
      </c>
      <c r="M144">
        <f t="shared" si="35"/>
        <v>1.3061953061632847</v>
      </c>
      <c r="N144">
        <f t="shared" si="36"/>
        <v>3.2939428280047665</v>
      </c>
      <c r="O144">
        <f t="shared" si="37"/>
        <v>5.8642767705603942E-2</v>
      </c>
      <c r="P144">
        <f t="shared" si="38"/>
        <v>2.3934772925640129</v>
      </c>
      <c r="Q144">
        <f t="shared" si="39"/>
        <v>5.7856095713421971E-2</v>
      </c>
      <c r="R144">
        <f t="shared" si="40"/>
        <v>3.6229859954419012E-2</v>
      </c>
      <c r="S144">
        <f t="shared" si="41"/>
        <v>0</v>
      </c>
      <c r="T144">
        <f t="shared" si="42"/>
        <v>26.619395845980083</v>
      </c>
      <c r="U144">
        <f t="shared" si="43"/>
        <v>27.37287741935484</v>
      </c>
      <c r="V144">
        <f t="shared" si="44"/>
        <v>3.6582966126534537</v>
      </c>
      <c r="W144">
        <f t="shared" si="45"/>
        <v>-1.6244179665645828</v>
      </c>
      <c r="X144">
        <f t="shared" si="46"/>
        <v>-5.9185330801379131E-2</v>
      </c>
      <c r="Y144">
        <f t="shared" si="47"/>
        <v>3.6434792042190867</v>
      </c>
      <c r="Z144">
        <f t="shared" si="48"/>
        <v>3.7174819434548327</v>
      </c>
      <c r="AA144">
        <f t="shared" si="49"/>
        <v>-96.272551270806915</v>
      </c>
      <c r="AB144">
        <f t="shared" si="50"/>
        <v>-8.9393606002666264</v>
      </c>
      <c r="AC144">
        <f t="shared" si="51"/>
        <v>-0.80876108672010694</v>
      </c>
      <c r="AD144">
        <f t="shared" si="52"/>
        <v>-106.02067295779365</v>
      </c>
      <c r="AE144">
        <v>14</v>
      </c>
      <c r="AF144">
        <v>3</v>
      </c>
      <c r="AG144">
        <f t="shared" si="53"/>
        <v>1</v>
      </c>
      <c r="AH144">
        <f t="shared" si="54"/>
        <v>0</v>
      </c>
      <c r="AI144">
        <f t="shared" si="55"/>
        <v>25568.748676204632</v>
      </c>
      <c r="AJ144">
        <f t="shared" si="56"/>
        <v>0</v>
      </c>
      <c r="AK144">
        <f t="shared" si="57"/>
        <v>0</v>
      </c>
      <c r="AL144">
        <f t="shared" si="58"/>
        <v>0</v>
      </c>
      <c r="AM144">
        <f t="shared" si="59"/>
        <v>0</v>
      </c>
      <c r="AN144">
        <v>3</v>
      </c>
      <c r="AO144">
        <v>0.5</v>
      </c>
      <c r="AP144" t="s">
        <v>331</v>
      </c>
      <c r="AQ144">
        <v>2</v>
      </c>
      <c r="AR144">
        <v>1775488651.5</v>
      </c>
      <c r="AS144">
        <v>32.833783870967743</v>
      </c>
      <c r="AT144">
        <v>33.277464516129029</v>
      </c>
      <c r="AU144">
        <v>-0.58995509677419344</v>
      </c>
      <c r="AV144">
        <v>-1.900544516129032</v>
      </c>
      <c r="AW144">
        <v>24.832783870967749</v>
      </c>
      <c r="AX144">
        <v>0.3993159032258064</v>
      </c>
      <c r="AY144">
        <v>500.00532258064521</v>
      </c>
      <c r="AZ144">
        <v>100.28009677419359</v>
      </c>
      <c r="BA144">
        <v>4.1658432258064523E-2</v>
      </c>
      <c r="BB144">
        <v>27.303599999999989</v>
      </c>
      <c r="BC144">
        <v>27.37287741935484</v>
      </c>
      <c r="BD144">
        <v>999.90000000000032</v>
      </c>
      <c r="BE144">
        <v>0</v>
      </c>
      <c r="BF144">
        <v>0</v>
      </c>
      <c r="BG144">
        <v>5000.0322580645161</v>
      </c>
      <c r="BH144">
        <v>0.38148851612903228</v>
      </c>
      <c r="BI144">
        <v>0.23331922580645159</v>
      </c>
      <c r="BJ144">
        <v>-0.42723929032258062</v>
      </c>
      <c r="BK144">
        <v>32.830858064516129</v>
      </c>
      <c r="BL144">
        <v>33.214338709677413</v>
      </c>
      <c r="BM144">
        <v>1.3105899999999999</v>
      </c>
      <c r="BN144">
        <v>33.277464516129029</v>
      </c>
      <c r="BO144">
        <v>-1.900544516129032</v>
      </c>
      <c r="BP144">
        <v>-5.9160774193548399E-2</v>
      </c>
      <c r="BQ144">
        <v>-0.19058700000000001</v>
      </c>
      <c r="BR144">
        <v>-99.900000000000034</v>
      </c>
      <c r="BS144">
        <v>-99.900000000000034</v>
      </c>
      <c r="BT144">
        <v>0</v>
      </c>
      <c r="BU144">
        <v>0</v>
      </c>
      <c r="BV144">
        <v>0</v>
      </c>
      <c r="BW144">
        <v>26</v>
      </c>
      <c r="BX144">
        <v>-1</v>
      </c>
      <c r="BY144">
        <v>1775488684.5</v>
      </c>
      <c r="BZ144" t="s">
        <v>717</v>
      </c>
      <c r="CA144">
        <v>1775488684.5</v>
      </c>
      <c r="CB144">
        <v>1775480969.5</v>
      </c>
      <c r="CC144">
        <v>129</v>
      </c>
      <c r="CD144">
        <v>-1.6E-2</v>
      </c>
      <c r="CE144">
        <v>0.19500000000000001</v>
      </c>
      <c r="CF144">
        <v>8.0009999999999994</v>
      </c>
      <c r="CG144">
        <v>-0.98899999999999999</v>
      </c>
      <c r="CH144">
        <v>33</v>
      </c>
      <c r="CI144">
        <v>-3</v>
      </c>
      <c r="CJ144">
        <v>0.28000000000000003</v>
      </c>
      <c r="CK144">
        <v>0.06</v>
      </c>
      <c r="CL144">
        <v>33.354956666666673</v>
      </c>
      <c r="CM144">
        <v>-0.49281555987768849</v>
      </c>
      <c r="CN144">
        <v>0.15799019101056769</v>
      </c>
      <c r="CO144">
        <v>-1</v>
      </c>
      <c r="CP144">
        <v>499.99361666666658</v>
      </c>
      <c r="CQ144">
        <v>6.078688524618174E-2</v>
      </c>
      <c r="CR144">
        <v>4.8508793589979421E-2</v>
      </c>
      <c r="CS144">
        <v>-1</v>
      </c>
      <c r="CT144">
        <v>0</v>
      </c>
      <c r="CU144">
        <v>0</v>
      </c>
      <c r="CV144" t="s">
        <v>333</v>
      </c>
      <c r="CW144">
        <v>3.1674500000000001</v>
      </c>
      <c r="CX144">
        <v>2.66309</v>
      </c>
      <c r="CY144">
        <v>7.4129499999999997E-3</v>
      </c>
      <c r="CZ144">
        <v>9.9746499999999998E-3</v>
      </c>
      <c r="DA144">
        <v>3.23909E-3</v>
      </c>
      <c r="DB144">
        <v>-1.7509799999999999E-2</v>
      </c>
      <c r="DC144">
        <v>21416</v>
      </c>
      <c r="DD144">
        <v>21744.2</v>
      </c>
      <c r="DE144">
        <v>23103.5</v>
      </c>
      <c r="DF144">
        <v>22316.2</v>
      </c>
      <c r="DG144">
        <v>29698.400000000001</v>
      </c>
      <c r="DH144">
        <v>27080.3</v>
      </c>
      <c r="DI144">
        <v>40606.6</v>
      </c>
      <c r="DJ144">
        <v>36985.1</v>
      </c>
      <c r="DK144">
        <v>2.08548</v>
      </c>
      <c r="DL144">
        <v>1.79992</v>
      </c>
      <c r="DM144">
        <v>2.4181600000000001E-2</v>
      </c>
      <c r="DN144">
        <v>0</v>
      </c>
      <c r="DO144">
        <v>26.974599999999999</v>
      </c>
      <c r="DP144">
        <v>999.9</v>
      </c>
      <c r="DQ144">
        <v>76</v>
      </c>
      <c r="DR144">
        <v>30.2</v>
      </c>
      <c r="DS144">
        <v>32.6614</v>
      </c>
      <c r="DT144">
        <v>30.764700000000001</v>
      </c>
      <c r="DU144">
        <v>10.023999999999999</v>
      </c>
      <c r="DV144">
        <v>1</v>
      </c>
      <c r="DW144">
        <v>0.20772599999999999</v>
      </c>
      <c r="DX144">
        <v>-0.20890800000000001</v>
      </c>
      <c r="DY144">
        <v>20.367599999999999</v>
      </c>
      <c r="DZ144">
        <v>5.2123799999999996</v>
      </c>
      <c r="EA144">
        <v>11.8482</v>
      </c>
      <c r="EB144">
        <v>4.9677600000000002</v>
      </c>
      <c r="EC144">
        <v>3.2921200000000002</v>
      </c>
      <c r="ED144">
        <v>894.7</v>
      </c>
      <c r="EE144">
        <v>0</v>
      </c>
      <c r="EF144">
        <v>7825.9</v>
      </c>
      <c r="EG144">
        <v>110.9</v>
      </c>
      <c r="EH144">
        <v>4.9716300000000002</v>
      </c>
      <c r="EI144">
        <v>1.8717999999999999</v>
      </c>
      <c r="EJ144">
        <v>1.8690100000000001</v>
      </c>
      <c r="EK144">
        <v>1.8714599999999999</v>
      </c>
      <c r="EL144">
        <v>1.8691800000000001</v>
      </c>
      <c r="EM144">
        <v>1.86812</v>
      </c>
      <c r="EN144">
        <v>1.8699600000000001</v>
      </c>
      <c r="EO144">
        <v>1.8717600000000001</v>
      </c>
      <c r="EP144">
        <v>0</v>
      </c>
      <c r="EQ144">
        <v>0</v>
      </c>
      <c r="ER144">
        <v>0</v>
      </c>
      <c r="ES144">
        <v>0</v>
      </c>
      <c r="ET144" t="s">
        <v>334</v>
      </c>
      <c r="EU144" t="s">
        <v>335</v>
      </c>
      <c r="EV144" t="s">
        <v>336</v>
      </c>
      <c r="EW144" t="s">
        <v>336</v>
      </c>
      <c r="EX144" t="s">
        <v>336</v>
      </c>
      <c r="EY144" t="s">
        <v>336</v>
      </c>
      <c r="EZ144">
        <v>0</v>
      </c>
      <c r="FA144">
        <v>100</v>
      </c>
      <c r="FB144">
        <v>100</v>
      </c>
      <c r="FC144">
        <v>8.0009999999999994</v>
      </c>
      <c r="FD144">
        <v>-0.98929999999999996</v>
      </c>
      <c r="FE144">
        <v>8.0174400000000006</v>
      </c>
      <c r="FF144">
        <v>0</v>
      </c>
      <c r="FG144">
        <v>0</v>
      </c>
      <c r="FH144">
        <v>0</v>
      </c>
      <c r="FI144">
        <v>-0.98927100000000023</v>
      </c>
      <c r="FJ144">
        <v>0</v>
      </c>
      <c r="FK144">
        <v>0</v>
      </c>
      <c r="FL144">
        <v>0</v>
      </c>
      <c r="FM144">
        <v>-1</v>
      </c>
      <c r="FN144">
        <v>-1</v>
      </c>
      <c r="FO144">
        <v>-1</v>
      </c>
      <c r="FP144">
        <v>-1</v>
      </c>
      <c r="FQ144">
        <v>0.8</v>
      </c>
      <c r="FR144">
        <v>128.19999999999999</v>
      </c>
      <c r="FS144">
        <v>0.142822</v>
      </c>
      <c r="FT144">
        <v>4.99756</v>
      </c>
      <c r="FU144">
        <v>1.5979000000000001</v>
      </c>
      <c r="FV144">
        <v>2.1520999999999999</v>
      </c>
      <c r="FW144">
        <v>1.5478499999999999</v>
      </c>
      <c r="FX144">
        <v>2.4414099999999999</v>
      </c>
      <c r="FY144">
        <v>34.5092</v>
      </c>
      <c r="FZ144">
        <v>15.734400000000001</v>
      </c>
      <c r="GA144">
        <v>3</v>
      </c>
      <c r="GB144">
        <v>496.99299999999999</v>
      </c>
      <c r="GC144">
        <v>405.81200000000001</v>
      </c>
      <c r="GD144">
        <v>27.926500000000001</v>
      </c>
      <c r="GE144">
        <v>29.849</v>
      </c>
      <c r="GF144">
        <v>30.0001</v>
      </c>
      <c r="GG144">
        <v>30.151499999999999</v>
      </c>
      <c r="GH144">
        <v>30.2044</v>
      </c>
      <c r="GI144">
        <v>-1</v>
      </c>
      <c r="GJ144">
        <v>0</v>
      </c>
      <c r="GK144">
        <v>100</v>
      </c>
      <c r="GL144">
        <v>27.923100000000002</v>
      </c>
      <c r="GM144">
        <v>432.1</v>
      </c>
      <c r="GN144">
        <v>68.912800000000004</v>
      </c>
      <c r="GO144">
        <v>102.21</v>
      </c>
      <c r="GP144">
        <v>96.506399999999999</v>
      </c>
    </row>
    <row r="145" spans="1:198" x14ac:dyDescent="0.35">
      <c r="A145">
        <v>129</v>
      </c>
      <c r="B145">
        <v>1775488719.5</v>
      </c>
      <c r="C145">
        <v>7681</v>
      </c>
      <c r="D145" t="s">
        <v>718</v>
      </c>
      <c r="E145" t="s">
        <v>719</v>
      </c>
      <c r="F145">
        <v>60</v>
      </c>
      <c r="G145">
        <v>1775488711.5</v>
      </c>
      <c r="H145">
        <f t="shared" ref="H145:H208" si="60">(I145)/1000</f>
        <v>2.1950368579857263E-3</v>
      </c>
      <c r="I145">
        <f t="shared" ref="I145:I208" si="61">1000*AY145*AG145*(AU145-AV145)/(100*AN145*(1000-AG145*AU145))</f>
        <v>2.1950368579857265</v>
      </c>
      <c r="J145">
        <f t="shared" ref="J145:J208" si="62">AY145*AG145*(AT145-AS145*(1000-AG145*AV145)/(1000-AG145*AU145))/(100*AN145)</f>
        <v>1.1701351361667605</v>
      </c>
      <c r="K145">
        <f t="shared" ref="K145:K208" si="63">AS145 - IF(AG145&gt;1, J145*AN145*100/(AI145), 0)</f>
        <v>32.837987096774199</v>
      </c>
      <c r="L145">
        <f t="shared" ref="L145:L208" si="64">((R145-H145/2)*K145-J145)/(R145+H145/2)</f>
        <v>-0.25182011536735854</v>
      </c>
      <c r="M145">
        <f t="shared" ref="M145:M208" si="65">L145*(AZ145+BA145)/1000</f>
        <v>-2.5263190100913928E-2</v>
      </c>
      <c r="N145">
        <f t="shared" ref="N145:N208" si="66">(AS145 - IF(AG145&gt;1, J145*AN145*100/(AI145), 0))*(AZ145+BA145)/1000</f>
        <v>3.2943846020678094</v>
      </c>
      <c r="O145">
        <f t="shared" ref="O145:O208" si="67">2/((1/Q145-1/P145)+SIGN(Q145)*SQRT((1/Q145-1/P145)*(1/Q145-1/P145) + 4*AO145/((AO145+1)*(AO145+1))*(2*1/Q145*1/P145-1/P145*1/P145)))</f>
        <v>5.8991896102544468E-2</v>
      </c>
      <c r="P145">
        <f t="shared" ref="P145:P208" si="68">IF(LEFT(AP145,1)&lt;&gt;"0",IF(LEFT(AP145,1)="1",3,AQ145),$D$5+$E$5*(BG145*AZ145/($K$5*1000))+$F$5*(BG145*AZ145/($K$5*1000))*MAX(MIN(AN145,$J$5),$I$5)*MAX(MIN(AN145,$J$5),$I$5)+$G$5*MAX(MIN(AN145,$J$5),$I$5)*(BG145*AZ145/($K$5*1000))+$H$5*(BG145*AZ145/($K$5*1000))*(BG145*AZ145/($K$5*1000)))</f>
        <v>2.3943820920761887</v>
      </c>
      <c r="Q145">
        <f t="shared" ref="Q145:Q208" si="69">H145*(1000-(1000*0.61365*EXP(17.502*U145/(240.97+U145))/(AZ145+BA145)+AU145)/2)/(1000*0.61365*EXP(17.502*U145/(240.97+U145))/(AZ145+BA145)-AU145)</f>
        <v>5.8196194338045695E-2</v>
      </c>
      <c r="R145">
        <f t="shared" ref="R145:R208" si="70">1/((AO145+1)/(O145/1.6)+1/(P145/1.37)) + AO145/((AO145+1)/(O145/1.6) + AO145/(P145/1.37))</f>
        <v>3.6443217913841933E-2</v>
      </c>
      <c r="S145">
        <f t="shared" ref="S145:S208" si="71">(AJ145*AM145)</f>
        <v>0</v>
      </c>
      <c r="T145">
        <f t="shared" ref="T145:T208" si="72">(BB145+(S145+2*0.95*0.0000000567*(((BB145+$B$7)+273)^4-(BB145+273)^4)-44100*H145)/(1.84*29.3*P145+8*0.95*0.0000000567*(BB145+273)^3))</f>
        <v>26.613021246538949</v>
      </c>
      <c r="U145">
        <f t="shared" ref="U145:U208" si="73">($C$7*BC145+$D$7*BD145+$E$7*T145)</f>
        <v>27.374264516129031</v>
      </c>
      <c r="V145">
        <f t="shared" ref="V145:V208" si="74">0.61365*EXP(17.502*U145/(240.97+U145))</f>
        <v>3.6585938282431734</v>
      </c>
      <c r="W145">
        <f t="shared" ref="W145:W208" si="75">(X145/Y145*100)</f>
        <v>-1.5767472923926897</v>
      </c>
      <c r="X145">
        <f t="shared" ref="X145:X208" si="76">AU145*(AZ145+BA145)/1000</f>
        <v>-5.7438849709036198E-2</v>
      </c>
      <c r="Y145">
        <f t="shared" ref="Y145:Y208" si="77">0.61365*EXP(17.502*BB145/(240.97+BB145))</f>
        <v>3.6428697221273567</v>
      </c>
      <c r="Z145">
        <f t="shared" ref="Z145:Z208" si="78">(V145-AU145*(AZ145+BA145)/1000)</f>
        <v>3.7160326779522097</v>
      </c>
      <c r="AA145">
        <f t="shared" ref="AA145:AA208" si="79">(-H145*44100)</f>
        <v>-96.801125437170526</v>
      </c>
      <c r="AB145">
        <f t="shared" ref="AB145:AB208" si="80">2*29.3*P145*0.92*(BB145-U145)</f>
        <v>-9.4903140973826936</v>
      </c>
      <c r="AC145">
        <f t="shared" ref="AC145:AC208" si="81">2*0.95*0.0000000567*(((BB145+$B$7)+273)^4-(U145+273)^4)</f>
        <v>-0.85827616131830509</v>
      </c>
      <c r="AD145">
        <f t="shared" ref="AD145:AD208" si="82">S145+AC145+AA145+AB145</f>
        <v>-107.14971569587152</v>
      </c>
      <c r="AE145">
        <v>14</v>
      </c>
      <c r="AF145">
        <v>3</v>
      </c>
      <c r="AG145">
        <f t="shared" ref="AG145:AG208" si="83">IF(AE145*$H$13&gt;=AI145,1,(AI145/(AI145-AE145*$H$13)))</f>
        <v>1</v>
      </c>
      <c r="AH145">
        <f t="shared" ref="AH145:AH208" si="84">(AG145-1)*100</f>
        <v>0</v>
      </c>
      <c r="AI145">
        <f t="shared" ref="AI145:AI208" si="85">MAX(0,($B$13+$C$13*BG145)/(1+$D$13*BG145)*AZ145/(BB145+273)*$E$13)</f>
        <v>25582.721207823892</v>
      </c>
      <c r="AJ145">
        <f t="shared" ref="AJ145:AJ208" si="86">$B$11*BH145+$C$11*BI145+$D$11*BT145</f>
        <v>0</v>
      </c>
      <c r="AK145">
        <f t="shared" ref="AK145:AK208" si="87">AJ145*AL145</f>
        <v>0</v>
      </c>
      <c r="AL145">
        <f t="shared" ref="AL145:AL208" si="88">($B$11*$D$9+$C$11*$D$9+$D$11*(BU145*$E$9+BV145*$G$9))/($B$11+$C$11+$D$11)</f>
        <v>0</v>
      </c>
      <c r="AM145">
        <f t="shared" ref="AM145:AM208" si="89">($B$11*$K$9+$C$11*$K$9+$D$11*(BU145*$L$9+BV145*$N$9))/($B$11+$C$11+$D$11)</f>
        <v>0</v>
      </c>
      <c r="AN145">
        <v>3</v>
      </c>
      <c r="AO145">
        <v>0.5</v>
      </c>
      <c r="AP145" t="s">
        <v>331</v>
      </c>
      <c r="AQ145">
        <v>2</v>
      </c>
      <c r="AR145">
        <v>1775488711.5</v>
      </c>
      <c r="AS145">
        <v>32.837987096774199</v>
      </c>
      <c r="AT145">
        <v>33.583332258064509</v>
      </c>
      <c r="AU145">
        <v>-0.57254280645161282</v>
      </c>
      <c r="AV145">
        <v>-1.8903467741935489</v>
      </c>
      <c r="AW145">
        <v>24.838987096774201</v>
      </c>
      <c r="AX145">
        <v>0.41672819354838708</v>
      </c>
      <c r="AY145">
        <v>499.98945161290322</v>
      </c>
      <c r="AZ145">
        <v>100.2808387096774</v>
      </c>
      <c r="BA145">
        <v>4.1528564516129032E-2</v>
      </c>
      <c r="BB145">
        <v>27.300745161290319</v>
      </c>
      <c r="BC145">
        <v>27.374264516129031</v>
      </c>
      <c r="BD145">
        <v>999.90000000000032</v>
      </c>
      <c r="BE145">
        <v>0</v>
      </c>
      <c r="BF145">
        <v>0</v>
      </c>
      <c r="BG145">
        <v>5002.322580645161</v>
      </c>
      <c r="BH145">
        <v>0.37763325806451609</v>
      </c>
      <c r="BI145">
        <v>0.23157870967741931</v>
      </c>
      <c r="BJ145">
        <v>-0.7429639032258063</v>
      </c>
      <c r="BK145">
        <v>32.821583870967743</v>
      </c>
      <c r="BL145">
        <v>33.519974193548393</v>
      </c>
      <c r="BM145">
        <v>1.317804193548388</v>
      </c>
      <c r="BN145">
        <v>33.583332258064509</v>
      </c>
      <c r="BO145">
        <v>-1.8903467741935489</v>
      </c>
      <c r="BP145">
        <v>-5.7415070967741927E-2</v>
      </c>
      <c r="BQ145">
        <v>-0.1895655483870968</v>
      </c>
      <c r="BR145">
        <v>-99.900000000000034</v>
      </c>
      <c r="BS145">
        <v>-99.900000000000034</v>
      </c>
      <c r="BT145">
        <v>0</v>
      </c>
      <c r="BU145">
        <v>0</v>
      </c>
      <c r="BV145">
        <v>0</v>
      </c>
      <c r="BW145">
        <v>26</v>
      </c>
      <c r="BX145">
        <v>-0.99569896774193567</v>
      </c>
      <c r="BY145">
        <v>1775488740.5</v>
      </c>
      <c r="BZ145" t="s">
        <v>720</v>
      </c>
      <c r="CA145">
        <v>1775488740.5</v>
      </c>
      <c r="CB145">
        <v>1775480969.5</v>
      </c>
      <c r="CC145">
        <v>130</v>
      </c>
      <c r="CD145">
        <v>-3.0000000000000001E-3</v>
      </c>
      <c r="CE145">
        <v>0.19500000000000001</v>
      </c>
      <c r="CF145">
        <v>7.9989999999999997</v>
      </c>
      <c r="CG145">
        <v>-0.98899999999999999</v>
      </c>
      <c r="CH145">
        <v>33</v>
      </c>
      <c r="CI145">
        <v>-3</v>
      </c>
      <c r="CJ145">
        <v>0.5</v>
      </c>
      <c r="CK145">
        <v>0.06</v>
      </c>
      <c r="CL145">
        <v>33.336134999999999</v>
      </c>
      <c r="CM145">
        <v>1.7949342595165929</v>
      </c>
      <c r="CN145">
        <v>0.27695802800243913</v>
      </c>
      <c r="CO145">
        <v>-1</v>
      </c>
      <c r="CP145">
        <v>500.3884666666666</v>
      </c>
      <c r="CQ145">
        <v>-4.260476799110366</v>
      </c>
      <c r="CR145">
        <v>1.1163051922401079</v>
      </c>
      <c r="CS145">
        <v>-1</v>
      </c>
      <c r="CT145">
        <v>0</v>
      </c>
      <c r="CU145">
        <v>0</v>
      </c>
      <c r="CV145" t="s">
        <v>333</v>
      </c>
      <c r="CW145">
        <v>3.1674600000000002</v>
      </c>
      <c r="CX145">
        <v>2.66248</v>
      </c>
      <c r="CY145">
        <v>7.4678000000000001E-3</v>
      </c>
      <c r="CZ145">
        <v>9.9942899999999994E-3</v>
      </c>
      <c r="DA145">
        <v>3.38887E-3</v>
      </c>
      <c r="DB145">
        <v>-1.73946E-2</v>
      </c>
      <c r="DC145">
        <v>21414.6</v>
      </c>
      <c r="DD145">
        <v>21743.8</v>
      </c>
      <c r="DE145">
        <v>23103.3</v>
      </c>
      <c r="DF145">
        <v>22316.2</v>
      </c>
      <c r="DG145">
        <v>29693.5</v>
      </c>
      <c r="DH145">
        <v>27077.4</v>
      </c>
      <c r="DI145">
        <v>40606.1</v>
      </c>
      <c r="DJ145">
        <v>36985.199999999997</v>
      </c>
      <c r="DK145">
        <v>2.08534</v>
      </c>
      <c r="DL145">
        <v>1.7992600000000001</v>
      </c>
      <c r="DM145">
        <v>2.3847799999999999E-2</v>
      </c>
      <c r="DN145">
        <v>0</v>
      </c>
      <c r="DO145">
        <v>26.988199999999999</v>
      </c>
      <c r="DP145">
        <v>999.9</v>
      </c>
      <c r="DQ145">
        <v>76</v>
      </c>
      <c r="DR145">
        <v>30.2</v>
      </c>
      <c r="DS145">
        <v>32.662799999999997</v>
      </c>
      <c r="DT145">
        <v>30.3447</v>
      </c>
      <c r="DU145">
        <v>10.02</v>
      </c>
      <c r="DV145">
        <v>1</v>
      </c>
      <c r="DW145">
        <v>0.20793300000000001</v>
      </c>
      <c r="DX145">
        <v>-0.189832</v>
      </c>
      <c r="DY145">
        <v>20.3672</v>
      </c>
      <c r="DZ145">
        <v>5.2080700000000002</v>
      </c>
      <c r="EA145">
        <v>11.8483</v>
      </c>
      <c r="EB145">
        <v>4.9673600000000002</v>
      </c>
      <c r="EC145">
        <v>3.2917000000000001</v>
      </c>
      <c r="ED145">
        <v>894.7</v>
      </c>
      <c r="EE145">
        <v>0</v>
      </c>
      <c r="EF145">
        <v>7857.1</v>
      </c>
      <c r="EG145">
        <v>111</v>
      </c>
      <c r="EH145">
        <v>4.9716100000000001</v>
      </c>
      <c r="EI145">
        <v>1.87181</v>
      </c>
      <c r="EJ145">
        <v>1.8689199999999999</v>
      </c>
      <c r="EK145">
        <v>1.8714500000000001</v>
      </c>
      <c r="EL145">
        <v>1.8691800000000001</v>
      </c>
      <c r="EM145">
        <v>1.8681099999999999</v>
      </c>
      <c r="EN145">
        <v>1.8699600000000001</v>
      </c>
      <c r="EO145">
        <v>1.8717200000000001</v>
      </c>
      <c r="EP145">
        <v>0</v>
      </c>
      <c r="EQ145">
        <v>0</v>
      </c>
      <c r="ER145">
        <v>0</v>
      </c>
      <c r="ES145">
        <v>0</v>
      </c>
      <c r="ET145" t="s">
        <v>334</v>
      </c>
      <c r="EU145" t="s">
        <v>335</v>
      </c>
      <c r="EV145" t="s">
        <v>336</v>
      </c>
      <c r="EW145" t="s">
        <v>336</v>
      </c>
      <c r="EX145" t="s">
        <v>336</v>
      </c>
      <c r="EY145" t="s">
        <v>336</v>
      </c>
      <c r="EZ145">
        <v>0</v>
      </c>
      <c r="FA145">
        <v>100</v>
      </c>
      <c r="FB145">
        <v>100</v>
      </c>
      <c r="FC145">
        <v>7.9989999999999997</v>
      </c>
      <c r="FD145">
        <v>-0.98929999999999996</v>
      </c>
      <c r="FE145">
        <v>8.0013850000000168</v>
      </c>
      <c r="FF145">
        <v>0</v>
      </c>
      <c r="FG145">
        <v>0</v>
      </c>
      <c r="FH145">
        <v>0</v>
      </c>
      <c r="FI145">
        <v>-0.98927100000000023</v>
      </c>
      <c r="FJ145">
        <v>0</v>
      </c>
      <c r="FK145">
        <v>0</v>
      </c>
      <c r="FL145">
        <v>0</v>
      </c>
      <c r="FM145">
        <v>-1</v>
      </c>
      <c r="FN145">
        <v>-1</v>
      </c>
      <c r="FO145">
        <v>-1</v>
      </c>
      <c r="FP145">
        <v>-1</v>
      </c>
      <c r="FQ145">
        <v>0.6</v>
      </c>
      <c r="FR145">
        <v>129.19999999999999</v>
      </c>
      <c r="FS145">
        <v>0.142822</v>
      </c>
      <c r="FT145">
        <v>4.99756</v>
      </c>
      <c r="FU145">
        <v>1.5979000000000001</v>
      </c>
      <c r="FV145">
        <v>2.1520999999999999</v>
      </c>
      <c r="FW145">
        <v>1.5478499999999999</v>
      </c>
      <c r="FX145">
        <v>2.4401899999999999</v>
      </c>
      <c r="FY145">
        <v>34.5092</v>
      </c>
      <c r="FZ145">
        <v>15.7256</v>
      </c>
      <c r="GA145">
        <v>3</v>
      </c>
      <c r="GB145">
        <v>496.911</v>
      </c>
      <c r="GC145">
        <v>405.41699999999997</v>
      </c>
      <c r="GD145">
        <v>27.903400000000001</v>
      </c>
      <c r="GE145">
        <v>29.849</v>
      </c>
      <c r="GF145">
        <v>30.0001</v>
      </c>
      <c r="GG145">
        <v>30.151499999999999</v>
      </c>
      <c r="GH145">
        <v>30.201799999999999</v>
      </c>
      <c r="GI145">
        <v>-1</v>
      </c>
      <c r="GJ145">
        <v>0</v>
      </c>
      <c r="GK145">
        <v>100</v>
      </c>
      <c r="GL145">
        <v>27.903300000000002</v>
      </c>
      <c r="GM145">
        <v>432.1</v>
      </c>
      <c r="GN145">
        <v>68.912800000000004</v>
      </c>
      <c r="GO145">
        <v>102.209</v>
      </c>
      <c r="GP145">
        <v>96.506699999999995</v>
      </c>
    </row>
    <row r="146" spans="1:198" x14ac:dyDescent="0.35">
      <c r="A146">
        <v>130</v>
      </c>
      <c r="B146">
        <v>1775488779.5</v>
      </c>
      <c r="C146">
        <v>7741</v>
      </c>
      <c r="D146" t="s">
        <v>721</v>
      </c>
      <c r="E146" t="s">
        <v>722</v>
      </c>
      <c r="F146">
        <v>60</v>
      </c>
      <c r="G146">
        <v>1775488771.5</v>
      </c>
      <c r="H146">
        <f t="shared" si="60"/>
        <v>2.1888638924753992E-3</v>
      </c>
      <c r="I146">
        <f t="shared" si="61"/>
        <v>2.1888638924753994</v>
      </c>
      <c r="J146">
        <f t="shared" si="62"/>
        <v>0.53388508879984187</v>
      </c>
      <c r="K146">
        <f t="shared" si="63"/>
        <v>32.551900000000003</v>
      </c>
      <c r="L146">
        <f t="shared" si="64"/>
        <v>16.382655007425782</v>
      </c>
      <c r="M146">
        <f t="shared" si="65"/>
        <v>1.6435098522126583</v>
      </c>
      <c r="N146">
        <f t="shared" si="66"/>
        <v>3.2656103869605708</v>
      </c>
      <c r="O146">
        <f t="shared" si="67"/>
        <v>5.8807551757474395E-2</v>
      </c>
      <c r="P146">
        <f t="shared" si="68"/>
        <v>2.3949007088882621</v>
      </c>
      <c r="Q146">
        <f t="shared" si="69"/>
        <v>5.8016948028839839E-2</v>
      </c>
      <c r="R146">
        <f t="shared" si="70"/>
        <v>3.6330739582749766E-2</v>
      </c>
      <c r="S146">
        <f t="shared" si="71"/>
        <v>0</v>
      </c>
      <c r="T146">
        <f t="shared" si="72"/>
        <v>26.614813910770504</v>
      </c>
      <c r="U146">
        <f t="shared" si="73"/>
        <v>27.372222580645161</v>
      </c>
      <c r="V146">
        <f t="shared" si="74"/>
        <v>3.658156306569639</v>
      </c>
      <c r="W146">
        <f t="shared" si="75"/>
        <v>-1.6147982395095721</v>
      </c>
      <c r="X146">
        <f t="shared" si="76"/>
        <v>-5.882403982853035E-2</v>
      </c>
      <c r="Y146">
        <f t="shared" si="77"/>
        <v>3.6428105003629252</v>
      </c>
      <c r="Z146">
        <f t="shared" si="78"/>
        <v>3.7169803463981692</v>
      </c>
      <c r="AA146">
        <f t="shared" si="79"/>
        <v>-96.528897658165107</v>
      </c>
      <c r="AB146">
        <f t="shared" si="80"/>
        <v>-9.2645461381279368</v>
      </c>
      <c r="AC146">
        <f t="shared" si="81"/>
        <v>-0.8376672269189096</v>
      </c>
      <c r="AD146">
        <f t="shared" si="82"/>
        <v>-106.63111102321196</v>
      </c>
      <c r="AE146">
        <v>14</v>
      </c>
      <c r="AF146">
        <v>3</v>
      </c>
      <c r="AG146">
        <f t="shared" si="83"/>
        <v>1</v>
      </c>
      <c r="AH146">
        <f t="shared" si="84"/>
        <v>0</v>
      </c>
      <c r="AI146">
        <f t="shared" si="85"/>
        <v>25590.725267172278</v>
      </c>
      <c r="AJ146">
        <f t="shared" si="86"/>
        <v>0</v>
      </c>
      <c r="AK146">
        <f t="shared" si="87"/>
        <v>0</v>
      </c>
      <c r="AL146">
        <f t="shared" si="88"/>
        <v>0</v>
      </c>
      <c r="AM146">
        <f t="shared" si="89"/>
        <v>0</v>
      </c>
      <c r="AN146">
        <v>3</v>
      </c>
      <c r="AO146">
        <v>0.5</v>
      </c>
      <c r="AP146" t="s">
        <v>331</v>
      </c>
      <c r="AQ146">
        <v>2</v>
      </c>
      <c r="AR146">
        <v>1775488771.5</v>
      </c>
      <c r="AS146">
        <v>32.551900000000003</v>
      </c>
      <c r="AT146">
        <v>32.914987096774198</v>
      </c>
      <c r="AU146">
        <v>-0.58636335483870972</v>
      </c>
      <c r="AV146">
        <v>-1.9004700000000001</v>
      </c>
      <c r="AW146">
        <v>24.47590000000001</v>
      </c>
      <c r="AX146">
        <v>0.40290764516129041</v>
      </c>
      <c r="AY146">
        <v>499.99306451612898</v>
      </c>
      <c r="AZ146">
        <v>100.2784838709677</v>
      </c>
      <c r="BA146">
        <v>4.1632219354838712E-2</v>
      </c>
      <c r="BB146">
        <v>27.300467741935471</v>
      </c>
      <c r="BC146">
        <v>27.372222580645161</v>
      </c>
      <c r="BD146">
        <v>999.90000000000032</v>
      </c>
      <c r="BE146">
        <v>0</v>
      </c>
      <c r="BF146">
        <v>0</v>
      </c>
      <c r="BG146">
        <v>5003.7741935483873</v>
      </c>
      <c r="BH146">
        <v>0.36407200000000001</v>
      </c>
      <c r="BI146">
        <v>0.23331922580645159</v>
      </c>
      <c r="BJ146">
        <v>-0.4403965483870968</v>
      </c>
      <c r="BK146">
        <v>32.455558064516133</v>
      </c>
      <c r="BL146">
        <v>32.852545161290323</v>
      </c>
      <c r="BM146">
        <v>1.3141058064516129</v>
      </c>
      <c r="BN146">
        <v>32.914987096774198</v>
      </c>
      <c r="BO146">
        <v>-1.9004700000000001</v>
      </c>
      <c r="BP146">
        <v>-5.8799593548387097E-2</v>
      </c>
      <c r="BQ146">
        <v>-0.19057603225806449</v>
      </c>
      <c r="BR146">
        <v>-99.900000000000034</v>
      </c>
      <c r="BS146">
        <v>-99.900000000000034</v>
      </c>
      <c r="BT146">
        <v>0</v>
      </c>
      <c r="BU146">
        <v>0</v>
      </c>
      <c r="BV146">
        <v>0</v>
      </c>
      <c r="BW146">
        <v>25.978516129032251</v>
      </c>
      <c r="BX146">
        <v>-0.98924741935483884</v>
      </c>
      <c r="BY146">
        <v>1775488794</v>
      </c>
      <c r="BZ146" t="s">
        <v>723</v>
      </c>
      <c r="CA146">
        <v>1775488794</v>
      </c>
      <c r="CB146">
        <v>1775480969.5</v>
      </c>
      <c r="CC146">
        <v>131</v>
      </c>
      <c r="CD146">
        <v>7.8E-2</v>
      </c>
      <c r="CE146">
        <v>0.19500000000000001</v>
      </c>
      <c r="CF146">
        <v>8.0760000000000005</v>
      </c>
      <c r="CG146">
        <v>-0.98899999999999999</v>
      </c>
      <c r="CH146">
        <v>34</v>
      </c>
      <c r="CI146">
        <v>-3</v>
      </c>
      <c r="CJ146">
        <v>0.66</v>
      </c>
      <c r="CK146">
        <v>0.06</v>
      </c>
      <c r="CL146">
        <v>32.911928333333343</v>
      </c>
      <c r="CM146">
        <v>0.15575626562942479</v>
      </c>
      <c r="CN146">
        <v>0.17614028414085789</v>
      </c>
      <c r="CO146">
        <v>-1</v>
      </c>
      <c r="CP146">
        <v>500.04295000000002</v>
      </c>
      <c r="CQ146">
        <v>-0.557131425395201</v>
      </c>
      <c r="CR146">
        <v>0.1651877139297426</v>
      </c>
      <c r="CS146">
        <v>-1</v>
      </c>
      <c r="CT146">
        <v>0</v>
      </c>
      <c r="CU146">
        <v>0</v>
      </c>
      <c r="CV146" t="s">
        <v>333</v>
      </c>
      <c r="CW146">
        <v>3.1675200000000001</v>
      </c>
      <c r="CX146">
        <v>2.6629299999999998</v>
      </c>
      <c r="CY146">
        <v>7.2583400000000003E-3</v>
      </c>
      <c r="CZ146">
        <v>9.6913299999999997E-3</v>
      </c>
      <c r="DA146">
        <v>3.24574E-3</v>
      </c>
      <c r="DB146">
        <v>-1.7446900000000001E-2</v>
      </c>
      <c r="DC146">
        <v>21418.7</v>
      </c>
      <c r="DD146">
        <v>21749.8</v>
      </c>
      <c r="DE146">
        <v>23102.799999999999</v>
      </c>
      <c r="DF146">
        <v>22315.599999999999</v>
      </c>
      <c r="DG146">
        <v>29697.1</v>
      </c>
      <c r="DH146">
        <v>27078.2</v>
      </c>
      <c r="DI146">
        <v>40605.300000000003</v>
      </c>
      <c r="DJ146">
        <v>36984.400000000001</v>
      </c>
      <c r="DK146">
        <v>2.0855199999999998</v>
      </c>
      <c r="DL146">
        <v>1.79976</v>
      </c>
      <c r="DM146">
        <v>2.31624E-2</v>
      </c>
      <c r="DN146">
        <v>0</v>
      </c>
      <c r="DO146">
        <v>26.994299999999999</v>
      </c>
      <c r="DP146">
        <v>999.9</v>
      </c>
      <c r="DQ146">
        <v>76</v>
      </c>
      <c r="DR146">
        <v>30.2</v>
      </c>
      <c r="DS146">
        <v>32.6629</v>
      </c>
      <c r="DT146">
        <v>30.2547</v>
      </c>
      <c r="DU146">
        <v>10.02</v>
      </c>
      <c r="DV146">
        <v>1</v>
      </c>
      <c r="DW146">
        <v>0.20810999999999999</v>
      </c>
      <c r="DX146">
        <v>-0.18997</v>
      </c>
      <c r="DY146">
        <v>20.367699999999999</v>
      </c>
      <c r="DZ146">
        <v>5.2112999999999996</v>
      </c>
      <c r="EA146">
        <v>11.8482</v>
      </c>
      <c r="EB146">
        <v>4.9676400000000003</v>
      </c>
      <c r="EC146">
        <v>3.2923</v>
      </c>
      <c r="ED146">
        <v>894.7</v>
      </c>
      <c r="EE146">
        <v>0</v>
      </c>
      <c r="EF146">
        <v>7883.7</v>
      </c>
      <c r="EG146">
        <v>111</v>
      </c>
      <c r="EH146">
        <v>4.9716199999999997</v>
      </c>
      <c r="EI146">
        <v>1.8717999999999999</v>
      </c>
      <c r="EJ146">
        <v>1.8689899999999999</v>
      </c>
      <c r="EK146">
        <v>1.8714500000000001</v>
      </c>
      <c r="EL146">
        <v>1.86917</v>
      </c>
      <c r="EM146">
        <v>1.8681099999999999</v>
      </c>
      <c r="EN146">
        <v>1.86995</v>
      </c>
      <c r="EO146">
        <v>1.87175</v>
      </c>
      <c r="EP146">
        <v>0</v>
      </c>
      <c r="EQ146">
        <v>0</v>
      </c>
      <c r="ER146">
        <v>0</v>
      </c>
      <c r="ES146">
        <v>0</v>
      </c>
      <c r="ET146" t="s">
        <v>334</v>
      </c>
      <c r="EU146" t="s">
        <v>335</v>
      </c>
      <c r="EV146" t="s">
        <v>336</v>
      </c>
      <c r="EW146" t="s">
        <v>336</v>
      </c>
      <c r="EX146" t="s">
        <v>336</v>
      </c>
      <c r="EY146" t="s">
        <v>336</v>
      </c>
      <c r="EZ146">
        <v>0</v>
      </c>
      <c r="FA146">
        <v>100</v>
      </c>
      <c r="FB146">
        <v>100</v>
      </c>
      <c r="FC146">
        <v>8.0760000000000005</v>
      </c>
      <c r="FD146">
        <v>-0.98929999999999996</v>
      </c>
      <c r="FE146">
        <v>7.998700000000003</v>
      </c>
      <c r="FF146">
        <v>0</v>
      </c>
      <c r="FG146">
        <v>0</v>
      </c>
      <c r="FH146">
        <v>0</v>
      </c>
      <c r="FI146">
        <v>-0.98927100000000023</v>
      </c>
      <c r="FJ146">
        <v>0</v>
      </c>
      <c r="FK146">
        <v>0</v>
      </c>
      <c r="FL146">
        <v>0</v>
      </c>
      <c r="FM146">
        <v>-1</v>
      </c>
      <c r="FN146">
        <v>-1</v>
      </c>
      <c r="FO146">
        <v>-1</v>
      </c>
      <c r="FP146">
        <v>-1</v>
      </c>
      <c r="FQ146">
        <v>0.7</v>
      </c>
      <c r="FR146">
        <v>130.19999999999999</v>
      </c>
      <c r="FS146">
        <v>0.142822</v>
      </c>
      <c r="FT146">
        <v>4.99756</v>
      </c>
      <c r="FU146">
        <v>1.5979000000000001</v>
      </c>
      <c r="FV146">
        <v>2.1520999999999999</v>
      </c>
      <c r="FW146">
        <v>1.5478499999999999</v>
      </c>
      <c r="FX146">
        <v>2.4475099999999999</v>
      </c>
      <c r="FY146">
        <v>34.5092</v>
      </c>
      <c r="FZ146">
        <v>15.7256</v>
      </c>
      <c r="GA146">
        <v>3</v>
      </c>
      <c r="GB146">
        <v>497.012</v>
      </c>
      <c r="GC146">
        <v>405.70299999999997</v>
      </c>
      <c r="GD146">
        <v>27.940799999999999</v>
      </c>
      <c r="GE146">
        <v>29.851600000000001</v>
      </c>
      <c r="GF146">
        <v>30.0001</v>
      </c>
      <c r="GG146">
        <v>30.151</v>
      </c>
      <c r="GH146">
        <v>30.201799999999999</v>
      </c>
      <c r="GI146">
        <v>-1</v>
      </c>
      <c r="GJ146">
        <v>0</v>
      </c>
      <c r="GK146">
        <v>100</v>
      </c>
      <c r="GL146">
        <v>27.9358</v>
      </c>
      <c r="GM146">
        <v>432.1</v>
      </c>
      <c r="GN146">
        <v>68.912800000000004</v>
      </c>
      <c r="GO146">
        <v>102.20699999999999</v>
      </c>
      <c r="GP146">
        <v>96.504300000000001</v>
      </c>
    </row>
    <row r="147" spans="1:198" x14ac:dyDescent="0.35">
      <c r="A147">
        <v>131</v>
      </c>
      <c r="B147">
        <v>1775488839.5</v>
      </c>
      <c r="C147">
        <v>7801</v>
      </c>
      <c r="D147" t="s">
        <v>724</v>
      </c>
      <c r="E147" t="s">
        <v>725</v>
      </c>
      <c r="F147">
        <v>60</v>
      </c>
      <c r="G147">
        <v>1775488831.75</v>
      </c>
      <c r="H147">
        <f t="shared" si="60"/>
        <v>2.1836963719713263E-3</v>
      </c>
      <c r="I147">
        <f t="shared" si="61"/>
        <v>2.1836963719713265</v>
      </c>
      <c r="J147">
        <f t="shared" si="62"/>
        <v>0.24690456514009085</v>
      </c>
      <c r="K147">
        <f t="shared" si="63"/>
        <v>31.773109999999999</v>
      </c>
      <c r="L147">
        <f t="shared" si="64"/>
        <v>23.300351834574904</v>
      </c>
      <c r="M147">
        <f t="shared" si="65"/>
        <v>2.3374755415116617</v>
      </c>
      <c r="N147">
        <f t="shared" si="66"/>
        <v>3.1874569118116733</v>
      </c>
      <c r="O147">
        <f t="shared" si="67"/>
        <v>5.865705519335155E-2</v>
      </c>
      <c r="P147">
        <f t="shared" si="68"/>
        <v>2.3905361291261937</v>
      </c>
      <c r="Q147">
        <f t="shared" si="69"/>
        <v>5.7869048295407295E-2</v>
      </c>
      <c r="R147">
        <f t="shared" si="70"/>
        <v>3.6238072484241331E-2</v>
      </c>
      <c r="S147">
        <f t="shared" si="71"/>
        <v>0</v>
      </c>
      <c r="T147">
        <f t="shared" si="72"/>
        <v>26.61401562321263</v>
      </c>
      <c r="U147">
        <f t="shared" si="73"/>
        <v>27.373143333333331</v>
      </c>
      <c r="V147">
        <f t="shared" si="74"/>
        <v>3.6583535888621026</v>
      </c>
      <c r="W147">
        <f t="shared" si="75"/>
        <v>-1.6281053075537792</v>
      </c>
      <c r="X147">
        <f t="shared" si="76"/>
        <v>-5.9304373553848065E-2</v>
      </c>
      <c r="Y147">
        <f t="shared" si="77"/>
        <v>3.6425391698373994</v>
      </c>
      <c r="Z147">
        <f t="shared" si="78"/>
        <v>3.7176579624159505</v>
      </c>
      <c r="AA147">
        <f t="shared" si="79"/>
        <v>-96.301010003935488</v>
      </c>
      <c r="AB147">
        <f t="shared" si="80"/>
        <v>-9.5301416762470392</v>
      </c>
      <c r="AC147">
        <f t="shared" si="81"/>
        <v>-0.86325315473083142</v>
      </c>
      <c r="AD147">
        <f t="shared" si="82"/>
        <v>-106.69440483491336</v>
      </c>
      <c r="AE147">
        <v>14</v>
      </c>
      <c r="AF147">
        <v>3</v>
      </c>
      <c r="AG147">
        <f t="shared" si="83"/>
        <v>1</v>
      </c>
      <c r="AH147">
        <f t="shared" si="84"/>
        <v>0</v>
      </c>
      <c r="AI147">
        <f t="shared" si="85"/>
        <v>25524.494615477419</v>
      </c>
      <c r="AJ147">
        <f t="shared" si="86"/>
        <v>0</v>
      </c>
      <c r="AK147">
        <f t="shared" si="87"/>
        <v>0</v>
      </c>
      <c r="AL147">
        <f t="shared" si="88"/>
        <v>0</v>
      </c>
      <c r="AM147">
        <f t="shared" si="89"/>
        <v>0</v>
      </c>
      <c r="AN147">
        <v>3</v>
      </c>
      <c r="AO147">
        <v>0.5</v>
      </c>
      <c r="AP147" t="s">
        <v>331</v>
      </c>
      <c r="AQ147">
        <v>2</v>
      </c>
      <c r="AR147">
        <v>1775488831.75</v>
      </c>
      <c r="AS147">
        <v>31.773109999999999</v>
      </c>
      <c r="AT147">
        <v>31.962890000000002</v>
      </c>
      <c r="AU147">
        <v>-0.59115603333333333</v>
      </c>
      <c r="AV147">
        <v>-1.9022006666666671</v>
      </c>
      <c r="AW147">
        <v>23.702110000000001</v>
      </c>
      <c r="AX147">
        <v>0.39811496666666663</v>
      </c>
      <c r="AY147">
        <v>499.98006666666657</v>
      </c>
      <c r="AZ147">
        <v>100.2778</v>
      </c>
      <c r="BA147">
        <v>4.1523850000000001E-2</v>
      </c>
      <c r="BB147">
        <v>27.29919666666666</v>
      </c>
      <c r="BC147">
        <v>27.373143333333331</v>
      </c>
      <c r="BD147">
        <v>999.9000000000002</v>
      </c>
      <c r="BE147">
        <v>0</v>
      </c>
      <c r="BF147">
        <v>0</v>
      </c>
      <c r="BG147">
        <v>4992.583333333333</v>
      </c>
      <c r="BH147">
        <v>0.3524505</v>
      </c>
      <c r="BI147">
        <v>0.23344266666666669</v>
      </c>
      <c r="BJ147">
        <v>-0.18447252333333339</v>
      </c>
      <c r="BK147">
        <v>31.759650000000001</v>
      </c>
      <c r="BL147">
        <v>31.902206666666661</v>
      </c>
      <c r="BM147">
        <v>1.311045333333333</v>
      </c>
      <c r="BN147">
        <v>31.962890000000002</v>
      </c>
      <c r="BO147">
        <v>-1.9022006666666671</v>
      </c>
      <c r="BP147">
        <v>-5.9279859999999997E-2</v>
      </c>
      <c r="BQ147">
        <v>-0.19074866666666671</v>
      </c>
      <c r="BR147">
        <v>-99.900000000000034</v>
      </c>
      <c r="BS147">
        <v>-99.900000000000034</v>
      </c>
      <c r="BT147">
        <v>0</v>
      </c>
      <c r="BU147">
        <v>0</v>
      </c>
      <c r="BV147">
        <v>0</v>
      </c>
      <c r="BW147">
        <v>25.963343333333331</v>
      </c>
      <c r="BX147">
        <v>-1</v>
      </c>
      <c r="BY147">
        <v>1775488855</v>
      </c>
      <c r="BZ147" t="s">
        <v>726</v>
      </c>
      <c r="CA147">
        <v>1775488855</v>
      </c>
      <c r="CB147">
        <v>1775480969.5</v>
      </c>
      <c r="CC147">
        <v>132</v>
      </c>
      <c r="CD147">
        <v>-5.0000000000000001E-3</v>
      </c>
      <c r="CE147">
        <v>0.19500000000000001</v>
      </c>
      <c r="CF147">
        <v>8.0709999999999997</v>
      </c>
      <c r="CG147">
        <v>-0.98899999999999999</v>
      </c>
      <c r="CH147">
        <v>33</v>
      </c>
      <c r="CI147">
        <v>-3</v>
      </c>
      <c r="CJ147">
        <v>0.14000000000000001</v>
      </c>
      <c r="CK147">
        <v>0.06</v>
      </c>
      <c r="CL147">
        <v>32.172393333333339</v>
      </c>
      <c r="CM147">
        <v>-0.98969424840227227</v>
      </c>
      <c r="CN147">
        <v>0.24937711727867529</v>
      </c>
      <c r="CO147">
        <v>-1</v>
      </c>
      <c r="CP147">
        <v>499.99191666666673</v>
      </c>
      <c r="CQ147">
        <v>-6.8455682133453821E-2</v>
      </c>
      <c r="CR147">
        <v>5.4071030958256071E-2</v>
      </c>
      <c r="CS147">
        <v>-1</v>
      </c>
      <c r="CT147">
        <v>0</v>
      </c>
      <c r="CU147">
        <v>0</v>
      </c>
      <c r="CV147" t="s">
        <v>333</v>
      </c>
      <c r="CW147">
        <v>3.1675</v>
      </c>
      <c r="CX147">
        <v>2.6629</v>
      </c>
      <c r="CY147">
        <v>7.0206000000000001E-3</v>
      </c>
      <c r="CZ147">
        <v>9.4985099999999999E-3</v>
      </c>
      <c r="DA147">
        <v>3.2310400000000001E-3</v>
      </c>
      <c r="DB147">
        <v>-1.7553800000000001E-2</v>
      </c>
      <c r="DC147">
        <v>21424.1</v>
      </c>
      <c r="DD147">
        <v>21754.3</v>
      </c>
      <c r="DE147">
        <v>23103.1</v>
      </c>
      <c r="DF147">
        <v>22315.8</v>
      </c>
      <c r="DG147">
        <v>29698.1</v>
      </c>
      <c r="DH147">
        <v>27081.1</v>
      </c>
      <c r="DI147">
        <v>40605.9</v>
      </c>
      <c r="DJ147">
        <v>36984.5</v>
      </c>
      <c r="DK147">
        <v>2.0857600000000001</v>
      </c>
      <c r="DL147">
        <v>1.7992600000000001</v>
      </c>
      <c r="DM147">
        <v>2.3973000000000001E-2</v>
      </c>
      <c r="DN147">
        <v>0</v>
      </c>
      <c r="DO147">
        <v>26.988199999999999</v>
      </c>
      <c r="DP147">
        <v>999.9</v>
      </c>
      <c r="DQ147">
        <v>76</v>
      </c>
      <c r="DR147">
        <v>30.2</v>
      </c>
      <c r="DS147">
        <v>32.661200000000001</v>
      </c>
      <c r="DT147">
        <v>30.7347</v>
      </c>
      <c r="DU147">
        <v>10.012</v>
      </c>
      <c r="DV147">
        <v>1</v>
      </c>
      <c r="DW147">
        <v>0.207959</v>
      </c>
      <c r="DX147">
        <v>-0.241956</v>
      </c>
      <c r="DY147">
        <v>20.3673</v>
      </c>
      <c r="DZ147">
        <v>5.2122599999999997</v>
      </c>
      <c r="EA147">
        <v>11.8482</v>
      </c>
      <c r="EB147">
        <v>4.9678000000000004</v>
      </c>
      <c r="EC147">
        <v>3.2921800000000001</v>
      </c>
      <c r="ED147">
        <v>894.7</v>
      </c>
      <c r="EE147">
        <v>0</v>
      </c>
      <c r="EF147">
        <v>7917.6</v>
      </c>
      <c r="EG147">
        <v>111</v>
      </c>
      <c r="EH147">
        <v>4.9716199999999997</v>
      </c>
      <c r="EI147">
        <v>1.8717999999999999</v>
      </c>
      <c r="EJ147">
        <v>1.8689899999999999</v>
      </c>
      <c r="EK147">
        <v>1.8714</v>
      </c>
      <c r="EL147">
        <v>1.86914</v>
      </c>
      <c r="EM147">
        <v>1.8681099999999999</v>
      </c>
      <c r="EN147">
        <v>1.86995</v>
      </c>
      <c r="EO147">
        <v>1.8716900000000001</v>
      </c>
      <c r="EP147">
        <v>0</v>
      </c>
      <c r="EQ147">
        <v>0</v>
      </c>
      <c r="ER147">
        <v>0</v>
      </c>
      <c r="ES147">
        <v>0</v>
      </c>
      <c r="ET147" t="s">
        <v>334</v>
      </c>
      <c r="EU147" t="s">
        <v>335</v>
      </c>
      <c r="EV147" t="s">
        <v>336</v>
      </c>
      <c r="EW147" t="s">
        <v>336</v>
      </c>
      <c r="EX147" t="s">
        <v>336</v>
      </c>
      <c r="EY147" t="s">
        <v>336</v>
      </c>
      <c r="EZ147">
        <v>0</v>
      </c>
      <c r="FA147">
        <v>100</v>
      </c>
      <c r="FB147">
        <v>100</v>
      </c>
      <c r="FC147">
        <v>8.0709999999999997</v>
      </c>
      <c r="FD147">
        <v>-0.98929999999999996</v>
      </c>
      <c r="FE147">
        <v>8.0763142857142896</v>
      </c>
      <c r="FF147">
        <v>0</v>
      </c>
      <c r="FG147">
        <v>0</v>
      </c>
      <c r="FH147">
        <v>0</v>
      </c>
      <c r="FI147">
        <v>-0.98927100000000023</v>
      </c>
      <c r="FJ147">
        <v>0</v>
      </c>
      <c r="FK147">
        <v>0</v>
      </c>
      <c r="FL147">
        <v>0</v>
      </c>
      <c r="FM147">
        <v>-1</v>
      </c>
      <c r="FN147">
        <v>-1</v>
      </c>
      <c r="FO147">
        <v>-1</v>
      </c>
      <c r="FP147">
        <v>-1</v>
      </c>
      <c r="FQ147">
        <v>0.8</v>
      </c>
      <c r="FR147">
        <v>131.19999999999999</v>
      </c>
      <c r="FS147">
        <v>0.142822</v>
      </c>
      <c r="FT147">
        <v>4.99756</v>
      </c>
      <c r="FU147">
        <v>1.5979000000000001</v>
      </c>
      <c r="FV147">
        <v>2.1520999999999999</v>
      </c>
      <c r="FW147">
        <v>1.5478499999999999</v>
      </c>
      <c r="FX147">
        <v>2.4401899999999999</v>
      </c>
      <c r="FY147">
        <v>34.5092</v>
      </c>
      <c r="FZ147">
        <v>15.716900000000001</v>
      </c>
      <c r="GA147">
        <v>3</v>
      </c>
      <c r="GB147">
        <v>497.13499999999999</v>
      </c>
      <c r="GC147">
        <v>405.4</v>
      </c>
      <c r="GD147">
        <v>27.952100000000002</v>
      </c>
      <c r="GE147">
        <v>29.851600000000001</v>
      </c>
      <c r="GF147">
        <v>30.0001</v>
      </c>
      <c r="GG147">
        <v>30.148900000000001</v>
      </c>
      <c r="GH147">
        <v>30.199300000000001</v>
      </c>
      <c r="GI147">
        <v>-1</v>
      </c>
      <c r="GJ147">
        <v>0</v>
      </c>
      <c r="GK147">
        <v>100</v>
      </c>
      <c r="GL147">
        <v>27.951499999999999</v>
      </c>
      <c r="GM147">
        <v>432.1</v>
      </c>
      <c r="GN147">
        <v>68.912800000000004</v>
      </c>
      <c r="GO147">
        <v>102.209</v>
      </c>
      <c r="GP147">
        <v>96.504900000000006</v>
      </c>
    </row>
    <row r="148" spans="1:198" x14ac:dyDescent="0.35">
      <c r="A148">
        <v>132</v>
      </c>
      <c r="B148">
        <v>1775488899.5</v>
      </c>
      <c r="C148">
        <v>7861</v>
      </c>
      <c r="D148" t="s">
        <v>727</v>
      </c>
      <c r="E148" t="s">
        <v>728</v>
      </c>
      <c r="F148">
        <v>60</v>
      </c>
      <c r="G148">
        <v>1775488891.75</v>
      </c>
      <c r="H148">
        <f t="shared" si="60"/>
        <v>2.1667388042837907E-3</v>
      </c>
      <c r="I148">
        <f t="shared" si="61"/>
        <v>2.1667388042837907</v>
      </c>
      <c r="J148">
        <f t="shared" si="62"/>
        <v>0.63298649583459976</v>
      </c>
      <c r="K148">
        <f t="shared" si="63"/>
        <v>31.075463333333321</v>
      </c>
      <c r="L148">
        <f t="shared" si="64"/>
        <v>12.167174063169099</v>
      </c>
      <c r="M148">
        <f t="shared" si="65"/>
        <v>1.2205953312383448</v>
      </c>
      <c r="N148">
        <f t="shared" si="66"/>
        <v>3.1174507131901357</v>
      </c>
      <c r="O148">
        <f t="shared" si="67"/>
        <v>5.8191035813989739E-2</v>
      </c>
      <c r="P148">
        <f t="shared" si="68"/>
        <v>2.3954313022018598</v>
      </c>
      <c r="Q148">
        <f t="shared" si="69"/>
        <v>5.7416973320307318E-2</v>
      </c>
      <c r="R148">
        <f t="shared" si="70"/>
        <v>3.5954296887694213E-2</v>
      </c>
      <c r="S148">
        <f t="shared" si="71"/>
        <v>0</v>
      </c>
      <c r="T148">
        <f t="shared" si="72"/>
        <v>26.622291549804309</v>
      </c>
      <c r="U148">
        <f t="shared" si="73"/>
        <v>27.37547666666666</v>
      </c>
      <c r="V148">
        <f t="shared" si="74"/>
        <v>3.6588535750593274</v>
      </c>
      <c r="W148">
        <f t="shared" si="75"/>
        <v>-1.6179297004848752</v>
      </c>
      <c r="X148">
        <f t="shared" si="76"/>
        <v>-5.893952538965827E-2</v>
      </c>
      <c r="Y148">
        <f t="shared" si="77"/>
        <v>3.6428977953736035</v>
      </c>
      <c r="Z148">
        <f t="shared" si="78"/>
        <v>3.7177931004489855</v>
      </c>
      <c r="AA148">
        <f t="shared" si="79"/>
        <v>-95.553181268915168</v>
      </c>
      <c r="AB148">
        <f t="shared" si="80"/>
        <v>-9.6340299303759309</v>
      </c>
      <c r="AC148">
        <f t="shared" si="81"/>
        <v>-0.87089762246627356</v>
      </c>
      <c r="AD148">
        <f t="shared" si="82"/>
        <v>-106.05810882175737</v>
      </c>
      <c r="AE148">
        <v>14</v>
      </c>
      <c r="AF148">
        <v>3</v>
      </c>
      <c r="AG148">
        <f t="shared" si="83"/>
        <v>1</v>
      </c>
      <c r="AH148">
        <f t="shared" si="84"/>
        <v>0</v>
      </c>
      <c r="AI148">
        <f t="shared" si="85"/>
        <v>25598.807915291967</v>
      </c>
      <c r="AJ148">
        <f t="shared" si="86"/>
        <v>0</v>
      </c>
      <c r="AK148">
        <f t="shared" si="87"/>
        <v>0</v>
      </c>
      <c r="AL148">
        <f t="shared" si="88"/>
        <v>0</v>
      </c>
      <c r="AM148">
        <f t="shared" si="89"/>
        <v>0</v>
      </c>
      <c r="AN148">
        <v>3</v>
      </c>
      <c r="AO148">
        <v>0.5</v>
      </c>
      <c r="AP148" t="s">
        <v>331</v>
      </c>
      <c r="AQ148">
        <v>2</v>
      </c>
      <c r="AR148">
        <v>1775488891.75</v>
      </c>
      <c r="AS148">
        <v>31.075463333333321</v>
      </c>
      <c r="AT148">
        <v>31.495643333333341</v>
      </c>
      <c r="AU148">
        <v>-0.58752269999999995</v>
      </c>
      <c r="AV148">
        <v>-1.8882946666666669</v>
      </c>
      <c r="AW148">
        <v>23.038463333333329</v>
      </c>
      <c r="AX148">
        <v>0.4017483</v>
      </c>
      <c r="AY148">
        <v>500.01350000000002</v>
      </c>
      <c r="AZ148">
        <v>100.27726666666661</v>
      </c>
      <c r="BA148">
        <v>4.1453596666666682E-2</v>
      </c>
      <c r="BB148">
        <v>27.300876666666671</v>
      </c>
      <c r="BC148">
        <v>27.37547666666666</v>
      </c>
      <c r="BD148">
        <v>999.9000000000002</v>
      </c>
      <c r="BE148">
        <v>0</v>
      </c>
      <c r="BF148">
        <v>0</v>
      </c>
      <c r="BG148">
        <v>5005.2</v>
      </c>
      <c r="BH148">
        <v>0.35983913333333328</v>
      </c>
      <c r="BI148">
        <v>0.23344266666666669</v>
      </c>
      <c r="BJ148">
        <v>-0.38578656666666672</v>
      </c>
      <c r="BK148">
        <v>31.091603333333332</v>
      </c>
      <c r="BL148">
        <v>31.436283333333328</v>
      </c>
      <c r="BM148">
        <v>1.300772</v>
      </c>
      <c r="BN148">
        <v>31.495643333333341</v>
      </c>
      <c r="BO148">
        <v>-1.8882946666666669</v>
      </c>
      <c r="BP148">
        <v>-5.8915153333333338E-2</v>
      </c>
      <c r="BQ148">
        <v>-0.18935296666666671</v>
      </c>
      <c r="BR148">
        <v>-99.900000000000034</v>
      </c>
      <c r="BS148">
        <v>-99.900000000000034</v>
      </c>
      <c r="BT148">
        <v>0</v>
      </c>
      <c r="BU148">
        <v>0</v>
      </c>
      <c r="BV148">
        <v>0</v>
      </c>
      <c r="BW148">
        <v>25.904440000000001</v>
      </c>
      <c r="BX148">
        <v>-1</v>
      </c>
      <c r="BY148">
        <v>1775488918</v>
      </c>
      <c r="BZ148" t="s">
        <v>729</v>
      </c>
      <c r="CA148">
        <v>1775488918</v>
      </c>
      <c r="CB148">
        <v>1775480969.5</v>
      </c>
      <c r="CC148">
        <v>133</v>
      </c>
      <c r="CD148">
        <v>-3.4000000000000002E-2</v>
      </c>
      <c r="CE148">
        <v>0.19500000000000001</v>
      </c>
      <c r="CF148">
        <v>8.0370000000000008</v>
      </c>
      <c r="CG148">
        <v>-0.98899999999999999</v>
      </c>
      <c r="CH148">
        <v>33</v>
      </c>
      <c r="CI148">
        <v>-3</v>
      </c>
      <c r="CJ148">
        <v>0.23</v>
      </c>
      <c r="CK148">
        <v>0.06</v>
      </c>
      <c r="CL148">
        <v>31.51169180327868</v>
      </c>
      <c r="CM148">
        <v>-0.38601099947117029</v>
      </c>
      <c r="CN148">
        <v>0.22850792381072721</v>
      </c>
      <c r="CO148">
        <v>-1</v>
      </c>
      <c r="CP148">
        <v>499.99791803278691</v>
      </c>
      <c r="CQ148">
        <v>5.9644632469965611E-2</v>
      </c>
      <c r="CR148">
        <v>4.5954109355114403E-2</v>
      </c>
      <c r="CS148">
        <v>-1</v>
      </c>
      <c r="CT148">
        <v>0</v>
      </c>
      <c r="CU148">
        <v>0</v>
      </c>
      <c r="CV148" t="s">
        <v>333</v>
      </c>
      <c r="CW148">
        <v>3.1675399999999998</v>
      </c>
      <c r="CX148">
        <v>2.6626599999999998</v>
      </c>
      <c r="CY148">
        <v>6.8966100000000001E-3</v>
      </c>
      <c r="CZ148">
        <v>9.5060500000000003E-3</v>
      </c>
      <c r="DA148">
        <v>3.2478400000000001E-3</v>
      </c>
      <c r="DB148">
        <v>-1.73869E-2</v>
      </c>
      <c r="DC148">
        <v>21426.5</v>
      </c>
      <c r="DD148">
        <v>21754.2</v>
      </c>
      <c r="DE148">
        <v>23102.799999999999</v>
      </c>
      <c r="DF148">
        <v>22315.9</v>
      </c>
      <c r="DG148">
        <v>29697.200000000001</v>
      </c>
      <c r="DH148">
        <v>27076.7</v>
      </c>
      <c r="DI148">
        <v>40605.5</v>
      </c>
      <c r="DJ148">
        <v>36984.6</v>
      </c>
      <c r="DK148">
        <v>2.0860799999999999</v>
      </c>
      <c r="DL148">
        <v>1.7997399999999999</v>
      </c>
      <c r="DM148">
        <v>2.4056399999999999E-2</v>
      </c>
      <c r="DN148">
        <v>0</v>
      </c>
      <c r="DO148">
        <v>26.988199999999999</v>
      </c>
      <c r="DP148">
        <v>999.9</v>
      </c>
      <c r="DQ148">
        <v>76</v>
      </c>
      <c r="DR148">
        <v>30.2</v>
      </c>
      <c r="DS148">
        <v>32.6629</v>
      </c>
      <c r="DT148">
        <v>30.494700000000002</v>
      </c>
      <c r="DU148">
        <v>9.9759600000000006</v>
      </c>
      <c r="DV148">
        <v>1</v>
      </c>
      <c r="DW148">
        <v>0.20808699999999999</v>
      </c>
      <c r="DX148">
        <v>-0.207922</v>
      </c>
      <c r="DY148">
        <v>20.367699999999999</v>
      </c>
      <c r="DZ148">
        <v>5.2112999999999996</v>
      </c>
      <c r="EA148">
        <v>11.8482</v>
      </c>
      <c r="EB148">
        <v>4.9677600000000002</v>
      </c>
      <c r="EC148">
        <v>3.29216</v>
      </c>
      <c r="ED148">
        <v>894.7</v>
      </c>
      <c r="EE148">
        <v>0</v>
      </c>
      <c r="EF148">
        <v>7950.6</v>
      </c>
      <c r="EG148">
        <v>111</v>
      </c>
      <c r="EH148">
        <v>4.9715999999999996</v>
      </c>
      <c r="EI148">
        <v>1.8717999999999999</v>
      </c>
      <c r="EJ148">
        <v>1.86903</v>
      </c>
      <c r="EK148">
        <v>1.8714599999999999</v>
      </c>
      <c r="EL148">
        <v>1.86917</v>
      </c>
      <c r="EM148">
        <v>1.8681099999999999</v>
      </c>
      <c r="EN148">
        <v>1.86995</v>
      </c>
      <c r="EO148">
        <v>1.87174</v>
      </c>
      <c r="EP148">
        <v>0</v>
      </c>
      <c r="EQ148">
        <v>0</v>
      </c>
      <c r="ER148">
        <v>0</v>
      </c>
      <c r="ES148">
        <v>0</v>
      </c>
      <c r="ET148" t="s">
        <v>334</v>
      </c>
      <c r="EU148" t="s">
        <v>335</v>
      </c>
      <c r="EV148" t="s">
        <v>336</v>
      </c>
      <c r="EW148" t="s">
        <v>336</v>
      </c>
      <c r="EX148" t="s">
        <v>336</v>
      </c>
      <c r="EY148" t="s">
        <v>336</v>
      </c>
      <c r="EZ148">
        <v>0</v>
      </c>
      <c r="FA148">
        <v>100</v>
      </c>
      <c r="FB148">
        <v>100</v>
      </c>
      <c r="FC148">
        <v>8.0370000000000008</v>
      </c>
      <c r="FD148">
        <v>-0.98929999999999996</v>
      </c>
      <c r="FE148">
        <v>8.0714000000000077</v>
      </c>
      <c r="FF148">
        <v>0</v>
      </c>
      <c r="FG148">
        <v>0</v>
      </c>
      <c r="FH148">
        <v>0</v>
      </c>
      <c r="FI148">
        <v>-0.98927100000000023</v>
      </c>
      <c r="FJ148">
        <v>0</v>
      </c>
      <c r="FK148">
        <v>0</v>
      </c>
      <c r="FL148">
        <v>0</v>
      </c>
      <c r="FM148">
        <v>-1</v>
      </c>
      <c r="FN148">
        <v>-1</v>
      </c>
      <c r="FO148">
        <v>-1</v>
      </c>
      <c r="FP148">
        <v>-1</v>
      </c>
      <c r="FQ148">
        <v>0.7</v>
      </c>
      <c r="FR148">
        <v>132.19999999999999</v>
      </c>
      <c r="FS148">
        <v>0.142822</v>
      </c>
      <c r="FT148">
        <v>4.99756</v>
      </c>
      <c r="FU148">
        <v>1.5979000000000001</v>
      </c>
      <c r="FV148">
        <v>2.1533199999999999</v>
      </c>
      <c r="FW148">
        <v>1.5478499999999999</v>
      </c>
      <c r="FX148">
        <v>2.4633799999999999</v>
      </c>
      <c r="FY148">
        <v>34.5092</v>
      </c>
      <c r="FZ148">
        <v>15.7081</v>
      </c>
      <c r="GA148">
        <v>3</v>
      </c>
      <c r="GB148">
        <v>497.32100000000003</v>
      </c>
      <c r="GC148">
        <v>405.67500000000001</v>
      </c>
      <c r="GD148">
        <v>27.921500000000002</v>
      </c>
      <c r="GE148">
        <v>29.851600000000001</v>
      </c>
      <c r="GF148">
        <v>30.0001</v>
      </c>
      <c r="GG148">
        <v>30.148900000000001</v>
      </c>
      <c r="GH148">
        <v>30.199300000000001</v>
      </c>
      <c r="GI148">
        <v>-1</v>
      </c>
      <c r="GJ148">
        <v>0</v>
      </c>
      <c r="GK148">
        <v>100</v>
      </c>
      <c r="GL148">
        <v>27.9208</v>
      </c>
      <c r="GM148">
        <v>432.1</v>
      </c>
      <c r="GN148">
        <v>68.912800000000004</v>
      </c>
      <c r="GO148">
        <v>102.20699999999999</v>
      </c>
      <c r="GP148">
        <v>96.505200000000002</v>
      </c>
    </row>
    <row r="149" spans="1:198" x14ac:dyDescent="0.35">
      <c r="A149">
        <v>133</v>
      </c>
      <c r="B149">
        <v>1775488959.5</v>
      </c>
      <c r="C149">
        <v>7921</v>
      </c>
      <c r="D149" t="s">
        <v>730</v>
      </c>
      <c r="E149" t="s">
        <v>731</v>
      </c>
      <c r="F149">
        <v>60</v>
      </c>
      <c r="G149">
        <v>1775488951.75</v>
      </c>
      <c r="H149">
        <f t="shared" si="60"/>
        <v>2.1731154892547771E-3</v>
      </c>
      <c r="I149">
        <f t="shared" si="61"/>
        <v>2.1731154892547773</v>
      </c>
      <c r="J149">
        <f t="shared" si="62"/>
        <v>-0.1009970014035167</v>
      </c>
      <c r="K149">
        <f t="shared" si="63"/>
        <v>31.297256666666659</v>
      </c>
      <c r="L149">
        <f t="shared" si="64"/>
        <v>32.184855905900733</v>
      </c>
      <c r="M149">
        <f t="shared" si="65"/>
        <v>3.2287258968311594</v>
      </c>
      <c r="N149">
        <f t="shared" si="66"/>
        <v>3.1396835640613152</v>
      </c>
      <c r="O149">
        <f t="shared" si="67"/>
        <v>5.8388962326196468E-2</v>
      </c>
      <c r="P149">
        <f t="shared" si="68"/>
        <v>2.3935317451333122</v>
      </c>
      <c r="Q149">
        <f t="shared" si="69"/>
        <v>5.7609053670931623E-2</v>
      </c>
      <c r="R149">
        <f t="shared" si="70"/>
        <v>3.6074862310738927E-2</v>
      </c>
      <c r="S149">
        <f t="shared" si="71"/>
        <v>0</v>
      </c>
      <c r="T149">
        <f t="shared" si="72"/>
        <v>26.6170676131417</v>
      </c>
      <c r="U149">
        <f t="shared" si="73"/>
        <v>27.375003333333328</v>
      </c>
      <c r="V149">
        <f t="shared" si="74"/>
        <v>3.6587521444663116</v>
      </c>
      <c r="W149">
        <f t="shared" si="75"/>
        <v>-1.5787803695852003</v>
      </c>
      <c r="X149">
        <f t="shared" si="76"/>
        <v>-5.7504154921410554E-2</v>
      </c>
      <c r="Y149">
        <f t="shared" si="77"/>
        <v>3.6423150445250889</v>
      </c>
      <c r="Z149">
        <f t="shared" si="78"/>
        <v>3.7162562993877222</v>
      </c>
      <c r="AA149">
        <f t="shared" si="79"/>
        <v>-95.834393076135669</v>
      </c>
      <c r="AB149">
        <f t="shared" si="80"/>
        <v>-9.9175906798658637</v>
      </c>
      <c r="AC149">
        <f t="shared" si="81"/>
        <v>-0.89722811639158884</v>
      </c>
      <c r="AD149">
        <f t="shared" si="82"/>
        <v>-106.64921187239312</v>
      </c>
      <c r="AE149">
        <v>14</v>
      </c>
      <c r="AF149">
        <v>3</v>
      </c>
      <c r="AG149">
        <f t="shared" si="83"/>
        <v>1</v>
      </c>
      <c r="AH149">
        <f t="shared" si="84"/>
        <v>0</v>
      </c>
      <c r="AI149">
        <f t="shared" si="85"/>
        <v>25570.18286895116</v>
      </c>
      <c r="AJ149">
        <f t="shared" si="86"/>
        <v>0</v>
      </c>
      <c r="AK149">
        <f t="shared" si="87"/>
        <v>0</v>
      </c>
      <c r="AL149">
        <f t="shared" si="88"/>
        <v>0</v>
      </c>
      <c r="AM149">
        <f t="shared" si="89"/>
        <v>0</v>
      </c>
      <c r="AN149">
        <v>3</v>
      </c>
      <c r="AO149">
        <v>0.5</v>
      </c>
      <c r="AP149" t="s">
        <v>331</v>
      </c>
      <c r="AQ149">
        <v>2</v>
      </c>
      <c r="AR149">
        <v>1775488951.75</v>
      </c>
      <c r="AS149">
        <v>31.297256666666659</v>
      </c>
      <c r="AT149">
        <v>31.277466666666658</v>
      </c>
      <c r="AU149">
        <v>-0.57321773333333337</v>
      </c>
      <c r="AV149">
        <v>-1.877790333333333</v>
      </c>
      <c r="AW149">
        <v>23.25725666666666</v>
      </c>
      <c r="AX149">
        <v>0.41605323333333338</v>
      </c>
      <c r="AY149">
        <v>500.01690000000002</v>
      </c>
      <c r="AZ149">
        <v>100.2765333333333</v>
      </c>
      <c r="BA149">
        <v>4.163824E-2</v>
      </c>
      <c r="BB149">
        <v>27.298146666666661</v>
      </c>
      <c r="BC149">
        <v>27.375003333333328</v>
      </c>
      <c r="BD149">
        <v>999.9000000000002</v>
      </c>
      <c r="BE149">
        <v>0</v>
      </c>
      <c r="BF149">
        <v>0</v>
      </c>
      <c r="BG149">
        <v>5000.3500000000004</v>
      </c>
      <c r="BH149">
        <v>0.37745383333333332</v>
      </c>
      <c r="BI149">
        <v>0.23344266666666669</v>
      </c>
      <c r="BJ149">
        <v>1.728209666666668E-2</v>
      </c>
      <c r="BK149">
        <v>31.276816666666669</v>
      </c>
      <c r="BL149">
        <v>31.21883333333334</v>
      </c>
      <c r="BM149">
        <v>1.304572333333333</v>
      </c>
      <c r="BN149">
        <v>31.277466666666658</v>
      </c>
      <c r="BO149">
        <v>-1.877790333333333</v>
      </c>
      <c r="BP149">
        <v>-5.7480260000000012E-2</v>
      </c>
      <c r="BQ149">
        <v>-0.1882981666666666</v>
      </c>
      <c r="BR149">
        <v>-99.900000000000034</v>
      </c>
      <c r="BS149">
        <v>-99.900000000000034</v>
      </c>
      <c r="BT149">
        <v>0</v>
      </c>
      <c r="BU149">
        <v>0</v>
      </c>
      <c r="BV149">
        <v>0</v>
      </c>
      <c r="BW149">
        <v>25.898883333333341</v>
      </c>
      <c r="BX149">
        <v>-1</v>
      </c>
      <c r="BY149">
        <v>1775488973.5</v>
      </c>
      <c r="BZ149" t="s">
        <v>732</v>
      </c>
      <c r="CA149">
        <v>1775488973.5</v>
      </c>
      <c r="CB149">
        <v>1775480969.5</v>
      </c>
      <c r="CC149">
        <v>134</v>
      </c>
      <c r="CD149">
        <v>2E-3</v>
      </c>
      <c r="CE149">
        <v>0.19500000000000001</v>
      </c>
      <c r="CF149">
        <v>8.0399999999999991</v>
      </c>
      <c r="CG149">
        <v>-0.98899999999999999</v>
      </c>
      <c r="CH149">
        <v>31</v>
      </c>
      <c r="CI149">
        <v>-3</v>
      </c>
      <c r="CJ149">
        <v>0.24</v>
      </c>
      <c r="CK149">
        <v>0.06</v>
      </c>
      <c r="CL149">
        <v>31.792701639344259</v>
      </c>
      <c r="CM149">
        <v>-3.0279496562664612</v>
      </c>
      <c r="CN149">
        <v>0.59284199274171556</v>
      </c>
      <c r="CO149">
        <v>-1</v>
      </c>
      <c r="CP149">
        <v>500.00111475409841</v>
      </c>
      <c r="CQ149">
        <v>9.0390269698088097E-2</v>
      </c>
      <c r="CR149">
        <v>4.7977829019234031E-2</v>
      </c>
      <c r="CS149">
        <v>-1</v>
      </c>
      <c r="CT149">
        <v>0</v>
      </c>
      <c r="CU149">
        <v>0</v>
      </c>
      <c r="CV149" t="s">
        <v>333</v>
      </c>
      <c r="CW149">
        <v>3.1674199999999999</v>
      </c>
      <c r="CX149">
        <v>2.6630799999999999</v>
      </c>
      <c r="CY149">
        <v>6.8541699999999997E-3</v>
      </c>
      <c r="CZ149">
        <v>9.4561799999999998E-3</v>
      </c>
      <c r="DA149">
        <v>3.3574899999999999E-3</v>
      </c>
      <c r="DB149">
        <v>-1.7316000000000002E-2</v>
      </c>
      <c r="DC149">
        <v>21427</v>
      </c>
      <c r="DD149">
        <v>21754.5</v>
      </c>
      <c r="DE149">
        <v>23102.5</v>
      </c>
      <c r="DF149">
        <v>22315</v>
      </c>
      <c r="DG149">
        <v>29693.5</v>
      </c>
      <c r="DH149">
        <v>27073.8</v>
      </c>
      <c r="DI149">
        <v>40604.800000000003</v>
      </c>
      <c r="DJ149">
        <v>36983.1</v>
      </c>
      <c r="DK149">
        <v>2.0855199999999998</v>
      </c>
      <c r="DL149">
        <v>1.7999000000000001</v>
      </c>
      <c r="DM149">
        <v>2.3794200000000001E-2</v>
      </c>
      <c r="DN149">
        <v>0</v>
      </c>
      <c r="DO149">
        <v>26.985900000000001</v>
      </c>
      <c r="DP149">
        <v>999.9</v>
      </c>
      <c r="DQ149">
        <v>76</v>
      </c>
      <c r="DR149">
        <v>30.2</v>
      </c>
      <c r="DS149">
        <v>32.664200000000001</v>
      </c>
      <c r="DT149">
        <v>30.614699999999999</v>
      </c>
      <c r="DU149">
        <v>9.9519199999999994</v>
      </c>
      <c r="DV149">
        <v>1</v>
      </c>
      <c r="DW149">
        <v>0.20814199999999999</v>
      </c>
      <c r="DX149">
        <v>-0.23388700000000001</v>
      </c>
      <c r="DY149">
        <v>20.367599999999999</v>
      </c>
      <c r="DZ149">
        <v>5.2115400000000003</v>
      </c>
      <c r="EA149">
        <v>11.8482</v>
      </c>
      <c r="EB149">
        <v>4.9677600000000002</v>
      </c>
      <c r="EC149">
        <v>3.2921</v>
      </c>
      <c r="ED149">
        <v>894.7</v>
      </c>
      <c r="EE149">
        <v>0</v>
      </c>
      <c r="EF149">
        <v>7983.1</v>
      </c>
      <c r="EG149">
        <v>111</v>
      </c>
      <c r="EH149">
        <v>4.9716199999999997</v>
      </c>
      <c r="EI149">
        <v>1.8717999999999999</v>
      </c>
      <c r="EJ149">
        <v>1.8690100000000001</v>
      </c>
      <c r="EK149">
        <v>1.8714299999999999</v>
      </c>
      <c r="EL149">
        <v>1.8691800000000001</v>
      </c>
      <c r="EM149">
        <v>1.86808</v>
      </c>
      <c r="EN149">
        <v>1.86995</v>
      </c>
      <c r="EO149">
        <v>1.8717299999999999</v>
      </c>
      <c r="EP149">
        <v>0</v>
      </c>
      <c r="EQ149">
        <v>0</v>
      </c>
      <c r="ER149">
        <v>0</v>
      </c>
      <c r="ES149">
        <v>0</v>
      </c>
      <c r="ET149" t="s">
        <v>334</v>
      </c>
      <c r="EU149" t="s">
        <v>335</v>
      </c>
      <c r="EV149" t="s">
        <v>336</v>
      </c>
      <c r="EW149" t="s">
        <v>336</v>
      </c>
      <c r="EX149" t="s">
        <v>336</v>
      </c>
      <c r="EY149" t="s">
        <v>336</v>
      </c>
      <c r="EZ149">
        <v>0</v>
      </c>
      <c r="FA149">
        <v>100</v>
      </c>
      <c r="FB149">
        <v>100</v>
      </c>
      <c r="FC149">
        <v>8.0399999999999991</v>
      </c>
      <c r="FD149">
        <v>-0.98929999999999996</v>
      </c>
      <c r="FE149">
        <v>8.0374857142857117</v>
      </c>
      <c r="FF149">
        <v>0</v>
      </c>
      <c r="FG149">
        <v>0</v>
      </c>
      <c r="FH149">
        <v>0</v>
      </c>
      <c r="FI149">
        <v>-0.98927100000000023</v>
      </c>
      <c r="FJ149">
        <v>0</v>
      </c>
      <c r="FK149">
        <v>0</v>
      </c>
      <c r="FL149">
        <v>0</v>
      </c>
      <c r="FM149">
        <v>-1</v>
      </c>
      <c r="FN149">
        <v>-1</v>
      </c>
      <c r="FO149">
        <v>-1</v>
      </c>
      <c r="FP149">
        <v>-1</v>
      </c>
      <c r="FQ149">
        <v>0.7</v>
      </c>
      <c r="FR149">
        <v>133.19999999999999</v>
      </c>
      <c r="FS149">
        <v>0.142822</v>
      </c>
      <c r="FT149">
        <v>4.99756</v>
      </c>
      <c r="FU149">
        <v>1.5979000000000001</v>
      </c>
      <c r="FV149">
        <v>2.1533199999999999</v>
      </c>
      <c r="FW149">
        <v>1.5478499999999999</v>
      </c>
      <c r="FX149">
        <v>2.4584999999999999</v>
      </c>
      <c r="FY149">
        <v>34.5092</v>
      </c>
      <c r="FZ149">
        <v>15.699299999999999</v>
      </c>
      <c r="GA149">
        <v>3</v>
      </c>
      <c r="GB149">
        <v>496.99599999999998</v>
      </c>
      <c r="GC149">
        <v>405.767</v>
      </c>
      <c r="GD149">
        <v>27.946300000000001</v>
      </c>
      <c r="GE149">
        <v>29.851600000000001</v>
      </c>
      <c r="GF149">
        <v>30.0001</v>
      </c>
      <c r="GG149">
        <v>30.148900000000001</v>
      </c>
      <c r="GH149">
        <v>30.199300000000001</v>
      </c>
      <c r="GI149">
        <v>-1</v>
      </c>
      <c r="GJ149">
        <v>0</v>
      </c>
      <c r="GK149">
        <v>100</v>
      </c>
      <c r="GL149">
        <v>27.9482</v>
      </c>
      <c r="GM149">
        <v>432.1</v>
      </c>
      <c r="GN149">
        <v>68.912800000000004</v>
      </c>
      <c r="GO149">
        <v>102.206</v>
      </c>
      <c r="GP149">
        <v>96.501300000000001</v>
      </c>
    </row>
    <row r="150" spans="1:198" x14ac:dyDescent="0.35">
      <c r="A150">
        <v>134</v>
      </c>
      <c r="B150">
        <v>1775489019.5</v>
      </c>
      <c r="C150">
        <v>7981</v>
      </c>
      <c r="D150" t="s">
        <v>733</v>
      </c>
      <c r="E150" t="s">
        <v>734</v>
      </c>
      <c r="F150">
        <v>60</v>
      </c>
      <c r="G150">
        <v>1775489011.5</v>
      </c>
      <c r="H150">
        <f t="shared" si="60"/>
        <v>2.1749096946133356E-3</v>
      </c>
      <c r="I150">
        <f t="shared" si="61"/>
        <v>2.1749096946133357</v>
      </c>
      <c r="J150">
        <f t="shared" si="62"/>
        <v>0.73231231494631466</v>
      </c>
      <c r="K150">
        <f t="shared" si="63"/>
        <v>31.185541935483869</v>
      </c>
      <c r="L150">
        <f t="shared" si="64"/>
        <v>9.6735369199672103</v>
      </c>
      <c r="M150">
        <f t="shared" si="65"/>
        <v>0.97041937679945312</v>
      </c>
      <c r="N150">
        <f t="shared" si="66"/>
        <v>3.1284373461912676</v>
      </c>
      <c r="O150">
        <f t="shared" si="67"/>
        <v>5.8442338589815061E-2</v>
      </c>
      <c r="P150">
        <f t="shared" si="68"/>
        <v>2.3937496822146329</v>
      </c>
      <c r="Q150">
        <f t="shared" si="69"/>
        <v>5.7661083774396132E-2</v>
      </c>
      <c r="R150">
        <f t="shared" si="70"/>
        <v>3.6107499870137283E-2</v>
      </c>
      <c r="S150">
        <f t="shared" si="71"/>
        <v>0</v>
      </c>
      <c r="T150">
        <f t="shared" si="72"/>
        <v>26.618552142145763</v>
      </c>
      <c r="U150">
        <f t="shared" si="73"/>
        <v>27.37642903225807</v>
      </c>
      <c r="V150">
        <f t="shared" si="74"/>
        <v>3.6590576649042359</v>
      </c>
      <c r="W150">
        <f t="shared" si="75"/>
        <v>-1.5605069496451502</v>
      </c>
      <c r="X150">
        <f t="shared" si="76"/>
        <v>-5.6845204195332809E-2</v>
      </c>
      <c r="Y150">
        <f t="shared" si="77"/>
        <v>3.6427395730764967</v>
      </c>
      <c r="Z150">
        <f t="shared" si="78"/>
        <v>3.7159028690995686</v>
      </c>
      <c r="AA150">
        <f t="shared" si="79"/>
        <v>-95.913517532448097</v>
      </c>
      <c r="AB150">
        <f t="shared" si="80"/>
        <v>-9.84582225532602</v>
      </c>
      <c r="AC150">
        <f t="shared" si="81"/>
        <v>-0.8906694373584223</v>
      </c>
      <c r="AD150">
        <f t="shared" si="82"/>
        <v>-106.65000922513255</v>
      </c>
      <c r="AE150">
        <v>14</v>
      </c>
      <c r="AF150">
        <v>3</v>
      </c>
      <c r="AG150">
        <f t="shared" si="83"/>
        <v>1</v>
      </c>
      <c r="AH150">
        <f t="shared" si="84"/>
        <v>0</v>
      </c>
      <c r="AI150">
        <f t="shared" si="85"/>
        <v>25573.373170145176</v>
      </c>
      <c r="AJ150">
        <f t="shared" si="86"/>
        <v>0</v>
      </c>
      <c r="AK150">
        <f t="shared" si="87"/>
        <v>0</v>
      </c>
      <c r="AL150">
        <f t="shared" si="88"/>
        <v>0</v>
      </c>
      <c r="AM150">
        <f t="shared" si="89"/>
        <v>0</v>
      </c>
      <c r="AN150">
        <v>3</v>
      </c>
      <c r="AO150">
        <v>0.5</v>
      </c>
      <c r="AP150" t="s">
        <v>331</v>
      </c>
      <c r="AQ150">
        <v>2</v>
      </c>
      <c r="AR150">
        <v>1775489011.5</v>
      </c>
      <c r="AS150">
        <v>31.185541935483869</v>
      </c>
      <c r="AT150">
        <v>31.665635483870961</v>
      </c>
      <c r="AU150">
        <v>-0.56665622580645159</v>
      </c>
      <c r="AV150">
        <v>-1.87237064516129</v>
      </c>
      <c r="AW150">
        <v>23.136541935483869</v>
      </c>
      <c r="AX150">
        <v>0.42261477419354843</v>
      </c>
      <c r="AY150">
        <v>499.98883870967751</v>
      </c>
      <c r="AZ150">
        <v>100.2753870967742</v>
      </c>
      <c r="BA150">
        <v>4.1527474193548387E-2</v>
      </c>
      <c r="BB150">
        <v>27.30013548387096</v>
      </c>
      <c r="BC150">
        <v>27.37642903225807</v>
      </c>
      <c r="BD150">
        <v>999.90000000000032</v>
      </c>
      <c r="BE150">
        <v>0</v>
      </c>
      <c r="BF150">
        <v>0</v>
      </c>
      <c r="BG150">
        <v>5000.9677419354839</v>
      </c>
      <c r="BH150">
        <v>0.37556716129032258</v>
      </c>
      <c r="BI150">
        <v>0.23331922580645159</v>
      </c>
      <c r="BJ150">
        <v>-0.48924216129032261</v>
      </c>
      <c r="BK150">
        <v>31.15873548387097</v>
      </c>
      <c r="BL150">
        <v>31.606445161290331</v>
      </c>
      <c r="BM150">
        <v>1.3057148387096771</v>
      </c>
      <c r="BN150">
        <v>31.665635483870961</v>
      </c>
      <c r="BO150">
        <v>-1.87237064516129</v>
      </c>
      <c r="BP150">
        <v>-5.6821729032258073E-2</v>
      </c>
      <c r="BQ150">
        <v>-0.18775290322580651</v>
      </c>
      <c r="BR150">
        <v>-99.900000000000034</v>
      </c>
      <c r="BS150">
        <v>-99.900000000000034</v>
      </c>
      <c r="BT150">
        <v>0</v>
      </c>
      <c r="BU150">
        <v>0</v>
      </c>
      <c r="BV150">
        <v>0</v>
      </c>
      <c r="BW150">
        <v>25.973119354838701</v>
      </c>
      <c r="BX150">
        <v>-1</v>
      </c>
      <c r="BY150">
        <v>1775489035.5</v>
      </c>
      <c r="BZ150" t="s">
        <v>735</v>
      </c>
      <c r="CA150">
        <v>1775489035.5</v>
      </c>
      <c r="CB150">
        <v>1775480969.5</v>
      </c>
      <c r="CC150">
        <v>135</v>
      </c>
      <c r="CD150">
        <v>0.01</v>
      </c>
      <c r="CE150">
        <v>0.19500000000000001</v>
      </c>
      <c r="CF150">
        <v>8.0489999999999995</v>
      </c>
      <c r="CG150">
        <v>-0.98899999999999999</v>
      </c>
      <c r="CH150">
        <v>32</v>
      </c>
      <c r="CI150">
        <v>-3</v>
      </c>
      <c r="CJ150">
        <v>0.22</v>
      </c>
      <c r="CK150">
        <v>0.06</v>
      </c>
      <c r="CL150">
        <v>31.69160333333333</v>
      </c>
      <c r="CM150">
        <v>-0.21105595998883689</v>
      </c>
      <c r="CN150">
        <v>0.18001249953514051</v>
      </c>
      <c r="CO150">
        <v>-1</v>
      </c>
      <c r="CP150">
        <v>499.9978666666666</v>
      </c>
      <c r="CQ150">
        <v>-0.10264851347486099</v>
      </c>
      <c r="CR150">
        <v>4.1869028595796082E-2</v>
      </c>
      <c r="CS150">
        <v>-1</v>
      </c>
      <c r="CT150">
        <v>0</v>
      </c>
      <c r="CU150">
        <v>0</v>
      </c>
      <c r="CV150" t="s">
        <v>333</v>
      </c>
      <c r="CW150">
        <v>3.1675399999999998</v>
      </c>
      <c r="CX150">
        <v>2.6627999999999998</v>
      </c>
      <c r="CY150">
        <v>6.9156900000000004E-3</v>
      </c>
      <c r="CZ150">
        <v>9.4448099999999997E-3</v>
      </c>
      <c r="DA150">
        <v>3.38419E-3</v>
      </c>
      <c r="DB150">
        <v>-1.7313499999999999E-2</v>
      </c>
      <c r="DC150">
        <v>21425.9</v>
      </c>
      <c r="DD150">
        <v>21754.6</v>
      </c>
      <c r="DE150">
        <v>23102.7</v>
      </c>
      <c r="DF150">
        <v>22314.9</v>
      </c>
      <c r="DG150">
        <v>29693</v>
      </c>
      <c r="DH150">
        <v>27073.599999999999</v>
      </c>
      <c r="DI150">
        <v>40605.199999999997</v>
      </c>
      <c r="DJ150">
        <v>36983</v>
      </c>
      <c r="DK150">
        <v>2.0857199999999998</v>
      </c>
      <c r="DL150">
        <v>1.7991600000000001</v>
      </c>
      <c r="DM150">
        <v>2.3737500000000002E-2</v>
      </c>
      <c r="DN150">
        <v>0</v>
      </c>
      <c r="DO150">
        <v>26.990500000000001</v>
      </c>
      <c r="DP150">
        <v>999.9</v>
      </c>
      <c r="DQ150">
        <v>76</v>
      </c>
      <c r="DR150">
        <v>30.2</v>
      </c>
      <c r="DS150">
        <v>32.663499999999999</v>
      </c>
      <c r="DT150">
        <v>30.614699999999999</v>
      </c>
      <c r="DU150">
        <v>9.8317300000000003</v>
      </c>
      <c r="DV150">
        <v>1</v>
      </c>
      <c r="DW150">
        <v>0.20838200000000001</v>
      </c>
      <c r="DX150">
        <v>-0.22465099999999999</v>
      </c>
      <c r="DY150">
        <v>20.3675</v>
      </c>
      <c r="DZ150">
        <v>5.2114200000000004</v>
      </c>
      <c r="EA150">
        <v>11.848599999999999</v>
      </c>
      <c r="EB150">
        <v>4.9676</v>
      </c>
      <c r="EC150">
        <v>3.2921200000000002</v>
      </c>
      <c r="ED150">
        <v>894.7</v>
      </c>
      <c r="EE150">
        <v>0</v>
      </c>
      <c r="EF150">
        <v>8011</v>
      </c>
      <c r="EG150">
        <v>111</v>
      </c>
      <c r="EH150">
        <v>4.9716100000000001</v>
      </c>
      <c r="EI150">
        <v>1.8717999999999999</v>
      </c>
      <c r="EJ150">
        <v>1.86903</v>
      </c>
      <c r="EK150">
        <v>1.87144</v>
      </c>
      <c r="EL150">
        <v>1.8691899999999999</v>
      </c>
      <c r="EM150">
        <v>1.86809</v>
      </c>
      <c r="EN150">
        <v>1.8699600000000001</v>
      </c>
      <c r="EO150">
        <v>1.87174</v>
      </c>
      <c r="EP150">
        <v>0</v>
      </c>
      <c r="EQ150">
        <v>0</v>
      </c>
      <c r="ER150">
        <v>0</v>
      </c>
      <c r="ES150">
        <v>0</v>
      </c>
      <c r="ET150" t="s">
        <v>334</v>
      </c>
      <c r="EU150" t="s">
        <v>335</v>
      </c>
      <c r="EV150" t="s">
        <v>336</v>
      </c>
      <c r="EW150" t="s">
        <v>336</v>
      </c>
      <c r="EX150" t="s">
        <v>336</v>
      </c>
      <c r="EY150" t="s">
        <v>336</v>
      </c>
      <c r="EZ150">
        <v>0</v>
      </c>
      <c r="FA150">
        <v>100</v>
      </c>
      <c r="FB150">
        <v>100</v>
      </c>
      <c r="FC150">
        <v>8.0489999999999995</v>
      </c>
      <c r="FD150">
        <v>-0.98929999999999996</v>
      </c>
      <c r="FE150">
        <v>8.0398449999999997</v>
      </c>
      <c r="FF150">
        <v>0</v>
      </c>
      <c r="FG150">
        <v>0</v>
      </c>
      <c r="FH150">
        <v>0</v>
      </c>
      <c r="FI150">
        <v>-0.98927100000000023</v>
      </c>
      <c r="FJ150">
        <v>0</v>
      </c>
      <c r="FK150">
        <v>0</v>
      </c>
      <c r="FL150">
        <v>0</v>
      </c>
      <c r="FM150">
        <v>-1</v>
      </c>
      <c r="FN150">
        <v>-1</v>
      </c>
      <c r="FO150">
        <v>-1</v>
      </c>
      <c r="FP150">
        <v>-1</v>
      </c>
      <c r="FQ150">
        <v>0.8</v>
      </c>
      <c r="FR150">
        <v>134.19999999999999</v>
      </c>
      <c r="FS150">
        <v>0.142822</v>
      </c>
      <c r="FT150">
        <v>4.99756</v>
      </c>
      <c r="FU150">
        <v>1.5979000000000001</v>
      </c>
      <c r="FV150">
        <v>2.1533199999999999</v>
      </c>
      <c r="FW150">
        <v>1.5478499999999999</v>
      </c>
      <c r="FX150">
        <v>2.4560499999999998</v>
      </c>
      <c r="FY150">
        <v>34.5092</v>
      </c>
      <c r="FZ150">
        <v>15.699299999999999</v>
      </c>
      <c r="GA150">
        <v>3</v>
      </c>
      <c r="GB150">
        <v>497.13200000000001</v>
      </c>
      <c r="GC150">
        <v>405.35899999999998</v>
      </c>
      <c r="GD150">
        <v>27.9359</v>
      </c>
      <c r="GE150">
        <v>29.854099999999999</v>
      </c>
      <c r="GF150">
        <v>30</v>
      </c>
      <c r="GG150">
        <v>30.151499999999999</v>
      </c>
      <c r="GH150">
        <v>30.201799999999999</v>
      </c>
      <c r="GI150">
        <v>-1</v>
      </c>
      <c r="GJ150">
        <v>0</v>
      </c>
      <c r="GK150">
        <v>100</v>
      </c>
      <c r="GL150">
        <v>27.9361</v>
      </c>
      <c r="GM150">
        <v>432.1</v>
      </c>
      <c r="GN150">
        <v>68.912800000000004</v>
      </c>
      <c r="GO150">
        <v>102.20699999999999</v>
      </c>
      <c r="GP150">
        <v>96.501099999999994</v>
      </c>
    </row>
    <row r="151" spans="1:198" x14ac:dyDescent="0.35">
      <c r="A151">
        <v>135</v>
      </c>
      <c r="B151">
        <v>1775489079.5</v>
      </c>
      <c r="C151">
        <v>8041</v>
      </c>
      <c r="D151" t="s">
        <v>736</v>
      </c>
      <c r="E151" t="s">
        <v>737</v>
      </c>
      <c r="F151">
        <v>60</v>
      </c>
      <c r="G151">
        <v>1775489071.5</v>
      </c>
      <c r="H151">
        <f t="shared" si="60"/>
        <v>2.1889370504418158E-3</v>
      </c>
      <c r="I151">
        <f t="shared" si="61"/>
        <v>2.1889370504418157</v>
      </c>
      <c r="J151">
        <f t="shared" si="62"/>
        <v>0.63595082338419318</v>
      </c>
      <c r="K151">
        <f t="shared" si="63"/>
        <v>31.273851612903229</v>
      </c>
      <c r="L151">
        <f t="shared" si="64"/>
        <v>12.457603182006752</v>
      </c>
      <c r="M151">
        <f t="shared" si="65"/>
        <v>1.2497112151021246</v>
      </c>
      <c r="N151">
        <f t="shared" si="66"/>
        <v>3.1373035831270584</v>
      </c>
      <c r="O151">
        <f t="shared" si="67"/>
        <v>5.8825654090060776E-2</v>
      </c>
      <c r="P151">
        <f t="shared" si="68"/>
        <v>2.3940801122364763</v>
      </c>
      <c r="Q151">
        <f t="shared" si="69"/>
        <v>5.8034299865004239E-2</v>
      </c>
      <c r="R151">
        <f t="shared" si="70"/>
        <v>3.6341650501197371E-2</v>
      </c>
      <c r="S151">
        <f t="shared" si="71"/>
        <v>0</v>
      </c>
      <c r="T151">
        <f t="shared" si="72"/>
        <v>26.616825123417598</v>
      </c>
      <c r="U151">
        <f t="shared" si="73"/>
        <v>27.37631935483871</v>
      </c>
      <c r="V151">
        <f t="shared" si="74"/>
        <v>3.6590341607690622</v>
      </c>
      <c r="W151">
        <f t="shared" si="75"/>
        <v>-1.5588156996872924</v>
      </c>
      <c r="X151">
        <f t="shared" si="76"/>
        <v>-5.6792184241504916E-2</v>
      </c>
      <c r="Y151">
        <f t="shared" si="77"/>
        <v>3.6432904962977832</v>
      </c>
      <c r="Z151">
        <f t="shared" si="78"/>
        <v>3.7158263450105671</v>
      </c>
      <c r="AA151">
        <f t="shared" si="79"/>
        <v>-96.532123924484083</v>
      </c>
      <c r="AB151">
        <f t="shared" si="80"/>
        <v>-9.4999423737026145</v>
      </c>
      <c r="AC151">
        <f t="shared" si="81"/>
        <v>-0.85927256047311718</v>
      </c>
      <c r="AD151">
        <f t="shared" si="82"/>
        <v>-106.89133885865981</v>
      </c>
      <c r="AE151">
        <v>14</v>
      </c>
      <c r="AF151">
        <v>3</v>
      </c>
      <c r="AG151">
        <f t="shared" si="83"/>
        <v>1</v>
      </c>
      <c r="AH151">
        <f t="shared" si="84"/>
        <v>0</v>
      </c>
      <c r="AI151">
        <f t="shared" si="85"/>
        <v>25578.169083410881</v>
      </c>
      <c r="AJ151">
        <f t="shared" si="86"/>
        <v>0</v>
      </c>
      <c r="AK151">
        <f t="shared" si="87"/>
        <v>0</v>
      </c>
      <c r="AL151">
        <f t="shared" si="88"/>
        <v>0</v>
      </c>
      <c r="AM151">
        <f t="shared" si="89"/>
        <v>0</v>
      </c>
      <c r="AN151">
        <v>3</v>
      </c>
      <c r="AO151">
        <v>0.5</v>
      </c>
      <c r="AP151" t="s">
        <v>331</v>
      </c>
      <c r="AQ151">
        <v>2</v>
      </c>
      <c r="AR151">
        <v>1775489071.5</v>
      </c>
      <c r="AS151">
        <v>31.273851612903229</v>
      </c>
      <c r="AT151">
        <v>31.6964935483871</v>
      </c>
      <c r="AU151">
        <v>-0.56612638709677421</v>
      </c>
      <c r="AV151">
        <v>-1.8802245161290321</v>
      </c>
      <c r="AW151">
        <v>23.240851612903231</v>
      </c>
      <c r="AX151">
        <v>0.42314458064516131</v>
      </c>
      <c r="AY151">
        <v>500.00290322580651</v>
      </c>
      <c r="AZ151">
        <v>100.27561290322581</v>
      </c>
      <c r="BA151">
        <v>4.153453225806452E-2</v>
      </c>
      <c r="BB151">
        <v>27.302716129032252</v>
      </c>
      <c r="BC151">
        <v>27.37631935483871</v>
      </c>
      <c r="BD151">
        <v>999.90000000000032</v>
      </c>
      <c r="BE151">
        <v>0</v>
      </c>
      <c r="BF151">
        <v>0</v>
      </c>
      <c r="BG151">
        <v>5001.8064516129034</v>
      </c>
      <c r="BH151">
        <v>0.37831158064516129</v>
      </c>
      <c r="BI151">
        <v>0.23331922580645159</v>
      </c>
      <c r="BJ151">
        <v>-0.4061999032258064</v>
      </c>
      <c r="BK151">
        <v>31.272596774193548</v>
      </c>
      <c r="BL151">
        <v>31.637016129032261</v>
      </c>
      <c r="BM151">
        <v>1.314098709677419</v>
      </c>
      <c r="BN151">
        <v>31.6964935483871</v>
      </c>
      <c r="BO151">
        <v>-1.8802245161290321</v>
      </c>
      <c r="BP151">
        <v>-5.6768670967741942E-2</v>
      </c>
      <c r="BQ151">
        <v>-0.18854067741935479</v>
      </c>
      <c r="BR151">
        <v>-99.900000000000034</v>
      </c>
      <c r="BS151">
        <v>-99.900000000000034</v>
      </c>
      <c r="BT151">
        <v>0</v>
      </c>
      <c r="BU151">
        <v>0</v>
      </c>
      <c r="BV151">
        <v>0</v>
      </c>
      <c r="BW151">
        <v>25.941938709677419</v>
      </c>
      <c r="BX151">
        <v>-1</v>
      </c>
      <c r="BY151">
        <v>1775489097.5</v>
      </c>
      <c r="BZ151" t="s">
        <v>738</v>
      </c>
      <c r="CA151">
        <v>1775489097.5</v>
      </c>
      <c r="CB151">
        <v>1775480969.5</v>
      </c>
      <c r="CC151">
        <v>136</v>
      </c>
      <c r="CD151">
        <v>-1.7000000000000001E-2</v>
      </c>
      <c r="CE151">
        <v>0.19500000000000001</v>
      </c>
      <c r="CF151">
        <v>8.0329999999999995</v>
      </c>
      <c r="CG151">
        <v>-0.98899999999999999</v>
      </c>
      <c r="CH151">
        <v>30</v>
      </c>
      <c r="CI151">
        <v>-3</v>
      </c>
      <c r="CJ151">
        <v>0.28000000000000003</v>
      </c>
      <c r="CK151">
        <v>0.06</v>
      </c>
      <c r="CL151">
        <v>31.777194999999999</v>
      </c>
      <c r="CM151">
        <v>-0.55590741872739535</v>
      </c>
      <c r="CN151">
        <v>0.11407262953194899</v>
      </c>
      <c r="CO151">
        <v>-1</v>
      </c>
      <c r="CP151">
        <v>499.99738333333329</v>
      </c>
      <c r="CQ151">
        <v>-2.517365934954567E-3</v>
      </c>
      <c r="CR151">
        <v>4.6925860555660809E-2</v>
      </c>
      <c r="CS151">
        <v>-1</v>
      </c>
      <c r="CT151">
        <v>0</v>
      </c>
      <c r="CU151">
        <v>0</v>
      </c>
      <c r="CV151" t="s">
        <v>333</v>
      </c>
      <c r="CW151">
        <v>3.1675</v>
      </c>
      <c r="CX151">
        <v>2.6629900000000002</v>
      </c>
      <c r="CY151">
        <v>6.9266500000000003E-3</v>
      </c>
      <c r="CZ151">
        <v>9.4185399999999996E-3</v>
      </c>
      <c r="DA151">
        <v>3.43605E-3</v>
      </c>
      <c r="DB151">
        <v>-1.7252E-2</v>
      </c>
      <c r="DC151">
        <v>21425</v>
      </c>
      <c r="DD151">
        <v>21755.200000000001</v>
      </c>
      <c r="DE151">
        <v>23102</v>
      </c>
      <c r="DF151">
        <v>22315</v>
      </c>
      <c r="DG151">
        <v>29690.6</v>
      </c>
      <c r="DH151">
        <v>27072.1</v>
      </c>
      <c r="DI151">
        <v>40604</v>
      </c>
      <c r="DJ151">
        <v>36983.199999999997</v>
      </c>
      <c r="DK151">
        <v>2.0859000000000001</v>
      </c>
      <c r="DL151">
        <v>1.7991600000000001</v>
      </c>
      <c r="DM151">
        <v>2.32458E-2</v>
      </c>
      <c r="DN151">
        <v>0</v>
      </c>
      <c r="DO151">
        <v>26.997</v>
      </c>
      <c r="DP151">
        <v>999.9</v>
      </c>
      <c r="DQ151">
        <v>76</v>
      </c>
      <c r="DR151">
        <v>30.2</v>
      </c>
      <c r="DS151">
        <v>32.665100000000002</v>
      </c>
      <c r="DT151">
        <v>30.5547</v>
      </c>
      <c r="DU151">
        <v>10.036099999999999</v>
      </c>
      <c r="DV151">
        <v>1</v>
      </c>
      <c r="DW151">
        <v>0.20868500000000001</v>
      </c>
      <c r="DX151">
        <v>-0.18837300000000001</v>
      </c>
      <c r="DY151">
        <v>20.367699999999999</v>
      </c>
      <c r="DZ151">
        <v>5.2117800000000001</v>
      </c>
      <c r="EA151">
        <v>11.8482</v>
      </c>
      <c r="EB151">
        <v>4.9677600000000002</v>
      </c>
      <c r="EC151">
        <v>3.2920199999999999</v>
      </c>
      <c r="ED151">
        <v>894.7</v>
      </c>
      <c r="EE151">
        <v>0</v>
      </c>
      <c r="EF151">
        <v>8044.5</v>
      </c>
      <c r="EG151">
        <v>111.1</v>
      </c>
      <c r="EH151">
        <v>4.9716100000000001</v>
      </c>
      <c r="EI151">
        <v>1.8717999999999999</v>
      </c>
      <c r="EJ151">
        <v>1.8690199999999999</v>
      </c>
      <c r="EK151">
        <v>1.87148</v>
      </c>
      <c r="EL151">
        <v>1.8691599999999999</v>
      </c>
      <c r="EM151">
        <v>1.8681000000000001</v>
      </c>
      <c r="EN151">
        <v>1.86995</v>
      </c>
      <c r="EO151">
        <v>1.8717200000000001</v>
      </c>
      <c r="EP151">
        <v>0</v>
      </c>
      <c r="EQ151">
        <v>0</v>
      </c>
      <c r="ER151">
        <v>0</v>
      </c>
      <c r="ES151">
        <v>0</v>
      </c>
      <c r="ET151" t="s">
        <v>334</v>
      </c>
      <c r="EU151" t="s">
        <v>335</v>
      </c>
      <c r="EV151" t="s">
        <v>336</v>
      </c>
      <c r="EW151" t="s">
        <v>336</v>
      </c>
      <c r="EX151" t="s">
        <v>336</v>
      </c>
      <c r="EY151" t="s">
        <v>336</v>
      </c>
      <c r="EZ151">
        <v>0</v>
      </c>
      <c r="FA151">
        <v>100</v>
      </c>
      <c r="FB151">
        <v>100</v>
      </c>
      <c r="FC151">
        <v>8.0329999999999995</v>
      </c>
      <c r="FD151">
        <v>-0.98929999999999996</v>
      </c>
      <c r="FE151">
        <v>8.049434999999999</v>
      </c>
      <c r="FF151">
        <v>0</v>
      </c>
      <c r="FG151">
        <v>0</v>
      </c>
      <c r="FH151">
        <v>0</v>
      </c>
      <c r="FI151">
        <v>-0.98927100000000023</v>
      </c>
      <c r="FJ151">
        <v>0</v>
      </c>
      <c r="FK151">
        <v>0</v>
      </c>
      <c r="FL151">
        <v>0</v>
      </c>
      <c r="FM151">
        <v>-1</v>
      </c>
      <c r="FN151">
        <v>-1</v>
      </c>
      <c r="FO151">
        <v>-1</v>
      </c>
      <c r="FP151">
        <v>-1</v>
      </c>
      <c r="FQ151">
        <v>0.7</v>
      </c>
      <c r="FR151">
        <v>135.19999999999999</v>
      </c>
      <c r="FS151">
        <v>0.142822</v>
      </c>
      <c r="FT151">
        <v>4.99756</v>
      </c>
      <c r="FU151">
        <v>1.5979000000000001</v>
      </c>
      <c r="FV151">
        <v>2.1533199999999999</v>
      </c>
      <c r="FW151">
        <v>1.5478499999999999</v>
      </c>
      <c r="FX151">
        <v>2.4670399999999999</v>
      </c>
      <c r="FY151">
        <v>34.5092</v>
      </c>
      <c r="FZ151">
        <v>15.6906</v>
      </c>
      <c r="GA151">
        <v>3</v>
      </c>
      <c r="GB151">
        <v>497.25599999999997</v>
      </c>
      <c r="GC151">
        <v>405.37599999999998</v>
      </c>
      <c r="GD151">
        <v>27.9315</v>
      </c>
      <c r="GE151">
        <v>29.859300000000001</v>
      </c>
      <c r="GF151">
        <v>30.0001</v>
      </c>
      <c r="GG151">
        <v>30.154</v>
      </c>
      <c r="GH151">
        <v>30.2044</v>
      </c>
      <c r="GI151">
        <v>-1</v>
      </c>
      <c r="GJ151">
        <v>0</v>
      </c>
      <c r="GK151">
        <v>100</v>
      </c>
      <c r="GL151">
        <v>27.927</v>
      </c>
      <c r="GM151">
        <v>432.1</v>
      </c>
      <c r="GN151">
        <v>68.912800000000004</v>
      </c>
      <c r="GO151">
        <v>102.20399999999999</v>
      </c>
      <c r="GP151">
        <v>96.501400000000004</v>
      </c>
    </row>
    <row r="152" spans="1:198" x14ac:dyDescent="0.35">
      <c r="A152">
        <v>136</v>
      </c>
      <c r="B152">
        <v>1775489139.5</v>
      </c>
      <c r="C152">
        <v>8101</v>
      </c>
      <c r="D152" t="s">
        <v>739</v>
      </c>
      <c r="E152" t="s">
        <v>740</v>
      </c>
      <c r="F152">
        <v>60</v>
      </c>
      <c r="G152">
        <v>1775489131.5</v>
      </c>
      <c r="H152">
        <f t="shared" si="60"/>
        <v>2.1599535713053512E-3</v>
      </c>
      <c r="I152">
        <f t="shared" si="61"/>
        <v>2.1599535713053513</v>
      </c>
      <c r="J152">
        <f t="shared" si="62"/>
        <v>0.58383539420473396</v>
      </c>
      <c r="K152">
        <f t="shared" si="63"/>
        <v>30.595174193548381</v>
      </c>
      <c r="L152">
        <f t="shared" si="64"/>
        <v>12.997027417448818</v>
      </c>
      <c r="M152">
        <f t="shared" si="65"/>
        <v>1.303824407587763</v>
      </c>
      <c r="N152">
        <f t="shared" si="66"/>
        <v>3.0692198751841806</v>
      </c>
      <c r="O152">
        <f t="shared" si="67"/>
        <v>5.8022819577104021E-2</v>
      </c>
      <c r="P152">
        <f t="shared" si="68"/>
        <v>2.3931746618279517</v>
      </c>
      <c r="Q152">
        <f t="shared" si="69"/>
        <v>5.7252478627565148E-2</v>
      </c>
      <c r="R152">
        <f t="shared" si="70"/>
        <v>3.5851159102557359E-2</v>
      </c>
      <c r="S152">
        <f t="shared" si="71"/>
        <v>0</v>
      </c>
      <c r="T152">
        <f t="shared" si="72"/>
        <v>26.619775249149605</v>
      </c>
      <c r="U152">
        <f t="shared" si="73"/>
        <v>27.372309677419359</v>
      </c>
      <c r="V152">
        <f t="shared" si="74"/>
        <v>3.6581749676991668</v>
      </c>
      <c r="W152">
        <f t="shared" si="75"/>
        <v>-1.6081572619386981</v>
      </c>
      <c r="X152">
        <f t="shared" si="76"/>
        <v>-5.8569609036988934E-2</v>
      </c>
      <c r="Y152">
        <f t="shared" si="77"/>
        <v>3.642032431976268</v>
      </c>
      <c r="Z152">
        <f t="shared" si="78"/>
        <v>3.716744576736156</v>
      </c>
      <c r="AA152">
        <f t="shared" si="79"/>
        <v>-95.253952494565979</v>
      </c>
      <c r="AB152">
        <f t="shared" si="80"/>
        <v>-9.7394080588864291</v>
      </c>
      <c r="AC152">
        <f t="shared" si="81"/>
        <v>-0.88122201354221064</v>
      </c>
      <c r="AD152">
        <f t="shared" si="82"/>
        <v>-105.87458256699462</v>
      </c>
      <c r="AE152">
        <v>14</v>
      </c>
      <c r="AF152">
        <v>3</v>
      </c>
      <c r="AG152">
        <f t="shared" si="83"/>
        <v>1</v>
      </c>
      <c r="AH152">
        <f t="shared" si="84"/>
        <v>0</v>
      </c>
      <c r="AI152">
        <f t="shared" si="85"/>
        <v>25564.907491246249</v>
      </c>
      <c r="AJ152">
        <f t="shared" si="86"/>
        <v>0</v>
      </c>
      <c r="AK152">
        <f t="shared" si="87"/>
        <v>0</v>
      </c>
      <c r="AL152">
        <f t="shared" si="88"/>
        <v>0</v>
      </c>
      <c r="AM152">
        <f t="shared" si="89"/>
        <v>0</v>
      </c>
      <c r="AN152">
        <v>3</v>
      </c>
      <c r="AO152">
        <v>0.5</v>
      </c>
      <c r="AP152" t="s">
        <v>331</v>
      </c>
      <c r="AQ152">
        <v>2</v>
      </c>
      <c r="AR152">
        <v>1775489131.5</v>
      </c>
      <c r="AS152">
        <v>30.595174193548381</v>
      </c>
      <c r="AT152">
        <v>30.98513548387097</v>
      </c>
      <c r="AU152">
        <v>-0.5838445806451612</v>
      </c>
      <c r="AV152">
        <v>-1.8806051612903221</v>
      </c>
      <c r="AW152">
        <v>22.537174193548381</v>
      </c>
      <c r="AX152">
        <v>0.4054264193548387</v>
      </c>
      <c r="AY152">
        <v>499.98774193548388</v>
      </c>
      <c r="AZ152">
        <v>100.2754838709677</v>
      </c>
      <c r="BA152">
        <v>4.1639861290322593E-2</v>
      </c>
      <c r="BB152">
        <v>27.296822580645159</v>
      </c>
      <c r="BC152">
        <v>27.372309677419359</v>
      </c>
      <c r="BD152">
        <v>999.90000000000032</v>
      </c>
      <c r="BE152">
        <v>0</v>
      </c>
      <c r="BF152">
        <v>0</v>
      </c>
      <c r="BG152">
        <v>4999.4838709677406</v>
      </c>
      <c r="BH152">
        <v>0.36783009677419359</v>
      </c>
      <c r="BI152">
        <v>0.23331922580645159</v>
      </c>
      <c r="BJ152">
        <v>-0.41515189354838711</v>
      </c>
      <c r="BK152">
        <v>30.552141935483871</v>
      </c>
      <c r="BL152">
        <v>30.926967741935488</v>
      </c>
      <c r="BM152">
        <v>1.2967609677419361</v>
      </c>
      <c r="BN152">
        <v>30.98513548387097</v>
      </c>
      <c r="BO152">
        <v>-1.8806051612903221</v>
      </c>
      <c r="BP152">
        <v>-5.8545319354838712E-2</v>
      </c>
      <c r="BQ152">
        <v>-0.18857867741935491</v>
      </c>
      <c r="BR152">
        <v>-99.900000000000034</v>
      </c>
      <c r="BS152">
        <v>-99.900000000000034</v>
      </c>
      <c r="BT152">
        <v>0</v>
      </c>
      <c r="BU152">
        <v>0</v>
      </c>
      <c r="BV152">
        <v>0</v>
      </c>
      <c r="BW152">
        <v>25.940858064516121</v>
      </c>
      <c r="BX152">
        <v>-1</v>
      </c>
      <c r="BY152">
        <v>1775489156</v>
      </c>
      <c r="BZ152" t="s">
        <v>741</v>
      </c>
      <c r="CA152">
        <v>1775489156</v>
      </c>
      <c r="CB152">
        <v>1775480969.5</v>
      </c>
      <c r="CC152">
        <v>137</v>
      </c>
      <c r="CD152">
        <v>2.5000000000000001E-2</v>
      </c>
      <c r="CE152">
        <v>0.19500000000000001</v>
      </c>
      <c r="CF152">
        <v>8.0579999999999998</v>
      </c>
      <c r="CG152">
        <v>-0.98899999999999999</v>
      </c>
      <c r="CH152">
        <v>32</v>
      </c>
      <c r="CI152">
        <v>-3</v>
      </c>
      <c r="CJ152">
        <v>0.18</v>
      </c>
      <c r="CK152">
        <v>0.06</v>
      </c>
      <c r="CL152">
        <v>31.115071666666669</v>
      </c>
      <c r="CM152">
        <v>-0.28046290636285331</v>
      </c>
      <c r="CN152">
        <v>0.27504081581446937</v>
      </c>
      <c r="CO152">
        <v>-1</v>
      </c>
      <c r="CP152">
        <v>499.99428333333339</v>
      </c>
      <c r="CQ152">
        <v>-5.7539316475831111E-2</v>
      </c>
      <c r="CR152">
        <v>4.0641149781417717E-2</v>
      </c>
      <c r="CS152">
        <v>-1</v>
      </c>
      <c r="CT152">
        <v>0</v>
      </c>
      <c r="CU152">
        <v>0</v>
      </c>
      <c r="CV152" t="s">
        <v>333</v>
      </c>
      <c r="CW152">
        <v>3.1674899999999999</v>
      </c>
      <c r="CX152">
        <v>2.6629399999999999</v>
      </c>
      <c r="CY152">
        <v>6.7448300000000003E-3</v>
      </c>
      <c r="CZ152">
        <v>9.2839399999999992E-3</v>
      </c>
      <c r="DA152">
        <v>3.3053900000000001E-3</v>
      </c>
      <c r="DB152">
        <v>-1.7260999999999999E-2</v>
      </c>
      <c r="DC152">
        <v>21428.9</v>
      </c>
      <c r="DD152">
        <v>21758</v>
      </c>
      <c r="DE152">
        <v>23101.9</v>
      </c>
      <c r="DF152">
        <v>22314.799999999999</v>
      </c>
      <c r="DG152">
        <v>29694.3</v>
      </c>
      <c r="DH152">
        <v>27072.2</v>
      </c>
      <c r="DI152">
        <v>40603.9</v>
      </c>
      <c r="DJ152">
        <v>36982.9</v>
      </c>
      <c r="DK152">
        <v>2.08596</v>
      </c>
      <c r="DL152">
        <v>1.79922</v>
      </c>
      <c r="DM152">
        <v>2.34544E-2</v>
      </c>
      <c r="DN152">
        <v>0</v>
      </c>
      <c r="DO152">
        <v>26.991199999999999</v>
      </c>
      <c r="DP152">
        <v>999.9</v>
      </c>
      <c r="DQ152">
        <v>76</v>
      </c>
      <c r="DR152">
        <v>30.2</v>
      </c>
      <c r="DS152">
        <v>32.662500000000001</v>
      </c>
      <c r="DT152">
        <v>30.584700000000002</v>
      </c>
      <c r="DU152">
        <v>10.120200000000001</v>
      </c>
      <c r="DV152">
        <v>1</v>
      </c>
      <c r="DW152">
        <v>0.20876800000000001</v>
      </c>
      <c r="DX152">
        <v>-0.23449</v>
      </c>
      <c r="DY152">
        <v>20.3675</v>
      </c>
      <c r="DZ152">
        <v>5.2111799999999997</v>
      </c>
      <c r="EA152">
        <v>11.8482</v>
      </c>
      <c r="EB152">
        <v>4.9678399999999998</v>
      </c>
      <c r="EC152">
        <v>3.2920799999999999</v>
      </c>
      <c r="ED152">
        <v>894.7</v>
      </c>
      <c r="EE152">
        <v>0</v>
      </c>
      <c r="EF152">
        <v>8077.2</v>
      </c>
      <c r="EG152">
        <v>111.1</v>
      </c>
      <c r="EH152">
        <v>4.9716100000000001</v>
      </c>
      <c r="EI152">
        <v>1.8717999999999999</v>
      </c>
      <c r="EJ152">
        <v>1.86903</v>
      </c>
      <c r="EK152">
        <v>1.87148</v>
      </c>
      <c r="EL152">
        <v>1.8691800000000001</v>
      </c>
      <c r="EM152">
        <v>1.86812</v>
      </c>
      <c r="EN152">
        <v>1.8699600000000001</v>
      </c>
      <c r="EO152">
        <v>1.8717699999999999</v>
      </c>
      <c r="EP152">
        <v>0</v>
      </c>
      <c r="EQ152">
        <v>0</v>
      </c>
      <c r="ER152">
        <v>0</v>
      </c>
      <c r="ES152">
        <v>0</v>
      </c>
      <c r="ET152" t="s">
        <v>334</v>
      </c>
      <c r="EU152" t="s">
        <v>335</v>
      </c>
      <c r="EV152" t="s">
        <v>336</v>
      </c>
      <c r="EW152" t="s">
        <v>336</v>
      </c>
      <c r="EX152" t="s">
        <v>336</v>
      </c>
      <c r="EY152" t="s">
        <v>336</v>
      </c>
      <c r="EZ152">
        <v>0</v>
      </c>
      <c r="FA152">
        <v>100</v>
      </c>
      <c r="FB152">
        <v>100</v>
      </c>
      <c r="FC152">
        <v>8.0579999999999998</v>
      </c>
      <c r="FD152">
        <v>-0.98929999999999996</v>
      </c>
      <c r="FE152">
        <v>8.0328050000000033</v>
      </c>
      <c r="FF152">
        <v>0</v>
      </c>
      <c r="FG152">
        <v>0</v>
      </c>
      <c r="FH152">
        <v>0</v>
      </c>
      <c r="FI152">
        <v>-0.98927100000000023</v>
      </c>
      <c r="FJ152">
        <v>0</v>
      </c>
      <c r="FK152">
        <v>0</v>
      </c>
      <c r="FL152">
        <v>0</v>
      </c>
      <c r="FM152">
        <v>-1</v>
      </c>
      <c r="FN152">
        <v>-1</v>
      </c>
      <c r="FO152">
        <v>-1</v>
      </c>
      <c r="FP152">
        <v>-1</v>
      </c>
      <c r="FQ152">
        <v>0.7</v>
      </c>
      <c r="FR152">
        <v>136.19999999999999</v>
      </c>
      <c r="FS152">
        <v>0.142822</v>
      </c>
      <c r="FT152">
        <v>4.99756</v>
      </c>
      <c r="FU152">
        <v>1.5979000000000001</v>
      </c>
      <c r="FV152">
        <v>2.1533199999999999</v>
      </c>
      <c r="FW152">
        <v>1.5478499999999999</v>
      </c>
      <c r="FX152">
        <v>2.4279799999999998</v>
      </c>
      <c r="FY152">
        <v>34.5092</v>
      </c>
      <c r="FZ152">
        <v>15.6731</v>
      </c>
      <c r="GA152">
        <v>3</v>
      </c>
      <c r="GB152">
        <v>497.30500000000001</v>
      </c>
      <c r="GC152">
        <v>405.411</v>
      </c>
      <c r="GD152">
        <v>27.944900000000001</v>
      </c>
      <c r="GE152">
        <v>29.861899999999999</v>
      </c>
      <c r="GF152">
        <v>30.0001</v>
      </c>
      <c r="GG152">
        <v>30.155799999999999</v>
      </c>
      <c r="GH152">
        <v>30.2044</v>
      </c>
      <c r="GI152">
        <v>-1</v>
      </c>
      <c r="GJ152">
        <v>0</v>
      </c>
      <c r="GK152">
        <v>100</v>
      </c>
      <c r="GL152">
        <v>27.947399999999998</v>
      </c>
      <c r="GM152">
        <v>432.1</v>
      </c>
      <c r="GN152">
        <v>68.912800000000004</v>
      </c>
      <c r="GO152">
        <v>102.203</v>
      </c>
      <c r="GP152">
        <v>96.500699999999995</v>
      </c>
    </row>
    <row r="153" spans="1:198" x14ac:dyDescent="0.35">
      <c r="A153">
        <v>137</v>
      </c>
      <c r="B153">
        <v>1775489199.5999999</v>
      </c>
      <c r="C153">
        <v>8161.0999999046326</v>
      </c>
      <c r="D153" t="s">
        <v>742</v>
      </c>
      <c r="E153" t="s">
        <v>743</v>
      </c>
      <c r="F153">
        <v>60</v>
      </c>
      <c r="G153">
        <v>1775489191.849999</v>
      </c>
      <c r="H153">
        <f t="shared" si="60"/>
        <v>2.1693040432790851E-3</v>
      </c>
      <c r="I153">
        <f t="shared" si="61"/>
        <v>2.1693040432790851</v>
      </c>
      <c r="J153">
        <f t="shared" si="62"/>
        <v>0.18357656434000263</v>
      </c>
      <c r="K153">
        <f t="shared" si="63"/>
        <v>31.007896666666671</v>
      </c>
      <c r="L153">
        <f t="shared" si="64"/>
        <v>24.243395488990341</v>
      </c>
      <c r="M153">
        <f t="shared" si="65"/>
        <v>2.4320440232146816</v>
      </c>
      <c r="N153">
        <f t="shared" si="66"/>
        <v>3.1106438780356598</v>
      </c>
      <c r="O153">
        <f t="shared" si="67"/>
        <v>5.8261807013646139E-2</v>
      </c>
      <c r="P153">
        <f t="shared" si="68"/>
        <v>2.3951650892724565</v>
      </c>
      <c r="Q153">
        <f t="shared" si="69"/>
        <v>5.7485789099987368E-2</v>
      </c>
      <c r="R153">
        <f t="shared" si="70"/>
        <v>3.5997479145754158E-2</v>
      </c>
      <c r="S153">
        <f t="shared" si="71"/>
        <v>0</v>
      </c>
      <c r="T153">
        <f t="shared" si="72"/>
        <v>26.62029160817335</v>
      </c>
      <c r="U153">
        <f t="shared" si="73"/>
        <v>27.377646666666671</v>
      </c>
      <c r="V153">
        <f t="shared" si="74"/>
        <v>3.6593186157431803</v>
      </c>
      <c r="W153">
        <f t="shared" si="75"/>
        <v>-1.6022859812743526</v>
      </c>
      <c r="X153">
        <f t="shared" si="76"/>
        <v>-5.8365787026025129E-2</v>
      </c>
      <c r="Y153">
        <f t="shared" si="77"/>
        <v>3.642657285162342</v>
      </c>
      <c r="Z153">
        <f t="shared" si="78"/>
        <v>3.7176844027692053</v>
      </c>
      <c r="AA153">
        <f t="shared" si="79"/>
        <v>-95.666308308607654</v>
      </c>
      <c r="AB153">
        <f t="shared" si="80"/>
        <v>-10.058651701679809</v>
      </c>
      <c r="AC153">
        <f t="shared" si="81"/>
        <v>-0.90938841010059335</v>
      </c>
      <c r="AD153">
        <f t="shared" si="82"/>
        <v>-106.63434842038805</v>
      </c>
      <c r="AE153">
        <v>14</v>
      </c>
      <c r="AF153">
        <v>3</v>
      </c>
      <c r="AG153">
        <f t="shared" si="83"/>
        <v>1</v>
      </c>
      <c r="AH153">
        <f t="shared" si="84"/>
        <v>0</v>
      </c>
      <c r="AI153">
        <f t="shared" si="85"/>
        <v>25594.896524669894</v>
      </c>
      <c r="AJ153">
        <f t="shared" si="86"/>
        <v>0</v>
      </c>
      <c r="AK153">
        <f t="shared" si="87"/>
        <v>0</v>
      </c>
      <c r="AL153">
        <f t="shared" si="88"/>
        <v>0</v>
      </c>
      <c r="AM153">
        <f t="shared" si="89"/>
        <v>0</v>
      </c>
      <c r="AN153">
        <v>3</v>
      </c>
      <c r="AO153">
        <v>0.5</v>
      </c>
      <c r="AP153" t="s">
        <v>331</v>
      </c>
      <c r="AQ153">
        <v>2</v>
      </c>
      <c r="AR153">
        <v>1775489191.849999</v>
      </c>
      <c r="AS153">
        <v>31.007896666666671</v>
      </c>
      <c r="AT153">
        <v>31.158403333333329</v>
      </c>
      <c r="AU153">
        <v>-0.58180890000000007</v>
      </c>
      <c r="AV153">
        <v>-1.884160666666667</v>
      </c>
      <c r="AW153">
        <v>22.973896666666668</v>
      </c>
      <c r="AX153">
        <v>0.40746209999999988</v>
      </c>
      <c r="AY153">
        <v>499.99536666666671</v>
      </c>
      <c r="AZ153">
        <v>100.27623333333329</v>
      </c>
      <c r="BA153">
        <v>4.1563500000000003E-2</v>
      </c>
      <c r="BB153">
        <v>27.29975</v>
      </c>
      <c r="BC153">
        <v>27.377646666666671</v>
      </c>
      <c r="BD153">
        <v>999.9000000000002</v>
      </c>
      <c r="BE153">
        <v>0</v>
      </c>
      <c r="BF153">
        <v>0</v>
      </c>
      <c r="BG153">
        <v>5004.5666666666666</v>
      </c>
      <c r="BH153">
        <v>0.40064466666666659</v>
      </c>
      <c r="BI153">
        <v>0.23344266666666669</v>
      </c>
      <c r="BJ153">
        <v>-0.1268666268233333</v>
      </c>
      <c r="BK153">
        <v>31.013493333333329</v>
      </c>
      <c r="BL153">
        <v>31.099803333333341</v>
      </c>
      <c r="BM153">
        <v>1.302351333333333</v>
      </c>
      <c r="BN153">
        <v>31.158403333333329</v>
      </c>
      <c r="BO153">
        <v>-1.884160666666667</v>
      </c>
      <c r="BP153">
        <v>-5.8341586666666667E-2</v>
      </c>
      <c r="BQ153">
        <v>-0.18893643333333329</v>
      </c>
      <c r="BR153">
        <v>-99.900000000000034</v>
      </c>
      <c r="BS153">
        <v>-99.900000000000034</v>
      </c>
      <c r="BT153">
        <v>0</v>
      </c>
      <c r="BU153">
        <v>0</v>
      </c>
      <c r="BV153">
        <v>0</v>
      </c>
      <c r="BW153">
        <v>25.924430000000001</v>
      </c>
      <c r="BX153">
        <v>-1</v>
      </c>
      <c r="BY153">
        <v>1775489222.5999999</v>
      </c>
      <c r="BZ153" t="s">
        <v>744</v>
      </c>
      <c r="CA153">
        <v>1775489222.5999999</v>
      </c>
      <c r="CB153">
        <v>1775480969.5</v>
      </c>
      <c r="CC153">
        <v>138</v>
      </c>
      <c r="CD153">
        <v>-2.4E-2</v>
      </c>
      <c r="CE153">
        <v>0.19500000000000001</v>
      </c>
      <c r="CF153">
        <v>8.0340000000000007</v>
      </c>
      <c r="CG153">
        <v>-0.98899999999999999</v>
      </c>
      <c r="CH153">
        <v>32</v>
      </c>
      <c r="CI153">
        <v>-3</v>
      </c>
      <c r="CJ153">
        <v>0.25</v>
      </c>
      <c r="CK153">
        <v>0.06</v>
      </c>
      <c r="CL153">
        <v>31.480267213114761</v>
      </c>
      <c r="CM153">
        <v>-2.2374225324819319</v>
      </c>
      <c r="CN153">
        <v>0.3358263909025902</v>
      </c>
      <c r="CO153">
        <v>-1</v>
      </c>
      <c r="CP153">
        <v>500.00255737704907</v>
      </c>
      <c r="CQ153">
        <v>-0.1430048333073437</v>
      </c>
      <c r="CR153">
        <v>6.0137690260279042E-2</v>
      </c>
      <c r="CS153">
        <v>-1</v>
      </c>
      <c r="CT153">
        <v>0</v>
      </c>
      <c r="CU153">
        <v>0</v>
      </c>
      <c r="CV153" t="s">
        <v>333</v>
      </c>
      <c r="CW153">
        <v>3.1674199999999999</v>
      </c>
      <c r="CX153">
        <v>2.6629200000000002</v>
      </c>
      <c r="CY153">
        <v>6.7712099999999997E-3</v>
      </c>
      <c r="CZ153">
        <v>9.2491099999999996E-3</v>
      </c>
      <c r="DA153">
        <v>3.3295199999999999E-3</v>
      </c>
      <c r="DB153">
        <v>-1.73543E-2</v>
      </c>
      <c r="DC153">
        <v>21428.5</v>
      </c>
      <c r="DD153">
        <v>21758.799999999999</v>
      </c>
      <c r="DE153">
        <v>23102.2</v>
      </c>
      <c r="DF153">
        <v>22314.799999999999</v>
      </c>
      <c r="DG153">
        <v>29693.8</v>
      </c>
      <c r="DH153">
        <v>27074.6</v>
      </c>
      <c r="DI153">
        <v>40604.1</v>
      </c>
      <c r="DJ153">
        <v>36982.9</v>
      </c>
      <c r="DK153">
        <v>2.0862799999999999</v>
      </c>
      <c r="DL153">
        <v>1.79908</v>
      </c>
      <c r="DM153">
        <v>2.3901499999999999E-2</v>
      </c>
      <c r="DN153">
        <v>0</v>
      </c>
      <c r="DO153">
        <v>26.988199999999999</v>
      </c>
      <c r="DP153">
        <v>999.9</v>
      </c>
      <c r="DQ153">
        <v>76</v>
      </c>
      <c r="DR153">
        <v>30.2</v>
      </c>
      <c r="DS153">
        <v>32.6614</v>
      </c>
      <c r="DT153">
        <v>30.3856</v>
      </c>
      <c r="DU153">
        <v>10.0321</v>
      </c>
      <c r="DV153">
        <v>1</v>
      </c>
      <c r="DW153">
        <v>0.208758</v>
      </c>
      <c r="DX153">
        <v>-0.22009799999999999</v>
      </c>
      <c r="DY153">
        <v>20.3672</v>
      </c>
      <c r="DZ153">
        <v>5.2110599999999998</v>
      </c>
      <c r="EA153">
        <v>11.8482</v>
      </c>
      <c r="EB153">
        <v>4.9677199999999999</v>
      </c>
      <c r="EC153">
        <v>3.2920600000000002</v>
      </c>
      <c r="ED153">
        <v>894.7</v>
      </c>
      <c r="EE153">
        <v>0</v>
      </c>
      <c r="EF153">
        <v>8103.7</v>
      </c>
      <c r="EG153">
        <v>111.1</v>
      </c>
      <c r="EH153">
        <v>4.97159</v>
      </c>
      <c r="EI153">
        <v>1.8717999999999999</v>
      </c>
      <c r="EJ153">
        <v>1.86903</v>
      </c>
      <c r="EK153">
        <v>1.87141</v>
      </c>
      <c r="EL153">
        <v>1.8691800000000001</v>
      </c>
      <c r="EM153">
        <v>1.8681099999999999</v>
      </c>
      <c r="EN153">
        <v>1.8699600000000001</v>
      </c>
      <c r="EO153">
        <v>1.87175</v>
      </c>
      <c r="EP153">
        <v>0</v>
      </c>
      <c r="EQ153">
        <v>0</v>
      </c>
      <c r="ER153">
        <v>0</v>
      </c>
      <c r="ES153">
        <v>0</v>
      </c>
      <c r="ET153" t="s">
        <v>334</v>
      </c>
      <c r="EU153" t="s">
        <v>335</v>
      </c>
      <c r="EV153" t="s">
        <v>336</v>
      </c>
      <c r="EW153" t="s">
        <v>336</v>
      </c>
      <c r="EX153" t="s">
        <v>336</v>
      </c>
      <c r="EY153" t="s">
        <v>336</v>
      </c>
      <c r="EZ153">
        <v>0</v>
      </c>
      <c r="FA153">
        <v>100</v>
      </c>
      <c r="FB153">
        <v>100</v>
      </c>
      <c r="FC153">
        <v>8.0340000000000007</v>
      </c>
      <c r="FD153">
        <v>-0.98929999999999996</v>
      </c>
      <c r="FE153">
        <v>8.0576380952381008</v>
      </c>
      <c r="FF153">
        <v>0</v>
      </c>
      <c r="FG153">
        <v>0</v>
      </c>
      <c r="FH153">
        <v>0</v>
      </c>
      <c r="FI153">
        <v>-0.98927100000000023</v>
      </c>
      <c r="FJ153">
        <v>0</v>
      </c>
      <c r="FK153">
        <v>0</v>
      </c>
      <c r="FL153">
        <v>0</v>
      </c>
      <c r="FM153">
        <v>-1</v>
      </c>
      <c r="FN153">
        <v>-1</v>
      </c>
      <c r="FO153">
        <v>-1</v>
      </c>
      <c r="FP153">
        <v>-1</v>
      </c>
      <c r="FQ153">
        <v>0.7</v>
      </c>
      <c r="FR153">
        <v>137.19999999999999</v>
      </c>
      <c r="FS153">
        <v>0.142822</v>
      </c>
      <c r="FT153">
        <v>4.99756</v>
      </c>
      <c r="FU153">
        <v>1.5979000000000001</v>
      </c>
      <c r="FV153">
        <v>2.1533199999999999</v>
      </c>
      <c r="FW153">
        <v>1.5478499999999999</v>
      </c>
      <c r="FX153">
        <v>2.4597199999999999</v>
      </c>
      <c r="FY153">
        <v>34.5092</v>
      </c>
      <c r="FZ153">
        <v>15.6731</v>
      </c>
      <c r="GA153">
        <v>3</v>
      </c>
      <c r="GB153">
        <v>497.49599999999998</v>
      </c>
      <c r="GC153">
        <v>405.34699999999998</v>
      </c>
      <c r="GD153">
        <v>27.941099999999999</v>
      </c>
      <c r="GE153">
        <v>29.8643</v>
      </c>
      <c r="GF153">
        <v>30.0001</v>
      </c>
      <c r="GG153">
        <v>30.156600000000001</v>
      </c>
      <c r="GH153">
        <v>30.207000000000001</v>
      </c>
      <c r="GI153">
        <v>-1</v>
      </c>
      <c r="GJ153">
        <v>0</v>
      </c>
      <c r="GK153">
        <v>100</v>
      </c>
      <c r="GL153">
        <v>27.939699999999998</v>
      </c>
      <c r="GM153">
        <v>432.1</v>
      </c>
      <c r="GN153">
        <v>68.912800000000004</v>
      </c>
      <c r="GO153">
        <v>102.20399999999999</v>
      </c>
      <c r="GP153">
        <v>96.500699999999995</v>
      </c>
    </row>
    <row r="154" spans="1:198" x14ac:dyDescent="0.35">
      <c r="A154">
        <v>138</v>
      </c>
      <c r="B154">
        <v>1775489259.5999999</v>
      </c>
      <c r="C154">
        <v>8221.0999999046326</v>
      </c>
      <c r="D154" t="s">
        <v>745</v>
      </c>
      <c r="E154" t="s">
        <v>746</v>
      </c>
      <c r="F154">
        <v>60</v>
      </c>
      <c r="G154">
        <v>1775489251.599999</v>
      </c>
      <c r="H154">
        <f t="shared" si="60"/>
        <v>2.1834672406733221E-3</v>
      </c>
      <c r="I154">
        <f t="shared" si="61"/>
        <v>2.183467240673322</v>
      </c>
      <c r="J154">
        <f t="shared" si="62"/>
        <v>0.677789458957055</v>
      </c>
      <c r="K154">
        <f t="shared" si="63"/>
        <v>30.816896774193548</v>
      </c>
      <c r="L154">
        <f t="shared" si="64"/>
        <v>10.864241324485752</v>
      </c>
      <c r="M154">
        <f t="shared" si="65"/>
        <v>1.0898865266969608</v>
      </c>
      <c r="N154">
        <f t="shared" si="66"/>
        <v>3.0915109104863689</v>
      </c>
      <c r="O154">
        <f t="shared" si="67"/>
        <v>5.867639321830917E-2</v>
      </c>
      <c r="P154">
        <f t="shared" si="68"/>
        <v>2.3942016715997436</v>
      </c>
      <c r="Q154">
        <f t="shared" si="69"/>
        <v>5.7889060186779619E-2</v>
      </c>
      <c r="R154">
        <f t="shared" si="70"/>
        <v>3.6250521168793653E-2</v>
      </c>
      <c r="S154">
        <f t="shared" si="71"/>
        <v>0</v>
      </c>
      <c r="T154">
        <f t="shared" si="72"/>
        <v>26.616882861477659</v>
      </c>
      <c r="U154">
        <f t="shared" si="73"/>
        <v>27.374896774193552</v>
      </c>
      <c r="V154">
        <f t="shared" si="74"/>
        <v>3.6587293102482432</v>
      </c>
      <c r="W154">
        <f t="shared" si="75"/>
        <v>-1.5696913917304482</v>
      </c>
      <c r="X154">
        <f t="shared" si="76"/>
        <v>-5.7182763671359944E-2</v>
      </c>
      <c r="Y154">
        <f t="shared" si="77"/>
        <v>3.6429303220119547</v>
      </c>
      <c r="Z154">
        <f t="shared" si="78"/>
        <v>3.7159120739196032</v>
      </c>
      <c r="AA154">
        <f t="shared" si="79"/>
        <v>-96.2909053136935</v>
      </c>
      <c r="AB154">
        <f t="shared" si="80"/>
        <v>-9.5345674699722274</v>
      </c>
      <c r="AC154">
        <f t="shared" si="81"/>
        <v>-0.86234723119947687</v>
      </c>
      <c r="AD154">
        <f t="shared" si="82"/>
        <v>-106.68782001486521</v>
      </c>
      <c r="AE154">
        <v>14</v>
      </c>
      <c r="AF154">
        <v>3</v>
      </c>
      <c r="AG154">
        <f t="shared" si="83"/>
        <v>1</v>
      </c>
      <c r="AH154">
        <f t="shared" si="84"/>
        <v>0</v>
      </c>
      <c r="AI154">
        <f t="shared" si="85"/>
        <v>25580.091993882488</v>
      </c>
      <c r="AJ154">
        <f t="shared" si="86"/>
        <v>0</v>
      </c>
      <c r="AK154">
        <f t="shared" si="87"/>
        <v>0</v>
      </c>
      <c r="AL154">
        <f t="shared" si="88"/>
        <v>0</v>
      </c>
      <c r="AM154">
        <f t="shared" si="89"/>
        <v>0</v>
      </c>
      <c r="AN154">
        <v>3</v>
      </c>
      <c r="AO154">
        <v>0.5</v>
      </c>
      <c r="AP154" t="s">
        <v>331</v>
      </c>
      <c r="AQ154">
        <v>2</v>
      </c>
      <c r="AR154">
        <v>1775489251.599999</v>
      </c>
      <c r="AS154">
        <v>30.816896774193548</v>
      </c>
      <c r="AT154">
        <v>31.263941935483871</v>
      </c>
      <c r="AU154">
        <v>-0.5700110322580646</v>
      </c>
      <c r="AV154">
        <v>-1.8808348387096769</v>
      </c>
      <c r="AW154">
        <v>22.810896774193552</v>
      </c>
      <c r="AX154">
        <v>0.41925990322580647</v>
      </c>
      <c r="AY154">
        <v>500.00125806451609</v>
      </c>
      <c r="AZ154">
        <v>100.2773548387097</v>
      </c>
      <c r="BA154">
        <v>4.1341529032258059E-2</v>
      </c>
      <c r="BB154">
        <v>27.301029032258061</v>
      </c>
      <c r="BC154">
        <v>27.374896774193552</v>
      </c>
      <c r="BD154">
        <v>999.90000000000032</v>
      </c>
      <c r="BE154">
        <v>0</v>
      </c>
      <c r="BF154">
        <v>0</v>
      </c>
      <c r="BG154">
        <v>5002.0322580645161</v>
      </c>
      <c r="BH154">
        <v>0.35947790322580642</v>
      </c>
      <c r="BI154">
        <v>0.23305999999999991</v>
      </c>
      <c r="BJ154">
        <v>-0.41951322580645162</v>
      </c>
      <c r="BK154">
        <v>30.826848387096771</v>
      </c>
      <c r="BL154">
        <v>31.205251612903229</v>
      </c>
      <c r="BM154">
        <v>1.3108241935483871</v>
      </c>
      <c r="BN154">
        <v>31.263941935483871</v>
      </c>
      <c r="BO154">
        <v>-1.8808348387096769</v>
      </c>
      <c r="BP154">
        <v>-5.7159196774193538E-2</v>
      </c>
      <c r="BQ154">
        <v>-0.18860509677419349</v>
      </c>
      <c r="BR154">
        <v>-99.900000000000034</v>
      </c>
      <c r="BS154">
        <v>-99.900000000000034</v>
      </c>
      <c r="BT154">
        <v>0</v>
      </c>
      <c r="BU154">
        <v>0</v>
      </c>
      <c r="BV154">
        <v>0</v>
      </c>
      <c r="BW154">
        <v>25.84516129032259</v>
      </c>
      <c r="BX154">
        <v>-1</v>
      </c>
      <c r="BY154">
        <v>1775489280.0999999</v>
      </c>
      <c r="BZ154" t="s">
        <v>747</v>
      </c>
      <c r="CA154">
        <v>1775489280.0999999</v>
      </c>
      <c r="CB154">
        <v>1775480969.5</v>
      </c>
      <c r="CC154">
        <v>139</v>
      </c>
      <c r="CD154">
        <v>-2.7E-2</v>
      </c>
      <c r="CE154">
        <v>0.19500000000000001</v>
      </c>
      <c r="CF154">
        <v>8.0060000000000002</v>
      </c>
      <c r="CG154">
        <v>-0.98899999999999999</v>
      </c>
      <c r="CH154">
        <v>31</v>
      </c>
      <c r="CI154">
        <v>-3</v>
      </c>
      <c r="CJ154">
        <v>0.34</v>
      </c>
      <c r="CK154">
        <v>0.06</v>
      </c>
      <c r="CL154">
        <v>31.393098360655731</v>
      </c>
      <c r="CM154">
        <v>-1.0307771549445079</v>
      </c>
      <c r="CN154">
        <v>0.28631028708224238</v>
      </c>
      <c r="CO154">
        <v>-1</v>
      </c>
      <c r="CP154">
        <v>500.22363934426238</v>
      </c>
      <c r="CQ154">
        <v>-2.4021385510309292</v>
      </c>
      <c r="CR154">
        <v>0.78574963752982874</v>
      </c>
      <c r="CS154">
        <v>-1</v>
      </c>
      <c r="CT154">
        <v>0</v>
      </c>
      <c r="CU154">
        <v>0</v>
      </c>
      <c r="CV154" t="s">
        <v>333</v>
      </c>
      <c r="CW154">
        <v>3.16744</v>
      </c>
      <c r="CX154">
        <v>2.6627399999999999</v>
      </c>
      <c r="CY154">
        <v>6.8266000000000004E-3</v>
      </c>
      <c r="CZ154">
        <v>9.4516900000000004E-3</v>
      </c>
      <c r="DA154">
        <v>3.3847199999999999E-3</v>
      </c>
      <c r="DB154">
        <v>-1.73385E-2</v>
      </c>
      <c r="DC154">
        <v>21426.799999999999</v>
      </c>
      <c r="DD154">
        <v>21754.3</v>
      </c>
      <c r="DE154">
        <v>23101.7</v>
      </c>
      <c r="DF154">
        <v>22314.799999999999</v>
      </c>
      <c r="DG154">
        <v>29691.5</v>
      </c>
      <c r="DH154">
        <v>27073.9</v>
      </c>
      <c r="DI154">
        <v>40603.199999999997</v>
      </c>
      <c r="DJ154">
        <v>36982.5</v>
      </c>
      <c r="DK154">
        <v>2.08582</v>
      </c>
      <c r="DL154">
        <v>1.7993600000000001</v>
      </c>
      <c r="DM154">
        <v>2.2971599999999998E-2</v>
      </c>
      <c r="DN154">
        <v>0</v>
      </c>
      <c r="DO154">
        <v>26.997299999999999</v>
      </c>
      <c r="DP154">
        <v>999.9</v>
      </c>
      <c r="DQ154">
        <v>76</v>
      </c>
      <c r="DR154">
        <v>30.2</v>
      </c>
      <c r="DS154">
        <v>32.661200000000001</v>
      </c>
      <c r="DT154">
        <v>30.685600000000001</v>
      </c>
      <c r="DU154">
        <v>10.084099999999999</v>
      </c>
      <c r="DV154">
        <v>1</v>
      </c>
      <c r="DW154">
        <v>0.209254</v>
      </c>
      <c r="DX154">
        <v>-0.18181700000000001</v>
      </c>
      <c r="DY154">
        <v>20.367599999999999</v>
      </c>
      <c r="DZ154">
        <v>5.2117800000000001</v>
      </c>
      <c r="EA154">
        <v>11.8485</v>
      </c>
      <c r="EB154">
        <v>4.9677600000000002</v>
      </c>
      <c r="EC154">
        <v>3.2920400000000001</v>
      </c>
      <c r="ED154">
        <v>894.7</v>
      </c>
      <c r="EE154">
        <v>0</v>
      </c>
      <c r="EF154">
        <v>8136.1</v>
      </c>
      <c r="EG154">
        <v>111.1</v>
      </c>
      <c r="EH154">
        <v>4.97159</v>
      </c>
      <c r="EI154">
        <v>1.8717999999999999</v>
      </c>
      <c r="EJ154">
        <v>1.8690199999999999</v>
      </c>
      <c r="EK154">
        <v>1.87141</v>
      </c>
      <c r="EL154">
        <v>1.8691599999999999</v>
      </c>
      <c r="EM154">
        <v>1.86809</v>
      </c>
      <c r="EN154">
        <v>1.86995</v>
      </c>
      <c r="EO154">
        <v>1.87168</v>
      </c>
      <c r="EP154">
        <v>0</v>
      </c>
      <c r="EQ154">
        <v>0</v>
      </c>
      <c r="ER154">
        <v>0</v>
      </c>
      <c r="ES154">
        <v>0</v>
      </c>
      <c r="ET154" t="s">
        <v>334</v>
      </c>
      <c r="EU154" t="s">
        <v>335</v>
      </c>
      <c r="EV154" t="s">
        <v>336</v>
      </c>
      <c r="EW154" t="s">
        <v>336</v>
      </c>
      <c r="EX154" t="s">
        <v>336</v>
      </c>
      <c r="EY154" t="s">
        <v>336</v>
      </c>
      <c r="EZ154">
        <v>0</v>
      </c>
      <c r="FA154">
        <v>100</v>
      </c>
      <c r="FB154">
        <v>100</v>
      </c>
      <c r="FC154">
        <v>8.0060000000000002</v>
      </c>
      <c r="FD154">
        <v>-0.98929999999999996</v>
      </c>
      <c r="FE154">
        <v>8.033534999999997</v>
      </c>
      <c r="FF154">
        <v>0</v>
      </c>
      <c r="FG154">
        <v>0</v>
      </c>
      <c r="FH154">
        <v>0</v>
      </c>
      <c r="FI154">
        <v>-0.98927100000000023</v>
      </c>
      <c r="FJ154">
        <v>0</v>
      </c>
      <c r="FK154">
        <v>0</v>
      </c>
      <c r="FL154">
        <v>0</v>
      </c>
      <c r="FM154">
        <v>-1</v>
      </c>
      <c r="FN154">
        <v>-1</v>
      </c>
      <c r="FO154">
        <v>-1</v>
      </c>
      <c r="FP154">
        <v>-1</v>
      </c>
      <c r="FQ154">
        <v>0.6</v>
      </c>
      <c r="FR154">
        <v>138.19999999999999</v>
      </c>
      <c r="FS154">
        <v>0.142822</v>
      </c>
      <c r="FT154">
        <v>4.99756</v>
      </c>
      <c r="FU154">
        <v>1.5979000000000001</v>
      </c>
      <c r="FV154">
        <v>2.1533199999999999</v>
      </c>
      <c r="FW154">
        <v>1.5478499999999999</v>
      </c>
      <c r="FX154">
        <v>2.3889200000000002</v>
      </c>
      <c r="FY154">
        <v>34.486400000000003</v>
      </c>
      <c r="FZ154">
        <v>15.664300000000001</v>
      </c>
      <c r="GA154">
        <v>3</v>
      </c>
      <c r="GB154">
        <v>497.24900000000002</v>
      </c>
      <c r="GC154">
        <v>405.524</v>
      </c>
      <c r="GD154">
        <v>27.9117</v>
      </c>
      <c r="GE154">
        <v>29.867000000000001</v>
      </c>
      <c r="GF154">
        <v>30.0002</v>
      </c>
      <c r="GG154">
        <v>30.159199999999998</v>
      </c>
      <c r="GH154">
        <v>30.209499999999998</v>
      </c>
      <c r="GI154">
        <v>-1</v>
      </c>
      <c r="GJ154">
        <v>0</v>
      </c>
      <c r="GK154">
        <v>100</v>
      </c>
      <c r="GL154">
        <v>27.911200000000001</v>
      </c>
      <c r="GM154">
        <v>432.1</v>
      </c>
      <c r="GN154">
        <v>68.912800000000004</v>
      </c>
      <c r="GO154">
        <v>102.202</v>
      </c>
      <c r="GP154">
        <v>96.5</v>
      </c>
    </row>
    <row r="155" spans="1:198" x14ac:dyDescent="0.35">
      <c r="A155">
        <v>139</v>
      </c>
      <c r="B155">
        <v>1775489319.5999999</v>
      </c>
      <c r="C155">
        <v>8281.0999999046326</v>
      </c>
      <c r="D155" t="s">
        <v>748</v>
      </c>
      <c r="E155" t="s">
        <v>749</v>
      </c>
      <c r="F155">
        <v>60</v>
      </c>
      <c r="G155">
        <v>1775489311.849999</v>
      </c>
      <c r="H155">
        <f t="shared" si="60"/>
        <v>2.1731534933370072E-3</v>
      </c>
      <c r="I155">
        <f t="shared" si="61"/>
        <v>2.1731534933370074</v>
      </c>
      <c r="J155">
        <f t="shared" si="62"/>
        <v>1.1944381664322263</v>
      </c>
      <c r="K155">
        <f t="shared" si="63"/>
        <v>30.224086666666668</v>
      </c>
      <c r="L155">
        <f t="shared" si="64"/>
        <v>-3.6940144590099937</v>
      </c>
      <c r="M155">
        <f t="shared" si="65"/>
        <v>-0.37057844331587048</v>
      </c>
      <c r="N155">
        <f t="shared" si="66"/>
        <v>3.0320387512990479</v>
      </c>
      <c r="O155">
        <f t="shared" si="67"/>
        <v>5.8372720295306359E-2</v>
      </c>
      <c r="P155">
        <f t="shared" si="68"/>
        <v>2.3953736581179221</v>
      </c>
      <c r="Q155">
        <f t="shared" si="69"/>
        <v>5.7593833101178625E-2</v>
      </c>
      <c r="R155">
        <f t="shared" si="70"/>
        <v>3.6065259710381221E-2</v>
      </c>
      <c r="S155">
        <f t="shared" si="71"/>
        <v>0</v>
      </c>
      <c r="T155">
        <f t="shared" si="72"/>
        <v>26.614711096583218</v>
      </c>
      <c r="U155">
        <f t="shared" si="73"/>
        <v>27.37231666666667</v>
      </c>
      <c r="V155">
        <f t="shared" si="74"/>
        <v>3.6581764652008162</v>
      </c>
      <c r="W155">
        <f t="shared" si="75"/>
        <v>-1.6252404255791628</v>
      </c>
      <c r="X155">
        <f t="shared" si="76"/>
        <v>-5.9186583020780108E-2</v>
      </c>
      <c r="Y155">
        <f t="shared" si="77"/>
        <v>3.6417124561548277</v>
      </c>
      <c r="Z155">
        <f t="shared" si="78"/>
        <v>3.7173630482215962</v>
      </c>
      <c r="AA155">
        <f t="shared" si="79"/>
        <v>-95.836069056162017</v>
      </c>
      <c r="AB155">
        <f t="shared" si="80"/>
        <v>-9.9428716893168918</v>
      </c>
      <c r="AC155">
        <f t="shared" si="81"/>
        <v>-0.89879883452636145</v>
      </c>
      <c r="AD155">
        <f t="shared" si="82"/>
        <v>-106.67773958000527</v>
      </c>
      <c r="AE155">
        <v>14</v>
      </c>
      <c r="AF155">
        <v>3</v>
      </c>
      <c r="AG155">
        <f t="shared" si="83"/>
        <v>1</v>
      </c>
      <c r="AH155">
        <f t="shared" si="84"/>
        <v>0</v>
      </c>
      <c r="AI155">
        <f t="shared" si="85"/>
        <v>25598.416579861339</v>
      </c>
      <c r="AJ155">
        <f t="shared" si="86"/>
        <v>0</v>
      </c>
      <c r="AK155">
        <f t="shared" si="87"/>
        <v>0</v>
      </c>
      <c r="AL155">
        <f t="shared" si="88"/>
        <v>0</v>
      </c>
      <c r="AM155">
        <f t="shared" si="89"/>
        <v>0</v>
      </c>
      <c r="AN155">
        <v>3</v>
      </c>
      <c r="AO155">
        <v>0.5</v>
      </c>
      <c r="AP155" t="s">
        <v>331</v>
      </c>
      <c r="AQ155">
        <v>2</v>
      </c>
      <c r="AR155">
        <v>1775489311.849999</v>
      </c>
      <c r="AS155">
        <v>30.224086666666668</v>
      </c>
      <c r="AT155">
        <v>30.980123333333339</v>
      </c>
      <c r="AU155">
        <v>-0.5899859999999999</v>
      </c>
      <c r="AV155">
        <v>-1.8945866666666671</v>
      </c>
      <c r="AW155">
        <v>22.181086666666669</v>
      </c>
      <c r="AX155">
        <v>0.399285</v>
      </c>
      <c r="AY155">
        <v>500.0232666666667</v>
      </c>
      <c r="AZ155">
        <v>100.2769666666667</v>
      </c>
      <c r="BA155">
        <v>4.1656183333333333E-2</v>
      </c>
      <c r="BB155">
        <v>27.295323333333329</v>
      </c>
      <c r="BC155">
        <v>27.37231666666667</v>
      </c>
      <c r="BD155">
        <v>999.9000000000002</v>
      </c>
      <c r="BE155">
        <v>0</v>
      </c>
      <c r="BF155">
        <v>0</v>
      </c>
      <c r="BG155">
        <v>5005.0666666666666</v>
      </c>
      <c r="BH155">
        <v>0.37111343333333341</v>
      </c>
      <c r="BI155">
        <v>0.2334426666666666</v>
      </c>
      <c r="BJ155">
        <v>-0.79288213333333313</v>
      </c>
      <c r="BK155">
        <v>30.16943666666667</v>
      </c>
      <c r="BL155">
        <v>30.921526666666661</v>
      </c>
      <c r="BM155">
        <v>1.3046003333333329</v>
      </c>
      <c r="BN155">
        <v>30.980123333333339</v>
      </c>
      <c r="BO155">
        <v>-1.8945866666666671</v>
      </c>
      <c r="BP155">
        <v>-5.9162063333333341E-2</v>
      </c>
      <c r="BQ155">
        <v>-0.1899836333333334</v>
      </c>
      <c r="BR155">
        <v>-99.900000000000034</v>
      </c>
      <c r="BS155">
        <v>-99.900000000000034</v>
      </c>
      <c r="BT155">
        <v>0</v>
      </c>
      <c r="BU155">
        <v>0</v>
      </c>
      <c r="BV155">
        <v>0</v>
      </c>
      <c r="BW155">
        <v>25.706673333333331</v>
      </c>
      <c r="BX155">
        <v>-1</v>
      </c>
      <c r="BY155">
        <v>1775489336.5999999</v>
      </c>
      <c r="BZ155" t="s">
        <v>750</v>
      </c>
      <c r="CA155">
        <v>1775489336.5999999</v>
      </c>
      <c r="CB155">
        <v>1775480969.5</v>
      </c>
      <c r="CC155">
        <v>140</v>
      </c>
      <c r="CD155">
        <v>3.6999999999999998E-2</v>
      </c>
      <c r="CE155">
        <v>0.19500000000000001</v>
      </c>
      <c r="CF155">
        <v>8.0429999999999993</v>
      </c>
      <c r="CG155">
        <v>-0.98899999999999999</v>
      </c>
      <c r="CH155">
        <v>31</v>
      </c>
      <c r="CI155">
        <v>-3</v>
      </c>
      <c r="CJ155">
        <v>0.25</v>
      </c>
      <c r="CK155">
        <v>0.06</v>
      </c>
      <c r="CL155">
        <v>30.645443333333329</v>
      </c>
      <c r="CM155">
        <v>2.237185440400117</v>
      </c>
      <c r="CN155">
        <v>0.36136963595311772</v>
      </c>
      <c r="CO155">
        <v>-1</v>
      </c>
      <c r="CP155">
        <v>500.01790000000011</v>
      </c>
      <c r="CQ155">
        <v>-5.5468741315920632E-2</v>
      </c>
      <c r="CR155">
        <v>6.1727816528149439E-2</v>
      </c>
      <c r="CS155">
        <v>-1</v>
      </c>
      <c r="CT155">
        <v>0</v>
      </c>
      <c r="CU155">
        <v>0</v>
      </c>
      <c r="CV155" t="s">
        <v>333</v>
      </c>
      <c r="CW155">
        <v>3.1674899999999999</v>
      </c>
      <c r="CX155">
        <v>2.6629399999999999</v>
      </c>
      <c r="CY155">
        <v>6.6921300000000001E-3</v>
      </c>
      <c r="CZ155">
        <v>9.2636699999999999E-3</v>
      </c>
      <c r="DA155">
        <v>3.2238700000000002E-3</v>
      </c>
      <c r="DB155">
        <v>-1.74734E-2</v>
      </c>
      <c r="DC155">
        <v>21429.7</v>
      </c>
      <c r="DD155">
        <v>21758.3</v>
      </c>
      <c r="DE155">
        <v>23101.599999999999</v>
      </c>
      <c r="DF155">
        <v>22314.7</v>
      </c>
      <c r="DG155">
        <v>29696.1</v>
      </c>
      <c r="DH155">
        <v>27077.4</v>
      </c>
      <c r="DI155">
        <v>40603</v>
      </c>
      <c r="DJ155">
        <v>36982.400000000001</v>
      </c>
      <c r="DK155">
        <v>2.0857000000000001</v>
      </c>
      <c r="DL155">
        <v>1.79952</v>
      </c>
      <c r="DM155">
        <v>2.36571E-2</v>
      </c>
      <c r="DN155">
        <v>0</v>
      </c>
      <c r="DO155">
        <v>26.999600000000001</v>
      </c>
      <c r="DP155">
        <v>999.9</v>
      </c>
      <c r="DQ155">
        <v>76</v>
      </c>
      <c r="DR155">
        <v>30.2</v>
      </c>
      <c r="DS155">
        <v>32.663800000000002</v>
      </c>
      <c r="DT155">
        <v>30.685600000000001</v>
      </c>
      <c r="DU155">
        <v>9.9439100000000007</v>
      </c>
      <c r="DV155">
        <v>1</v>
      </c>
      <c r="DW155">
        <v>0.20929300000000001</v>
      </c>
      <c r="DX155">
        <v>-0.241647</v>
      </c>
      <c r="DY155">
        <v>20.3675</v>
      </c>
      <c r="DZ155">
        <v>5.2115400000000003</v>
      </c>
      <c r="EA155">
        <v>11.8482</v>
      </c>
      <c r="EB155">
        <v>4.9676</v>
      </c>
      <c r="EC155">
        <v>3.2921200000000002</v>
      </c>
      <c r="ED155">
        <v>894.7</v>
      </c>
      <c r="EE155">
        <v>0</v>
      </c>
      <c r="EF155">
        <v>8168.6</v>
      </c>
      <c r="EG155">
        <v>111.1</v>
      </c>
      <c r="EH155">
        <v>4.97159</v>
      </c>
      <c r="EI155">
        <v>1.8717999999999999</v>
      </c>
      <c r="EJ155">
        <v>1.8690100000000001</v>
      </c>
      <c r="EK155">
        <v>1.87147</v>
      </c>
      <c r="EL155">
        <v>1.8691500000000001</v>
      </c>
      <c r="EM155">
        <v>1.86809</v>
      </c>
      <c r="EN155">
        <v>1.86995</v>
      </c>
      <c r="EO155">
        <v>1.87178</v>
      </c>
      <c r="EP155">
        <v>0</v>
      </c>
      <c r="EQ155">
        <v>0</v>
      </c>
      <c r="ER155">
        <v>0</v>
      </c>
      <c r="ES155">
        <v>0</v>
      </c>
      <c r="ET155" t="s">
        <v>334</v>
      </c>
      <c r="EU155" t="s">
        <v>335</v>
      </c>
      <c r="EV155" t="s">
        <v>336</v>
      </c>
      <c r="EW155" t="s">
        <v>336</v>
      </c>
      <c r="EX155" t="s">
        <v>336</v>
      </c>
      <c r="EY155" t="s">
        <v>336</v>
      </c>
      <c r="EZ155">
        <v>0</v>
      </c>
      <c r="FA155">
        <v>100</v>
      </c>
      <c r="FB155">
        <v>100</v>
      </c>
      <c r="FC155">
        <v>8.0429999999999993</v>
      </c>
      <c r="FD155">
        <v>-0.98929999999999996</v>
      </c>
      <c r="FE155">
        <v>8.0061523809523791</v>
      </c>
      <c r="FF155">
        <v>0</v>
      </c>
      <c r="FG155">
        <v>0</v>
      </c>
      <c r="FH155">
        <v>0</v>
      </c>
      <c r="FI155">
        <v>-0.98927100000000023</v>
      </c>
      <c r="FJ155">
        <v>0</v>
      </c>
      <c r="FK155">
        <v>0</v>
      </c>
      <c r="FL155">
        <v>0</v>
      </c>
      <c r="FM155">
        <v>-1</v>
      </c>
      <c r="FN155">
        <v>-1</v>
      </c>
      <c r="FO155">
        <v>-1</v>
      </c>
      <c r="FP155">
        <v>-1</v>
      </c>
      <c r="FQ155">
        <v>0.7</v>
      </c>
      <c r="FR155">
        <v>139.19999999999999</v>
      </c>
      <c r="FS155">
        <v>0.142822</v>
      </c>
      <c r="FT155">
        <v>4.99756</v>
      </c>
      <c r="FU155">
        <v>1.5979000000000001</v>
      </c>
      <c r="FV155">
        <v>2.1533199999999999</v>
      </c>
      <c r="FW155">
        <v>1.5478499999999999</v>
      </c>
      <c r="FX155">
        <v>2.3132299999999999</v>
      </c>
      <c r="FY155">
        <v>34.5092</v>
      </c>
      <c r="FZ155">
        <v>15.646800000000001</v>
      </c>
      <c r="GA155">
        <v>3</v>
      </c>
      <c r="GB155">
        <v>497.19900000000001</v>
      </c>
      <c r="GC155">
        <v>405.62700000000001</v>
      </c>
      <c r="GD155">
        <v>27.947299999999998</v>
      </c>
      <c r="GE155">
        <v>29.869599999999998</v>
      </c>
      <c r="GF155">
        <v>30.0001</v>
      </c>
      <c r="GG155">
        <v>30.1617</v>
      </c>
      <c r="GH155">
        <v>30.211200000000002</v>
      </c>
      <c r="GI155">
        <v>-1</v>
      </c>
      <c r="GJ155">
        <v>0</v>
      </c>
      <c r="GK155">
        <v>100</v>
      </c>
      <c r="GL155">
        <v>27.950500000000002</v>
      </c>
      <c r="GM155">
        <v>432.1</v>
      </c>
      <c r="GN155">
        <v>68.912800000000004</v>
      </c>
      <c r="GO155">
        <v>102.20099999999999</v>
      </c>
      <c r="GP155">
        <v>96.499600000000001</v>
      </c>
    </row>
    <row r="156" spans="1:198" x14ac:dyDescent="0.35">
      <c r="A156">
        <v>140</v>
      </c>
      <c r="B156">
        <v>1775489379.5999999</v>
      </c>
      <c r="C156">
        <v>8341.0999999046326</v>
      </c>
      <c r="D156" t="s">
        <v>751</v>
      </c>
      <c r="E156" t="s">
        <v>752</v>
      </c>
      <c r="F156">
        <v>60</v>
      </c>
      <c r="G156">
        <v>1775489371.599999</v>
      </c>
      <c r="H156">
        <f t="shared" si="60"/>
        <v>2.1646016428001273E-3</v>
      </c>
      <c r="I156">
        <f t="shared" si="61"/>
        <v>2.1646016428001271</v>
      </c>
      <c r="J156">
        <f t="shared" si="62"/>
        <v>0.29498091161610279</v>
      </c>
      <c r="K156">
        <f t="shared" si="63"/>
        <v>30.896825806451609</v>
      </c>
      <c r="L156">
        <f t="shared" si="64"/>
        <v>21.111323453078143</v>
      </c>
      <c r="M156">
        <f t="shared" si="65"/>
        <v>2.1178642567785997</v>
      </c>
      <c r="N156">
        <f t="shared" si="66"/>
        <v>3.0995348618874807</v>
      </c>
      <c r="O156">
        <f t="shared" si="67"/>
        <v>5.8097324089596752E-2</v>
      </c>
      <c r="P156">
        <f t="shared" si="68"/>
        <v>2.3946292765521222</v>
      </c>
      <c r="Q156">
        <f t="shared" si="69"/>
        <v>5.7325480163175915E-2</v>
      </c>
      <c r="R156">
        <f t="shared" si="70"/>
        <v>3.5896917868308696E-2</v>
      </c>
      <c r="S156">
        <f t="shared" si="71"/>
        <v>0</v>
      </c>
      <c r="T156">
        <f t="shared" si="72"/>
        <v>26.623176213514103</v>
      </c>
      <c r="U156">
        <f t="shared" si="73"/>
        <v>27.37857741935483</v>
      </c>
      <c r="V156">
        <f t="shared" si="74"/>
        <v>3.6595180960052587</v>
      </c>
      <c r="W156">
        <f t="shared" si="75"/>
        <v>-1.6623653066073281</v>
      </c>
      <c r="X156">
        <f t="shared" si="76"/>
        <v>-6.0559771431585994E-2</v>
      </c>
      <c r="Y156">
        <f t="shared" si="77"/>
        <v>3.6429881681771037</v>
      </c>
      <c r="Z156">
        <f t="shared" si="78"/>
        <v>3.7200778674368449</v>
      </c>
      <c r="AA156">
        <f t="shared" si="79"/>
        <v>-95.458932447485608</v>
      </c>
      <c r="AB156">
        <f t="shared" si="80"/>
        <v>-9.9764571555579629</v>
      </c>
      <c r="AC156">
        <f t="shared" si="81"/>
        <v>-0.9021703136951742</v>
      </c>
      <c r="AD156">
        <f t="shared" si="82"/>
        <v>-106.33755991673875</v>
      </c>
      <c r="AE156">
        <v>14</v>
      </c>
      <c r="AF156">
        <v>3</v>
      </c>
      <c r="AG156">
        <f t="shared" si="83"/>
        <v>1</v>
      </c>
      <c r="AH156">
        <f t="shared" si="84"/>
        <v>0</v>
      </c>
      <c r="AI156">
        <f t="shared" si="85"/>
        <v>25586.568930305726</v>
      </c>
      <c r="AJ156">
        <f t="shared" si="86"/>
        <v>0</v>
      </c>
      <c r="AK156">
        <f t="shared" si="87"/>
        <v>0</v>
      </c>
      <c r="AL156">
        <f t="shared" si="88"/>
        <v>0</v>
      </c>
      <c r="AM156">
        <f t="shared" si="89"/>
        <v>0</v>
      </c>
      <c r="AN156">
        <v>3</v>
      </c>
      <c r="AO156">
        <v>0.5</v>
      </c>
      <c r="AP156" t="s">
        <v>331</v>
      </c>
      <c r="AQ156">
        <v>2</v>
      </c>
      <c r="AR156">
        <v>1775489371.599999</v>
      </c>
      <c r="AS156">
        <v>30.896825806451609</v>
      </c>
      <c r="AT156">
        <v>31.11393870967742</v>
      </c>
      <c r="AU156">
        <v>-0.60367274193548393</v>
      </c>
      <c r="AV156">
        <v>-1.9031983870967739</v>
      </c>
      <c r="AW156">
        <v>22.867825806451609</v>
      </c>
      <c r="AX156">
        <v>0.38559825806451609</v>
      </c>
      <c r="AY156">
        <v>500.00745161290308</v>
      </c>
      <c r="AZ156">
        <v>100.2774193548387</v>
      </c>
      <c r="BA156">
        <v>4.1457454838709683E-2</v>
      </c>
      <c r="BB156">
        <v>27.301299999999991</v>
      </c>
      <c r="BC156">
        <v>27.37857741935483</v>
      </c>
      <c r="BD156">
        <v>999.90000000000032</v>
      </c>
      <c r="BE156">
        <v>0</v>
      </c>
      <c r="BF156">
        <v>0</v>
      </c>
      <c r="BG156">
        <v>5003.1290322580644</v>
      </c>
      <c r="BH156">
        <v>0.37698512903225811</v>
      </c>
      <c r="BI156">
        <v>0.23331922580645159</v>
      </c>
      <c r="BJ156">
        <v>-0.2028094516129032</v>
      </c>
      <c r="BK156">
        <v>30.892480645161289</v>
      </c>
      <c r="BL156">
        <v>31.05484516129032</v>
      </c>
      <c r="BM156">
        <v>1.2995258064516131</v>
      </c>
      <c r="BN156">
        <v>31.11393870967742</v>
      </c>
      <c r="BO156">
        <v>-1.9031983870967739</v>
      </c>
      <c r="BP156">
        <v>-6.0534745161290322E-2</v>
      </c>
      <c r="BQ156">
        <v>-0.19084783870967739</v>
      </c>
      <c r="BR156">
        <v>-99.900000000000034</v>
      </c>
      <c r="BS156">
        <v>-99.900000000000034</v>
      </c>
      <c r="BT156">
        <v>0</v>
      </c>
      <c r="BU156">
        <v>0</v>
      </c>
      <c r="BV156">
        <v>0</v>
      </c>
      <c r="BW156">
        <v>25.526890322580641</v>
      </c>
      <c r="BX156">
        <v>-1</v>
      </c>
      <c r="BY156">
        <v>1775489397.5999999</v>
      </c>
      <c r="BZ156" t="s">
        <v>753</v>
      </c>
      <c r="CA156">
        <v>1775489397.5999999</v>
      </c>
      <c r="CB156">
        <v>1775480969.5</v>
      </c>
      <c r="CC156">
        <v>141</v>
      </c>
      <c r="CD156">
        <v>-1.4999999999999999E-2</v>
      </c>
      <c r="CE156">
        <v>0.19500000000000001</v>
      </c>
      <c r="CF156">
        <v>8.0289999999999999</v>
      </c>
      <c r="CG156">
        <v>-0.98899999999999999</v>
      </c>
      <c r="CH156">
        <v>31</v>
      </c>
      <c r="CI156">
        <v>-3</v>
      </c>
      <c r="CJ156">
        <v>0.22</v>
      </c>
      <c r="CK156">
        <v>0.06</v>
      </c>
      <c r="CL156">
        <v>31.306267213114761</v>
      </c>
      <c r="CM156">
        <v>-1.2359517715494419</v>
      </c>
      <c r="CN156">
        <v>0.25611480438151318</v>
      </c>
      <c r="CO156">
        <v>-1</v>
      </c>
      <c r="CP156">
        <v>500.00465573770492</v>
      </c>
      <c r="CQ156">
        <v>-2.983183500762444E-2</v>
      </c>
      <c r="CR156">
        <v>4.11506170883374E-2</v>
      </c>
      <c r="CS156">
        <v>-1</v>
      </c>
      <c r="CT156">
        <v>0</v>
      </c>
      <c r="CU156">
        <v>0</v>
      </c>
      <c r="CV156" t="s">
        <v>333</v>
      </c>
      <c r="CW156">
        <v>3.1675300000000002</v>
      </c>
      <c r="CX156">
        <v>2.6626400000000001</v>
      </c>
      <c r="CY156">
        <v>6.7493199999999996E-3</v>
      </c>
      <c r="CZ156">
        <v>9.3007799999999998E-3</v>
      </c>
      <c r="DA156">
        <v>3.14058E-3</v>
      </c>
      <c r="DB156">
        <v>-1.7553699999999998E-2</v>
      </c>
      <c r="DC156">
        <v>21428.400000000001</v>
      </c>
      <c r="DD156">
        <v>21757.8</v>
      </c>
      <c r="DE156">
        <v>23101.599999999999</v>
      </c>
      <c r="DF156">
        <v>22315</v>
      </c>
      <c r="DG156">
        <v>29698.799999999999</v>
      </c>
      <c r="DH156">
        <v>27080.1</v>
      </c>
      <c r="DI156">
        <v>40603.300000000003</v>
      </c>
      <c r="DJ156">
        <v>36983.199999999997</v>
      </c>
      <c r="DK156">
        <v>2.0859800000000002</v>
      </c>
      <c r="DL156">
        <v>1.7992999999999999</v>
      </c>
      <c r="DM156">
        <v>2.3353100000000002E-2</v>
      </c>
      <c r="DN156">
        <v>0</v>
      </c>
      <c r="DO156">
        <v>26.999600000000001</v>
      </c>
      <c r="DP156">
        <v>999.9</v>
      </c>
      <c r="DQ156">
        <v>76</v>
      </c>
      <c r="DR156">
        <v>30.2</v>
      </c>
      <c r="DS156">
        <v>32.663600000000002</v>
      </c>
      <c r="DT156">
        <v>30.5656</v>
      </c>
      <c r="DU156">
        <v>9.8637800000000002</v>
      </c>
      <c r="DV156">
        <v>1</v>
      </c>
      <c r="DW156">
        <v>0.20913000000000001</v>
      </c>
      <c r="DX156">
        <v>-0.217671</v>
      </c>
      <c r="DY156">
        <v>20.367799999999999</v>
      </c>
      <c r="DZ156">
        <v>5.2119</v>
      </c>
      <c r="EA156">
        <v>11.8482</v>
      </c>
      <c r="EB156">
        <v>4.9677600000000002</v>
      </c>
      <c r="EC156">
        <v>3.2922400000000001</v>
      </c>
      <c r="ED156">
        <v>894.7</v>
      </c>
      <c r="EE156">
        <v>0</v>
      </c>
      <c r="EF156">
        <v>8201.1</v>
      </c>
      <c r="EG156">
        <v>111.1</v>
      </c>
      <c r="EH156">
        <v>4.9715999999999996</v>
      </c>
      <c r="EI156">
        <v>1.8717999999999999</v>
      </c>
      <c r="EJ156">
        <v>1.86904</v>
      </c>
      <c r="EK156">
        <v>1.87147</v>
      </c>
      <c r="EL156">
        <v>1.8691899999999999</v>
      </c>
      <c r="EM156">
        <v>1.8681099999999999</v>
      </c>
      <c r="EN156">
        <v>1.8699600000000001</v>
      </c>
      <c r="EO156">
        <v>1.8717600000000001</v>
      </c>
      <c r="EP156">
        <v>0</v>
      </c>
      <c r="EQ156">
        <v>0</v>
      </c>
      <c r="ER156">
        <v>0</v>
      </c>
      <c r="ES156">
        <v>0</v>
      </c>
      <c r="ET156" t="s">
        <v>334</v>
      </c>
      <c r="EU156" t="s">
        <v>335</v>
      </c>
      <c r="EV156" t="s">
        <v>336</v>
      </c>
      <c r="EW156" t="s">
        <v>336</v>
      </c>
      <c r="EX156" t="s">
        <v>336</v>
      </c>
      <c r="EY156" t="s">
        <v>336</v>
      </c>
      <c r="EZ156">
        <v>0</v>
      </c>
      <c r="FA156">
        <v>100</v>
      </c>
      <c r="FB156">
        <v>100</v>
      </c>
      <c r="FC156">
        <v>8.0289999999999999</v>
      </c>
      <c r="FD156">
        <v>-0.98929999999999996</v>
      </c>
      <c r="FE156">
        <v>8.0433099999999982</v>
      </c>
      <c r="FF156">
        <v>0</v>
      </c>
      <c r="FG156">
        <v>0</v>
      </c>
      <c r="FH156">
        <v>0</v>
      </c>
      <c r="FI156">
        <v>-0.98927100000000023</v>
      </c>
      <c r="FJ156">
        <v>0</v>
      </c>
      <c r="FK156">
        <v>0</v>
      </c>
      <c r="FL156">
        <v>0</v>
      </c>
      <c r="FM156">
        <v>-1</v>
      </c>
      <c r="FN156">
        <v>-1</v>
      </c>
      <c r="FO156">
        <v>-1</v>
      </c>
      <c r="FP156">
        <v>-1</v>
      </c>
      <c r="FQ156">
        <v>0.7</v>
      </c>
      <c r="FR156">
        <v>140.19999999999999</v>
      </c>
      <c r="FS156">
        <v>0.142822</v>
      </c>
      <c r="FT156">
        <v>4.99756</v>
      </c>
      <c r="FU156">
        <v>1.5979000000000001</v>
      </c>
      <c r="FV156">
        <v>2.1520999999999999</v>
      </c>
      <c r="FW156">
        <v>1.5478499999999999</v>
      </c>
      <c r="FX156">
        <v>2.3718300000000001</v>
      </c>
      <c r="FY156">
        <v>34.5092</v>
      </c>
      <c r="FZ156">
        <v>15.646800000000001</v>
      </c>
      <c r="GA156">
        <v>3</v>
      </c>
      <c r="GB156">
        <v>497.36200000000002</v>
      </c>
      <c r="GC156">
        <v>405.49</v>
      </c>
      <c r="GD156">
        <v>27.9374</v>
      </c>
      <c r="GE156">
        <v>29.8688</v>
      </c>
      <c r="GF156">
        <v>30.0001</v>
      </c>
      <c r="GG156">
        <v>30.1617</v>
      </c>
      <c r="GH156">
        <v>30.209499999999998</v>
      </c>
      <c r="GI156">
        <v>-1</v>
      </c>
      <c r="GJ156">
        <v>0</v>
      </c>
      <c r="GK156">
        <v>100</v>
      </c>
      <c r="GL156">
        <v>27.936399999999999</v>
      </c>
      <c r="GM156">
        <v>432.1</v>
      </c>
      <c r="GN156">
        <v>68.912800000000004</v>
      </c>
      <c r="GO156">
        <v>102.202</v>
      </c>
      <c r="GP156">
        <v>96.501400000000004</v>
      </c>
    </row>
    <row r="157" spans="1:198" x14ac:dyDescent="0.35">
      <c r="A157">
        <v>141</v>
      </c>
      <c r="B157">
        <v>1775489439.5999999</v>
      </c>
      <c r="C157">
        <v>8401.0999999046326</v>
      </c>
      <c r="D157" t="s">
        <v>754</v>
      </c>
      <c r="E157" t="s">
        <v>755</v>
      </c>
      <c r="F157">
        <v>60</v>
      </c>
      <c r="G157">
        <v>1775489431.599999</v>
      </c>
      <c r="H157">
        <f t="shared" si="60"/>
        <v>2.1466427214364234E-3</v>
      </c>
      <c r="I157">
        <f t="shared" si="61"/>
        <v>2.1466427214364234</v>
      </c>
      <c r="J157">
        <f t="shared" si="62"/>
        <v>0.56193156444437198</v>
      </c>
      <c r="K157">
        <f t="shared" si="63"/>
        <v>29.952780645161301</v>
      </c>
      <c r="L157">
        <f t="shared" si="64"/>
        <v>12.874667898562658</v>
      </c>
      <c r="M157">
        <f t="shared" si="65"/>
        <v>1.2915656190074072</v>
      </c>
      <c r="N157">
        <f t="shared" si="66"/>
        <v>3.0048139478051925</v>
      </c>
      <c r="O157">
        <f t="shared" si="67"/>
        <v>5.7603748996328613E-2</v>
      </c>
      <c r="P157">
        <f t="shared" si="68"/>
        <v>2.393593463787381</v>
      </c>
      <c r="Q157">
        <f t="shared" si="69"/>
        <v>5.6844547901576829E-2</v>
      </c>
      <c r="R157">
        <f t="shared" si="70"/>
        <v>3.559521996436539E-2</v>
      </c>
      <c r="S157">
        <f t="shared" si="71"/>
        <v>0</v>
      </c>
      <c r="T157">
        <f t="shared" si="72"/>
        <v>26.625072259310098</v>
      </c>
      <c r="U157">
        <f t="shared" si="73"/>
        <v>27.37529032258065</v>
      </c>
      <c r="V157">
        <f t="shared" si="74"/>
        <v>3.6588136430949967</v>
      </c>
      <c r="W157">
        <f t="shared" si="75"/>
        <v>-1.6919950387091705</v>
      </c>
      <c r="X157">
        <f t="shared" si="76"/>
        <v>-6.1626677665995951E-2</v>
      </c>
      <c r="Y157">
        <f t="shared" si="77"/>
        <v>3.6422493125636572</v>
      </c>
      <c r="Z157">
        <f t="shared" si="78"/>
        <v>3.7204403207609928</v>
      </c>
      <c r="AA157">
        <f t="shared" si="79"/>
        <v>-94.666944015346274</v>
      </c>
      <c r="AB157">
        <f t="shared" si="80"/>
        <v>-9.9946203025214846</v>
      </c>
      <c r="AC157">
        <f t="shared" si="81"/>
        <v>-0.90417345054070231</v>
      </c>
      <c r="AD157">
        <f t="shared" si="82"/>
        <v>-105.56573776840845</v>
      </c>
      <c r="AE157">
        <v>14</v>
      </c>
      <c r="AF157">
        <v>3</v>
      </c>
      <c r="AG157">
        <f t="shared" si="83"/>
        <v>1</v>
      </c>
      <c r="AH157">
        <f t="shared" si="84"/>
        <v>0</v>
      </c>
      <c r="AI157">
        <f t="shared" si="85"/>
        <v>25571.127751304695</v>
      </c>
      <c r="AJ157">
        <f t="shared" si="86"/>
        <v>0</v>
      </c>
      <c r="AK157">
        <f t="shared" si="87"/>
        <v>0</v>
      </c>
      <c r="AL157">
        <f t="shared" si="88"/>
        <v>0</v>
      </c>
      <c r="AM157">
        <f t="shared" si="89"/>
        <v>0</v>
      </c>
      <c r="AN157">
        <v>3</v>
      </c>
      <c r="AO157">
        <v>0.5</v>
      </c>
      <c r="AP157" t="s">
        <v>331</v>
      </c>
      <c r="AQ157">
        <v>2</v>
      </c>
      <c r="AR157">
        <v>1775489431.599999</v>
      </c>
      <c r="AS157">
        <v>29.952780645161301</v>
      </c>
      <c r="AT157">
        <v>30.328516129032248</v>
      </c>
      <c r="AU157">
        <v>-0.61431103225806449</v>
      </c>
      <c r="AV157">
        <v>-1.903080322580645</v>
      </c>
      <c r="AW157">
        <v>21.911780645161301</v>
      </c>
      <c r="AX157">
        <v>0.37495990322580652</v>
      </c>
      <c r="AY157">
        <v>500.002935483871</v>
      </c>
      <c r="AZ157">
        <v>100.27703225806449</v>
      </c>
      <c r="BA157">
        <v>4.1331616129032259E-2</v>
      </c>
      <c r="BB157">
        <v>27.297838709677411</v>
      </c>
      <c r="BC157">
        <v>27.37529032258065</v>
      </c>
      <c r="BD157">
        <v>999.90000000000032</v>
      </c>
      <c r="BE157">
        <v>0</v>
      </c>
      <c r="BF157">
        <v>0</v>
      </c>
      <c r="BG157">
        <v>5000.4838709677406</v>
      </c>
      <c r="BH157">
        <v>0.37187006451612897</v>
      </c>
      <c r="BI157">
        <v>0.23331922580645159</v>
      </c>
      <c r="BJ157">
        <v>-0.38815660322580642</v>
      </c>
      <c r="BK157">
        <v>29.92198387096774</v>
      </c>
      <c r="BL157">
        <v>30.270912903225799</v>
      </c>
      <c r="BM157">
        <v>1.288768709677419</v>
      </c>
      <c r="BN157">
        <v>30.328516129032248</v>
      </c>
      <c r="BO157">
        <v>-1.903080322580645</v>
      </c>
      <c r="BP157">
        <v>-6.1601267741935473E-2</v>
      </c>
      <c r="BQ157">
        <v>-0.1908352258064516</v>
      </c>
      <c r="BR157">
        <v>-99.900000000000034</v>
      </c>
      <c r="BS157">
        <v>-99.900000000000034</v>
      </c>
      <c r="BT157">
        <v>0</v>
      </c>
      <c r="BU157">
        <v>0</v>
      </c>
      <c r="BV157">
        <v>0</v>
      </c>
      <c r="BW157">
        <v>25.421490322580649</v>
      </c>
      <c r="BX157">
        <v>-1</v>
      </c>
      <c r="BY157">
        <v>1775489455.5999999</v>
      </c>
      <c r="BZ157" t="s">
        <v>756</v>
      </c>
      <c r="CA157">
        <v>1775489455.5999999</v>
      </c>
      <c r="CB157">
        <v>1775480969.5</v>
      </c>
      <c r="CC157">
        <v>142</v>
      </c>
      <c r="CD157">
        <v>1.2E-2</v>
      </c>
      <c r="CE157">
        <v>0.19500000000000001</v>
      </c>
      <c r="CF157">
        <v>8.0410000000000004</v>
      </c>
      <c r="CG157">
        <v>-0.98899999999999999</v>
      </c>
      <c r="CH157">
        <v>31</v>
      </c>
      <c r="CI157">
        <v>-3</v>
      </c>
      <c r="CJ157">
        <v>0.25</v>
      </c>
      <c r="CK157">
        <v>0.06</v>
      </c>
      <c r="CL157">
        <v>30.406588524590159</v>
      </c>
      <c r="CM157">
        <v>-0.81972374405073467</v>
      </c>
      <c r="CN157">
        <v>0.26530752715796718</v>
      </c>
      <c r="CO157">
        <v>-1</v>
      </c>
      <c r="CP157">
        <v>499.9990491803278</v>
      </c>
      <c r="CQ157">
        <v>5.5354838709377477E-2</v>
      </c>
      <c r="CR157">
        <v>5.309732055525572E-2</v>
      </c>
      <c r="CS157">
        <v>-1</v>
      </c>
      <c r="CT157">
        <v>0</v>
      </c>
      <c r="CU157">
        <v>0</v>
      </c>
      <c r="CV157" t="s">
        <v>333</v>
      </c>
      <c r="CW157">
        <v>3.1674500000000001</v>
      </c>
      <c r="CX157">
        <v>2.6627000000000001</v>
      </c>
      <c r="CY157">
        <v>6.5417899999999996E-3</v>
      </c>
      <c r="CZ157">
        <v>9.1966300000000008E-3</v>
      </c>
      <c r="DA157">
        <v>3.0344199999999999E-3</v>
      </c>
      <c r="DB157">
        <v>-1.75493E-2</v>
      </c>
      <c r="DC157">
        <v>21433.1</v>
      </c>
      <c r="DD157">
        <v>21760.1</v>
      </c>
      <c r="DE157">
        <v>23101.7</v>
      </c>
      <c r="DF157">
        <v>22315</v>
      </c>
      <c r="DG157">
        <v>29702.2</v>
      </c>
      <c r="DH157">
        <v>27079.8</v>
      </c>
      <c r="DI157">
        <v>40603.599999999999</v>
      </c>
      <c r="DJ157">
        <v>36983</v>
      </c>
      <c r="DK157">
        <v>2.0859399999999999</v>
      </c>
      <c r="DL157">
        <v>1.79878</v>
      </c>
      <c r="DM157">
        <v>2.28405E-2</v>
      </c>
      <c r="DN157">
        <v>0</v>
      </c>
      <c r="DO157">
        <v>26.997299999999999</v>
      </c>
      <c r="DP157">
        <v>999.9</v>
      </c>
      <c r="DQ157">
        <v>76</v>
      </c>
      <c r="DR157">
        <v>30.2</v>
      </c>
      <c r="DS157">
        <v>32.663800000000002</v>
      </c>
      <c r="DT157">
        <v>30.505600000000001</v>
      </c>
      <c r="DU157">
        <v>9.6955100000000005</v>
      </c>
      <c r="DV157">
        <v>1</v>
      </c>
      <c r="DW157">
        <v>0.20822399999999999</v>
      </c>
      <c r="DX157">
        <v>-0.23896100000000001</v>
      </c>
      <c r="DY157">
        <v>20.367599999999999</v>
      </c>
      <c r="DZ157">
        <v>5.2122599999999997</v>
      </c>
      <c r="EA157">
        <v>11.8483</v>
      </c>
      <c r="EB157">
        <v>4.9678399999999998</v>
      </c>
      <c r="EC157">
        <v>3.2922400000000001</v>
      </c>
      <c r="ED157">
        <v>894.7</v>
      </c>
      <c r="EE157">
        <v>0</v>
      </c>
      <c r="EF157">
        <v>8227.7999999999993</v>
      </c>
      <c r="EG157">
        <v>111.2</v>
      </c>
      <c r="EH157">
        <v>4.9715800000000003</v>
      </c>
      <c r="EI157">
        <v>1.8717999999999999</v>
      </c>
      <c r="EJ157">
        <v>1.86903</v>
      </c>
      <c r="EK157">
        <v>1.8714200000000001</v>
      </c>
      <c r="EL157">
        <v>1.8691599999999999</v>
      </c>
      <c r="EM157">
        <v>1.8681300000000001</v>
      </c>
      <c r="EN157">
        <v>1.86995</v>
      </c>
      <c r="EO157">
        <v>1.8717600000000001</v>
      </c>
      <c r="EP157">
        <v>0</v>
      </c>
      <c r="EQ157">
        <v>0</v>
      </c>
      <c r="ER157">
        <v>0</v>
      </c>
      <c r="ES157">
        <v>0</v>
      </c>
      <c r="ET157" t="s">
        <v>334</v>
      </c>
      <c r="EU157" t="s">
        <v>335</v>
      </c>
      <c r="EV157" t="s">
        <v>336</v>
      </c>
      <c r="EW157" t="s">
        <v>336</v>
      </c>
      <c r="EX157" t="s">
        <v>336</v>
      </c>
      <c r="EY157" t="s">
        <v>336</v>
      </c>
      <c r="EZ157">
        <v>0</v>
      </c>
      <c r="FA157">
        <v>100</v>
      </c>
      <c r="FB157">
        <v>100</v>
      </c>
      <c r="FC157">
        <v>8.0410000000000004</v>
      </c>
      <c r="FD157">
        <v>-0.98929999999999996</v>
      </c>
      <c r="FE157">
        <v>8.0285799999999945</v>
      </c>
      <c r="FF157">
        <v>0</v>
      </c>
      <c r="FG157">
        <v>0</v>
      </c>
      <c r="FH157">
        <v>0</v>
      </c>
      <c r="FI157">
        <v>-0.98927100000000023</v>
      </c>
      <c r="FJ157">
        <v>0</v>
      </c>
      <c r="FK157">
        <v>0</v>
      </c>
      <c r="FL157">
        <v>0</v>
      </c>
      <c r="FM157">
        <v>-1</v>
      </c>
      <c r="FN157">
        <v>-1</v>
      </c>
      <c r="FO157">
        <v>-1</v>
      </c>
      <c r="FP157">
        <v>-1</v>
      </c>
      <c r="FQ157">
        <v>0.7</v>
      </c>
      <c r="FR157">
        <v>141.19999999999999</v>
      </c>
      <c r="FS157">
        <v>0.142822</v>
      </c>
      <c r="FT157">
        <v>4.99756</v>
      </c>
      <c r="FU157">
        <v>1.5979000000000001</v>
      </c>
      <c r="FV157">
        <v>2.1520999999999999</v>
      </c>
      <c r="FW157">
        <v>1.5478499999999999</v>
      </c>
      <c r="FX157">
        <v>2.4182100000000002</v>
      </c>
      <c r="FY157">
        <v>34.5092</v>
      </c>
      <c r="FZ157">
        <v>15.6381</v>
      </c>
      <c r="GA157">
        <v>3</v>
      </c>
      <c r="GB157">
        <v>497.31700000000001</v>
      </c>
      <c r="GC157">
        <v>405.17500000000001</v>
      </c>
      <c r="GD157">
        <v>27.936599999999999</v>
      </c>
      <c r="GE157">
        <v>29.8645</v>
      </c>
      <c r="GF157">
        <v>30.0001</v>
      </c>
      <c r="GG157">
        <v>30.158899999999999</v>
      </c>
      <c r="GH157">
        <v>30.207000000000001</v>
      </c>
      <c r="GI157">
        <v>-1</v>
      </c>
      <c r="GJ157">
        <v>0</v>
      </c>
      <c r="GK157">
        <v>100</v>
      </c>
      <c r="GL157">
        <v>27.9376</v>
      </c>
      <c r="GM157">
        <v>432.1</v>
      </c>
      <c r="GN157">
        <v>68.912800000000004</v>
      </c>
      <c r="GO157">
        <v>102.203</v>
      </c>
      <c r="GP157">
        <v>96.501099999999994</v>
      </c>
    </row>
    <row r="158" spans="1:198" x14ac:dyDescent="0.35">
      <c r="A158">
        <v>142</v>
      </c>
      <c r="B158">
        <v>1775489499.5999999</v>
      </c>
      <c r="C158">
        <v>8461.0999999046326</v>
      </c>
      <c r="D158" t="s">
        <v>757</v>
      </c>
      <c r="E158" t="s">
        <v>758</v>
      </c>
      <c r="F158">
        <v>60</v>
      </c>
      <c r="G158">
        <v>1775489491.599999</v>
      </c>
      <c r="H158">
        <f t="shared" si="60"/>
        <v>2.1515255624203794E-3</v>
      </c>
      <c r="I158">
        <f t="shared" si="61"/>
        <v>2.1515255624203795</v>
      </c>
      <c r="J158">
        <f t="shared" si="62"/>
        <v>0.64898533624424659</v>
      </c>
      <c r="K158">
        <f t="shared" si="63"/>
        <v>30.58690967741936</v>
      </c>
      <c r="L158">
        <f t="shared" si="64"/>
        <v>11.133580871470501</v>
      </c>
      <c r="M158">
        <f t="shared" si="65"/>
        <v>1.1168986003423633</v>
      </c>
      <c r="N158">
        <f t="shared" si="66"/>
        <v>3.0684176997401069</v>
      </c>
      <c r="O158">
        <f t="shared" si="67"/>
        <v>5.7722981766780125E-2</v>
      </c>
      <c r="P158">
        <f t="shared" si="68"/>
        <v>2.394848751598059</v>
      </c>
      <c r="Q158">
        <f t="shared" si="69"/>
        <v>5.6961050832783494E-2</v>
      </c>
      <c r="R158">
        <f t="shared" si="70"/>
        <v>3.5668275291701655E-2</v>
      </c>
      <c r="S158">
        <f t="shared" si="71"/>
        <v>0</v>
      </c>
      <c r="T158">
        <f t="shared" si="72"/>
        <v>26.62298496391659</v>
      </c>
      <c r="U158">
        <f t="shared" si="73"/>
        <v>27.376438709677419</v>
      </c>
      <c r="V158">
        <f t="shared" si="74"/>
        <v>3.6590597388048396</v>
      </c>
      <c r="W158">
        <f t="shared" si="75"/>
        <v>-1.7080771108447523</v>
      </c>
      <c r="X158">
        <f t="shared" si="76"/>
        <v>-6.2209216260694693E-2</v>
      </c>
      <c r="Y158">
        <f t="shared" si="77"/>
        <v>3.642061348736668</v>
      </c>
      <c r="Z158">
        <f t="shared" si="78"/>
        <v>3.7212689550655345</v>
      </c>
      <c r="AA158">
        <f t="shared" si="79"/>
        <v>-94.882277302738729</v>
      </c>
      <c r="AB158">
        <f t="shared" si="80"/>
        <v>-10.261832404501087</v>
      </c>
      <c r="AC158">
        <f t="shared" si="81"/>
        <v>-0.92786170169972737</v>
      </c>
      <c r="AD158">
        <f t="shared" si="82"/>
        <v>-106.07197140893955</v>
      </c>
      <c r="AE158">
        <v>14</v>
      </c>
      <c r="AF158">
        <v>3</v>
      </c>
      <c r="AG158">
        <f t="shared" si="83"/>
        <v>1</v>
      </c>
      <c r="AH158">
        <f t="shared" si="84"/>
        <v>0</v>
      </c>
      <c r="AI158">
        <f t="shared" si="85"/>
        <v>25590.31503693949</v>
      </c>
      <c r="AJ158">
        <f t="shared" si="86"/>
        <v>0</v>
      </c>
      <c r="AK158">
        <f t="shared" si="87"/>
        <v>0</v>
      </c>
      <c r="AL158">
        <f t="shared" si="88"/>
        <v>0</v>
      </c>
      <c r="AM158">
        <f t="shared" si="89"/>
        <v>0</v>
      </c>
      <c r="AN158">
        <v>3</v>
      </c>
      <c r="AO158">
        <v>0.5</v>
      </c>
      <c r="AP158" t="s">
        <v>331</v>
      </c>
      <c r="AQ158">
        <v>2</v>
      </c>
      <c r="AR158">
        <v>1775489491.599999</v>
      </c>
      <c r="AS158">
        <v>30.58690967741936</v>
      </c>
      <c r="AT158">
        <v>31.01578709677419</v>
      </c>
      <c r="AU158">
        <v>-0.62012016129032277</v>
      </c>
      <c r="AV158">
        <v>-1.91183935483871</v>
      </c>
      <c r="AW158">
        <v>22.556909677419359</v>
      </c>
      <c r="AX158">
        <v>0.36915080645161291</v>
      </c>
      <c r="AY158">
        <v>499.99870967741941</v>
      </c>
      <c r="AZ158">
        <v>100.2764516129032</v>
      </c>
      <c r="BA158">
        <v>4.1551483870967749E-2</v>
      </c>
      <c r="BB158">
        <v>27.296958064516129</v>
      </c>
      <c r="BC158">
        <v>27.376438709677419</v>
      </c>
      <c r="BD158">
        <v>999.90000000000032</v>
      </c>
      <c r="BE158">
        <v>0</v>
      </c>
      <c r="BF158">
        <v>0</v>
      </c>
      <c r="BG158">
        <v>5003.7419354838712</v>
      </c>
      <c r="BH158">
        <v>0.37914587096774188</v>
      </c>
      <c r="BI158">
        <v>0.23331922580645159</v>
      </c>
      <c r="BJ158">
        <v>-0.41830967741935482</v>
      </c>
      <c r="BK158">
        <v>30.578516129032259</v>
      </c>
      <c r="BL158">
        <v>30.956600000000002</v>
      </c>
      <c r="BM158">
        <v>1.2917187096774201</v>
      </c>
      <c r="BN158">
        <v>31.01578709677419</v>
      </c>
      <c r="BO158">
        <v>-1.91183935483871</v>
      </c>
      <c r="BP158">
        <v>-6.218347096774194E-2</v>
      </c>
      <c r="BQ158">
        <v>-0.19171245161290321</v>
      </c>
      <c r="BR158">
        <v>-99.900000000000034</v>
      </c>
      <c r="BS158">
        <v>-99.900000000000034</v>
      </c>
      <c r="BT158">
        <v>0</v>
      </c>
      <c r="BU158">
        <v>0</v>
      </c>
      <c r="BV158">
        <v>0</v>
      </c>
      <c r="BW158">
        <v>25.278487096774199</v>
      </c>
      <c r="BX158">
        <v>-1</v>
      </c>
      <c r="BY158">
        <v>1775489515.5999999</v>
      </c>
      <c r="BZ158" t="s">
        <v>759</v>
      </c>
      <c r="CA158">
        <v>1775489515.5999999</v>
      </c>
      <c r="CB158">
        <v>1775480969.5</v>
      </c>
      <c r="CC158">
        <v>143</v>
      </c>
      <c r="CD158">
        <v>-0.01</v>
      </c>
      <c r="CE158">
        <v>0.19500000000000001</v>
      </c>
      <c r="CF158">
        <v>8.0299999999999994</v>
      </c>
      <c r="CG158">
        <v>-0.98899999999999999</v>
      </c>
      <c r="CH158">
        <v>31</v>
      </c>
      <c r="CI158">
        <v>-3</v>
      </c>
      <c r="CJ158">
        <v>0.17</v>
      </c>
      <c r="CK158">
        <v>0.06</v>
      </c>
      <c r="CL158">
        <v>31.102628333333332</v>
      </c>
      <c r="CM158">
        <v>-0.86728791330923438</v>
      </c>
      <c r="CN158">
        <v>0.2034166267308441</v>
      </c>
      <c r="CO158">
        <v>-1</v>
      </c>
      <c r="CP158">
        <v>499.99913333333342</v>
      </c>
      <c r="CQ158">
        <v>-4.7906640731805727E-2</v>
      </c>
      <c r="CR158">
        <v>5.3308056510144967E-2</v>
      </c>
      <c r="CS158">
        <v>-1</v>
      </c>
      <c r="CT158">
        <v>0</v>
      </c>
      <c r="CU158">
        <v>0</v>
      </c>
      <c r="CV158" t="s">
        <v>333</v>
      </c>
      <c r="CW158">
        <v>3.1675</v>
      </c>
      <c r="CX158">
        <v>2.66309</v>
      </c>
      <c r="CY158">
        <v>6.7256399999999997E-3</v>
      </c>
      <c r="CZ158">
        <v>9.2339299999999996E-3</v>
      </c>
      <c r="DA158">
        <v>2.9653599999999998E-3</v>
      </c>
      <c r="DB158">
        <v>-1.76604E-2</v>
      </c>
      <c r="DC158">
        <v>21429</v>
      </c>
      <c r="DD158">
        <v>21759.4</v>
      </c>
      <c r="DE158">
        <v>23101.7</v>
      </c>
      <c r="DF158">
        <v>22315.1</v>
      </c>
      <c r="DG158">
        <v>29704</v>
      </c>
      <c r="DH158">
        <v>27083</v>
      </c>
      <c r="DI158">
        <v>40603.300000000003</v>
      </c>
      <c r="DJ158">
        <v>36983.300000000003</v>
      </c>
      <c r="DK158">
        <v>2.0864199999999999</v>
      </c>
      <c r="DL158">
        <v>1.79898</v>
      </c>
      <c r="DM158">
        <v>2.3186200000000001E-2</v>
      </c>
      <c r="DN158">
        <v>0</v>
      </c>
      <c r="DO158">
        <v>26.997299999999999</v>
      </c>
      <c r="DP158">
        <v>999.9</v>
      </c>
      <c r="DQ158">
        <v>75.900000000000006</v>
      </c>
      <c r="DR158">
        <v>30.2</v>
      </c>
      <c r="DS158">
        <v>32.618200000000002</v>
      </c>
      <c r="DT158">
        <v>30.715599999999998</v>
      </c>
      <c r="DU158">
        <v>9.8197100000000006</v>
      </c>
      <c r="DV158">
        <v>1</v>
      </c>
      <c r="DW158">
        <v>0.20773800000000001</v>
      </c>
      <c r="DX158">
        <v>-0.25035499999999999</v>
      </c>
      <c r="DY158">
        <v>20.3675</v>
      </c>
      <c r="DZ158">
        <v>5.2119</v>
      </c>
      <c r="EA158">
        <v>11.8485</v>
      </c>
      <c r="EB158">
        <v>4.9678000000000004</v>
      </c>
      <c r="EC158">
        <v>3.2921200000000002</v>
      </c>
      <c r="ED158">
        <v>894.7</v>
      </c>
      <c r="EE158">
        <v>0</v>
      </c>
      <c r="EF158">
        <v>8261.4</v>
      </c>
      <c r="EG158">
        <v>111.2</v>
      </c>
      <c r="EH158">
        <v>4.9715800000000003</v>
      </c>
      <c r="EI158">
        <v>1.8717999999999999</v>
      </c>
      <c r="EJ158">
        <v>1.86896</v>
      </c>
      <c r="EK158">
        <v>1.8713900000000001</v>
      </c>
      <c r="EL158">
        <v>1.8691800000000001</v>
      </c>
      <c r="EM158">
        <v>1.86809</v>
      </c>
      <c r="EN158">
        <v>1.86995</v>
      </c>
      <c r="EO158">
        <v>1.87171</v>
      </c>
      <c r="EP158">
        <v>0</v>
      </c>
      <c r="EQ158">
        <v>0</v>
      </c>
      <c r="ER158">
        <v>0</v>
      </c>
      <c r="ES158">
        <v>0</v>
      </c>
      <c r="ET158" t="s">
        <v>334</v>
      </c>
      <c r="EU158" t="s">
        <v>335</v>
      </c>
      <c r="EV158" t="s">
        <v>336</v>
      </c>
      <c r="EW158" t="s">
        <v>336</v>
      </c>
      <c r="EX158" t="s">
        <v>336</v>
      </c>
      <c r="EY158" t="s">
        <v>336</v>
      </c>
      <c r="EZ158">
        <v>0</v>
      </c>
      <c r="FA158">
        <v>100</v>
      </c>
      <c r="FB158">
        <v>100</v>
      </c>
      <c r="FC158">
        <v>8.0299999999999994</v>
      </c>
      <c r="FD158">
        <v>-0.98929999999999996</v>
      </c>
      <c r="FE158">
        <v>8.0405699999999989</v>
      </c>
      <c r="FF158">
        <v>0</v>
      </c>
      <c r="FG158">
        <v>0</v>
      </c>
      <c r="FH158">
        <v>0</v>
      </c>
      <c r="FI158">
        <v>-0.98927100000000023</v>
      </c>
      <c r="FJ158">
        <v>0</v>
      </c>
      <c r="FK158">
        <v>0</v>
      </c>
      <c r="FL158">
        <v>0</v>
      </c>
      <c r="FM158">
        <v>-1</v>
      </c>
      <c r="FN158">
        <v>-1</v>
      </c>
      <c r="FO158">
        <v>-1</v>
      </c>
      <c r="FP158">
        <v>-1</v>
      </c>
      <c r="FQ158">
        <v>0.7</v>
      </c>
      <c r="FR158">
        <v>142.19999999999999</v>
      </c>
      <c r="FS158">
        <v>0.142822</v>
      </c>
      <c r="FT158">
        <v>4.99756</v>
      </c>
      <c r="FU158">
        <v>1.5979000000000001</v>
      </c>
      <c r="FV158">
        <v>2.1520999999999999</v>
      </c>
      <c r="FW158">
        <v>1.5478499999999999</v>
      </c>
      <c r="FX158">
        <v>2.4536099999999998</v>
      </c>
      <c r="FY158">
        <v>34.5092</v>
      </c>
      <c r="FZ158">
        <v>15.6381</v>
      </c>
      <c r="GA158">
        <v>3</v>
      </c>
      <c r="GB158">
        <v>497.55799999999999</v>
      </c>
      <c r="GC158">
        <v>405.27300000000002</v>
      </c>
      <c r="GD158">
        <v>27.940799999999999</v>
      </c>
      <c r="GE158">
        <v>29.859300000000001</v>
      </c>
      <c r="GF158">
        <v>30.0001</v>
      </c>
      <c r="GG158">
        <v>30.154</v>
      </c>
      <c r="GH158">
        <v>30.2044</v>
      </c>
      <c r="GI158">
        <v>-1</v>
      </c>
      <c r="GJ158">
        <v>0</v>
      </c>
      <c r="GK158">
        <v>100</v>
      </c>
      <c r="GL158">
        <v>27.943999999999999</v>
      </c>
      <c r="GM158">
        <v>432.1</v>
      </c>
      <c r="GN158">
        <v>68.912800000000004</v>
      </c>
      <c r="GO158">
        <v>102.202</v>
      </c>
      <c r="GP158">
        <v>96.501800000000003</v>
      </c>
    </row>
    <row r="159" spans="1:198" x14ac:dyDescent="0.35">
      <c r="A159">
        <v>143</v>
      </c>
      <c r="B159">
        <v>1775489559.5999999</v>
      </c>
      <c r="C159">
        <v>8521.0999999046326</v>
      </c>
      <c r="D159" t="s">
        <v>760</v>
      </c>
      <c r="E159" t="s">
        <v>761</v>
      </c>
      <c r="F159">
        <v>60</v>
      </c>
      <c r="G159">
        <v>1775489551.599999</v>
      </c>
      <c r="H159">
        <f t="shared" si="60"/>
        <v>2.1551059193906713E-3</v>
      </c>
      <c r="I159">
        <f t="shared" si="61"/>
        <v>2.1551059193906714</v>
      </c>
      <c r="J159">
        <f t="shared" si="62"/>
        <v>0.74996869590448711</v>
      </c>
      <c r="K159">
        <f t="shared" si="63"/>
        <v>30.909119354838712</v>
      </c>
      <c r="L159">
        <f t="shared" si="64"/>
        <v>8.7202295036767286</v>
      </c>
      <c r="M159">
        <f t="shared" si="65"/>
        <v>0.87480047485876122</v>
      </c>
      <c r="N159">
        <f t="shared" si="66"/>
        <v>3.1007569557290195</v>
      </c>
      <c r="O159">
        <f t="shared" si="67"/>
        <v>5.7813957971576665E-2</v>
      </c>
      <c r="P159">
        <f t="shared" si="68"/>
        <v>2.3945151969143588</v>
      </c>
      <c r="Q159">
        <f t="shared" si="69"/>
        <v>5.7049535610183742E-2</v>
      </c>
      <c r="R159">
        <f t="shared" si="70"/>
        <v>3.5723797962621769E-2</v>
      </c>
      <c r="S159">
        <f t="shared" si="71"/>
        <v>0</v>
      </c>
      <c r="T159">
        <f t="shared" si="72"/>
        <v>26.623929976063476</v>
      </c>
      <c r="U159">
        <f t="shared" si="73"/>
        <v>27.376196774193549</v>
      </c>
      <c r="V159">
        <f t="shared" si="74"/>
        <v>3.6590078915974495</v>
      </c>
      <c r="W159">
        <f t="shared" si="75"/>
        <v>-1.7213877518244709</v>
      </c>
      <c r="X159">
        <f t="shared" si="76"/>
        <v>-6.2701903488328492E-2</v>
      </c>
      <c r="Y159">
        <f t="shared" si="77"/>
        <v>3.6425206012922864</v>
      </c>
      <c r="Z159">
        <f t="shared" si="78"/>
        <v>3.7217097950857783</v>
      </c>
      <c r="AA159">
        <f t="shared" si="79"/>
        <v>-95.040171045128602</v>
      </c>
      <c r="AB159">
        <f t="shared" si="80"/>
        <v>-9.9514125466627767</v>
      </c>
      <c r="AC159">
        <f t="shared" si="81"/>
        <v>-0.89992786002842706</v>
      </c>
      <c r="AD159">
        <f t="shared" si="82"/>
        <v>-105.89151145181981</v>
      </c>
      <c r="AE159">
        <v>14</v>
      </c>
      <c r="AF159">
        <v>3</v>
      </c>
      <c r="AG159">
        <f t="shared" si="83"/>
        <v>1</v>
      </c>
      <c r="AH159">
        <f t="shared" si="84"/>
        <v>0</v>
      </c>
      <c r="AI159">
        <f t="shared" si="85"/>
        <v>25585.048948862513</v>
      </c>
      <c r="AJ159">
        <f t="shared" si="86"/>
        <v>0</v>
      </c>
      <c r="AK159">
        <f t="shared" si="87"/>
        <v>0</v>
      </c>
      <c r="AL159">
        <f t="shared" si="88"/>
        <v>0</v>
      </c>
      <c r="AM159">
        <f t="shared" si="89"/>
        <v>0</v>
      </c>
      <c r="AN159">
        <v>3</v>
      </c>
      <c r="AO159">
        <v>0.5</v>
      </c>
      <c r="AP159" t="s">
        <v>331</v>
      </c>
      <c r="AQ159">
        <v>2</v>
      </c>
      <c r="AR159">
        <v>1775489551.599999</v>
      </c>
      <c r="AS159">
        <v>30.909119354838712</v>
      </c>
      <c r="AT159">
        <v>31.399070967741942</v>
      </c>
      <c r="AU159">
        <v>-0.62502822580645168</v>
      </c>
      <c r="AV159">
        <v>-1.9189077419354841</v>
      </c>
      <c r="AW159">
        <v>22.857119354838709</v>
      </c>
      <c r="AX159">
        <v>0.36424274193548378</v>
      </c>
      <c r="AY159">
        <v>499.99700000000013</v>
      </c>
      <c r="AZ159">
        <v>100.2767096774193</v>
      </c>
      <c r="BA159">
        <v>4.1805390322580641E-2</v>
      </c>
      <c r="BB159">
        <v>27.299109677419359</v>
      </c>
      <c r="BC159">
        <v>27.376196774193549</v>
      </c>
      <c r="BD159">
        <v>999.90000000000032</v>
      </c>
      <c r="BE159">
        <v>0</v>
      </c>
      <c r="BF159">
        <v>0</v>
      </c>
      <c r="BG159">
        <v>5002.8709677419356</v>
      </c>
      <c r="BH159">
        <v>0.39760854838709681</v>
      </c>
      <c r="BI159">
        <v>0.23331922580645159</v>
      </c>
      <c r="BJ159">
        <v>-0.51150345161290323</v>
      </c>
      <c r="BK159">
        <v>30.86826774193549</v>
      </c>
      <c r="BL159">
        <v>31.338932258064521</v>
      </c>
      <c r="BM159">
        <v>1.293879032258064</v>
      </c>
      <c r="BN159">
        <v>31.399070967741942</v>
      </c>
      <c r="BO159">
        <v>-1.9189077419354841</v>
      </c>
      <c r="BP159">
        <v>-6.2675816129032266E-2</v>
      </c>
      <c r="BQ159">
        <v>-0.19242174193548389</v>
      </c>
      <c r="BR159">
        <v>-99.900000000000034</v>
      </c>
      <c r="BS159">
        <v>-99.900000000000034</v>
      </c>
      <c r="BT159">
        <v>0</v>
      </c>
      <c r="BU159">
        <v>0</v>
      </c>
      <c r="BV159">
        <v>0</v>
      </c>
      <c r="BW159">
        <v>25.1172</v>
      </c>
      <c r="BX159">
        <v>-0.99139793548387123</v>
      </c>
      <c r="BY159">
        <v>1775489576.5999999</v>
      </c>
      <c r="BZ159" t="s">
        <v>762</v>
      </c>
      <c r="CA159">
        <v>1775489576.5999999</v>
      </c>
      <c r="CB159">
        <v>1775480969.5</v>
      </c>
      <c r="CC159">
        <v>144</v>
      </c>
      <c r="CD159">
        <v>2.1999999999999999E-2</v>
      </c>
      <c r="CE159">
        <v>0.19500000000000001</v>
      </c>
      <c r="CF159">
        <v>8.0519999999999996</v>
      </c>
      <c r="CG159">
        <v>-0.98899999999999999</v>
      </c>
      <c r="CH159">
        <v>32</v>
      </c>
      <c r="CI159">
        <v>-3</v>
      </c>
      <c r="CJ159">
        <v>0.13</v>
      </c>
      <c r="CK159">
        <v>0.06</v>
      </c>
      <c r="CL159">
        <v>31.315161666666668</v>
      </c>
      <c r="CM159">
        <v>0.94036354542938227</v>
      </c>
      <c r="CN159">
        <v>0.19109000854018751</v>
      </c>
      <c r="CO159">
        <v>-1</v>
      </c>
      <c r="CP159">
        <v>499.99046666666669</v>
      </c>
      <c r="CQ159">
        <v>-3.9250903028848282E-2</v>
      </c>
      <c r="CR159">
        <v>4.979406479580889E-2</v>
      </c>
      <c r="CS159">
        <v>-1</v>
      </c>
      <c r="CT159">
        <v>0</v>
      </c>
      <c r="CU159">
        <v>0</v>
      </c>
      <c r="CV159" t="s">
        <v>333</v>
      </c>
      <c r="CW159">
        <v>3.16743</v>
      </c>
      <c r="CX159">
        <v>2.6632699999999998</v>
      </c>
      <c r="CY159">
        <v>6.8381600000000002E-3</v>
      </c>
      <c r="CZ159">
        <v>9.3426399999999993E-3</v>
      </c>
      <c r="DA159">
        <v>2.9427400000000001E-3</v>
      </c>
      <c r="DB159">
        <v>-1.7722000000000002E-2</v>
      </c>
      <c r="DC159">
        <v>21427.200000000001</v>
      </c>
      <c r="DD159">
        <v>21757.599999999999</v>
      </c>
      <c r="DE159">
        <v>23102.3</v>
      </c>
      <c r="DF159">
        <v>22315.599999999999</v>
      </c>
      <c r="DG159">
        <v>29705.5</v>
      </c>
      <c r="DH159">
        <v>27085.3</v>
      </c>
      <c r="DI159">
        <v>40604.400000000001</v>
      </c>
      <c r="DJ159">
        <v>36984.199999999997</v>
      </c>
      <c r="DK159">
        <v>2.0863399999999999</v>
      </c>
      <c r="DL159">
        <v>1.7996000000000001</v>
      </c>
      <c r="DM159">
        <v>2.30432E-2</v>
      </c>
      <c r="DN159">
        <v>0</v>
      </c>
      <c r="DO159">
        <v>26.995000000000001</v>
      </c>
      <c r="DP159">
        <v>999.9</v>
      </c>
      <c r="DQ159">
        <v>75.900000000000006</v>
      </c>
      <c r="DR159">
        <v>30.2</v>
      </c>
      <c r="DS159">
        <v>32.617600000000003</v>
      </c>
      <c r="DT159">
        <v>30.445599999999999</v>
      </c>
      <c r="DU159">
        <v>10.104200000000001</v>
      </c>
      <c r="DV159">
        <v>1</v>
      </c>
      <c r="DW159">
        <v>0.20701800000000001</v>
      </c>
      <c r="DX159">
        <v>-0.25431199999999998</v>
      </c>
      <c r="DY159">
        <v>20.367599999999999</v>
      </c>
      <c r="DZ159">
        <v>5.2117800000000001</v>
      </c>
      <c r="EA159">
        <v>11.848599999999999</v>
      </c>
      <c r="EB159">
        <v>4.9677600000000002</v>
      </c>
      <c r="EC159">
        <v>3.2920799999999999</v>
      </c>
      <c r="ED159">
        <v>894.7</v>
      </c>
      <c r="EE159">
        <v>0</v>
      </c>
      <c r="EF159">
        <v>8294.2000000000007</v>
      </c>
      <c r="EG159">
        <v>111.2</v>
      </c>
      <c r="EH159">
        <v>4.9716100000000001</v>
      </c>
      <c r="EI159">
        <v>1.8717999999999999</v>
      </c>
      <c r="EJ159">
        <v>1.869</v>
      </c>
      <c r="EK159">
        <v>1.8713900000000001</v>
      </c>
      <c r="EL159">
        <v>1.86914</v>
      </c>
      <c r="EM159">
        <v>1.86809</v>
      </c>
      <c r="EN159">
        <v>1.86995</v>
      </c>
      <c r="EO159">
        <v>1.8717600000000001</v>
      </c>
      <c r="EP159">
        <v>0</v>
      </c>
      <c r="EQ159">
        <v>0</v>
      </c>
      <c r="ER159">
        <v>0</v>
      </c>
      <c r="ES159">
        <v>0</v>
      </c>
      <c r="ET159" t="s">
        <v>334</v>
      </c>
      <c r="EU159" t="s">
        <v>335</v>
      </c>
      <c r="EV159" t="s">
        <v>336</v>
      </c>
      <c r="EW159" t="s">
        <v>336</v>
      </c>
      <c r="EX159" t="s">
        <v>336</v>
      </c>
      <c r="EY159" t="s">
        <v>336</v>
      </c>
      <c r="EZ159">
        <v>0</v>
      </c>
      <c r="FA159">
        <v>100</v>
      </c>
      <c r="FB159">
        <v>100</v>
      </c>
      <c r="FC159">
        <v>8.0519999999999996</v>
      </c>
      <c r="FD159">
        <v>-0.98929999999999996</v>
      </c>
      <c r="FE159">
        <v>8.0304400000000093</v>
      </c>
      <c r="FF159">
        <v>0</v>
      </c>
      <c r="FG159">
        <v>0</v>
      </c>
      <c r="FH159">
        <v>0</v>
      </c>
      <c r="FI159">
        <v>-0.98927100000000023</v>
      </c>
      <c r="FJ159">
        <v>0</v>
      </c>
      <c r="FK159">
        <v>0</v>
      </c>
      <c r="FL159">
        <v>0</v>
      </c>
      <c r="FM159">
        <v>-1</v>
      </c>
      <c r="FN159">
        <v>-1</v>
      </c>
      <c r="FO159">
        <v>-1</v>
      </c>
      <c r="FP159">
        <v>-1</v>
      </c>
      <c r="FQ159">
        <v>0.7</v>
      </c>
      <c r="FR159">
        <v>143.19999999999999</v>
      </c>
      <c r="FS159">
        <v>0.142822</v>
      </c>
      <c r="FT159">
        <v>4.99756</v>
      </c>
      <c r="FU159">
        <v>1.5979000000000001</v>
      </c>
      <c r="FV159">
        <v>2.1520999999999999</v>
      </c>
      <c r="FW159">
        <v>1.5478499999999999</v>
      </c>
      <c r="FX159">
        <v>2.3901400000000002</v>
      </c>
      <c r="FY159">
        <v>34.5092</v>
      </c>
      <c r="FZ159">
        <v>15.629300000000001</v>
      </c>
      <c r="GA159">
        <v>3</v>
      </c>
      <c r="GB159">
        <v>497.452</v>
      </c>
      <c r="GC159">
        <v>405.58100000000002</v>
      </c>
      <c r="GD159">
        <v>27.9419</v>
      </c>
      <c r="GE159">
        <v>29.851600000000001</v>
      </c>
      <c r="GF159">
        <v>30.0002</v>
      </c>
      <c r="GG159">
        <v>30.1463</v>
      </c>
      <c r="GH159">
        <v>30.196999999999999</v>
      </c>
      <c r="GI159">
        <v>-1</v>
      </c>
      <c r="GJ159">
        <v>0</v>
      </c>
      <c r="GK159">
        <v>100</v>
      </c>
      <c r="GL159">
        <v>27.944700000000001</v>
      </c>
      <c r="GM159">
        <v>432.1</v>
      </c>
      <c r="GN159">
        <v>68.912800000000004</v>
      </c>
      <c r="GO159">
        <v>102.205</v>
      </c>
      <c r="GP159">
        <v>96.504099999999994</v>
      </c>
    </row>
    <row r="160" spans="1:198" x14ac:dyDescent="0.35">
      <c r="A160">
        <v>144</v>
      </c>
      <c r="B160">
        <v>1775489619.5999999</v>
      </c>
      <c r="C160">
        <v>8581.0999999046326</v>
      </c>
      <c r="D160" t="s">
        <v>763</v>
      </c>
      <c r="E160" t="s">
        <v>764</v>
      </c>
      <c r="F160">
        <v>60</v>
      </c>
      <c r="G160">
        <v>1775489611.599999</v>
      </c>
      <c r="H160">
        <f t="shared" si="60"/>
        <v>2.1749992008193988E-3</v>
      </c>
      <c r="I160">
        <f t="shared" si="61"/>
        <v>2.174999200819399</v>
      </c>
      <c r="J160">
        <f t="shared" si="62"/>
        <v>0.72902091729999097</v>
      </c>
      <c r="K160">
        <f t="shared" si="63"/>
        <v>31.82862258064516</v>
      </c>
      <c r="L160">
        <f t="shared" si="64"/>
        <v>10.330039077514117</v>
      </c>
      <c r="M160">
        <f t="shared" si="65"/>
        <v>1.0362847045033083</v>
      </c>
      <c r="N160">
        <f t="shared" si="66"/>
        <v>3.1929709556983159</v>
      </c>
      <c r="O160">
        <f t="shared" si="67"/>
        <v>5.8336555413493196E-2</v>
      </c>
      <c r="P160">
        <f t="shared" si="68"/>
        <v>2.3930304121008743</v>
      </c>
      <c r="Q160">
        <f t="shared" si="69"/>
        <v>5.7557875325835124E-2</v>
      </c>
      <c r="R160">
        <f t="shared" si="70"/>
        <v>3.604276741740662E-2</v>
      </c>
      <c r="S160">
        <f t="shared" si="71"/>
        <v>0</v>
      </c>
      <c r="T160">
        <f t="shared" si="72"/>
        <v>26.62239011754647</v>
      </c>
      <c r="U160">
        <f t="shared" si="73"/>
        <v>27.38668387096774</v>
      </c>
      <c r="V160">
        <f t="shared" si="74"/>
        <v>3.6612558837610321</v>
      </c>
      <c r="W160">
        <f t="shared" si="75"/>
        <v>-1.6888817830438669</v>
      </c>
      <c r="X160">
        <f t="shared" si="76"/>
        <v>-6.1536173576762519E-2</v>
      </c>
      <c r="Y160">
        <f t="shared" si="77"/>
        <v>3.6436045550717022</v>
      </c>
      <c r="Z160">
        <f t="shared" si="78"/>
        <v>3.7227920573377946</v>
      </c>
      <c r="AA160">
        <f t="shared" si="79"/>
        <v>-95.917464756135487</v>
      </c>
      <c r="AB160">
        <f t="shared" si="80"/>
        <v>-10.643160913970851</v>
      </c>
      <c r="AC160">
        <f t="shared" si="81"/>
        <v>-0.96315622244688415</v>
      </c>
      <c r="AD160">
        <f t="shared" si="82"/>
        <v>-107.52378189255322</v>
      </c>
      <c r="AE160">
        <v>14</v>
      </c>
      <c r="AF160">
        <v>3</v>
      </c>
      <c r="AG160">
        <f t="shared" si="83"/>
        <v>1</v>
      </c>
      <c r="AH160">
        <f t="shared" si="84"/>
        <v>0</v>
      </c>
      <c r="AI160">
        <f t="shared" si="85"/>
        <v>25562.074294899652</v>
      </c>
      <c r="AJ160">
        <f t="shared" si="86"/>
        <v>0</v>
      </c>
      <c r="AK160">
        <f t="shared" si="87"/>
        <v>0</v>
      </c>
      <c r="AL160">
        <f t="shared" si="88"/>
        <v>0</v>
      </c>
      <c r="AM160">
        <f t="shared" si="89"/>
        <v>0</v>
      </c>
      <c r="AN160">
        <v>3</v>
      </c>
      <c r="AO160">
        <v>0.5</v>
      </c>
      <c r="AP160" t="s">
        <v>331</v>
      </c>
      <c r="AQ160">
        <v>2</v>
      </c>
      <c r="AR160">
        <v>1775489611.599999</v>
      </c>
      <c r="AS160">
        <v>31.82862258064516</v>
      </c>
      <c r="AT160">
        <v>32.307548387096773</v>
      </c>
      <c r="AU160">
        <v>-0.61341354838709683</v>
      </c>
      <c r="AV160">
        <v>-1.9191506451612901</v>
      </c>
      <c r="AW160">
        <v>23.78262258064516</v>
      </c>
      <c r="AX160">
        <v>0.37585741935483868</v>
      </c>
      <c r="AY160">
        <v>500.02409677419359</v>
      </c>
      <c r="AZ160">
        <v>100.27580645161289</v>
      </c>
      <c r="BA160">
        <v>4.1791258064516119E-2</v>
      </c>
      <c r="BB160">
        <v>27.304187096774189</v>
      </c>
      <c r="BC160">
        <v>27.38668387096774</v>
      </c>
      <c r="BD160">
        <v>999.90000000000032</v>
      </c>
      <c r="BE160">
        <v>0</v>
      </c>
      <c r="BF160">
        <v>0</v>
      </c>
      <c r="BG160">
        <v>4999.0967741935483</v>
      </c>
      <c r="BH160">
        <v>0.39391161290322579</v>
      </c>
      <c r="BI160">
        <v>0.23331922580645159</v>
      </c>
      <c r="BJ160">
        <v>-0.472600870967742</v>
      </c>
      <c r="BK160">
        <v>31.81542903225807</v>
      </c>
      <c r="BL160">
        <v>32.245670967741937</v>
      </c>
      <c r="BM160">
        <v>1.3057364516129031</v>
      </c>
      <c r="BN160">
        <v>32.307548387096773</v>
      </c>
      <c r="BO160">
        <v>-1.9191506451612901</v>
      </c>
      <c r="BP160">
        <v>-6.1510525806451617E-2</v>
      </c>
      <c r="BQ160">
        <v>-0.19244441935483869</v>
      </c>
      <c r="BR160">
        <v>-99.900000000000034</v>
      </c>
      <c r="BS160">
        <v>-99.900000000000034</v>
      </c>
      <c r="BT160">
        <v>0</v>
      </c>
      <c r="BU160">
        <v>0</v>
      </c>
      <c r="BV160">
        <v>0</v>
      </c>
      <c r="BW160">
        <v>25.147309677419351</v>
      </c>
      <c r="BX160">
        <v>-1</v>
      </c>
      <c r="BY160">
        <v>1775489636.5999999</v>
      </c>
      <c r="BZ160" t="s">
        <v>765</v>
      </c>
      <c r="CA160">
        <v>1775489636.5999999</v>
      </c>
      <c r="CB160">
        <v>1775480969.5</v>
      </c>
      <c r="CC160">
        <v>145</v>
      </c>
      <c r="CD160">
        <v>-6.0000000000000001E-3</v>
      </c>
      <c r="CE160">
        <v>0.19500000000000001</v>
      </c>
      <c r="CF160">
        <v>8.0459999999999994</v>
      </c>
      <c r="CG160">
        <v>-0.98899999999999999</v>
      </c>
      <c r="CH160">
        <v>33</v>
      </c>
      <c r="CI160">
        <v>-3</v>
      </c>
      <c r="CJ160">
        <v>0.18</v>
      </c>
      <c r="CK160">
        <v>0.06</v>
      </c>
      <c r="CL160">
        <v>32.280976666666668</v>
      </c>
      <c r="CM160">
        <v>-0.1975088635731769</v>
      </c>
      <c r="CN160">
        <v>0.20001663211398729</v>
      </c>
      <c r="CO160">
        <v>-1</v>
      </c>
      <c r="CP160">
        <v>500.00381666666669</v>
      </c>
      <c r="CQ160">
        <v>0.17878632953664789</v>
      </c>
      <c r="CR160">
        <v>4.4615203562114958E-2</v>
      </c>
      <c r="CS160">
        <v>-1</v>
      </c>
      <c r="CT160">
        <v>0</v>
      </c>
      <c r="CU160">
        <v>0</v>
      </c>
      <c r="CV160" t="s">
        <v>333</v>
      </c>
      <c r="CW160">
        <v>3.1675</v>
      </c>
      <c r="CX160">
        <v>2.6629200000000002</v>
      </c>
      <c r="CY160">
        <v>7.08064E-3</v>
      </c>
      <c r="CZ160">
        <v>9.5574200000000005E-3</v>
      </c>
      <c r="DA160">
        <v>3.0189000000000001E-3</v>
      </c>
      <c r="DB160">
        <v>-1.7766299999999999E-2</v>
      </c>
      <c r="DC160">
        <v>21421.9</v>
      </c>
      <c r="DD160">
        <v>21753.1</v>
      </c>
      <c r="DE160">
        <v>23102.1</v>
      </c>
      <c r="DF160">
        <v>22315.9</v>
      </c>
      <c r="DG160">
        <v>29703</v>
      </c>
      <c r="DH160">
        <v>27086.6</v>
      </c>
      <c r="DI160">
        <v>40604.1</v>
      </c>
      <c r="DJ160">
        <v>36984.400000000001</v>
      </c>
      <c r="DK160">
        <v>2.0864400000000001</v>
      </c>
      <c r="DL160">
        <v>1.8006200000000001</v>
      </c>
      <c r="DM160">
        <v>2.36869E-2</v>
      </c>
      <c r="DN160">
        <v>0</v>
      </c>
      <c r="DO160">
        <v>27.003</v>
      </c>
      <c r="DP160">
        <v>999.9</v>
      </c>
      <c r="DQ160">
        <v>75.900000000000006</v>
      </c>
      <c r="DR160">
        <v>30.2</v>
      </c>
      <c r="DS160">
        <v>32.620199999999997</v>
      </c>
      <c r="DT160">
        <v>30.6556</v>
      </c>
      <c r="DU160">
        <v>10.056100000000001</v>
      </c>
      <c r="DV160">
        <v>1</v>
      </c>
      <c r="DW160">
        <v>0.20666100000000001</v>
      </c>
      <c r="DX160">
        <v>-0.21176300000000001</v>
      </c>
      <c r="DY160">
        <v>20.367699999999999</v>
      </c>
      <c r="DZ160">
        <v>5.2116600000000002</v>
      </c>
      <c r="EA160">
        <v>11.8483</v>
      </c>
      <c r="EB160">
        <v>4.9678000000000004</v>
      </c>
      <c r="EC160">
        <v>3.2920799999999999</v>
      </c>
      <c r="ED160">
        <v>894.7</v>
      </c>
      <c r="EE160">
        <v>0</v>
      </c>
      <c r="EF160">
        <v>8320.7999999999993</v>
      </c>
      <c r="EG160">
        <v>111.2</v>
      </c>
      <c r="EH160">
        <v>4.9716100000000001</v>
      </c>
      <c r="EI160">
        <v>1.8717999999999999</v>
      </c>
      <c r="EJ160">
        <v>1.86903</v>
      </c>
      <c r="EK160">
        <v>1.8714299999999999</v>
      </c>
      <c r="EL160">
        <v>1.8691800000000001</v>
      </c>
      <c r="EM160">
        <v>1.86809</v>
      </c>
      <c r="EN160">
        <v>1.86995</v>
      </c>
      <c r="EO160">
        <v>1.87178</v>
      </c>
      <c r="EP160">
        <v>0</v>
      </c>
      <c r="EQ160">
        <v>0</v>
      </c>
      <c r="ER160">
        <v>0</v>
      </c>
      <c r="ES160">
        <v>0</v>
      </c>
      <c r="ET160" t="s">
        <v>334</v>
      </c>
      <c r="EU160" t="s">
        <v>335</v>
      </c>
      <c r="EV160" t="s">
        <v>336</v>
      </c>
      <c r="EW160" t="s">
        <v>336</v>
      </c>
      <c r="EX160" t="s">
        <v>336</v>
      </c>
      <c r="EY160" t="s">
        <v>336</v>
      </c>
      <c r="EZ160">
        <v>0</v>
      </c>
      <c r="FA160">
        <v>100</v>
      </c>
      <c r="FB160">
        <v>100</v>
      </c>
      <c r="FC160">
        <v>8.0459999999999994</v>
      </c>
      <c r="FD160">
        <v>-0.98929999999999996</v>
      </c>
      <c r="FE160">
        <v>8.0523249999999997</v>
      </c>
      <c r="FF160">
        <v>0</v>
      </c>
      <c r="FG160">
        <v>0</v>
      </c>
      <c r="FH160">
        <v>0</v>
      </c>
      <c r="FI160">
        <v>-0.98927100000000023</v>
      </c>
      <c r="FJ160">
        <v>0</v>
      </c>
      <c r="FK160">
        <v>0</v>
      </c>
      <c r="FL160">
        <v>0</v>
      </c>
      <c r="FM160">
        <v>-1</v>
      </c>
      <c r="FN160">
        <v>-1</v>
      </c>
      <c r="FO160">
        <v>-1</v>
      </c>
      <c r="FP160">
        <v>-1</v>
      </c>
      <c r="FQ160">
        <v>0.7</v>
      </c>
      <c r="FR160">
        <v>144.19999999999999</v>
      </c>
      <c r="FS160">
        <v>0.142822</v>
      </c>
      <c r="FT160">
        <v>4.99756</v>
      </c>
      <c r="FU160">
        <v>1.5979000000000001</v>
      </c>
      <c r="FV160">
        <v>2.1520999999999999</v>
      </c>
      <c r="FW160">
        <v>1.5478499999999999</v>
      </c>
      <c r="FX160">
        <v>2.36328</v>
      </c>
      <c r="FY160">
        <v>34.5092</v>
      </c>
      <c r="FZ160">
        <v>15.6205</v>
      </c>
      <c r="GA160">
        <v>3</v>
      </c>
      <c r="GB160">
        <v>497.471</v>
      </c>
      <c r="GC160">
        <v>406.13200000000001</v>
      </c>
      <c r="GD160">
        <v>27.930099999999999</v>
      </c>
      <c r="GE160">
        <v>29.843800000000002</v>
      </c>
      <c r="GF160">
        <v>30.0001</v>
      </c>
      <c r="GG160">
        <v>30.141200000000001</v>
      </c>
      <c r="GH160">
        <v>30.1919</v>
      </c>
      <c r="GI160">
        <v>-1</v>
      </c>
      <c r="GJ160">
        <v>0</v>
      </c>
      <c r="GK160">
        <v>100</v>
      </c>
      <c r="GL160">
        <v>27.927</v>
      </c>
      <c r="GM160">
        <v>432.1</v>
      </c>
      <c r="GN160">
        <v>68.912800000000004</v>
      </c>
      <c r="GO160">
        <v>102.20399999999999</v>
      </c>
      <c r="GP160">
        <v>96.504900000000006</v>
      </c>
    </row>
    <row r="161" spans="1:198" x14ac:dyDescent="0.35">
      <c r="A161">
        <v>145</v>
      </c>
      <c r="B161">
        <v>1775489679.5999999</v>
      </c>
      <c r="C161">
        <v>8641.0999999046326</v>
      </c>
      <c r="D161" t="s">
        <v>766</v>
      </c>
      <c r="E161" t="s">
        <v>767</v>
      </c>
      <c r="F161">
        <v>60</v>
      </c>
      <c r="G161">
        <v>1775489671.599999</v>
      </c>
      <c r="H161">
        <f t="shared" si="60"/>
        <v>2.1450142655507656E-3</v>
      </c>
      <c r="I161">
        <f t="shared" si="61"/>
        <v>2.1450142655507656</v>
      </c>
      <c r="J161">
        <f t="shared" si="62"/>
        <v>0.79167367528923249</v>
      </c>
      <c r="K161">
        <f t="shared" si="63"/>
        <v>32.313477419354832</v>
      </c>
      <c r="L161">
        <f t="shared" si="64"/>
        <v>8.7859671637270882</v>
      </c>
      <c r="M161">
        <f t="shared" si="65"/>
        <v>0.88138322950510262</v>
      </c>
      <c r="N161">
        <f t="shared" si="66"/>
        <v>3.241596121824049</v>
      </c>
      <c r="O161">
        <f t="shared" si="67"/>
        <v>5.7484723163073896E-2</v>
      </c>
      <c r="P161">
        <f t="shared" si="68"/>
        <v>2.3928711530518267</v>
      </c>
      <c r="Q161">
        <f t="shared" si="69"/>
        <v>5.6728409079627742E-2</v>
      </c>
      <c r="R161">
        <f t="shared" si="70"/>
        <v>3.5522378427516932E-2</v>
      </c>
      <c r="S161">
        <f t="shared" si="71"/>
        <v>0</v>
      </c>
      <c r="T161">
        <f t="shared" si="72"/>
        <v>26.624124854749258</v>
      </c>
      <c r="U161">
        <f t="shared" si="73"/>
        <v>27.37872258064515</v>
      </c>
      <c r="V161">
        <f t="shared" si="74"/>
        <v>3.6595492080383933</v>
      </c>
      <c r="W161">
        <f t="shared" si="75"/>
        <v>-1.8038851113691052</v>
      </c>
      <c r="X161">
        <f t="shared" si="76"/>
        <v>-6.5697099649407134E-2</v>
      </c>
      <c r="Y161">
        <f t="shared" si="77"/>
        <v>3.6419780414698706</v>
      </c>
      <c r="Z161">
        <f t="shared" si="78"/>
        <v>3.7252463076878004</v>
      </c>
      <c r="AA161">
        <f t="shared" si="79"/>
        <v>-94.595129110788761</v>
      </c>
      <c r="AB161">
        <f t="shared" si="80"/>
        <v>-10.598341393088081</v>
      </c>
      <c r="AC161">
        <f t="shared" si="81"/>
        <v>-0.95908946496306324</v>
      </c>
      <c r="AD161">
        <f t="shared" si="82"/>
        <v>-106.1525599688399</v>
      </c>
      <c r="AE161">
        <v>13</v>
      </c>
      <c r="AF161">
        <v>3</v>
      </c>
      <c r="AG161">
        <f t="shared" si="83"/>
        <v>1</v>
      </c>
      <c r="AH161">
        <f t="shared" si="84"/>
        <v>0</v>
      </c>
      <c r="AI161">
        <f t="shared" si="85"/>
        <v>25560.319179112739</v>
      </c>
      <c r="AJ161">
        <f t="shared" si="86"/>
        <v>0</v>
      </c>
      <c r="AK161">
        <f t="shared" si="87"/>
        <v>0</v>
      </c>
      <c r="AL161">
        <f t="shared" si="88"/>
        <v>0</v>
      </c>
      <c r="AM161">
        <f t="shared" si="89"/>
        <v>0</v>
      </c>
      <c r="AN161">
        <v>3</v>
      </c>
      <c r="AO161">
        <v>0.5</v>
      </c>
      <c r="AP161" t="s">
        <v>331</v>
      </c>
      <c r="AQ161">
        <v>2</v>
      </c>
      <c r="AR161">
        <v>1775489671.599999</v>
      </c>
      <c r="AS161">
        <v>32.313477419354832</v>
      </c>
      <c r="AT161">
        <v>32.830080645161303</v>
      </c>
      <c r="AU161">
        <v>-0.65489396774193542</v>
      </c>
      <c r="AV161">
        <v>-1.942773548387096</v>
      </c>
      <c r="AW161">
        <v>24.289477419354832</v>
      </c>
      <c r="AX161">
        <v>0.33437699999999998</v>
      </c>
      <c r="AY161">
        <v>499.98906451612908</v>
      </c>
      <c r="AZ161">
        <v>100.2753548387097</v>
      </c>
      <c r="BA161">
        <v>4.1800129032258063E-2</v>
      </c>
      <c r="BB161">
        <v>27.29656774193548</v>
      </c>
      <c r="BC161">
        <v>27.37872258064515</v>
      </c>
      <c r="BD161">
        <v>999.90000000000032</v>
      </c>
      <c r="BE161">
        <v>0</v>
      </c>
      <c r="BF161">
        <v>0</v>
      </c>
      <c r="BG161">
        <v>4998.7096774193551</v>
      </c>
      <c r="BH161">
        <v>0.36971267741935482</v>
      </c>
      <c r="BI161">
        <v>0.23331922580645159</v>
      </c>
      <c r="BJ161">
        <v>-0.49458016129032262</v>
      </c>
      <c r="BK161">
        <v>32.314341935483881</v>
      </c>
      <c r="BL161">
        <v>32.76641935483871</v>
      </c>
      <c r="BM161">
        <v>1.2878787096774189</v>
      </c>
      <c r="BN161">
        <v>32.830080645161303</v>
      </c>
      <c r="BO161">
        <v>-1.942773548387096</v>
      </c>
      <c r="BP161">
        <v>-6.5669783870967752E-2</v>
      </c>
      <c r="BQ161">
        <v>-0.19481235483870971</v>
      </c>
      <c r="BR161">
        <v>-99.900000000000034</v>
      </c>
      <c r="BS161">
        <v>-99.900000000000034</v>
      </c>
      <c r="BT161">
        <v>0</v>
      </c>
      <c r="BU161">
        <v>0</v>
      </c>
      <c r="BV161">
        <v>0</v>
      </c>
      <c r="BW161">
        <v>25.032238709677429</v>
      </c>
      <c r="BX161">
        <v>-1</v>
      </c>
      <c r="BY161">
        <v>1775489694.5999999</v>
      </c>
      <c r="BZ161" t="s">
        <v>768</v>
      </c>
      <c r="CA161">
        <v>1775489694.5999999</v>
      </c>
      <c r="CB161">
        <v>1775480969.5</v>
      </c>
      <c r="CC161">
        <v>146</v>
      </c>
      <c r="CD161">
        <v>-2.1999999999999999E-2</v>
      </c>
      <c r="CE161">
        <v>0.19500000000000001</v>
      </c>
      <c r="CF161">
        <v>8.0239999999999991</v>
      </c>
      <c r="CG161">
        <v>-0.98899999999999999</v>
      </c>
      <c r="CH161">
        <v>33</v>
      </c>
      <c r="CI161">
        <v>-3</v>
      </c>
      <c r="CJ161">
        <v>0.26</v>
      </c>
      <c r="CK161">
        <v>0.06</v>
      </c>
      <c r="CL161">
        <v>32.731821666666669</v>
      </c>
      <c r="CM161">
        <v>1.087040955821077</v>
      </c>
      <c r="CN161">
        <v>0.21638180537471799</v>
      </c>
      <c r="CO161">
        <v>-1</v>
      </c>
      <c r="CP161">
        <v>499.99476666666658</v>
      </c>
      <c r="CQ161">
        <v>-9.4632953597745775E-2</v>
      </c>
      <c r="CR161">
        <v>5.3442918666138088E-2</v>
      </c>
      <c r="CS161">
        <v>-1</v>
      </c>
      <c r="CT161">
        <v>0</v>
      </c>
      <c r="CU161">
        <v>0</v>
      </c>
      <c r="CV161" t="s">
        <v>333</v>
      </c>
      <c r="CW161">
        <v>3.1673900000000001</v>
      </c>
      <c r="CX161">
        <v>2.6630600000000002</v>
      </c>
      <c r="CY161">
        <v>7.2596800000000001E-3</v>
      </c>
      <c r="CZ161">
        <v>9.7453000000000001E-3</v>
      </c>
      <c r="DA161">
        <v>2.6846499999999998E-3</v>
      </c>
      <c r="DB161">
        <v>-1.80086E-2</v>
      </c>
      <c r="DC161">
        <v>21418.400000000001</v>
      </c>
      <c r="DD161">
        <v>21749.200000000001</v>
      </c>
      <c r="DE161">
        <v>23102.5</v>
      </c>
      <c r="DF161">
        <v>22316.1</v>
      </c>
      <c r="DG161">
        <v>29713.599999999999</v>
      </c>
      <c r="DH161">
        <v>27093.1</v>
      </c>
      <c r="DI161">
        <v>40604.9</v>
      </c>
      <c r="DJ161">
        <v>36984.5</v>
      </c>
      <c r="DK161">
        <v>2.0866199999999999</v>
      </c>
      <c r="DL161">
        <v>1.7998799999999999</v>
      </c>
      <c r="DM161">
        <v>2.3353100000000002E-2</v>
      </c>
      <c r="DN161">
        <v>0</v>
      </c>
      <c r="DO161">
        <v>26.992699999999999</v>
      </c>
      <c r="DP161">
        <v>999.9</v>
      </c>
      <c r="DQ161">
        <v>75.900000000000006</v>
      </c>
      <c r="DR161">
        <v>30.2</v>
      </c>
      <c r="DS161">
        <v>32.621200000000002</v>
      </c>
      <c r="DT161">
        <v>30.715599999999998</v>
      </c>
      <c r="DU161">
        <v>10.023999999999999</v>
      </c>
      <c r="DV161">
        <v>1</v>
      </c>
      <c r="DW161">
        <v>0.20564399999999999</v>
      </c>
      <c r="DX161">
        <v>-0.26945799999999998</v>
      </c>
      <c r="DY161">
        <v>20.3673</v>
      </c>
      <c r="DZ161">
        <v>5.2115400000000003</v>
      </c>
      <c r="EA161">
        <v>11.8482</v>
      </c>
      <c r="EB161">
        <v>4.9677199999999999</v>
      </c>
      <c r="EC161">
        <v>3.2921</v>
      </c>
      <c r="ED161">
        <v>894.7</v>
      </c>
      <c r="EE161">
        <v>0</v>
      </c>
      <c r="EF161">
        <v>8354.1</v>
      </c>
      <c r="EG161">
        <v>111.2</v>
      </c>
      <c r="EH161">
        <v>4.9715999999999996</v>
      </c>
      <c r="EI161">
        <v>1.8717999999999999</v>
      </c>
      <c r="EJ161">
        <v>1.869</v>
      </c>
      <c r="EK161">
        <v>1.8713900000000001</v>
      </c>
      <c r="EL161">
        <v>1.8691599999999999</v>
      </c>
      <c r="EM161">
        <v>1.86808</v>
      </c>
      <c r="EN161">
        <v>1.86995</v>
      </c>
      <c r="EO161">
        <v>1.8717699999999999</v>
      </c>
      <c r="EP161">
        <v>0</v>
      </c>
      <c r="EQ161">
        <v>0</v>
      </c>
      <c r="ER161">
        <v>0</v>
      </c>
      <c r="ES161">
        <v>0</v>
      </c>
      <c r="ET161" t="s">
        <v>334</v>
      </c>
      <c r="EU161" t="s">
        <v>335</v>
      </c>
      <c r="EV161" t="s">
        <v>336</v>
      </c>
      <c r="EW161" t="s">
        <v>336</v>
      </c>
      <c r="EX161" t="s">
        <v>336</v>
      </c>
      <c r="EY161" t="s">
        <v>336</v>
      </c>
      <c r="EZ161">
        <v>0</v>
      </c>
      <c r="FA161">
        <v>100</v>
      </c>
      <c r="FB161">
        <v>100</v>
      </c>
      <c r="FC161">
        <v>8.0239999999999991</v>
      </c>
      <c r="FD161">
        <v>-0.98929999999999996</v>
      </c>
      <c r="FE161">
        <v>8.0460099999999954</v>
      </c>
      <c r="FF161">
        <v>0</v>
      </c>
      <c r="FG161">
        <v>0</v>
      </c>
      <c r="FH161">
        <v>0</v>
      </c>
      <c r="FI161">
        <v>-0.98927100000000023</v>
      </c>
      <c r="FJ161">
        <v>0</v>
      </c>
      <c r="FK161">
        <v>0</v>
      </c>
      <c r="FL161">
        <v>0</v>
      </c>
      <c r="FM161">
        <v>-1</v>
      </c>
      <c r="FN161">
        <v>-1</v>
      </c>
      <c r="FO161">
        <v>-1</v>
      </c>
      <c r="FP161">
        <v>-1</v>
      </c>
      <c r="FQ161">
        <v>0.7</v>
      </c>
      <c r="FR161">
        <v>145.19999999999999</v>
      </c>
      <c r="FS161">
        <v>0.142822</v>
      </c>
      <c r="FT161">
        <v>4.99756</v>
      </c>
      <c r="FU161">
        <v>1.5991200000000001</v>
      </c>
      <c r="FV161">
        <v>2.1520999999999999</v>
      </c>
      <c r="FW161">
        <v>1.5478499999999999</v>
      </c>
      <c r="FX161">
        <v>2.34985</v>
      </c>
      <c r="FY161">
        <v>34.5321</v>
      </c>
      <c r="FZ161">
        <v>15.611800000000001</v>
      </c>
      <c r="GA161">
        <v>3</v>
      </c>
      <c r="GB161">
        <v>497.52600000000001</v>
      </c>
      <c r="GC161">
        <v>405.67099999999999</v>
      </c>
      <c r="GD161">
        <v>27.942599999999999</v>
      </c>
      <c r="GE161">
        <v>29.836200000000002</v>
      </c>
      <c r="GF161">
        <v>30</v>
      </c>
      <c r="GG161">
        <v>30.134699999999999</v>
      </c>
      <c r="GH161">
        <v>30.186499999999999</v>
      </c>
      <c r="GI161">
        <v>-1</v>
      </c>
      <c r="GJ161">
        <v>0</v>
      </c>
      <c r="GK161">
        <v>100</v>
      </c>
      <c r="GL161">
        <v>27.9452</v>
      </c>
      <c r="GM161">
        <v>432.1</v>
      </c>
      <c r="GN161">
        <v>68.912800000000004</v>
      </c>
      <c r="GO161">
        <v>102.206</v>
      </c>
      <c r="GP161">
        <v>96.505300000000005</v>
      </c>
    </row>
    <row r="162" spans="1:198" x14ac:dyDescent="0.35">
      <c r="A162">
        <v>146</v>
      </c>
      <c r="B162">
        <v>1775489739.5999999</v>
      </c>
      <c r="C162">
        <v>8701.0999999046326</v>
      </c>
      <c r="D162" t="s">
        <v>769</v>
      </c>
      <c r="E162" t="s">
        <v>770</v>
      </c>
      <c r="F162">
        <v>60</v>
      </c>
      <c r="G162">
        <v>1775489731.599999</v>
      </c>
      <c r="H162">
        <f t="shared" si="60"/>
        <v>2.1403553780780884E-3</v>
      </c>
      <c r="I162">
        <f t="shared" si="61"/>
        <v>2.1403553780780884</v>
      </c>
      <c r="J162">
        <f t="shared" si="62"/>
        <v>0.15162416995763842</v>
      </c>
      <c r="K162">
        <f t="shared" si="63"/>
        <v>32.823680645161303</v>
      </c>
      <c r="L162">
        <f t="shared" si="64"/>
        <v>26.748391750900765</v>
      </c>
      <c r="M162">
        <f t="shared" si="65"/>
        <v>2.6832903915027853</v>
      </c>
      <c r="N162">
        <f t="shared" si="66"/>
        <v>3.2927387825457308</v>
      </c>
      <c r="O162">
        <f t="shared" si="67"/>
        <v>5.736816772974359E-2</v>
      </c>
      <c r="P162">
        <f t="shared" si="68"/>
        <v>2.3936688411133642</v>
      </c>
      <c r="Q162">
        <f t="shared" si="69"/>
        <v>5.6615143328009924E-2</v>
      </c>
      <c r="R162">
        <f t="shared" si="70"/>
        <v>3.5451297292083378E-2</v>
      </c>
      <c r="S162">
        <f t="shared" si="71"/>
        <v>0</v>
      </c>
      <c r="T162">
        <f t="shared" si="72"/>
        <v>26.627278358912001</v>
      </c>
      <c r="U162">
        <f t="shared" si="73"/>
        <v>27.374732258064519</v>
      </c>
      <c r="V162">
        <f t="shared" si="74"/>
        <v>3.6586940568561053</v>
      </c>
      <c r="W162">
        <f t="shared" si="75"/>
        <v>-1.8085243563694473</v>
      </c>
      <c r="X162">
        <f t="shared" si="76"/>
        <v>-6.5871800238822734E-2</v>
      </c>
      <c r="Y162">
        <f t="shared" si="77"/>
        <v>3.6422954441740663</v>
      </c>
      <c r="Z162">
        <f t="shared" si="78"/>
        <v>3.724565857094928</v>
      </c>
      <c r="AA162">
        <f t="shared" si="79"/>
        <v>-94.389672173243696</v>
      </c>
      <c r="AB162">
        <f t="shared" si="80"/>
        <v>-9.8950273236824842</v>
      </c>
      <c r="AC162">
        <f t="shared" si="81"/>
        <v>-0.89513395288244524</v>
      </c>
      <c r="AD162">
        <f t="shared" si="82"/>
        <v>-105.17983344980863</v>
      </c>
      <c r="AE162">
        <v>13</v>
      </c>
      <c r="AF162">
        <v>3</v>
      </c>
      <c r="AG162">
        <f t="shared" si="83"/>
        <v>1</v>
      </c>
      <c r="AH162">
        <f t="shared" si="84"/>
        <v>0</v>
      </c>
      <c r="AI162">
        <f t="shared" si="85"/>
        <v>25572.358280732817</v>
      </c>
      <c r="AJ162">
        <f t="shared" si="86"/>
        <v>0</v>
      </c>
      <c r="AK162">
        <f t="shared" si="87"/>
        <v>0</v>
      </c>
      <c r="AL162">
        <f t="shared" si="88"/>
        <v>0</v>
      </c>
      <c r="AM162">
        <f t="shared" si="89"/>
        <v>0</v>
      </c>
      <c r="AN162">
        <v>3</v>
      </c>
      <c r="AO162">
        <v>0.5</v>
      </c>
      <c r="AP162" t="s">
        <v>331</v>
      </c>
      <c r="AQ162">
        <v>2</v>
      </c>
      <c r="AR162">
        <v>1775489731.599999</v>
      </c>
      <c r="AS162">
        <v>32.823680645161303</v>
      </c>
      <c r="AT162">
        <v>32.956803225806453</v>
      </c>
      <c r="AU162">
        <v>-0.65664332258064517</v>
      </c>
      <c r="AV162">
        <v>-1.941656129032258</v>
      </c>
      <c r="AW162">
        <v>24.79268064516129</v>
      </c>
      <c r="AX162">
        <v>0.33262764516129029</v>
      </c>
      <c r="AY162">
        <v>500.01699999999988</v>
      </c>
      <c r="AZ162">
        <v>100.27445161290321</v>
      </c>
      <c r="BA162">
        <v>4.1500706451612898E-2</v>
      </c>
      <c r="BB162">
        <v>27.298054838709671</v>
      </c>
      <c r="BC162">
        <v>27.374732258064519</v>
      </c>
      <c r="BD162">
        <v>999.90000000000032</v>
      </c>
      <c r="BE162">
        <v>0</v>
      </c>
      <c r="BF162">
        <v>0</v>
      </c>
      <c r="BG162">
        <v>5000.8064516129034</v>
      </c>
      <c r="BH162">
        <v>0.36484135483870972</v>
      </c>
      <c r="BI162">
        <v>0.23331922580645159</v>
      </c>
      <c r="BJ162">
        <v>-0.13985405658064509</v>
      </c>
      <c r="BK162">
        <v>32.795403225806453</v>
      </c>
      <c r="BL162">
        <v>32.892935483870971</v>
      </c>
      <c r="BM162">
        <v>1.285012258064516</v>
      </c>
      <c r="BN162">
        <v>32.956803225806453</v>
      </c>
      <c r="BO162">
        <v>-1.941656129032258</v>
      </c>
      <c r="BP162">
        <v>-6.5844519354838718E-2</v>
      </c>
      <c r="BQ162">
        <v>-0.19469835483870959</v>
      </c>
      <c r="BR162">
        <v>-99.900000000000034</v>
      </c>
      <c r="BS162">
        <v>-99.900000000000034</v>
      </c>
      <c r="BT162">
        <v>0</v>
      </c>
      <c r="BU162">
        <v>0</v>
      </c>
      <c r="BV162">
        <v>0</v>
      </c>
      <c r="BW162">
        <v>25</v>
      </c>
      <c r="BX162">
        <v>-1</v>
      </c>
      <c r="BY162">
        <v>1775489755.5999999</v>
      </c>
      <c r="BZ162" t="s">
        <v>771</v>
      </c>
      <c r="CA162">
        <v>1775489755.5999999</v>
      </c>
      <c r="CB162">
        <v>1775480969.5</v>
      </c>
      <c r="CC162">
        <v>147</v>
      </c>
      <c r="CD162">
        <v>6.0000000000000001E-3</v>
      </c>
      <c r="CE162">
        <v>0.19500000000000001</v>
      </c>
      <c r="CF162">
        <v>8.0310000000000006</v>
      </c>
      <c r="CG162">
        <v>-0.98899999999999999</v>
      </c>
      <c r="CH162">
        <v>33</v>
      </c>
      <c r="CI162">
        <v>-3</v>
      </c>
      <c r="CJ162">
        <v>0.2</v>
      </c>
      <c r="CK162">
        <v>0.06</v>
      </c>
      <c r="CL162">
        <v>33.319051666666667</v>
      </c>
      <c r="CM162">
        <v>-2.9905063628784618</v>
      </c>
      <c r="CN162">
        <v>0.44474053090600579</v>
      </c>
      <c r="CO162">
        <v>-1</v>
      </c>
      <c r="CP162">
        <v>500.01935000000009</v>
      </c>
      <c r="CQ162">
        <v>3.7487079743938542E-2</v>
      </c>
      <c r="CR162">
        <v>4.5787853192740778E-2</v>
      </c>
      <c r="CS162">
        <v>-1</v>
      </c>
      <c r="CT162">
        <v>0</v>
      </c>
      <c r="CU162">
        <v>0</v>
      </c>
      <c r="CV162" t="s">
        <v>333</v>
      </c>
      <c r="CW162">
        <v>3.1675200000000001</v>
      </c>
      <c r="CX162">
        <v>2.66276</v>
      </c>
      <c r="CY162">
        <v>7.3007599999999999E-3</v>
      </c>
      <c r="CZ162">
        <v>9.7261299999999995E-3</v>
      </c>
      <c r="DA162">
        <v>2.7076100000000001E-3</v>
      </c>
      <c r="DB162">
        <v>-1.7973699999999999E-2</v>
      </c>
      <c r="DC162">
        <v>21417.8</v>
      </c>
      <c r="DD162">
        <v>21749.9</v>
      </c>
      <c r="DE162">
        <v>23102.799999999999</v>
      </c>
      <c r="DF162">
        <v>22316.400000000001</v>
      </c>
      <c r="DG162">
        <v>29713.1</v>
      </c>
      <c r="DH162">
        <v>27092.799999999999</v>
      </c>
      <c r="DI162">
        <v>40605.199999999997</v>
      </c>
      <c r="DJ162">
        <v>36985.4</v>
      </c>
      <c r="DK162">
        <v>2.0872199999999999</v>
      </c>
      <c r="DL162">
        <v>1.8019000000000001</v>
      </c>
      <c r="DM162">
        <v>2.4849199999999998E-2</v>
      </c>
      <c r="DN162">
        <v>0</v>
      </c>
      <c r="DO162">
        <v>26.976700000000001</v>
      </c>
      <c r="DP162">
        <v>999.9</v>
      </c>
      <c r="DQ162">
        <v>75.8</v>
      </c>
      <c r="DR162">
        <v>30.2</v>
      </c>
      <c r="DS162">
        <v>32.576700000000002</v>
      </c>
      <c r="DT162">
        <v>30.805599999999998</v>
      </c>
      <c r="DU162">
        <v>9.6193899999999992</v>
      </c>
      <c r="DV162">
        <v>1</v>
      </c>
      <c r="DW162">
        <v>0.205091</v>
      </c>
      <c r="DX162">
        <v>-0.29791899999999999</v>
      </c>
      <c r="DY162">
        <v>20.3675</v>
      </c>
      <c r="DZ162">
        <v>5.2109399999999999</v>
      </c>
      <c r="EA162">
        <v>11.8483</v>
      </c>
      <c r="EB162">
        <v>4.9676799999999997</v>
      </c>
      <c r="EC162">
        <v>3.2921800000000001</v>
      </c>
      <c r="ED162">
        <v>894.7</v>
      </c>
      <c r="EE162">
        <v>0</v>
      </c>
      <c r="EF162">
        <v>8387.2999999999993</v>
      </c>
      <c r="EG162">
        <v>111.2</v>
      </c>
      <c r="EH162">
        <v>4.9716100000000001</v>
      </c>
      <c r="EI162">
        <v>1.8717999999999999</v>
      </c>
      <c r="EJ162">
        <v>1.86903</v>
      </c>
      <c r="EK162">
        <v>1.87141</v>
      </c>
      <c r="EL162">
        <v>1.86914</v>
      </c>
      <c r="EM162">
        <v>1.8681099999999999</v>
      </c>
      <c r="EN162">
        <v>1.86995</v>
      </c>
      <c r="EO162">
        <v>1.8717600000000001</v>
      </c>
      <c r="EP162">
        <v>0</v>
      </c>
      <c r="EQ162">
        <v>0</v>
      </c>
      <c r="ER162">
        <v>0</v>
      </c>
      <c r="ES162">
        <v>0</v>
      </c>
      <c r="ET162" t="s">
        <v>334</v>
      </c>
      <c r="EU162" t="s">
        <v>335</v>
      </c>
      <c r="EV162" t="s">
        <v>336</v>
      </c>
      <c r="EW162" t="s">
        <v>336</v>
      </c>
      <c r="EX162" t="s">
        <v>336</v>
      </c>
      <c r="EY162" t="s">
        <v>336</v>
      </c>
      <c r="EZ162">
        <v>0</v>
      </c>
      <c r="FA162">
        <v>100</v>
      </c>
      <c r="FB162">
        <v>100</v>
      </c>
      <c r="FC162">
        <v>8.0310000000000006</v>
      </c>
      <c r="FD162">
        <v>-0.98929999999999996</v>
      </c>
      <c r="FE162">
        <v>8.0242599999999982</v>
      </c>
      <c r="FF162">
        <v>0</v>
      </c>
      <c r="FG162">
        <v>0</v>
      </c>
      <c r="FH162">
        <v>0</v>
      </c>
      <c r="FI162">
        <v>-0.98927100000000023</v>
      </c>
      <c r="FJ162">
        <v>0</v>
      </c>
      <c r="FK162">
        <v>0</v>
      </c>
      <c r="FL162">
        <v>0</v>
      </c>
      <c r="FM162">
        <v>-1</v>
      </c>
      <c r="FN162">
        <v>-1</v>
      </c>
      <c r="FO162">
        <v>-1</v>
      </c>
      <c r="FP162">
        <v>-1</v>
      </c>
      <c r="FQ162">
        <v>0.8</v>
      </c>
      <c r="FR162">
        <v>146.19999999999999</v>
      </c>
      <c r="FS162">
        <v>0.142822</v>
      </c>
      <c r="FT162">
        <v>4.99756</v>
      </c>
      <c r="FU162">
        <v>1.5979000000000001</v>
      </c>
      <c r="FV162">
        <v>2.1520999999999999</v>
      </c>
      <c r="FW162">
        <v>1.5478499999999999</v>
      </c>
      <c r="FX162">
        <v>2.4475099999999999</v>
      </c>
      <c r="FY162">
        <v>34.5321</v>
      </c>
      <c r="FZ162">
        <v>15.611800000000001</v>
      </c>
      <c r="GA162">
        <v>3</v>
      </c>
      <c r="GB162">
        <v>497.81099999999998</v>
      </c>
      <c r="GC162">
        <v>406.78100000000001</v>
      </c>
      <c r="GD162">
        <v>27.9771</v>
      </c>
      <c r="GE162">
        <v>29.825900000000001</v>
      </c>
      <c r="GF162">
        <v>30.0001</v>
      </c>
      <c r="GG162">
        <v>30.1265</v>
      </c>
      <c r="GH162">
        <v>30.178899999999999</v>
      </c>
      <c r="GI162">
        <v>-1</v>
      </c>
      <c r="GJ162">
        <v>0</v>
      </c>
      <c r="GK162">
        <v>100</v>
      </c>
      <c r="GL162">
        <v>27.9773</v>
      </c>
      <c r="GM162">
        <v>432.1</v>
      </c>
      <c r="GN162">
        <v>68.912800000000004</v>
      </c>
      <c r="GO162">
        <v>102.20699999999999</v>
      </c>
      <c r="GP162">
        <v>96.507300000000001</v>
      </c>
    </row>
    <row r="163" spans="1:198" x14ac:dyDescent="0.35">
      <c r="A163">
        <v>147</v>
      </c>
      <c r="B163">
        <v>1775489799.5999999</v>
      </c>
      <c r="C163">
        <v>8761.0999999046326</v>
      </c>
      <c r="D163" t="s">
        <v>772</v>
      </c>
      <c r="E163" t="s">
        <v>773</v>
      </c>
      <c r="F163">
        <v>60</v>
      </c>
      <c r="G163">
        <v>1775489791.599999</v>
      </c>
      <c r="H163">
        <f t="shared" si="60"/>
        <v>2.1498789235191102E-3</v>
      </c>
      <c r="I163">
        <f t="shared" si="61"/>
        <v>2.1498789235191103</v>
      </c>
      <c r="J163">
        <f t="shared" si="62"/>
        <v>0.36316233107384321</v>
      </c>
      <c r="K163">
        <f t="shared" si="63"/>
        <v>32.029748387096767</v>
      </c>
      <c r="L163">
        <f t="shared" si="64"/>
        <v>20.263328640414489</v>
      </c>
      <c r="M163">
        <f t="shared" si="65"/>
        <v>2.0327273635102578</v>
      </c>
      <c r="N163">
        <f t="shared" si="66"/>
        <v>3.2130824677513767</v>
      </c>
      <c r="O163">
        <f t="shared" si="67"/>
        <v>5.768044787408505E-2</v>
      </c>
      <c r="P163">
        <f t="shared" si="68"/>
        <v>2.3908554444988201</v>
      </c>
      <c r="Q163">
        <f t="shared" si="69"/>
        <v>5.6918378781093168E-2</v>
      </c>
      <c r="R163">
        <f t="shared" si="70"/>
        <v>3.5641616751416347E-2</v>
      </c>
      <c r="S163">
        <f t="shared" si="71"/>
        <v>0</v>
      </c>
      <c r="T163">
        <f t="shared" si="72"/>
        <v>26.62937963947078</v>
      </c>
      <c r="U163">
        <f t="shared" si="73"/>
        <v>27.377529032258071</v>
      </c>
      <c r="V163">
        <f t="shared" si="74"/>
        <v>3.6592934048421255</v>
      </c>
      <c r="W163">
        <f t="shared" si="75"/>
        <v>-1.6964683217851797</v>
      </c>
      <c r="X163">
        <f t="shared" si="76"/>
        <v>-6.1811428612808764E-2</v>
      </c>
      <c r="Y163">
        <f t="shared" si="77"/>
        <v>3.6435356805109747</v>
      </c>
      <c r="Z163">
        <f t="shared" si="78"/>
        <v>3.7211048334549344</v>
      </c>
      <c r="AA163">
        <f t="shared" si="79"/>
        <v>-94.809660527192761</v>
      </c>
      <c r="AB163">
        <f t="shared" si="80"/>
        <v>-9.4950466440576093</v>
      </c>
      <c r="AC163">
        <f t="shared" si="81"/>
        <v>-0.85999821556964384</v>
      </c>
      <c r="AD163">
        <f t="shared" si="82"/>
        <v>-105.16470538682002</v>
      </c>
      <c r="AE163">
        <v>13</v>
      </c>
      <c r="AF163">
        <v>3</v>
      </c>
      <c r="AG163">
        <f t="shared" si="83"/>
        <v>1</v>
      </c>
      <c r="AH163">
        <f t="shared" si="84"/>
        <v>0</v>
      </c>
      <c r="AI163">
        <f t="shared" si="85"/>
        <v>25529.106686830408</v>
      </c>
      <c r="AJ163">
        <f t="shared" si="86"/>
        <v>0</v>
      </c>
      <c r="AK163">
        <f t="shared" si="87"/>
        <v>0</v>
      </c>
      <c r="AL163">
        <f t="shared" si="88"/>
        <v>0</v>
      </c>
      <c r="AM163">
        <f t="shared" si="89"/>
        <v>0</v>
      </c>
      <c r="AN163">
        <v>3</v>
      </c>
      <c r="AO163">
        <v>0.5</v>
      </c>
      <c r="AP163" t="s">
        <v>331</v>
      </c>
      <c r="AQ163">
        <v>2</v>
      </c>
      <c r="AR163">
        <v>1775489791.599999</v>
      </c>
      <c r="AS163">
        <v>32.029748387096767</v>
      </c>
      <c r="AT163">
        <v>32.288974193548377</v>
      </c>
      <c r="AU163">
        <v>-0.61616983870967745</v>
      </c>
      <c r="AV163">
        <v>-1.9069535483870961</v>
      </c>
      <c r="AW163">
        <v>24.004748387096779</v>
      </c>
      <c r="AX163">
        <v>0.37310112903225812</v>
      </c>
      <c r="AY163">
        <v>499.97616129032258</v>
      </c>
      <c r="AZ163">
        <v>100.273935483871</v>
      </c>
      <c r="BA163">
        <v>4.1634558064516131E-2</v>
      </c>
      <c r="BB163">
        <v>27.303864516129021</v>
      </c>
      <c r="BC163">
        <v>27.377529032258071</v>
      </c>
      <c r="BD163">
        <v>999.90000000000032</v>
      </c>
      <c r="BE163">
        <v>0</v>
      </c>
      <c r="BF163">
        <v>0</v>
      </c>
      <c r="BG163">
        <v>4993.5967741935483</v>
      </c>
      <c r="BH163">
        <v>0.37760300000000002</v>
      </c>
      <c r="BI163">
        <v>0.23331922580645159</v>
      </c>
      <c r="BJ163">
        <v>-0.25359213548387088</v>
      </c>
      <c r="BK163">
        <v>32.015645161290323</v>
      </c>
      <c r="BL163">
        <v>32.227506451612904</v>
      </c>
      <c r="BM163">
        <v>1.2907835483870971</v>
      </c>
      <c r="BN163">
        <v>32.288974193548377</v>
      </c>
      <c r="BO163">
        <v>-1.9069535483870961</v>
      </c>
      <c r="BP163">
        <v>-6.1785806451612899E-2</v>
      </c>
      <c r="BQ163">
        <v>-0.19121787096774201</v>
      </c>
      <c r="BR163">
        <v>-99.900000000000034</v>
      </c>
      <c r="BS163">
        <v>-99.900000000000034</v>
      </c>
      <c r="BT163">
        <v>0</v>
      </c>
      <c r="BU163">
        <v>0</v>
      </c>
      <c r="BV163">
        <v>0</v>
      </c>
      <c r="BW163">
        <v>25</v>
      </c>
      <c r="BX163">
        <v>-1</v>
      </c>
      <c r="BY163">
        <v>1775489821.5999999</v>
      </c>
      <c r="BZ163" t="s">
        <v>774</v>
      </c>
      <c r="CA163">
        <v>1775489821.5999999</v>
      </c>
      <c r="CB163">
        <v>1775480969.5</v>
      </c>
      <c r="CC163">
        <v>148</v>
      </c>
      <c r="CD163">
        <v>-5.0000000000000001E-3</v>
      </c>
      <c r="CE163">
        <v>0.19500000000000001</v>
      </c>
      <c r="CF163">
        <v>8.0250000000000004</v>
      </c>
      <c r="CG163">
        <v>-0.98899999999999999</v>
      </c>
      <c r="CH163">
        <v>33</v>
      </c>
      <c r="CI163">
        <v>-3</v>
      </c>
      <c r="CJ163">
        <v>0.16</v>
      </c>
      <c r="CK163">
        <v>0.06</v>
      </c>
      <c r="CL163">
        <v>32.50413833333333</v>
      </c>
      <c r="CM163">
        <v>-1.462624617949394</v>
      </c>
      <c r="CN163">
        <v>0.25307426452306209</v>
      </c>
      <c r="CO163">
        <v>-1</v>
      </c>
      <c r="CP163">
        <v>499.98328333333342</v>
      </c>
      <c r="CQ163">
        <v>-6.3984440130882532E-3</v>
      </c>
      <c r="CR163">
        <v>4.3629153734117972E-2</v>
      </c>
      <c r="CS163">
        <v>-1</v>
      </c>
      <c r="CT163">
        <v>0</v>
      </c>
      <c r="CU163">
        <v>0</v>
      </c>
      <c r="CV163" t="s">
        <v>333</v>
      </c>
      <c r="CW163">
        <v>3.16744</v>
      </c>
      <c r="CX163">
        <v>2.6629299999999998</v>
      </c>
      <c r="CY163">
        <v>7.1211199999999999E-3</v>
      </c>
      <c r="CZ163">
        <v>9.7124800000000008E-3</v>
      </c>
      <c r="DA163">
        <v>3.0084399999999998E-3</v>
      </c>
      <c r="DB163">
        <v>-1.7641799999999999E-2</v>
      </c>
      <c r="DC163">
        <v>21421.4</v>
      </c>
      <c r="DD163">
        <v>21750.2</v>
      </c>
      <c r="DE163">
        <v>23102.5</v>
      </c>
      <c r="DF163">
        <v>22316.400000000001</v>
      </c>
      <c r="DG163">
        <v>29704</v>
      </c>
      <c r="DH163">
        <v>27084.1</v>
      </c>
      <c r="DI163">
        <v>40604.9</v>
      </c>
      <c r="DJ163">
        <v>36985.5</v>
      </c>
      <c r="DK163">
        <v>2.0869800000000001</v>
      </c>
      <c r="DL163">
        <v>1.79992</v>
      </c>
      <c r="DM163">
        <v>2.4229299999999999E-2</v>
      </c>
      <c r="DN163">
        <v>0</v>
      </c>
      <c r="DO163">
        <v>26.9801</v>
      </c>
      <c r="DP163">
        <v>999.9</v>
      </c>
      <c r="DQ163">
        <v>75.8</v>
      </c>
      <c r="DR163">
        <v>30.2</v>
      </c>
      <c r="DS163">
        <v>32.578000000000003</v>
      </c>
      <c r="DT163">
        <v>30.685600000000001</v>
      </c>
      <c r="DU163">
        <v>9.7435899999999993</v>
      </c>
      <c r="DV163">
        <v>1</v>
      </c>
      <c r="DW163">
        <v>0.205035</v>
      </c>
      <c r="DX163">
        <v>-0.21041199999999999</v>
      </c>
      <c r="DY163">
        <v>20.367699999999999</v>
      </c>
      <c r="DZ163">
        <v>5.2115400000000003</v>
      </c>
      <c r="EA163">
        <v>11.8482</v>
      </c>
      <c r="EB163">
        <v>4.9678000000000004</v>
      </c>
      <c r="EC163">
        <v>3.2922400000000001</v>
      </c>
      <c r="ED163">
        <v>894.7</v>
      </c>
      <c r="EE163">
        <v>0</v>
      </c>
      <c r="EF163">
        <v>8419.7999999999993</v>
      </c>
      <c r="EG163">
        <v>111.3</v>
      </c>
      <c r="EH163">
        <v>4.9716100000000001</v>
      </c>
      <c r="EI163">
        <v>1.8717999999999999</v>
      </c>
      <c r="EJ163">
        <v>1.8690199999999999</v>
      </c>
      <c r="EK163">
        <v>1.8714</v>
      </c>
      <c r="EL163">
        <v>1.86913</v>
      </c>
      <c r="EM163">
        <v>1.8680399999999999</v>
      </c>
      <c r="EN163">
        <v>1.86995</v>
      </c>
      <c r="EO163">
        <v>1.87178</v>
      </c>
      <c r="EP163">
        <v>0</v>
      </c>
      <c r="EQ163">
        <v>0</v>
      </c>
      <c r="ER163">
        <v>0</v>
      </c>
      <c r="ES163">
        <v>0</v>
      </c>
      <c r="ET163" t="s">
        <v>334</v>
      </c>
      <c r="EU163" t="s">
        <v>335</v>
      </c>
      <c r="EV163" t="s">
        <v>336</v>
      </c>
      <c r="EW163" t="s">
        <v>336</v>
      </c>
      <c r="EX163" t="s">
        <v>336</v>
      </c>
      <c r="EY163" t="s">
        <v>336</v>
      </c>
      <c r="EZ163">
        <v>0</v>
      </c>
      <c r="FA163">
        <v>100</v>
      </c>
      <c r="FB163">
        <v>100</v>
      </c>
      <c r="FC163">
        <v>8.0250000000000004</v>
      </c>
      <c r="FD163">
        <v>-0.98929999999999996</v>
      </c>
      <c r="FE163">
        <v>8.0306299999999951</v>
      </c>
      <c r="FF163">
        <v>0</v>
      </c>
      <c r="FG163">
        <v>0</v>
      </c>
      <c r="FH163">
        <v>0</v>
      </c>
      <c r="FI163">
        <v>-0.98927100000000023</v>
      </c>
      <c r="FJ163">
        <v>0</v>
      </c>
      <c r="FK163">
        <v>0</v>
      </c>
      <c r="FL163">
        <v>0</v>
      </c>
      <c r="FM163">
        <v>-1</v>
      </c>
      <c r="FN163">
        <v>-1</v>
      </c>
      <c r="FO163">
        <v>-1</v>
      </c>
      <c r="FP163">
        <v>-1</v>
      </c>
      <c r="FQ163">
        <v>0.7</v>
      </c>
      <c r="FR163">
        <v>147.19999999999999</v>
      </c>
      <c r="FS163">
        <v>0.142822</v>
      </c>
      <c r="FT163">
        <v>4.99756</v>
      </c>
      <c r="FU163">
        <v>1.5979000000000001</v>
      </c>
      <c r="FV163">
        <v>2.1520999999999999</v>
      </c>
      <c r="FW163">
        <v>1.5478499999999999</v>
      </c>
      <c r="FX163">
        <v>2.47437</v>
      </c>
      <c r="FY163">
        <v>34.554900000000004</v>
      </c>
      <c r="FZ163">
        <v>15.603</v>
      </c>
      <c r="GA163">
        <v>3</v>
      </c>
      <c r="GB163">
        <v>497.64600000000002</v>
      </c>
      <c r="GC163">
        <v>405.62700000000001</v>
      </c>
      <c r="GD163">
        <v>27.9178</v>
      </c>
      <c r="GE163">
        <v>29.8233</v>
      </c>
      <c r="GF163">
        <v>30.0001</v>
      </c>
      <c r="GG163">
        <v>30.123200000000001</v>
      </c>
      <c r="GH163">
        <v>30.176300000000001</v>
      </c>
      <c r="GI163">
        <v>-1</v>
      </c>
      <c r="GJ163">
        <v>0</v>
      </c>
      <c r="GK163">
        <v>100</v>
      </c>
      <c r="GL163">
        <v>27.915199999999999</v>
      </c>
      <c r="GM163">
        <v>432.1</v>
      </c>
      <c r="GN163">
        <v>68.912800000000004</v>
      </c>
      <c r="GO163">
        <v>102.206</v>
      </c>
      <c r="GP163">
        <v>96.507400000000004</v>
      </c>
    </row>
    <row r="164" spans="1:198" x14ac:dyDescent="0.35">
      <c r="A164">
        <v>148</v>
      </c>
      <c r="B164">
        <v>1775489859.5999999</v>
      </c>
      <c r="C164">
        <v>8821.0999999046326</v>
      </c>
      <c r="D164" t="s">
        <v>775</v>
      </c>
      <c r="E164" t="s">
        <v>776</v>
      </c>
      <c r="F164">
        <v>60</v>
      </c>
      <c r="G164">
        <v>1775489851.599999</v>
      </c>
      <c r="H164">
        <f t="shared" si="60"/>
        <v>2.1686232619362476E-3</v>
      </c>
      <c r="I164">
        <f t="shared" si="61"/>
        <v>2.1686232619362475</v>
      </c>
      <c r="J164">
        <f t="shared" si="62"/>
        <v>0.64933768522002078</v>
      </c>
      <c r="K164">
        <f t="shared" si="63"/>
        <v>32.652822580645157</v>
      </c>
      <c r="L164">
        <f t="shared" si="64"/>
        <v>13.204875105649402</v>
      </c>
      <c r="M164">
        <f t="shared" si="65"/>
        <v>1.3246538931639429</v>
      </c>
      <c r="N164">
        <f t="shared" si="66"/>
        <v>3.2755848281925832</v>
      </c>
      <c r="O164">
        <f t="shared" si="67"/>
        <v>5.817662082816176E-2</v>
      </c>
      <c r="P164">
        <f t="shared" si="68"/>
        <v>2.3941341286996236</v>
      </c>
      <c r="Q164">
        <f t="shared" si="69"/>
        <v>5.7402525860831992E-2</v>
      </c>
      <c r="R164">
        <f t="shared" si="70"/>
        <v>3.5945269858913095E-2</v>
      </c>
      <c r="S164">
        <f t="shared" si="71"/>
        <v>0</v>
      </c>
      <c r="T164">
        <f t="shared" si="72"/>
        <v>26.617607697222901</v>
      </c>
      <c r="U164">
        <f t="shared" si="73"/>
        <v>27.373509677419349</v>
      </c>
      <c r="V164">
        <f t="shared" si="74"/>
        <v>3.658432085052842</v>
      </c>
      <c r="W164">
        <f t="shared" si="75"/>
        <v>-1.7436171354042855</v>
      </c>
      <c r="X164">
        <f t="shared" si="76"/>
        <v>-6.3504218003136048E-2</v>
      </c>
      <c r="Y164">
        <f t="shared" si="77"/>
        <v>3.6420964622151173</v>
      </c>
      <c r="Z164">
        <f t="shared" si="78"/>
        <v>3.721936303055978</v>
      </c>
      <c r="AA164">
        <f t="shared" si="79"/>
        <v>-95.636285851388521</v>
      </c>
      <c r="AB164">
        <f t="shared" si="80"/>
        <v>-9.8594780664126649</v>
      </c>
      <c r="AC164">
        <f t="shared" si="81"/>
        <v>-0.89173512326981574</v>
      </c>
      <c r="AD164">
        <f t="shared" si="82"/>
        <v>-106.387499041071</v>
      </c>
      <c r="AE164">
        <v>13</v>
      </c>
      <c r="AF164">
        <v>3</v>
      </c>
      <c r="AG164">
        <f t="shared" si="83"/>
        <v>1</v>
      </c>
      <c r="AH164">
        <f t="shared" si="84"/>
        <v>0</v>
      </c>
      <c r="AI164">
        <f t="shared" si="85"/>
        <v>25579.549088021209</v>
      </c>
      <c r="AJ164">
        <f t="shared" si="86"/>
        <v>0</v>
      </c>
      <c r="AK164">
        <f t="shared" si="87"/>
        <v>0</v>
      </c>
      <c r="AL164">
        <f t="shared" si="88"/>
        <v>0</v>
      </c>
      <c r="AM164">
        <f t="shared" si="89"/>
        <v>0</v>
      </c>
      <c r="AN164">
        <v>3</v>
      </c>
      <c r="AO164">
        <v>0.5</v>
      </c>
      <c r="AP164" t="s">
        <v>331</v>
      </c>
      <c r="AQ164">
        <v>2</v>
      </c>
      <c r="AR164">
        <v>1775489851.599999</v>
      </c>
      <c r="AS164">
        <v>32.652822580645157</v>
      </c>
      <c r="AT164">
        <v>33.084906451612902</v>
      </c>
      <c r="AU164">
        <v>-0.63304480645161287</v>
      </c>
      <c r="AV164">
        <v>-1.9350251612903231</v>
      </c>
      <c r="AW164">
        <v>24.592822580645159</v>
      </c>
      <c r="AX164">
        <v>0.35622622580645158</v>
      </c>
      <c r="AY164">
        <v>500.00664516129041</v>
      </c>
      <c r="AZ164">
        <v>100.2735483870967</v>
      </c>
      <c r="BA164">
        <v>4.1970129032258059E-2</v>
      </c>
      <c r="BB164">
        <v>27.297122580645159</v>
      </c>
      <c r="BC164">
        <v>27.373509677419349</v>
      </c>
      <c r="BD164">
        <v>999.90000000000032</v>
      </c>
      <c r="BE164">
        <v>0</v>
      </c>
      <c r="BF164">
        <v>0</v>
      </c>
      <c r="BG164">
        <v>5002.0483870967746</v>
      </c>
      <c r="BH164">
        <v>0.39400058064516152</v>
      </c>
      <c r="BI164">
        <v>0.23331922580645159</v>
      </c>
      <c r="BJ164">
        <v>-0.4668923387096775</v>
      </c>
      <c r="BK164">
        <v>32.597370967741931</v>
      </c>
      <c r="BL164">
        <v>33.021009677419357</v>
      </c>
      <c r="BM164">
        <v>1.3019812903225809</v>
      </c>
      <c r="BN164">
        <v>33.084906451612902</v>
      </c>
      <c r="BO164">
        <v>-1.9350251612903231</v>
      </c>
      <c r="BP164">
        <v>-6.3477648387096783E-2</v>
      </c>
      <c r="BQ164">
        <v>-0.19403190322580649</v>
      </c>
      <c r="BR164">
        <v>-99.900000000000034</v>
      </c>
      <c r="BS164">
        <v>-99.900000000000034</v>
      </c>
      <c r="BT164">
        <v>0</v>
      </c>
      <c r="BU164">
        <v>0</v>
      </c>
      <c r="BV164">
        <v>0</v>
      </c>
      <c r="BW164">
        <v>25</v>
      </c>
      <c r="BX164">
        <v>-1</v>
      </c>
      <c r="BY164">
        <v>1775489883.5999999</v>
      </c>
      <c r="BZ164" t="s">
        <v>777</v>
      </c>
      <c r="CA164">
        <v>1775489883.5999999</v>
      </c>
      <c r="CB164">
        <v>1775480969.5</v>
      </c>
      <c r="CC164">
        <v>149</v>
      </c>
      <c r="CD164">
        <v>3.5000000000000003E-2</v>
      </c>
      <c r="CE164">
        <v>0.19500000000000001</v>
      </c>
      <c r="CF164">
        <v>8.06</v>
      </c>
      <c r="CG164">
        <v>-0.98899999999999999</v>
      </c>
      <c r="CH164">
        <v>33</v>
      </c>
      <c r="CI164">
        <v>-3</v>
      </c>
      <c r="CJ164">
        <v>0.28999999999999998</v>
      </c>
      <c r="CK164">
        <v>0.06</v>
      </c>
      <c r="CL164">
        <v>32.947873333333327</v>
      </c>
      <c r="CM164">
        <v>0.57913020283420413</v>
      </c>
      <c r="CN164">
        <v>0.31042910670375129</v>
      </c>
      <c r="CO164">
        <v>-1</v>
      </c>
      <c r="CP164">
        <v>500.02105000000012</v>
      </c>
      <c r="CQ164">
        <v>-0.37831508752450638</v>
      </c>
      <c r="CR164">
        <v>0.17481670639081909</v>
      </c>
      <c r="CS164">
        <v>-1</v>
      </c>
      <c r="CT164">
        <v>0</v>
      </c>
      <c r="CU164">
        <v>0</v>
      </c>
      <c r="CV164" t="s">
        <v>333</v>
      </c>
      <c r="CW164">
        <v>3.16736</v>
      </c>
      <c r="CX164">
        <v>2.6632400000000001</v>
      </c>
      <c r="CY164">
        <v>7.2868400000000002E-3</v>
      </c>
      <c r="CZ164">
        <v>9.7200600000000009E-3</v>
      </c>
      <c r="DA164">
        <v>2.8829599999999999E-3</v>
      </c>
      <c r="DB164">
        <v>-1.79179E-2</v>
      </c>
      <c r="DC164">
        <v>21417.7</v>
      </c>
      <c r="DD164">
        <v>21749.3</v>
      </c>
      <c r="DE164">
        <v>23102.400000000001</v>
      </c>
      <c r="DF164">
        <v>22315.599999999999</v>
      </c>
      <c r="DG164">
        <v>29707.4</v>
      </c>
      <c r="DH164">
        <v>27090.3</v>
      </c>
      <c r="DI164">
        <v>40604.5</v>
      </c>
      <c r="DJ164">
        <v>36984</v>
      </c>
      <c r="DK164">
        <v>2.0869399999999998</v>
      </c>
      <c r="DL164">
        <v>1.8010200000000001</v>
      </c>
      <c r="DM164">
        <v>2.3764400000000001E-2</v>
      </c>
      <c r="DN164">
        <v>0</v>
      </c>
      <c r="DO164">
        <v>26.985900000000001</v>
      </c>
      <c r="DP164">
        <v>999.9</v>
      </c>
      <c r="DQ164">
        <v>75.8</v>
      </c>
      <c r="DR164">
        <v>30.2</v>
      </c>
      <c r="DS164">
        <v>32.578400000000002</v>
      </c>
      <c r="DT164">
        <v>30.775600000000001</v>
      </c>
      <c r="DU164">
        <v>10.1082</v>
      </c>
      <c r="DV164">
        <v>1</v>
      </c>
      <c r="DW164">
        <v>0.20526</v>
      </c>
      <c r="DX164">
        <v>-0.250444</v>
      </c>
      <c r="DY164">
        <v>20.367799999999999</v>
      </c>
      <c r="DZ164">
        <v>5.2115400000000003</v>
      </c>
      <c r="EA164">
        <v>11.8482</v>
      </c>
      <c r="EB164">
        <v>4.9674399999999999</v>
      </c>
      <c r="EC164">
        <v>3.2921200000000002</v>
      </c>
      <c r="ED164">
        <v>894.7</v>
      </c>
      <c r="EE164">
        <v>0</v>
      </c>
      <c r="EF164">
        <v>8446.4</v>
      </c>
      <c r="EG164">
        <v>111.3</v>
      </c>
      <c r="EH164">
        <v>4.9716100000000001</v>
      </c>
      <c r="EI164">
        <v>1.8717999999999999</v>
      </c>
      <c r="EJ164">
        <v>1.86904</v>
      </c>
      <c r="EK164">
        <v>1.87141</v>
      </c>
      <c r="EL164">
        <v>1.86913</v>
      </c>
      <c r="EM164">
        <v>1.86809</v>
      </c>
      <c r="EN164">
        <v>1.8699600000000001</v>
      </c>
      <c r="EO164">
        <v>1.8717999999999999</v>
      </c>
      <c r="EP164">
        <v>0</v>
      </c>
      <c r="EQ164">
        <v>0</v>
      </c>
      <c r="ER164">
        <v>0</v>
      </c>
      <c r="ES164">
        <v>0</v>
      </c>
      <c r="ET164" t="s">
        <v>334</v>
      </c>
      <c r="EU164" t="s">
        <v>335</v>
      </c>
      <c r="EV164" t="s">
        <v>336</v>
      </c>
      <c r="EW164" t="s">
        <v>336</v>
      </c>
      <c r="EX164" t="s">
        <v>336</v>
      </c>
      <c r="EY164" t="s">
        <v>336</v>
      </c>
      <c r="EZ164">
        <v>0</v>
      </c>
      <c r="FA164">
        <v>100</v>
      </c>
      <c r="FB164">
        <v>100</v>
      </c>
      <c r="FC164">
        <v>8.06</v>
      </c>
      <c r="FD164">
        <v>-0.98929999999999996</v>
      </c>
      <c r="FE164">
        <v>8.0251850000000005</v>
      </c>
      <c r="FF164">
        <v>0</v>
      </c>
      <c r="FG164">
        <v>0</v>
      </c>
      <c r="FH164">
        <v>0</v>
      </c>
      <c r="FI164">
        <v>-0.98927100000000023</v>
      </c>
      <c r="FJ164">
        <v>0</v>
      </c>
      <c r="FK164">
        <v>0</v>
      </c>
      <c r="FL164">
        <v>0</v>
      </c>
      <c r="FM164">
        <v>-1</v>
      </c>
      <c r="FN164">
        <v>-1</v>
      </c>
      <c r="FO164">
        <v>-1</v>
      </c>
      <c r="FP164">
        <v>-1</v>
      </c>
      <c r="FQ164">
        <v>0.6</v>
      </c>
      <c r="FR164">
        <v>148.19999999999999</v>
      </c>
      <c r="FS164">
        <v>0.142822</v>
      </c>
      <c r="FT164">
        <v>4.99756</v>
      </c>
      <c r="FU164">
        <v>1.5979000000000001</v>
      </c>
      <c r="FV164">
        <v>2.1520999999999999</v>
      </c>
      <c r="FW164">
        <v>1.5478499999999999</v>
      </c>
      <c r="FX164">
        <v>2.3303199999999999</v>
      </c>
      <c r="FY164">
        <v>34.554900000000004</v>
      </c>
      <c r="FZ164">
        <v>15.5943</v>
      </c>
      <c r="GA164">
        <v>3</v>
      </c>
      <c r="GB164">
        <v>497.62299999999999</v>
      </c>
      <c r="GC164">
        <v>406.24200000000002</v>
      </c>
      <c r="GD164">
        <v>27.931799999999999</v>
      </c>
      <c r="GE164">
        <v>29.8233</v>
      </c>
      <c r="GF164">
        <v>30.0001</v>
      </c>
      <c r="GG164">
        <v>30.123200000000001</v>
      </c>
      <c r="GH164">
        <v>30.1738</v>
      </c>
      <c r="GI164">
        <v>-1</v>
      </c>
      <c r="GJ164">
        <v>0</v>
      </c>
      <c r="GK164">
        <v>100</v>
      </c>
      <c r="GL164">
        <v>27.934999999999999</v>
      </c>
      <c r="GM164">
        <v>432.1</v>
      </c>
      <c r="GN164">
        <v>68.912800000000004</v>
      </c>
      <c r="GO164">
        <v>102.205</v>
      </c>
      <c r="GP164">
        <v>96.503799999999998</v>
      </c>
    </row>
    <row r="165" spans="1:198" x14ac:dyDescent="0.35">
      <c r="A165">
        <v>149</v>
      </c>
      <c r="B165">
        <v>1775489919.5999999</v>
      </c>
      <c r="C165">
        <v>8881.0999999046326</v>
      </c>
      <c r="D165" t="s">
        <v>778</v>
      </c>
      <c r="E165" t="s">
        <v>779</v>
      </c>
      <c r="F165">
        <v>60</v>
      </c>
      <c r="G165">
        <v>1775489911.599999</v>
      </c>
      <c r="H165">
        <f t="shared" si="60"/>
        <v>2.1990255831399299E-3</v>
      </c>
      <c r="I165">
        <f t="shared" si="61"/>
        <v>2.1990255831399299</v>
      </c>
      <c r="J165">
        <f t="shared" si="62"/>
        <v>0.34921659867648674</v>
      </c>
      <c r="K165">
        <f t="shared" si="63"/>
        <v>31.96437741935485</v>
      </c>
      <c r="L165">
        <f t="shared" si="64"/>
        <v>20.78879423763205</v>
      </c>
      <c r="M165">
        <f t="shared" si="65"/>
        <v>2.0854076773821477</v>
      </c>
      <c r="N165">
        <f t="shared" si="66"/>
        <v>3.2064754362904284</v>
      </c>
      <c r="O165">
        <f t="shared" si="67"/>
        <v>5.8983833942792836E-2</v>
      </c>
      <c r="P165">
        <f t="shared" si="68"/>
        <v>2.3944783934607949</v>
      </c>
      <c r="Q165">
        <f t="shared" si="69"/>
        <v>5.818837959967605E-2</v>
      </c>
      <c r="R165">
        <f t="shared" si="70"/>
        <v>3.6438311906193885E-2</v>
      </c>
      <c r="S165">
        <f t="shared" si="71"/>
        <v>0</v>
      </c>
      <c r="T165">
        <f t="shared" si="72"/>
        <v>26.610538174258874</v>
      </c>
      <c r="U165">
        <f t="shared" si="73"/>
        <v>27.38035806451613</v>
      </c>
      <c r="V165">
        <f t="shared" si="74"/>
        <v>3.6598997528972474</v>
      </c>
      <c r="W165">
        <f t="shared" si="75"/>
        <v>-1.7337513642768729</v>
      </c>
      <c r="X165">
        <f t="shared" si="76"/>
        <v>-6.315364739416475E-2</v>
      </c>
      <c r="Y165">
        <f t="shared" si="77"/>
        <v>3.642601165046834</v>
      </c>
      <c r="Z165">
        <f t="shared" si="78"/>
        <v>3.7230534002914122</v>
      </c>
      <c r="AA165">
        <f t="shared" si="79"/>
        <v>-96.977028216470913</v>
      </c>
      <c r="AB165">
        <f t="shared" si="80"/>
        <v>-10.43972373240984</v>
      </c>
      <c r="AC165">
        <f t="shared" si="81"/>
        <v>-0.94412281499901973</v>
      </c>
      <c r="AD165">
        <f t="shared" si="82"/>
        <v>-108.36087476387978</v>
      </c>
      <c r="AE165">
        <v>13</v>
      </c>
      <c r="AF165">
        <v>3</v>
      </c>
      <c r="AG165">
        <f t="shared" si="83"/>
        <v>1</v>
      </c>
      <c r="AH165">
        <f t="shared" si="84"/>
        <v>0</v>
      </c>
      <c r="AI165">
        <f t="shared" si="85"/>
        <v>25584.635488199474</v>
      </c>
      <c r="AJ165">
        <f t="shared" si="86"/>
        <v>0</v>
      </c>
      <c r="AK165">
        <f t="shared" si="87"/>
        <v>0</v>
      </c>
      <c r="AL165">
        <f t="shared" si="88"/>
        <v>0</v>
      </c>
      <c r="AM165">
        <f t="shared" si="89"/>
        <v>0</v>
      </c>
      <c r="AN165">
        <v>3</v>
      </c>
      <c r="AO165">
        <v>0.5</v>
      </c>
      <c r="AP165" t="s">
        <v>331</v>
      </c>
      <c r="AQ165">
        <v>2</v>
      </c>
      <c r="AR165">
        <v>1775489911.599999</v>
      </c>
      <c r="AS165">
        <v>31.96437741935485</v>
      </c>
      <c r="AT165">
        <v>32.216070967741942</v>
      </c>
      <c r="AU165">
        <v>-0.62955948387096772</v>
      </c>
      <c r="AV165">
        <v>-1.949749354838709</v>
      </c>
      <c r="AW165">
        <v>23.943377419354849</v>
      </c>
      <c r="AX165">
        <v>0.35971151612903218</v>
      </c>
      <c r="AY165">
        <v>500.02125806451608</v>
      </c>
      <c r="AZ165">
        <v>100.2722258064516</v>
      </c>
      <c r="BA165">
        <v>4.1801719354838722E-2</v>
      </c>
      <c r="BB165">
        <v>27.29948709677419</v>
      </c>
      <c r="BC165">
        <v>27.38035806451613</v>
      </c>
      <c r="BD165">
        <v>999.90000000000032</v>
      </c>
      <c r="BE165">
        <v>0</v>
      </c>
      <c r="BF165">
        <v>0</v>
      </c>
      <c r="BG165">
        <v>5003</v>
      </c>
      <c r="BH165">
        <v>0.38709938709677427</v>
      </c>
      <c r="BI165">
        <v>0.23231935483870961</v>
      </c>
      <c r="BJ165">
        <v>-0.21285997741935481</v>
      </c>
      <c r="BK165">
        <v>31.983080645161291</v>
      </c>
      <c r="BL165">
        <v>32.153377419354833</v>
      </c>
      <c r="BM165">
        <v>1.3201896774193549</v>
      </c>
      <c r="BN165">
        <v>32.216070967741942</v>
      </c>
      <c r="BO165">
        <v>-1.949749354838709</v>
      </c>
      <c r="BP165">
        <v>-6.3127329032258067E-2</v>
      </c>
      <c r="BQ165">
        <v>-0.19550564516129029</v>
      </c>
      <c r="BR165">
        <v>-99.900000000000034</v>
      </c>
      <c r="BS165">
        <v>-99.900000000000034</v>
      </c>
      <c r="BT165">
        <v>0</v>
      </c>
      <c r="BU165">
        <v>0</v>
      </c>
      <c r="BV165">
        <v>0</v>
      </c>
      <c r="BW165">
        <v>25</v>
      </c>
      <c r="BX165">
        <v>-1</v>
      </c>
      <c r="BY165">
        <v>1775489944.0999999</v>
      </c>
      <c r="BZ165" t="s">
        <v>780</v>
      </c>
      <c r="CA165">
        <v>1775489944.0999999</v>
      </c>
      <c r="CB165">
        <v>1775480969.5</v>
      </c>
      <c r="CC165">
        <v>150</v>
      </c>
      <c r="CD165">
        <v>-3.9E-2</v>
      </c>
      <c r="CE165">
        <v>0.19500000000000001</v>
      </c>
      <c r="CF165">
        <v>8.0210000000000008</v>
      </c>
      <c r="CG165">
        <v>-0.98899999999999999</v>
      </c>
      <c r="CH165">
        <v>32</v>
      </c>
      <c r="CI165">
        <v>-3</v>
      </c>
      <c r="CJ165">
        <v>0.22</v>
      </c>
      <c r="CK165">
        <v>0.06</v>
      </c>
      <c r="CL165">
        <v>32.423261666666669</v>
      </c>
      <c r="CM165">
        <v>-1.686147374270536</v>
      </c>
      <c r="CN165">
        <v>0.25296900079632029</v>
      </c>
      <c r="CO165">
        <v>-1</v>
      </c>
      <c r="CP165">
        <v>500.25026666666668</v>
      </c>
      <c r="CQ165">
        <v>-2.545713809390846</v>
      </c>
      <c r="CR165">
        <v>0.79484113437144677</v>
      </c>
      <c r="CS165">
        <v>-1</v>
      </c>
      <c r="CT165">
        <v>0</v>
      </c>
      <c r="CU165">
        <v>0</v>
      </c>
      <c r="CV165" t="s">
        <v>333</v>
      </c>
      <c r="CW165">
        <v>3.1673499999999999</v>
      </c>
      <c r="CX165">
        <v>2.6629299999999998</v>
      </c>
      <c r="CY165">
        <v>7.0734500000000002E-3</v>
      </c>
      <c r="CZ165">
        <v>9.5474099999999992E-3</v>
      </c>
      <c r="DA165">
        <v>2.9001299999999999E-3</v>
      </c>
      <c r="DB165">
        <v>-1.8055499999999999E-2</v>
      </c>
      <c r="DC165">
        <v>21421.7</v>
      </c>
      <c r="DD165">
        <v>21753.5</v>
      </c>
      <c r="DE165">
        <v>23101.7</v>
      </c>
      <c r="DF165">
        <v>22316</v>
      </c>
      <c r="DG165">
        <v>29706.2</v>
      </c>
      <c r="DH165">
        <v>27094.3</v>
      </c>
      <c r="DI165">
        <v>40603.5</v>
      </c>
      <c r="DJ165">
        <v>36984.6</v>
      </c>
      <c r="DK165">
        <v>2.0870000000000002</v>
      </c>
      <c r="DL165">
        <v>1.8018799999999999</v>
      </c>
      <c r="DM165">
        <v>2.4527299999999998E-2</v>
      </c>
      <c r="DN165">
        <v>0</v>
      </c>
      <c r="DO165">
        <v>26.978999999999999</v>
      </c>
      <c r="DP165">
        <v>999.9</v>
      </c>
      <c r="DQ165">
        <v>75.8</v>
      </c>
      <c r="DR165">
        <v>30.2</v>
      </c>
      <c r="DS165">
        <v>32.578000000000003</v>
      </c>
      <c r="DT165">
        <v>30.415600000000001</v>
      </c>
      <c r="DU165">
        <v>10.0801</v>
      </c>
      <c r="DV165">
        <v>1</v>
      </c>
      <c r="DW165">
        <v>0.205266</v>
      </c>
      <c r="DX165">
        <v>-0.26977099999999998</v>
      </c>
      <c r="DY165">
        <v>20.367100000000001</v>
      </c>
      <c r="DZ165">
        <v>5.20878</v>
      </c>
      <c r="EA165">
        <v>11.8482</v>
      </c>
      <c r="EB165">
        <v>4.9673999999999996</v>
      </c>
      <c r="EC165">
        <v>3.2915199999999998</v>
      </c>
      <c r="ED165">
        <v>894.7</v>
      </c>
      <c r="EE165">
        <v>0</v>
      </c>
      <c r="EF165">
        <v>8478.6</v>
      </c>
      <c r="EG165">
        <v>111.3</v>
      </c>
      <c r="EH165">
        <v>4.9715999999999996</v>
      </c>
      <c r="EI165">
        <v>1.8717999999999999</v>
      </c>
      <c r="EJ165">
        <v>1.8690100000000001</v>
      </c>
      <c r="EK165">
        <v>1.8714</v>
      </c>
      <c r="EL165">
        <v>1.8691500000000001</v>
      </c>
      <c r="EM165">
        <v>1.86809</v>
      </c>
      <c r="EN165">
        <v>1.86995</v>
      </c>
      <c r="EO165">
        <v>1.8717999999999999</v>
      </c>
      <c r="EP165">
        <v>0</v>
      </c>
      <c r="EQ165">
        <v>0</v>
      </c>
      <c r="ER165">
        <v>0</v>
      </c>
      <c r="ES165">
        <v>0</v>
      </c>
      <c r="ET165" t="s">
        <v>334</v>
      </c>
      <c r="EU165" t="s">
        <v>335</v>
      </c>
      <c r="EV165" t="s">
        <v>336</v>
      </c>
      <c r="EW165" t="s">
        <v>336</v>
      </c>
      <c r="EX165" t="s">
        <v>336</v>
      </c>
      <c r="EY165" t="s">
        <v>336</v>
      </c>
      <c r="EZ165">
        <v>0</v>
      </c>
      <c r="FA165">
        <v>100</v>
      </c>
      <c r="FB165">
        <v>100</v>
      </c>
      <c r="FC165">
        <v>8.0210000000000008</v>
      </c>
      <c r="FD165">
        <v>-0.98929999999999996</v>
      </c>
      <c r="FE165">
        <v>8.0598300000000016</v>
      </c>
      <c r="FF165">
        <v>0</v>
      </c>
      <c r="FG165">
        <v>0</v>
      </c>
      <c r="FH165">
        <v>0</v>
      </c>
      <c r="FI165">
        <v>-0.98927100000000023</v>
      </c>
      <c r="FJ165">
        <v>0</v>
      </c>
      <c r="FK165">
        <v>0</v>
      </c>
      <c r="FL165">
        <v>0</v>
      </c>
      <c r="FM165">
        <v>-1</v>
      </c>
      <c r="FN165">
        <v>-1</v>
      </c>
      <c r="FO165">
        <v>-1</v>
      </c>
      <c r="FP165">
        <v>-1</v>
      </c>
      <c r="FQ165">
        <v>0.6</v>
      </c>
      <c r="FR165">
        <v>149.19999999999999</v>
      </c>
      <c r="FS165">
        <v>0.142822</v>
      </c>
      <c r="FT165">
        <v>4.99756</v>
      </c>
      <c r="FU165">
        <v>1.5979000000000001</v>
      </c>
      <c r="FV165">
        <v>2.1520999999999999</v>
      </c>
      <c r="FW165">
        <v>1.5478499999999999</v>
      </c>
      <c r="FX165">
        <v>2.3547400000000001</v>
      </c>
      <c r="FY165">
        <v>34.5777</v>
      </c>
      <c r="FZ165">
        <v>15.5855</v>
      </c>
      <c r="GA165">
        <v>3</v>
      </c>
      <c r="GB165">
        <v>497.65800000000002</v>
      </c>
      <c r="GC165">
        <v>406.73599999999999</v>
      </c>
      <c r="GD165">
        <v>27.962199999999999</v>
      </c>
      <c r="GE165">
        <v>29.825900000000001</v>
      </c>
      <c r="GF165">
        <v>30.0001</v>
      </c>
      <c r="GG165">
        <v>30.123200000000001</v>
      </c>
      <c r="GH165">
        <v>30.1738</v>
      </c>
      <c r="GI165">
        <v>-1</v>
      </c>
      <c r="GJ165">
        <v>0</v>
      </c>
      <c r="GK165">
        <v>100</v>
      </c>
      <c r="GL165">
        <v>27.962700000000002</v>
      </c>
      <c r="GM165">
        <v>432.1</v>
      </c>
      <c r="GN165">
        <v>68.912800000000004</v>
      </c>
      <c r="GO165">
        <v>102.202</v>
      </c>
      <c r="GP165">
        <v>96.505300000000005</v>
      </c>
    </row>
    <row r="166" spans="1:198" x14ac:dyDescent="0.35">
      <c r="A166">
        <v>150</v>
      </c>
      <c r="B166">
        <v>1775489979.5999999</v>
      </c>
      <c r="C166">
        <v>8941.0999999046326</v>
      </c>
      <c r="D166" t="s">
        <v>781</v>
      </c>
      <c r="E166" t="s">
        <v>782</v>
      </c>
      <c r="F166">
        <v>60</v>
      </c>
      <c r="G166">
        <v>1775489971.849999</v>
      </c>
      <c r="H166">
        <f t="shared" si="60"/>
        <v>2.1528985591342613E-3</v>
      </c>
      <c r="I166">
        <f t="shared" si="61"/>
        <v>2.1528985591342615</v>
      </c>
      <c r="J166">
        <f t="shared" si="62"/>
        <v>0.84345820391048143</v>
      </c>
      <c r="K166">
        <f t="shared" si="63"/>
        <v>31.613343333333329</v>
      </c>
      <c r="L166">
        <f t="shared" si="64"/>
        <v>6.8011069222500131</v>
      </c>
      <c r="M166">
        <f t="shared" si="65"/>
        <v>0.68224254822576169</v>
      </c>
      <c r="N166">
        <f t="shared" si="66"/>
        <v>3.1712437637333726</v>
      </c>
      <c r="O166">
        <f t="shared" si="67"/>
        <v>5.7709799265820858E-2</v>
      </c>
      <c r="P166">
        <f t="shared" si="68"/>
        <v>2.3947435199795741</v>
      </c>
      <c r="Q166">
        <f t="shared" si="69"/>
        <v>5.6948180838627613E-2</v>
      </c>
      <c r="R166">
        <f t="shared" si="70"/>
        <v>3.5660203963631357E-2</v>
      </c>
      <c r="S166">
        <f t="shared" si="71"/>
        <v>0</v>
      </c>
      <c r="T166">
        <f t="shared" si="72"/>
        <v>26.622179430306986</v>
      </c>
      <c r="U166">
        <f t="shared" si="73"/>
        <v>27.368116666666658</v>
      </c>
      <c r="V166">
        <f t="shared" si="74"/>
        <v>3.6572766783329533</v>
      </c>
      <c r="W166">
        <f t="shared" si="75"/>
        <v>-1.8441591051265245</v>
      </c>
      <c r="X166">
        <f t="shared" si="76"/>
        <v>-6.7164035985696854E-2</v>
      </c>
      <c r="Y166">
        <f t="shared" si="77"/>
        <v>3.6419870606060774</v>
      </c>
      <c r="Z166">
        <f t="shared" si="78"/>
        <v>3.72444071431865</v>
      </c>
      <c r="AA166">
        <f t="shared" si="79"/>
        <v>-94.942826457820928</v>
      </c>
      <c r="AB166">
        <f t="shared" si="80"/>
        <v>-9.231897707163208</v>
      </c>
      <c r="AC166">
        <f t="shared" si="81"/>
        <v>-0.83473686067539177</v>
      </c>
      <c r="AD166">
        <f t="shared" si="82"/>
        <v>-105.00946102565953</v>
      </c>
      <c r="AE166">
        <v>13</v>
      </c>
      <c r="AF166">
        <v>3</v>
      </c>
      <c r="AG166">
        <f t="shared" si="83"/>
        <v>1</v>
      </c>
      <c r="AH166">
        <f t="shared" si="84"/>
        <v>0</v>
      </c>
      <c r="AI166">
        <f t="shared" si="85"/>
        <v>25588.926746935027</v>
      </c>
      <c r="AJ166">
        <f t="shared" si="86"/>
        <v>0</v>
      </c>
      <c r="AK166">
        <f t="shared" si="87"/>
        <v>0</v>
      </c>
      <c r="AL166">
        <f t="shared" si="88"/>
        <v>0</v>
      </c>
      <c r="AM166">
        <f t="shared" si="89"/>
        <v>0</v>
      </c>
      <c r="AN166">
        <v>3</v>
      </c>
      <c r="AO166">
        <v>0.5</v>
      </c>
      <c r="AP166" t="s">
        <v>331</v>
      </c>
      <c r="AQ166">
        <v>2</v>
      </c>
      <c r="AR166">
        <v>1775489971.849999</v>
      </c>
      <c r="AS166">
        <v>31.613343333333329</v>
      </c>
      <c r="AT166">
        <v>32.160290000000003</v>
      </c>
      <c r="AU166">
        <v>-0.66954163333333327</v>
      </c>
      <c r="AV166">
        <v>-1.962229666666667</v>
      </c>
      <c r="AW166">
        <v>23.58734333333333</v>
      </c>
      <c r="AX166">
        <v>0.31972933333333331</v>
      </c>
      <c r="AY166">
        <v>499.96749999999997</v>
      </c>
      <c r="AZ166">
        <v>100.2718666666667</v>
      </c>
      <c r="BA166">
        <v>4.1590543333333341E-2</v>
      </c>
      <c r="BB166">
        <v>27.296610000000001</v>
      </c>
      <c r="BC166">
        <v>27.368116666666658</v>
      </c>
      <c r="BD166">
        <v>999.9000000000002</v>
      </c>
      <c r="BE166">
        <v>0</v>
      </c>
      <c r="BF166">
        <v>0</v>
      </c>
      <c r="BG166">
        <v>5003.7</v>
      </c>
      <c r="BH166">
        <v>0.35948936666666659</v>
      </c>
      <c r="BI166">
        <v>0.23240946666666659</v>
      </c>
      <c r="BJ166">
        <v>-0.55198573333333334</v>
      </c>
      <c r="BK166">
        <v>31.587163333333329</v>
      </c>
      <c r="BL166">
        <v>32.097313333333332</v>
      </c>
      <c r="BM166">
        <v>1.2926880000000001</v>
      </c>
      <c r="BN166">
        <v>32.160290000000003</v>
      </c>
      <c r="BO166">
        <v>-1.962229666666667</v>
      </c>
      <c r="BP166">
        <v>-6.7136196666666675E-2</v>
      </c>
      <c r="BQ166">
        <v>-0.19675633333333331</v>
      </c>
      <c r="BR166">
        <v>-99.900000000000034</v>
      </c>
      <c r="BS166">
        <v>-99.900000000000034</v>
      </c>
      <c r="BT166">
        <v>0</v>
      </c>
      <c r="BU166">
        <v>0</v>
      </c>
      <c r="BV166">
        <v>0</v>
      </c>
      <c r="BW166">
        <v>25</v>
      </c>
      <c r="BX166">
        <v>-1</v>
      </c>
      <c r="BY166">
        <v>1775489996.5999999</v>
      </c>
      <c r="BZ166" t="s">
        <v>783</v>
      </c>
      <c r="CA166">
        <v>1775489996.5999999</v>
      </c>
      <c r="CB166">
        <v>1775480969.5</v>
      </c>
      <c r="CC166">
        <v>151</v>
      </c>
      <c r="CD166">
        <v>5.0000000000000001E-3</v>
      </c>
      <c r="CE166">
        <v>0.19500000000000001</v>
      </c>
      <c r="CF166">
        <v>8.0259999999999998</v>
      </c>
      <c r="CG166">
        <v>-0.98899999999999999</v>
      </c>
      <c r="CH166">
        <v>32</v>
      </c>
      <c r="CI166">
        <v>-3</v>
      </c>
      <c r="CJ166">
        <v>0.28999999999999998</v>
      </c>
      <c r="CK166">
        <v>0.06</v>
      </c>
      <c r="CL166">
        <v>32.121458333333337</v>
      </c>
      <c r="CM166">
        <v>-0.1466330647401444</v>
      </c>
      <c r="CN166">
        <v>0.21926273455352371</v>
      </c>
      <c r="CO166">
        <v>-1</v>
      </c>
      <c r="CP166">
        <v>500.4784499999999</v>
      </c>
      <c r="CQ166">
        <v>-5.2015548763542183</v>
      </c>
      <c r="CR166">
        <v>1.259715648139162</v>
      </c>
      <c r="CS166">
        <v>-1</v>
      </c>
      <c r="CT166">
        <v>0</v>
      </c>
      <c r="CU166">
        <v>0</v>
      </c>
      <c r="CV166" t="s">
        <v>333</v>
      </c>
      <c r="CW166">
        <v>3.1673399999999998</v>
      </c>
      <c r="CX166">
        <v>2.6628099999999999</v>
      </c>
      <c r="CY166">
        <v>7.0628599999999998E-3</v>
      </c>
      <c r="CZ166">
        <v>9.5895200000000007E-3</v>
      </c>
      <c r="DA166">
        <v>2.58749E-3</v>
      </c>
      <c r="DB166">
        <v>-1.8160300000000001E-2</v>
      </c>
      <c r="DC166">
        <v>21422</v>
      </c>
      <c r="DD166">
        <v>21752.7</v>
      </c>
      <c r="DE166">
        <v>23101.8</v>
      </c>
      <c r="DF166">
        <v>22316.1</v>
      </c>
      <c r="DG166">
        <v>29715.599999999999</v>
      </c>
      <c r="DH166">
        <v>27097.4</v>
      </c>
      <c r="DI166">
        <v>40603.599999999999</v>
      </c>
      <c r="DJ166">
        <v>36984.9</v>
      </c>
      <c r="DK166">
        <v>2.0869399999999998</v>
      </c>
      <c r="DL166">
        <v>1.7997000000000001</v>
      </c>
      <c r="DM166">
        <v>2.43068E-2</v>
      </c>
      <c r="DN166">
        <v>0</v>
      </c>
      <c r="DO166">
        <v>26.963000000000001</v>
      </c>
      <c r="DP166">
        <v>999.9</v>
      </c>
      <c r="DQ166">
        <v>75.7</v>
      </c>
      <c r="DR166">
        <v>30.2</v>
      </c>
      <c r="DS166">
        <v>32.534500000000001</v>
      </c>
      <c r="DT166">
        <v>30.3856</v>
      </c>
      <c r="DU166">
        <v>10.148199999999999</v>
      </c>
      <c r="DV166">
        <v>1</v>
      </c>
      <c r="DW166">
        <v>0.20505899999999999</v>
      </c>
      <c r="DX166">
        <v>-0.29562100000000002</v>
      </c>
      <c r="DY166">
        <v>20.366900000000001</v>
      </c>
      <c r="DZ166">
        <v>5.2100999999999997</v>
      </c>
      <c r="EA166">
        <v>11.8482</v>
      </c>
      <c r="EB166">
        <v>4.9676</v>
      </c>
      <c r="EC166">
        <v>3.2915399999999999</v>
      </c>
      <c r="ED166">
        <v>894.7</v>
      </c>
      <c r="EE166">
        <v>0</v>
      </c>
      <c r="EF166">
        <v>8510</v>
      </c>
      <c r="EG166">
        <v>111.3</v>
      </c>
      <c r="EH166">
        <v>4.9715999999999996</v>
      </c>
      <c r="EI166">
        <v>1.87181</v>
      </c>
      <c r="EJ166">
        <v>1.8690100000000001</v>
      </c>
      <c r="EK166">
        <v>1.8714299999999999</v>
      </c>
      <c r="EL166">
        <v>1.86914</v>
      </c>
      <c r="EM166">
        <v>1.8681000000000001</v>
      </c>
      <c r="EN166">
        <v>1.8699600000000001</v>
      </c>
      <c r="EO166">
        <v>1.8717999999999999</v>
      </c>
      <c r="EP166">
        <v>0</v>
      </c>
      <c r="EQ166">
        <v>0</v>
      </c>
      <c r="ER166">
        <v>0</v>
      </c>
      <c r="ES166">
        <v>0</v>
      </c>
      <c r="ET166" t="s">
        <v>334</v>
      </c>
      <c r="EU166" t="s">
        <v>335</v>
      </c>
      <c r="EV166" t="s">
        <v>336</v>
      </c>
      <c r="EW166" t="s">
        <v>336</v>
      </c>
      <c r="EX166" t="s">
        <v>336</v>
      </c>
      <c r="EY166" t="s">
        <v>336</v>
      </c>
      <c r="EZ166">
        <v>0</v>
      </c>
      <c r="FA166">
        <v>100</v>
      </c>
      <c r="FB166">
        <v>100</v>
      </c>
      <c r="FC166">
        <v>8.0259999999999998</v>
      </c>
      <c r="FD166">
        <v>-0.98929999999999996</v>
      </c>
      <c r="FE166">
        <v>8.0209571428571422</v>
      </c>
      <c r="FF166">
        <v>0</v>
      </c>
      <c r="FG166">
        <v>0</v>
      </c>
      <c r="FH166">
        <v>0</v>
      </c>
      <c r="FI166">
        <v>-0.98927100000000023</v>
      </c>
      <c r="FJ166">
        <v>0</v>
      </c>
      <c r="FK166">
        <v>0</v>
      </c>
      <c r="FL166">
        <v>0</v>
      </c>
      <c r="FM166">
        <v>-1</v>
      </c>
      <c r="FN166">
        <v>-1</v>
      </c>
      <c r="FO166">
        <v>-1</v>
      </c>
      <c r="FP166">
        <v>-1</v>
      </c>
      <c r="FQ166">
        <v>0.6</v>
      </c>
      <c r="FR166">
        <v>150.19999999999999</v>
      </c>
      <c r="FS166">
        <v>0.142822</v>
      </c>
      <c r="FT166">
        <v>4.99756</v>
      </c>
      <c r="FU166">
        <v>1.5979000000000001</v>
      </c>
      <c r="FV166">
        <v>2.1545399999999999</v>
      </c>
      <c r="FW166">
        <v>1.5478499999999999</v>
      </c>
      <c r="FX166">
        <v>2.36206</v>
      </c>
      <c r="FY166">
        <v>34.5777</v>
      </c>
      <c r="FZ166">
        <v>15.5855</v>
      </c>
      <c r="GA166">
        <v>3</v>
      </c>
      <c r="GB166">
        <v>497.60300000000001</v>
      </c>
      <c r="GC166">
        <v>405.46699999999998</v>
      </c>
      <c r="GD166">
        <v>27.9619</v>
      </c>
      <c r="GE166">
        <v>29.821400000000001</v>
      </c>
      <c r="GF166">
        <v>30</v>
      </c>
      <c r="GG166">
        <v>30.120699999999999</v>
      </c>
      <c r="GH166">
        <v>30.170999999999999</v>
      </c>
      <c r="GI166">
        <v>-1</v>
      </c>
      <c r="GJ166">
        <v>0</v>
      </c>
      <c r="GK166">
        <v>100</v>
      </c>
      <c r="GL166">
        <v>27.964600000000001</v>
      </c>
      <c r="GM166">
        <v>432.1</v>
      </c>
      <c r="GN166">
        <v>68.912800000000004</v>
      </c>
      <c r="GO166">
        <v>102.203</v>
      </c>
      <c r="GP166">
        <v>96.506</v>
      </c>
    </row>
    <row r="167" spans="1:198" x14ac:dyDescent="0.35">
      <c r="A167">
        <v>151</v>
      </c>
      <c r="B167">
        <v>1775490039.5999999</v>
      </c>
      <c r="C167">
        <v>9001.0999999046326</v>
      </c>
      <c r="D167" t="s">
        <v>784</v>
      </c>
      <c r="E167" t="s">
        <v>785</v>
      </c>
      <c r="F167">
        <v>60</v>
      </c>
      <c r="G167">
        <v>1775490031.599999</v>
      </c>
      <c r="H167">
        <f t="shared" si="60"/>
        <v>2.161122984384842E-3</v>
      </c>
      <c r="I167">
        <f t="shared" si="61"/>
        <v>2.1611229843848418</v>
      </c>
      <c r="J167">
        <f t="shared" si="62"/>
        <v>0.67769629656050034</v>
      </c>
      <c r="K167">
        <f t="shared" si="63"/>
        <v>31.86641612903226</v>
      </c>
      <c r="L167">
        <f t="shared" si="64"/>
        <v>11.61522435419135</v>
      </c>
      <c r="M167">
        <f t="shared" si="65"/>
        <v>1.1651651971352588</v>
      </c>
      <c r="N167">
        <f t="shared" si="66"/>
        <v>3.1966355447606865</v>
      </c>
      <c r="O167">
        <f t="shared" si="67"/>
        <v>5.7913674037331095E-2</v>
      </c>
      <c r="P167">
        <f t="shared" si="68"/>
        <v>2.3938689875519872</v>
      </c>
      <c r="Q167">
        <f t="shared" si="69"/>
        <v>5.7146427254314215E-2</v>
      </c>
      <c r="R167">
        <f t="shared" si="70"/>
        <v>3.5784604231753656E-2</v>
      </c>
      <c r="S167">
        <f t="shared" si="71"/>
        <v>0</v>
      </c>
      <c r="T167">
        <f t="shared" si="72"/>
        <v>26.622748714466535</v>
      </c>
      <c r="U167">
        <f t="shared" si="73"/>
        <v>27.374706451612909</v>
      </c>
      <c r="V167">
        <f t="shared" si="74"/>
        <v>3.6586885269391409</v>
      </c>
      <c r="W167">
        <f t="shared" si="75"/>
        <v>-1.8389197160633197</v>
      </c>
      <c r="X167">
        <f t="shared" si="76"/>
        <v>-6.6986448394521697E-2</v>
      </c>
      <c r="Y167">
        <f t="shared" si="77"/>
        <v>3.6427065199955222</v>
      </c>
      <c r="Z167">
        <f t="shared" si="78"/>
        <v>3.7256749753336624</v>
      </c>
      <c r="AA167">
        <f t="shared" si="79"/>
        <v>-95.305523611371527</v>
      </c>
      <c r="AB167">
        <f t="shared" si="80"/>
        <v>-9.6439829206784928</v>
      </c>
      <c r="AC167">
        <f t="shared" si="81"/>
        <v>-0.87235905643324196</v>
      </c>
      <c r="AD167">
        <f t="shared" si="82"/>
        <v>-105.82186558848326</v>
      </c>
      <c r="AE167">
        <v>13</v>
      </c>
      <c r="AF167">
        <v>3</v>
      </c>
      <c r="AG167">
        <f t="shared" si="83"/>
        <v>1</v>
      </c>
      <c r="AH167">
        <f t="shared" si="84"/>
        <v>0</v>
      </c>
      <c r="AI167">
        <f t="shared" si="85"/>
        <v>25575.341776566544</v>
      </c>
      <c r="AJ167">
        <f t="shared" si="86"/>
        <v>0</v>
      </c>
      <c r="AK167">
        <f t="shared" si="87"/>
        <v>0</v>
      </c>
      <c r="AL167">
        <f t="shared" si="88"/>
        <v>0</v>
      </c>
      <c r="AM167">
        <f t="shared" si="89"/>
        <v>0</v>
      </c>
      <c r="AN167">
        <v>3</v>
      </c>
      <c r="AO167">
        <v>0.5</v>
      </c>
      <c r="AP167" t="s">
        <v>331</v>
      </c>
      <c r="AQ167">
        <v>2</v>
      </c>
      <c r="AR167">
        <v>1775490031.599999</v>
      </c>
      <c r="AS167">
        <v>31.86641612903226</v>
      </c>
      <c r="AT167">
        <v>32.314348387096778</v>
      </c>
      <c r="AU167">
        <v>-0.66777022580645162</v>
      </c>
      <c r="AV167">
        <v>-1.965292903225806</v>
      </c>
      <c r="AW167">
        <v>23.810416129032259</v>
      </c>
      <c r="AX167">
        <v>0.32150077419354828</v>
      </c>
      <c r="AY167">
        <v>500.00654838709693</v>
      </c>
      <c r="AZ167">
        <v>100.2718387096774</v>
      </c>
      <c r="BA167">
        <v>4.1780864516129029E-2</v>
      </c>
      <c r="BB167">
        <v>27.299980645161291</v>
      </c>
      <c r="BC167">
        <v>27.374706451612909</v>
      </c>
      <c r="BD167">
        <v>999.90000000000032</v>
      </c>
      <c r="BE167">
        <v>0</v>
      </c>
      <c r="BF167">
        <v>0</v>
      </c>
      <c r="BG167">
        <v>5001.4516129032254</v>
      </c>
      <c r="BH167">
        <v>0.36505674193548387</v>
      </c>
      <c r="BI167">
        <v>0.23331922580645159</v>
      </c>
      <c r="BJ167">
        <v>-0.47843951612903229</v>
      </c>
      <c r="BK167">
        <v>31.814674193548392</v>
      </c>
      <c r="BL167">
        <v>32.250974193548387</v>
      </c>
      <c r="BM167">
        <v>1.297523548387097</v>
      </c>
      <c r="BN167">
        <v>32.314348387096778</v>
      </c>
      <c r="BO167">
        <v>-1.965292903225806</v>
      </c>
      <c r="BP167">
        <v>-6.6958593548387096E-2</v>
      </c>
      <c r="BQ167">
        <v>-0.19706367741935479</v>
      </c>
      <c r="BR167">
        <v>-99.900000000000034</v>
      </c>
      <c r="BS167">
        <v>-99.900000000000034</v>
      </c>
      <c r="BT167">
        <v>0</v>
      </c>
      <c r="BU167">
        <v>0</v>
      </c>
      <c r="BV167">
        <v>0</v>
      </c>
      <c r="BW167">
        <v>25</v>
      </c>
      <c r="BX167">
        <v>-0.98279587096774224</v>
      </c>
      <c r="BY167">
        <v>1775490065.5999999</v>
      </c>
      <c r="BZ167" t="s">
        <v>786</v>
      </c>
      <c r="CA167">
        <v>1775490065.5999999</v>
      </c>
      <c r="CB167">
        <v>1775480969.5</v>
      </c>
      <c r="CC167">
        <v>152</v>
      </c>
      <c r="CD167">
        <v>0.03</v>
      </c>
      <c r="CE167">
        <v>0.19500000000000001</v>
      </c>
      <c r="CF167">
        <v>8.0559999999999992</v>
      </c>
      <c r="CG167">
        <v>-0.98899999999999999</v>
      </c>
      <c r="CH167">
        <v>34</v>
      </c>
      <c r="CI167">
        <v>-3</v>
      </c>
      <c r="CJ167">
        <v>0.5</v>
      </c>
      <c r="CK167">
        <v>0.06</v>
      </c>
      <c r="CL167">
        <v>32.255098333333343</v>
      </c>
      <c r="CM167">
        <v>0.50641100305646003</v>
      </c>
      <c r="CN167">
        <v>0.115353009629379</v>
      </c>
      <c r="CO167">
        <v>-1</v>
      </c>
      <c r="CP167">
        <v>499.99720000000002</v>
      </c>
      <c r="CQ167">
        <v>-2.700083356477034E-2</v>
      </c>
      <c r="CR167">
        <v>4.904616872566684E-2</v>
      </c>
      <c r="CS167">
        <v>-1</v>
      </c>
      <c r="CT167">
        <v>0</v>
      </c>
      <c r="CU167">
        <v>0</v>
      </c>
      <c r="CV167" t="s">
        <v>333</v>
      </c>
      <c r="CW167">
        <v>3.1675200000000001</v>
      </c>
      <c r="CX167">
        <v>2.66296</v>
      </c>
      <c r="CY167">
        <v>7.1135599999999997E-3</v>
      </c>
      <c r="CZ167">
        <v>9.6145799999999993E-3</v>
      </c>
      <c r="DA167">
        <v>2.6978700000000002E-3</v>
      </c>
      <c r="DB167">
        <v>-1.8163700000000001E-2</v>
      </c>
      <c r="DC167">
        <v>21421.5</v>
      </c>
      <c r="DD167">
        <v>21752.5</v>
      </c>
      <c r="DE167">
        <v>23102.400000000001</v>
      </c>
      <c r="DF167">
        <v>22316.400000000001</v>
      </c>
      <c r="DG167">
        <v>29713.1</v>
      </c>
      <c r="DH167">
        <v>27097.9</v>
      </c>
      <c r="DI167">
        <v>40604.699999999997</v>
      </c>
      <c r="DJ167">
        <v>36985.5</v>
      </c>
      <c r="DK167">
        <v>2.0876399999999999</v>
      </c>
      <c r="DL167">
        <v>1.8002</v>
      </c>
      <c r="DM167">
        <v>2.58684E-2</v>
      </c>
      <c r="DN167">
        <v>0</v>
      </c>
      <c r="DO167">
        <v>26.956199999999999</v>
      </c>
      <c r="DP167">
        <v>999.9</v>
      </c>
      <c r="DQ167">
        <v>75.7</v>
      </c>
      <c r="DR167">
        <v>30.2</v>
      </c>
      <c r="DS167">
        <v>32.534399999999998</v>
      </c>
      <c r="DT167">
        <v>30.535599999999999</v>
      </c>
      <c r="DU167">
        <v>10.0962</v>
      </c>
      <c r="DV167">
        <v>1</v>
      </c>
      <c r="DW167">
        <v>0.204374</v>
      </c>
      <c r="DX167">
        <v>-0.276974</v>
      </c>
      <c r="DY167">
        <v>20.3675</v>
      </c>
      <c r="DZ167">
        <v>5.2127400000000002</v>
      </c>
      <c r="EA167">
        <v>11.8482</v>
      </c>
      <c r="EB167">
        <v>4.9677600000000002</v>
      </c>
      <c r="EC167">
        <v>3.2920400000000001</v>
      </c>
      <c r="ED167">
        <v>894.7</v>
      </c>
      <c r="EE167">
        <v>0</v>
      </c>
      <c r="EF167">
        <v>8536.6</v>
      </c>
      <c r="EG167">
        <v>111.3</v>
      </c>
      <c r="EH167">
        <v>4.9716199999999997</v>
      </c>
      <c r="EI167">
        <v>1.8717999999999999</v>
      </c>
      <c r="EJ167">
        <v>1.8690199999999999</v>
      </c>
      <c r="EK167">
        <v>1.87141</v>
      </c>
      <c r="EL167">
        <v>1.8691599999999999</v>
      </c>
      <c r="EM167">
        <v>1.86812</v>
      </c>
      <c r="EN167">
        <v>1.8699600000000001</v>
      </c>
      <c r="EO167">
        <v>1.87178</v>
      </c>
      <c r="EP167">
        <v>0</v>
      </c>
      <c r="EQ167">
        <v>0</v>
      </c>
      <c r="ER167">
        <v>0</v>
      </c>
      <c r="ES167">
        <v>0</v>
      </c>
      <c r="ET167" t="s">
        <v>334</v>
      </c>
      <c r="EU167" t="s">
        <v>335</v>
      </c>
      <c r="EV167" t="s">
        <v>336</v>
      </c>
      <c r="EW167" t="s">
        <v>336</v>
      </c>
      <c r="EX167" t="s">
        <v>336</v>
      </c>
      <c r="EY167" t="s">
        <v>336</v>
      </c>
      <c r="EZ167">
        <v>0</v>
      </c>
      <c r="FA167">
        <v>100</v>
      </c>
      <c r="FB167">
        <v>100</v>
      </c>
      <c r="FC167">
        <v>8.0559999999999992</v>
      </c>
      <c r="FD167">
        <v>-0.98929999999999996</v>
      </c>
      <c r="FE167">
        <v>8.0255049999999954</v>
      </c>
      <c r="FF167">
        <v>0</v>
      </c>
      <c r="FG167">
        <v>0</v>
      </c>
      <c r="FH167">
        <v>0</v>
      </c>
      <c r="FI167">
        <v>-0.98927100000000023</v>
      </c>
      <c r="FJ167">
        <v>0</v>
      </c>
      <c r="FK167">
        <v>0</v>
      </c>
      <c r="FL167">
        <v>0</v>
      </c>
      <c r="FM167">
        <v>-1</v>
      </c>
      <c r="FN167">
        <v>-1</v>
      </c>
      <c r="FO167">
        <v>-1</v>
      </c>
      <c r="FP167">
        <v>-1</v>
      </c>
      <c r="FQ167">
        <v>0.7</v>
      </c>
      <c r="FR167">
        <v>151.19999999999999</v>
      </c>
      <c r="FS167">
        <v>0.142822</v>
      </c>
      <c r="FT167">
        <v>4.99756</v>
      </c>
      <c r="FU167">
        <v>1.5979000000000001</v>
      </c>
      <c r="FV167">
        <v>2.1533199999999999</v>
      </c>
      <c r="FW167">
        <v>1.5478499999999999</v>
      </c>
      <c r="FX167">
        <v>2.3156699999999999</v>
      </c>
      <c r="FY167">
        <v>34.5777</v>
      </c>
      <c r="FZ167">
        <v>15.5768</v>
      </c>
      <c r="GA167">
        <v>3</v>
      </c>
      <c r="GB167">
        <v>497.95</v>
      </c>
      <c r="GC167">
        <v>405.70499999999998</v>
      </c>
      <c r="GD167">
        <v>27.9878</v>
      </c>
      <c r="GE167">
        <v>29.814699999999998</v>
      </c>
      <c r="GF167">
        <v>30</v>
      </c>
      <c r="GG167">
        <v>30.113</v>
      </c>
      <c r="GH167">
        <v>30.163599999999999</v>
      </c>
      <c r="GI167">
        <v>-1</v>
      </c>
      <c r="GJ167">
        <v>0</v>
      </c>
      <c r="GK167">
        <v>100</v>
      </c>
      <c r="GL167">
        <v>27.965499999999999</v>
      </c>
      <c r="GM167">
        <v>432.1</v>
      </c>
      <c r="GN167">
        <v>68.912800000000004</v>
      </c>
      <c r="GO167">
        <v>102.205</v>
      </c>
      <c r="GP167">
        <v>96.507599999999996</v>
      </c>
    </row>
    <row r="168" spans="1:198" x14ac:dyDescent="0.35">
      <c r="A168">
        <v>152</v>
      </c>
      <c r="B168">
        <v>1775490099.5999999</v>
      </c>
      <c r="C168">
        <v>9061.0999999046326</v>
      </c>
      <c r="D168" t="s">
        <v>787</v>
      </c>
      <c r="E168" t="s">
        <v>788</v>
      </c>
      <c r="F168">
        <v>60</v>
      </c>
      <c r="G168">
        <v>1775490091.599999</v>
      </c>
      <c r="H168">
        <f t="shared" si="60"/>
        <v>2.2062226333759219E-3</v>
      </c>
      <c r="I168">
        <f t="shared" si="61"/>
        <v>2.2062226333759218</v>
      </c>
      <c r="J168">
        <f t="shared" si="62"/>
        <v>0.60222574901540249</v>
      </c>
      <c r="K168">
        <f t="shared" si="63"/>
        <v>32.63520322580645</v>
      </c>
      <c r="L168">
        <f t="shared" si="64"/>
        <v>14.731418946640817</v>
      </c>
      <c r="M168">
        <f t="shared" si="65"/>
        <v>1.4777684303174592</v>
      </c>
      <c r="N168">
        <f t="shared" si="66"/>
        <v>3.2737697039760358</v>
      </c>
      <c r="O168">
        <f t="shared" si="67"/>
        <v>5.9175868302258496E-2</v>
      </c>
      <c r="P168">
        <f t="shared" si="68"/>
        <v>2.3923953588875331</v>
      </c>
      <c r="Q168">
        <f t="shared" si="69"/>
        <v>5.8374576997898289E-2</v>
      </c>
      <c r="R168">
        <f t="shared" si="70"/>
        <v>3.6555199490909657E-2</v>
      </c>
      <c r="S168">
        <f t="shared" si="71"/>
        <v>0</v>
      </c>
      <c r="T168">
        <f t="shared" si="72"/>
        <v>26.612837619002249</v>
      </c>
      <c r="U168">
        <f t="shared" si="73"/>
        <v>27.37323870967742</v>
      </c>
      <c r="V168">
        <f t="shared" si="74"/>
        <v>3.65837402491699</v>
      </c>
      <c r="W168">
        <f t="shared" si="75"/>
        <v>-1.7843235632898686</v>
      </c>
      <c r="X168">
        <f t="shared" si="76"/>
        <v>-6.5015230839030033E-2</v>
      </c>
      <c r="Y168">
        <f t="shared" si="77"/>
        <v>3.6436906498705532</v>
      </c>
      <c r="Z168">
        <f t="shared" si="78"/>
        <v>3.72338925575602</v>
      </c>
      <c r="AA168">
        <f t="shared" si="79"/>
        <v>-97.29441813187816</v>
      </c>
      <c r="AB168">
        <f t="shared" si="80"/>
        <v>-8.8541878657365611</v>
      </c>
      <c r="AC168">
        <f t="shared" si="81"/>
        <v>-0.80142302413437916</v>
      </c>
      <c r="AD168">
        <f t="shared" si="82"/>
        <v>-106.9500290217491</v>
      </c>
      <c r="AE168">
        <v>13</v>
      </c>
      <c r="AF168">
        <v>3</v>
      </c>
      <c r="AG168">
        <f t="shared" si="83"/>
        <v>1</v>
      </c>
      <c r="AH168">
        <f t="shared" si="84"/>
        <v>0</v>
      </c>
      <c r="AI168">
        <f t="shared" si="85"/>
        <v>25552.528981187792</v>
      </c>
      <c r="AJ168">
        <f t="shared" si="86"/>
        <v>0</v>
      </c>
      <c r="AK168">
        <f t="shared" si="87"/>
        <v>0</v>
      </c>
      <c r="AL168">
        <f t="shared" si="88"/>
        <v>0</v>
      </c>
      <c r="AM168">
        <f t="shared" si="89"/>
        <v>0</v>
      </c>
      <c r="AN168">
        <v>3</v>
      </c>
      <c r="AO168">
        <v>0.5</v>
      </c>
      <c r="AP168" t="s">
        <v>331</v>
      </c>
      <c r="AQ168">
        <v>2</v>
      </c>
      <c r="AR168">
        <v>1775490091.599999</v>
      </c>
      <c r="AS168">
        <v>32.63520322580645</v>
      </c>
      <c r="AT168">
        <v>33.039764516129033</v>
      </c>
      <c r="AU168">
        <v>-0.64811683870967718</v>
      </c>
      <c r="AV168">
        <v>-1.972791935483871</v>
      </c>
      <c r="AW168">
        <v>24.604203225806451</v>
      </c>
      <c r="AX168">
        <v>0.34115416129032261</v>
      </c>
      <c r="AY168">
        <v>499.96845161290332</v>
      </c>
      <c r="AZ168">
        <v>100.2721612903226</v>
      </c>
      <c r="BA168">
        <v>4.1897774193548391E-2</v>
      </c>
      <c r="BB168">
        <v>27.304590322580651</v>
      </c>
      <c r="BC168">
        <v>27.37323870967742</v>
      </c>
      <c r="BD168">
        <v>999.90000000000032</v>
      </c>
      <c r="BE168">
        <v>0</v>
      </c>
      <c r="BF168">
        <v>0</v>
      </c>
      <c r="BG168">
        <v>4997.6451612903229</v>
      </c>
      <c r="BH168">
        <v>0.37430341935483868</v>
      </c>
      <c r="BI168">
        <v>0.23083806451612901</v>
      </c>
      <c r="BJ168">
        <v>-0.37967682580645168</v>
      </c>
      <c r="BK168">
        <v>32.638916129032253</v>
      </c>
      <c r="BL168">
        <v>32.9747129032258</v>
      </c>
      <c r="BM168">
        <v>1.3246745161290321</v>
      </c>
      <c r="BN168">
        <v>33.039764516129033</v>
      </c>
      <c r="BO168">
        <v>-1.972791935483871</v>
      </c>
      <c r="BP168">
        <v>-6.4988054838709675E-2</v>
      </c>
      <c r="BQ168">
        <v>-0.19781599999999999</v>
      </c>
      <c r="BR168">
        <v>-99.900000000000034</v>
      </c>
      <c r="BS168">
        <v>-99.900000000000034</v>
      </c>
      <c r="BT168">
        <v>0</v>
      </c>
      <c r="BU168">
        <v>0</v>
      </c>
      <c r="BV168">
        <v>0</v>
      </c>
      <c r="BW168">
        <v>25</v>
      </c>
      <c r="BX168">
        <v>-1</v>
      </c>
      <c r="BY168">
        <v>1775490122.0999999</v>
      </c>
      <c r="BZ168" t="s">
        <v>789</v>
      </c>
      <c r="CA168">
        <v>1775490122.0999999</v>
      </c>
      <c r="CB168">
        <v>1775480969.5</v>
      </c>
      <c r="CC168">
        <v>153</v>
      </c>
      <c r="CD168">
        <v>-2.4E-2</v>
      </c>
      <c r="CE168">
        <v>0.19500000000000001</v>
      </c>
      <c r="CF168">
        <v>8.0310000000000006</v>
      </c>
      <c r="CG168">
        <v>-0.98899999999999999</v>
      </c>
      <c r="CH168">
        <v>32</v>
      </c>
      <c r="CI168">
        <v>-3</v>
      </c>
      <c r="CJ168">
        <v>0.43</v>
      </c>
      <c r="CK168">
        <v>0.06</v>
      </c>
      <c r="CL168">
        <v>33.051271666666658</v>
      </c>
      <c r="CM168">
        <v>-0.26510063906633119</v>
      </c>
      <c r="CN168">
        <v>0.20960600030506979</v>
      </c>
      <c r="CO168">
        <v>-1</v>
      </c>
      <c r="CP168">
        <v>500.5398166666667</v>
      </c>
      <c r="CQ168">
        <v>-5.849534870797056</v>
      </c>
      <c r="CR168">
        <v>1.3561045865722261</v>
      </c>
      <c r="CS168">
        <v>-1</v>
      </c>
      <c r="CT168">
        <v>0</v>
      </c>
      <c r="CU168">
        <v>0</v>
      </c>
      <c r="CV168" t="s">
        <v>333</v>
      </c>
      <c r="CW168">
        <v>3.1674500000000001</v>
      </c>
      <c r="CX168">
        <v>2.6631399999999998</v>
      </c>
      <c r="CY168">
        <v>7.3061300000000001E-3</v>
      </c>
      <c r="CZ168">
        <v>9.7645000000000006E-3</v>
      </c>
      <c r="DA168">
        <v>2.69017E-3</v>
      </c>
      <c r="DB168">
        <v>-1.8315600000000001E-2</v>
      </c>
      <c r="DC168">
        <v>21417.200000000001</v>
      </c>
      <c r="DD168">
        <v>21749.4</v>
      </c>
      <c r="DE168">
        <v>23102.2</v>
      </c>
      <c r="DF168">
        <v>22316.7</v>
      </c>
      <c r="DG168">
        <v>29713</v>
      </c>
      <c r="DH168">
        <v>27102.3</v>
      </c>
      <c r="DI168">
        <v>40604.300000000003</v>
      </c>
      <c r="DJ168">
        <v>36986.1</v>
      </c>
      <c r="DK168">
        <v>2.0872000000000002</v>
      </c>
      <c r="DL168">
        <v>1.8009200000000001</v>
      </c>
      <c r="DM168">
        <v>2.5016099999999999E-2</v>
      </c>
      <c r="DN168">
        <v>0</v>
      </c>
      <c r="DO168">
        <v>26.969899999999999</v>
      </c>
      <c r="DP168">
        <v>999.9</v>
      </c>
      <c r="DQ168">
        <v>75.7</v>
      </c>
      <c r="DR168">
        <v>30.2</v>
      </c>
      <c r="DS168">
        <v>32.5336</v>
      </c>
      <c r="DT168">
        <v>30.2956</v>
      </c>
      <c r="DU168">
        <v>9.9238800000000005</v>
      </c>
      <c r="DV168">
        <v>1</v>
      </c>
      <c r="DW168">
        <v>0.20381299999999999</v>
      </c>
      <c r="DX168">
        <v>-0.21021999999999999</v>
      </c>
      <c r="DY168">
        <v>20.367000000000001</v>
      </c>
      <c r="DZ168">
        <v>5.2098599999999999</v>
      </c>
      <c r="EA168">
        <v>11.8485</v>
      </c>
      <c r="EB168">
        <v>4.9674800000000001</v>
      </c>
      <c r="EC168">
        <v>3.2915199999999998</v>
      </c>
      <c r="ED168">
        <v>894.7</v>
      </c>
      <c r="EE168">
        <v>0</v>
      </c>
      <c r="EF168">
        <v>8568.9</v>
      </c>
      <c r="EG168">
        <v>111.3</v>
      </c>
      <c r="EH168">
        <v>4.9716199999999997</v>
      </c>
      <c r="EI168">
        <v>1.8717999999999999</v>
      </c>
      <c r="EJ168">
        <v>1.869</v>
      </c>
      <c r="EK168">
        <v>1.8713599999999999</v>
      </c>
      <c r="EL168">
        <v>1.86911</v>
      </c>
      <c r="EM168">
        <v>1.8681300000000001</v>
      </c>
      <c r="EN168">
        <v>1.8699600000000001</v>
      </c>
      <c r="EO168">
        <v>1.8717999999999999</v>
      </c>
      <c r="EP168">
        <v>0</v>
      </c>
      <c r="EQ168">
        <v>0</v>
      </c>
      <c r="ER168">
        <v>0</v>
      </c>
      <c r="ES168">
        <v>0</v>
      </c>
      <c r="ET168" t="s">
        <v>334</v>
      </c>
      <c r="EU168" t="s">
        <v>335</v>
      </c>
      <c r="EV168" t="s">
        <v>336</v>
      </c>
      <c r="EW168" t="s">
        <v>336</v>
      </c>
      <c r="EX168" t="s">
        <v>336</v>
      </c>
      <c r="EY168" t="s">
        <v>336</v>
      </c>
      <c r="EZ168">
        <v>0</v>
      </c>
      <c r="FA168">
        <v>100</v>
      </c>
      <c r="FB168">
        <v>100</v>
      </c>
      <c r="FC168">
        <v>8.0310000000000006</v>
      </c>
      <c r="FD168">
        <v>-0.98929999999999996</v>
      </c>
      <c r="FE168">
        <v>8.0558750000000074</v>
      </c>
      <c r="FF168">
        <v>0</v>
      </c>
      <c r="FG168">
        <v>0</v>
      </c>
      <c r="FH168">
        <v>0</v>
      </c>
      <c r="FI168">
        <v>-0.98927100000000023</v>
      </c>
      <c r="FJ168">
        <v>0</v>
      </c>
      <c r="FK168">
        <v>0</v>
      </c>
      <c r="FL168">
        <v>0</v>
      </c>
      <c r="FM168">
        <v>-1</v>
      </c>
      <c r="FN168">
        <v>-1</v>
      </c>
      <c r="FO168">
        <v>-1</v>
      </c>
      <c r="FP168">
        <v>-1</v>
      </c>
      <c r="FQ168">
        <v>0.6</v>
      </c>
      <c r="FR168">
        <v>152.19999999999999</v>
      </c>
      <c r="FS168">
        <v>0.142822</v>
      </c>
      <c r="FT168">
        <v>4.99756</v>
      </c>
      <c r="FU168">
        <v>1.5979000000000001</v>
      </c>
      <c r="FV168">
        <v>2.1520999999999999</v>
      </c>
      <c r="FW168">
        <v>1.5478499999999999</v>
      </c>
      <c r="FX168">
        <v>2.36938</v>
      </c>
      <c r="FY168">
        <v>34.6006</v>
      </c>
      <c r="FZ168">
        <v>15.568</v>
      </c>
      <c r="GA168">
        <v>3</v>
      </c>
      <c r="GB168">
        <v>497.65499999999997</v>
      </c>
      <c r="GC168">
        <v>406.084</v>
      </c>
      <c r="GD168">
        <v>27.9055</v>
      </c>
      <c r="GE168">
        <v>29.8079</v>
      </c>
      <c r="GF168">
        <v>30</v>
      </c>
      <c r="GG168">
        <v>30.107800000000001</v>
      </c>
      <c r="GH168">
        <v>30.1584</v>
      </c>
      <c r="GI168">
        <v>-1</v>
      </c>
      <c r="GJ168">
        <v>0</v>
      </c>
      <c r="GK168">
        <v>100</v>
      </c>
      <c r="GL168">
        <v>27.9039</v>
      </c>
      <c r="GM168">
        <v>432.1</v>
      </c>
      <c r="GN168">
        <v>68.912800000000004</v>
      </c>
      <c r="GO168">
        <v>102.205</v>
      </c>
      <c r="GP168">
        <v>96.508799999999994</v>
      </c>
    </row>
    <row r="169" spans="1:198" x14ac:dyDescent="0.35">
      <c r="A169">
        <v>153</v>
      </c>
      <c r="B169">
        <v>1775490159.5999999</v>
      </c>
      <c r="C169">
        <v>9121.0999999046326</v>
      </c>
      <c r="D169" t="s">
        <v>790</v>
      </c>
      <c r="E169" t="s">
        <v>791</v>
      </c>
      <c r="F169">
        <v>60</v>
      </c>
      <c r="G169">
        <v>1775490151.849999</v>
      </c>
      <c r="H169">
        <f t="shared" si="60"/>
        <v>2.1897407319257526E-3</v>
      </c>
      <c r="I169">
        <f t="shared" si="61"/>
        <v>2.1897407319257525</v>
      </c>
      <c r="J169">
        <f t="shared" si="62"/>
        <v>1.6568780589508787</v>
      </c>
      <c r="K169">
        <f t="shared" si="63"/>
        <v>31.345933333333331</v>
      </c>
      <c r="L169">
        <f t="shared" si="64"/>
        <v>-14.849615654285358</v>
      </c>
      <c r="M169">
        <f t="shared" si="65"/>
        <v>-1.4896229767478897</v>
      </c>
      <c r="N169">
        <f t="shared" si="66"/>
        <v>3.1444330687081368</v>
      </c>
      <c r="O169">
        <f t="shared" si="67"/>
        <v>5.8687532434635516E-2</v>
      </c>
      <c r="P169">
        <f t="shared" si="68"/>
        <v>2.3957443362771009</v>
      </c>
      <c r="Q169">
        <f t="shared" si="69"/>
        <v>5.7900402435152147E-2</v>
      </c>
      <c r="R169">
        <f t="shared" si="70"/>
        <v>3.6257592452772762E-2</v>
      </c>
      <c r="S169">
        <f t="shared" si="71"/>
        <v>0</v>
      </c>
      <c r="T169">
        <f t="shared" si="72"/>
        <v>26.611057592532028</v>
      </c>
      <c r="U169">
        <f t="shared" si="73"/>
        <v>27.374389999999991</v>
      </c>
      <c r="V169">
        <f t="shared" si="74"/>
        <v>3.6586207169255043</v>
      </c>
      <c r="W169">
        <f t="shared" si="75"/>
        <v>-1.8464787089085433</v>
      </c>
      <c r="X169">
        <f t="shared" si="76"/>
        <v>-6.7249133072121117E-2</v>
      </c>
      <c r="Y169">
        <f t="shared" si="77"/>
        <v>3.6420204981335633</v>
      </c>
      <c r="Z169">
        <f t="shared" si="78"/>
        <v>3.7258698499976255</v>
      </c>
      <c r="AA169">
        <f t="shared" si="79"/>
        <v>-96.567566277925692</v>
      </c>
      <c r="AB169">
        <f t="shared" si="80"/>
        <v>-10.0257807264124</v>
      </c>
      <c r="AC169">
        <f t="shared" si="81"/>
        <v>-0.90616919574422183</v>
      </c>
      <c r="AD169">
        <f t="shared" si="82"/>
        <v>-107.49951620008233</v>
      </c>
      <c r="AE169">
        <v>13</v>
      </c>
      <c r="AF169">
        <v>3</v>
      </c>
      <c r="AG169">
        <f t="shared" si="83"/>
        <v>1</v>
      </c>
      <c r="AH169">
        <f t="shared" si="84"/>
        <v>0</v>
      </c>
      <c r="AI169">
        <f t="shared" si="85"/>
        <v>25604.126998079679</v>
      </c>
      <c r="AJ169">
        <f t="shared" si="86"/>
        <v>0</v>
      </c>
      <c r="AK169">
        <f t="shared" si="87"/>
        <v>0</v>
      </c>
      <c r="AL169">
        <f t="shared" si="88"/>
        <v>0</v>
      </c>
      <c r="AM169">
        <f t="shared" si="89"/>
        <v>0</v>
      </c>
      <c r="AN169">
        <v>3</v>
      </c>
      <c r="AO169">
        <v>0.5</v>
      </c>
      <c r="AP169" t="s">
        <v>331</v>
      </c>
      <c r="AQ169">
        <v>2</v>
      </c>
      <c r="AR169">
        <v>1775490151.849999</v>
      </c>
      <c r="AS169">
        <v>31.345933333333331</v>
      </c>
      <c r="AT169">
        <v>32.381259999999997</v>
      </c>
      <c r="AU169">
        <v>-0.67038693333333321</v>
      </c>
      <c r="AV169">
        <v>-1.9851326666666671</v>
      </c>
      <c r="AW169">
        <v>23.329933333333329</v>
      </c>
      <c r="AX169">
        <v>0.31888410000000011</v>
      </c>
      <c r="AY169">
        <v>499.99220000000003</v>
      </c>
      <c r="AZ169">
        <v>100.2720333333334</v>
      </c>
      <c r="BA169">
        <v>4.1874543333333333E-2</v>
      </c>
      <c r="BB169">
        <v>27.29676666666667</v>
      </c>
      <c r="BC169">
        <v>27.374389999999991</v>
      </c>
      <c r="BD169">
        <v>999.9000000000002</v>
      </c>
      <c r="BE169">
        <v>0</v>
      </c>
      <c r="BF169">
        <v>0</v>
      </c>
      <c r="BG169">
        <v>5006.2666666666664</v>
      </c>
      <c r="BH169">
        <v>0.38258253333333342</v>
      </c>
      <c r="BI169">
        <v>0.2334426666666666</v>
      </c>
      <c r="BJ169">
        <v>-1.019964666666666</v>
      </c>
      <c r="BK169">
        <v>31.340276666666661</v>
      </c>
      <c r="BL169">
        <v>32.317100000000003</v>
      </c>
      <c r="BM169">
        <v>1.3147463333333329</v>
      </c>
      <c r="BN169">
        <v>32.381259999999997</v>
      </c>
      <c r="BO169">
        <v>-1.9851326666666671</v>
      </c>
      <c r="BP169">
        <v>-6.7221069999999994E-2</v>
      </c>
      <c r="BQ169">
        <v>-0.19905333333333339</v>
      </c>
      <c r="BR169">
        <v>-99.900000000000034</v>
      </c>
      <c r="BS169">
        <v>-99.900000000000034</v>
      </c>
      <c r="BT169">
        <v>0</v>
      </c>
      <c r="BU169">
        <v>0</v>
      </c>
      <c r="BV169">
        <v>0</v>
      </c>
      <c r="BW169">
        <v>25</v>
      </c>
      <c r="BX169">
        <v>-1</v>
      </c>
      <c r="BY169">
        <v>1775490177.0999999</v>
      </c>
      <c r="BZ169" t="s">
        <v>792</v>
      </c>
      <c r="CA169">
        <v>1775490177.0999999</v>
      </c>
      <c r="CB169">
        <v>1775480969.5</v>
      </c>
      <c r="CC169">
        <v>154</v>
      </c>
      <c r="CD169">
        <v>-1.6E-2</v>
      </c>
      <c r="CE169">
        <v>0.19500000000000001</v>
      </c>
      <c r="CF169">
        <v>8.016</v>
      </c>
      <c r="CG169">
        <v>-0.98899999999999999</v>
      </c>
      <c r="CH169">
        <v>33</v>
      </c>
      <c r="CI169">
        <v>-3</v>
      </c>
      <c r="CJ169">
        <v>0.19</v>
      </c>
      <c r="CK169">
        <v>0.06</v>
      </c>
      <c r="CL169">
        <v>31.86923934426229</v>
      </c>
      <c r="CM169">
        <v>3.360685986250624</v>
      </c>
      <c r="CN169">
        <v>0.57551748638990441</v>
      </c>
      <c r="CO169">
        <v>-1</v>
      </c>
      <c r="CP169">
        <v>500.16901639344258</v>
      </c>
      <c r="CQ169">
        <v>-1.823676361713189</v>
      </c>
      <c r="CR169">
        <v>0.55827607870938434</v>
      </c>
      <c r="CS169">
        <v>-1</v>
      </c>
      <c r="CT169">
        <v>0</v>
      </c>
      <c r="CU169">
        <v>0</v>
      </c>
      <c r="CV169" t="s">
        <v>333</v>
      </c>
      <c r="CW169">
        <v>3.1675399999999998</v>
      </c>
      <c r="CX169">
        <v>2.6630600000000002</v>
      </c>
      <c r="CY169">
        <v>7.1360399999999997E-3</v>
      </c>
      <c r="CZ169">
        <v>9.8099199999999998E-3</v>
      </c>
      <c r="DA169">
        <v>2.5946400000000001E-3</v>
      </c>
      <c r="DB169">
        <v>-1.8445E-2</v>
      </c>
      <c r="DC169">
        <v>21420.7</v>
      </c>
      <c r="DD169">
        <v>21748.6</v>
      </c>
      <c r="DE169">
        <v>23102</v>
      </c>
      <c r="DF169">
        <v>22316.9</v>
      </c>
      <c r="DG169">
        <v>29715.599999999999</v>
      </c>
      <c r="DH169">
        <v>27105.8</v>
      </c>
      <c r="DI169">
        <v>40603.9</v>
      </c>
      <c r="DJ169">
        <v>36986.199999999997</v>
      </c>
      <c r="DK169">
        <v>2.0877599999999998</v>
      </c>
      <c r="DL169">
        <v>1.8008599999999999</v>
      </c>
      <c r="DM169">
        <v>2.49207E-2</v>
      </c>
      <c r="DN169">
        <v>0</v>
      </c>
      <c r="DO169">
        <v>26.967600000000001</v>
      </c>
      <c r="DP169">
        <v>999.9</v>
      </c>
      <c r="DQ169">
        <v>75.7</v>
      </c>
      <c r="DR169">
        <v>30.2</v>
      </c>
      <c r="DS169">
        <v>32.536099999999998</v>
      </c>
      <c r="DT169">
        <v>30.535599999999999</v>
      </c>
      <c r="DU169">
        <v>9.7115399999999994</v>
      </c>
      <c r="DV169">
        <v>1</v>
      </c>
      <c r="DW169">
        <v>0.203183</v>
      </c>
      <c r="DX169">
        <v>-0.29403899999999999</v>
      </c>
      <c r="DY169">
        <v>20.367599999999999</v>
      </c>
      <c r="DZ169">
        <v>5.2112999999999996</v>
      </c>
      <c r="EA169">
        <v>11.8482</v>
      </c>
      <c r="EB169">
        <v>4.9676799999999997</v>
      </c>
      <c r="EC169">
        <v>3.2919999999999998</v>
      </c>
      <c r="ED169">
        <v>894.7</v>
      </c>
      <c r="EE169">
        <v>0</v>
      </c>
      <c r="EF169">
        <v>8600.9</v>
      </c>
      <c r="EG169">
        <v>111.4</v>
      </c>
      <c r="EH169">
        <v>4.9715999999999996</v>
      </c>
      <c r="EI169">
        <v>1.8717999999999999</v>
      </c>
      <c r="EJ169">
        <v>1.86897</v>
      </c>
      <c r="EK169">
        <v>1.8713500000000001</v>
      </c>
      <c r="EL169">
        <v>1.86913</v>
      </c>
      <c r="EM169">
        <v>1.8681300000000001</v>
      </c>
      <c r="EN169">
        <v>1.8699600000000001</v>
      </c>
      <c r="EO169">
        <v>1.87174</v>
      </c>
      <c r="EP169">
        <v>0</v>
      </c>
      <c r="EQ169">
        <v>0</v>
      </c>
      <c r="ER169">
        <v>0</v>
      </c>
      <c r="ES169">
        <v>0</v>
      </c>
      <c r="ET169" t="s">
        <v>334</v>
      </c>
      <c r="EU169" t="s">
        <v>335</v>
      </c>
      <c r="EV169" t="s">
        <v>336</v>
      </c>
      <c r="EW169" t="s">
        <v>336</v>
      </c>
      <c r="EX169" t="s">
        <v>336</v>
      </c>
      <c r="EY169" t="s">
        <v>336</v>
      </c>
      <c r="EZ169">
        <v>0</v>
      </c>
      <c r="FA169">
        <v>100</v>
      </c>
      <c r="FB169">
        <v>100</v>
      </c>
      <c r="FC169">
        <v>8.016</v>
      </c>
      <c r="FD169">
        <v>-0.98929999999999996</v>
      </c>
      <c r="FE169">
        <v>8.0313571428571429</v>
      </c>
      <c r="FF169">
        <v>0</v>
      </c>
      <c r="FG169">
        <v>0</v>
      </c>
      <c r="FH169">
        <v>0</v>
      </c>
      <c r="FI169">
        <v>-0.98927100000000023</v>
      </c>
      <c r="FJ169">
        <v>0</v>
      </c>
      <c r="FK169">
        <v>0</v>
      </c>
      <c r="FL169">
        <v>0</v>
      </c>
      <c r="FM169">
        <v>-1</v>
      </c>
      <c r="FN169">
        <v>-1</v>
      </c>
      <c r="FO169">
        <v>-1</v>
      </c>
      <c r="FP169">
        <v>-1</v>
      </c>
      <c r="FQ169">
        <v>0.6</v>
      </c>
      <c r="FR169">
        <v>153.19999999999999</v>
      </c>
      <c r="FS169">
        <v>0.142822</v>
      </c>
      <c r="FT169">
        <v>4.99756</v>
      </c>
      <c r="FU169">
        <v>1.5979000000000001</v>
      </c>
      <c r="FV169">
        <v>2.1520999999999999</v>
      </c>
      <c r="FW169">
        <v>1.5478499999999999</v>
      </c>
      <c r="FX169">
        <v>2.4340799999999998</v>
      </c>
      <c r="FY169">
        <v>34.6006</v>
      </c>
      <c r="FZ169">
        <v>15.5768</v>
      </c>
      <c r="GA169">
        <v>3</v>
      </c>
      <c r="GB169">
        <v>497.94099999999997</v>
      </c>
      <c r="GC169">
        <v>406.01600000000002</v>
      </c>
      <c r="GD169">
        <v>27.9573</v>
      </c>
      <c r="GE169">
        <v>29.802399999999999</v>
      </c>
      <c r="GF169">
        <v>30</v>
      </c>
      <c r="GG169">
        <v>30.102699999999999</v>
      </c>
      <c r="GH169">
        <v>30.153400000000001</v>
      </c>
      <c r="GI169">
        <v>-1</v>
      </c>
      <c r="GJ169">
        <v>0</v>
      </c>
      <c r="GK169">
        <v>100</v>
      </c>
      <c r="GL169">
        <v>27.959599999999998</v>
      </c>
      <c r="GM169">
        <v>432.1</v>
      </c>
      <c r="GN169">
        <v>68.912800000000004</v>
      </c>
      <c r="GO169">
        <v>102.20399999999999</v>
      </c>
      <c r="GP169">
        <v>96.509299999999996</v>
      </c>
    </row>
    <row r="170" spans="1:198" x14ac:dyDescent="0.35">
      <c r="A170">
        <v>154</v>
      </c>
      <c r="B170">
        <v>1775490219.5999999</v>
      </c>
      <c r="C170">
        <v>9181.0999999046326</v>
      </c>
      <c r="D170" t="s">
        <v>793</v>
      </c>
      <c r="E170" t="s">
        <v>794</v>
      </c>
      <c r="F170">
        <v>60</v>
      </c>
      <c r="G170">
        <v>1775490211.849999</v>
      </c>
      <c r="H170">
        <f t="shared" si="60"/>
        <v>2.1835545375439775E-3</v>
      </c>
      <c r="I170">
        <f t="shared" si="61"/>
        <v>2.1835545375439773</v>
      </c>
      <c r="J170">
        <f t="shared" si="62"/>
        <v>0.3851512251063316</v>
      </c>
      <c r="K170">
        <f t="shared" si="63"/>
        <v>32.019253333333339</v>
      </c>
      <c r="L170">
        <f t="shared" si="64"/>
        <v>19.799129298097469</v>
      </c>
      <c r="M170">
        <f t="shared" si="65"/>
        <v>1.9861239016892209</v>
      </c>
      <c r="N170">
        <f t="shared" si="66"/>
        <v>3.2119697488761023</v>
      </c>
      <c r="O170">
        <f t="shared" si="67"/>
        <v>5.8507705950215261E-2</v>
      </c>
      <c r="P170">
        <f t="shared" si="68"/>
        <v>2.3934522764418333</v>
      </c>
      <c r="Q170">
        <f t="shared" si="69"/>
        <v>5.7724619238208652E-2</v>
      </c>
      <c r="R170">
        <f t="shared" si="70"/>
        <v>3.6147371016380263E-2</v>
      </c>
      <c r="S170">
        <f t="shared" si="71"/>
        <v>0</v>
      </c>
      <c r="T170">
        <f t="shared" si="72"/>
        <v>26.614929046567397</v>
      </c>
      <c r="U170">
        <f t="shared" si="73"/>
        <v>27.374996666666672</v>
      </c>
      <c r="V170">
        <f t="shared" si="74"/>
        <v>3.6587507158839387</v>
      </c>
      <c r="W170">
        <f t="shared" si="75"/>
        <v>-1.8643300891816155</v>
      </c>
      <c r="X170">
        <f t="shared" si="76"/>
        <v>-6.7909364976759437E-2</v>
      </c>
      <c r="Y170">
        <f t="shared" si="77"/>
        <v>3.6425612272647272</v>
      </c>
      <c r="Z170">
        <f t="shared" si="78"/>
        <v>3.726660080860698</v>
      </c>
      <c r="AA170">
        <f t="shared" si="79"/>
        <v>-96.294755105689404</v>
      </c>
      <c r="AB170">
        <f t="shared" si="80"/>
        <v>-9.7675798746245412</v>
      </c>
      <c r="AC170">
        <f t="shared" si="81"/>
        <v>-0.88369128559610821</v>
      </c>
      <c r="AD170">
        <f t="shared" si="82"/>
        <v>-106.94602626591006</v>
      </c>
      <c r="AE170">
        <v>13</v>
      </c>
      <c r="AF170">
        <v>3</v>
      </c>
      <c r="AG170">
        <f t="shared" si="83"/>
        <v>1</v>
      </c>
      <c r="AH170">
        <f t="shared" si="84"/>
        <v>0</v>
      </c>
      <c r="AI170">
        <f t="shared" si="85"/>
        <v>25569.052709863314</v>
      </c>
      <c r="AJ170">
        <f t="shared" si="86"/>
        <v>0</v>
      </c>
      <c r="AK170">
        <f t="shared" si="87"/>
        <v>0</v>
      </c>
      <c r="AL170">
        <f t="shared" si="88"/>
        <v>0</v>
      </c>
      <c r="AM170">
        <f t="shared" si="89"/>
        <v>0</v>
      </c>
      <c r="AN170">
        <v>3</v>
      </c>
      <c r="AO170">
        <v>0.5</v>
      </c>
      <c r="AP170" t="s">
        <v>331</v>
      </c>
      <c r="AQ170">
        <v>2</v>
      </c>
      <c r="AR170">
        <v>1775490211.849999</v>
      </c>
      <c r="AS170">
        <v>32.019253333333339</v>
      </c>
      <c r="AT170">
        <v>32.292303333333329</v>
      </c>
      <c r="AU170">
        <v>-0.67696999999999996</v>
      </c>
      <c r="AV170">
        <v>-1.988036666666666</v>
      </c>
      <c r="AW170">
        <v>24.013253333333331</v>
      </c>
      <c r="AX170">
        <v>0.31230099999999988</v>
      </c>
      <c r="AY170">
        <v>499.9820666666667</v>
      </c>
      <c r="AZ170">
        <v>100.27210000000009</v>
      </c>
      <c r="BA170">
        <v>4.1599243333333327E-2</v>
      </c>
      <c r="BB170">
        <v>27.299299999999999</v>
      </c>
      <c r="BC170">
        <v>27.374996666666672</v>
      </c>
      <c r="BD170">
        <v>999.9000000000002</v>
      </c>
      <c r="BE170">
        <v>0</v>
      </c>
      <c r="BF170">
        <v>0</v>
      </c>
      <c r="BG170">
        <v>5000.3666666666668</v>
      </c>
      <c r="BH170">
        <v>0.37879283333333319</v>
      </c>
      <c r="BI170">
        <v>0.23344266666666669</v>
      </c>
      <c r="BJ170">
        <v>-0.26348779000000011</v>
      </c>
      <c r="BK170">
        <v>32.007156666666667</v>
      </c>
      <c r="BL170">
        <v>32.228226666666671</v>
      </c>
      <c r="BM170">
        <v>1.311067666666667</v>
      </c>
      <c r="BN170">
        <v>32.292303333333329</v>
      </c>
      <c r="BO170">
        <v>-1.988036666666666</v>
      </c>
      <c r="BP170">
        <v>-6.7881253333333322E-2</v>
      </c>
      <c r="BQ170">
        <v>-0.19934483333333339</v>
      </c>
      <c r="BR170">
        <v>-99.900000000000034</v>
      </c>
      <c r="BS170">
        <v>-99.900000000000034</v>
      </c>
      <c r="BT170">
        <v>0</v>
      </c>
      <c r="BU170">
        <v>0</v>
      </c>
      <c r="BV170">
        <v>0</v>
      </c>
      <c r="BW170">
        <v>25</v>
      </c>
      <c r="BX170">
        <v>-0.99444446666666686</v>
      </c>
      <c r="BY170">
        <v>1775490236.5999999</v>
      </c>
      <c r="BZ170" t="s">
        <v>795</v>
      </c>
      <c r="CA170">
        <v>1775490236.5999999</v>
      </c>
      <c r="CB170">
        <v>1775480969.5</v>
      </c>
      <c r="CC170">
        <v>155</v>
      </c>
      <c r="CD170">
        <v>-8.9999999999999993E-3</v>
      </c>
      <c r="CE170">
        <v>0.19500000000000001</v>
      </c>
      <c r="CF170">
        <v>8.0060000000000002</v>
      </c>
      <c r="CG170">
        <v>-0.98899999999999999</v>
      </c>
      <c r="CH170">
        <v>32</v>
      </c>
      <c r="CI170">
        <v>-3</v>
      </c>
      <c r="CJ170">
        <v>0.19</v>
      </c>
      <c r="CK170">
        <v>0.06</v>
      </c>
      <c r="CL170">
        <v>32.487034999999999</v>
      </c>
      <c r="CM170">
        <v>-2.0289672686857179</v>
      </c>
      <c r="CN170">
        <v>0.33474042671150439</v>
      </c>
      <c r="CO170">
        <v>-1</v>
      </c>
      <c r="CP170">
        <v>499.96708333333328</v>
      </c>
      <c r="CQ170">
        <v>7.8458460684339454E-2</v>
      </c>
      <c r="CR170">
        <v>4.5954068251778613E-2</v>
      </c>
      <c r="CS170">
        <v>-1</v>
      </c>
      <c r="CT170">
        <v>0</v>
      </c>
      <c r="CU170">
        <v>0</v>
      </c>
      <c r="CV170" t="s">
        <v>333</v>
      </c>
      <c r="CW170">
        <v>3.16751</v>
      </c>
      <c r="CX170">
        <v>2.6630199999999999</v>
      </c>
      <c r="CY170">
        <v>7.0863699999999998E-3</v>
      </c>
      <c r="CZ170">
        <v>9.4770099999999993E-3</v>
      </c>
      <c r="DA170">
        <v>2.6109900000000001E-3</v>
      </c>
      <c r="DB170">
        <v>-1.84455E-2</v>
      </c>
      <c r="DC170">
        <v>21422.2</v>
      </c>
      <c r="DD170">
        <v>21756.2</v>
      </c>
      <c r="DE170">
        <v>23102.400000000001</v>
      </c>
      <c r="DF170">
        <v>22317.1</v>
      </c>
      <c r="DG170">
        <v>29715.599999999999</v>
      </c>
      <c r="DH170">
        <v>27106</v>
      </c>
      <c r="DI170">
        <v>40604.6</v>
      </c>
      <c r="DJ170">
        <v>36986.400000000001</v>
      </c>
      <c r="DK170">
        <v>2.0880000000000001</v>
      </c>
      <c r="DL170">
        <v>1.7997799999999999</v>
      </c>
      <c r="DM170">
        <v>2.4968400000000002E-2</v>
      </c>
      <c r="DN170">
        <v>0</v>
      </c>
      <c r="DO170">
        <v>26.965299999999999</v>
      </c>
      <c r="DP170">
        <v>999.9</v>
      </c>
      <c r="DQ170">
        <v>75.7</v>
      </c>
      <c r="DR170">
        <v>30.3</v>
      </c>
      <c r="DS170">
        <v>32.721600000000002</v>
      </c>
      <c r="DT170">
        <v>30.685600000000001</v>
      </c>
      <c r="DU170">
        <v>9.8156999999999996</v>
      </c>
      <c r="DV170">
        <v>1</v>
      </c>
      <c r="DW170">
        <v>0.20284099999999999</v>
      </c>
      <c r="DX170">
        <v>-0.27502199999999999</v>
      </c>
      <c r="DY170">
        <v>20.367699999999999</v>
      </c>
      <c r="DZ170">
        <v>5.2114200000000004</v>
      </c>
      <c r="EA170">
        <v>11.8482</v>
      </c>
      <c r="EB170">
        <v>4.9676799999999997</v>
      </c>
      <c r="EC170">
        <v>3.2920400000000001</v>
      </c>
      <c r="ED170">
        <v>894.7</v>
      </c>
      <c r="EE170">
        <v>0</v>
      </c>
      <c r="EF170">
        <v>8633.5</v>
      </c>
      <c r="EG170">
        <v>111.4</v>
      </c>
      <c r="EH170">
        <v>4.9715699999999998</v>
      </c>
      <c r="EI170">
        <v>1.8717999999999999</v>
      </c>
      <c r="EJ170">
        <v>1.869</v>
      </c>
      <c r="EK170">
        <v>1.8713900000000001</v>
      </c>
      <c r="EL170">
        <v>1.86913</v>
      </c>
      <c r="EM170">
        <v>1.8681000000000001</v>
      </c>
      <c r="EN170">
        <v>1.86995</v>
      </c>
      <c r="EO170">
        <v>1.8717600000000001</v>
      </c>
      <c r="EP170">
        <v>0</v>
      </c>
      <c r="EQ170">
        <v>0</v>
      </c>
      <c r="ER170">
        <v>0</v>
      </c>
      <c r="ES170">
        <v>0</v>
      </c>
      <c r="ET170" t="s">
        <v>334</v>
      </c>
      <c r="EU170" t="s">
        <v>335</v>
      </c>
      <c r="EV170" t="s">
        <v>336</v>
      </c>
      <c r="EW170" t="s">
        <v>336</v>
      </c>
      <c r="EX170" t="s">
        <v>336</v>
      </c>
      <c r="EY170" t="s">
        <v>336</v>
      </c>
      <c r="EZ170">
        <v>0</v>
      </c>
      <c r="FA170">
        <v>100</v>
      </c>
      <c r="FB170">
        <v>100</v>
      </c>
      <c r="FC170">
        <v>8.0060000000000002</v>
      </c>
      <c r="FD170">
        <v>-0.98929999999999996</v>
      </c>
      <c r="FE170">
        <v>8.0155571428571442</v>
      </c>
      <c r="FF170">
        <v>0</v>
      </c>
      <c r="FG170">
        <v>0</v>
      </c>
      <c r="FH170">
        <v>0</v>
      </c>
      <c r="FI170">
        <v>-0.98927100000000023</v>
      </c>
      <c r="FJ170">
        <v>0</v>
      </c>
      <c r="FK170">
        <v>0</v>
      </c>
      <c r="FL170">
        <v>0</v>
      </c>
      <c r="FM170">
        <v>-1</v>
      </c>
      <c r="FN170">
        <v>-1</v>
      </c>
      <c r="FO170">
        <v>-1</v>
      </c>
      <c r="FP170">
        <v>-1</v>
      </c>
      <c r="FQ170">
        <v>0.7</v>
      </c>
      <c r="FR170">
        <v>154.19999999999999</v>
      </c>
      <c r="FS170">
        <v>0.142822</v>
      </c>
      <c r="FT170">
        <v>4.99756</v>
      </c>
      <c r="FU170">
        <v>1.5979000000000001</v>
      </c>
      <c r="FV170">
        <v>2.1520999999999999</v>
      </c>
      <c r="FW170">
        <v>1.5478499999999999</v>
      </c>
      <c r="FX170">
        <v>2.3901400000000002</v>
      </c>
      <c r="FY170">
        <v>34.6235</v>
      </c>
      <c r="FZ170">
        <v>15.559200000000001</v>
      </c>
      <c r="GA170">
        <v>3</v>
      </c>
      <c r="GB170">
        <v>498.041</v>
      </c>
      <c r="GC170">
        <v>405.36399999999998</v>
      </c>
      <c r="GD170">
        <v>27.947500000000002</v>
      </c>
      <c r="GE170">
        <v>29.795000000000002</v>
      </c>
      <c r="GF170">
        <v>30.0001</v>
      </c>
      <c r="GG170">
        <v>30.0976</v>
      </c>
      <c r="GH170">
        <v>30.148299999999999</v>
      </c>
      <c r="GI170">
        <v>-1</v>
      </c>
      <c r="GJ170">
        <v>0</v>
      </c>
      <c r="GK170">
        <v>100</v>
      </c>
      <c r="GL170">
        <v>27.948399999999999</v>
      </c>
      <c r="GM170">
        <v>432.1</v>
      </c>
      <c r="GN170">
        <v>68.912800000000004</v>
      </c>
      <c r="GO170">
        <v>102.205</v>
      </c>
      <c r="GP170">
        <v>96.51</v>
      </c>
    </row>
    <row r="171" spans="1:198" x14ac:dyDescent="0.35">
      <c r="A171">
        <v>155</v>
      </c>
      <c r="B171">
        <v>1775490279.5999999</v>
      </c>
      <c r="C171">
        <v>9241.0999999046326</v>
      </c>
      <c r="D171" t="s">
        <v>796</v>
      </c>
      <c r="E171" t="s">
        <v>797</v>
      </c>
      <c r="F171">
        <v>60</v>
      </c>
      <c r="G171">
        <v>1775490271.599999</v>
      </c>
      <c r="H171">
        <f t="shared" si="60"/>
        <v>2.1984094458887982E-3</v>
      </c>
      <c r="I171">
        <f t="shared" si="61"/>
        <v>2.1984094458887982</v>
      </c>
      <c r="J171">
        <f t="shared" si="62"/>
        <v>0.87931900650086825</v>
      </c>
      <c r="K171">
        <f t="shared" si="63"/>
        <v>31.38459677419355</v>
      </c>
      <c r="L171">
        <f t="shared" si="64"/>
        <v>6.102574391090247</v>
      </c>
      <c r="M171">
        <f t="shared" si="65"/>
        <v>0.61216994470128672</v>
      </c>
      <c r="N171">
        <f t="shared" si="66"/>
        <v>3.148295398050498</v>
      </c>
      <c r="O171">
        <f t="shared" si="67"/>
        <v>5.8938429162347795E-2</v>
      </c>
      <c r="P171">
        <f t="shared" si="68"/>
        <v>2.3926387055779963</v>
      </c>
      <c r="Q171">
        <f t="shared" si="69"/>
        <v>5.8143588306388966E-2</v>
      </c>
      <c r="R171">
        <f t="shared" si="70"/>
        <v>3.6410262919108344E-2</v>
      </c>
      <c r="S171">
        <f t="shared" si="71"/>
        <v>0</v>
      </c>
      <c r="T171">
        <f t="shared" si="72"/>
        <v>26.61369592013143</v>
      </c>
      <c r="U171">
        <f t="shared" si="73"/>
        <v>27.377032258064521</v>
      </c>
      <c r="V171">
        <f t="shared" si="74"/>
        <v>3.6591869400030448</v>
      </c>
      <c r="W171">
        <f t="shared" si="75"/>
        <v>-1.8040811533367003</v>
      </c>
      <c r="X171">
        <f t="shared" si="76"/>
        <v>-6.5728762089179563E-2</v>
      </c>
      <c r="Y171">
        <f t="shared" si="77"/>
        <v>3.6433373281247525</v>
      </c>
      <c r="Z171">
        <f t="shared" si="78"/>
        <v>3.7249157020922246</v>
      </c>
      <c r="AA171">
        <f t="shared" si="79"/>
        <v>-96.949856563696002</v>
      </c>
      <c r="AB171">
        <f t="shared" si="80"/>
        <v>-9.5578864950044746</v>
      </c>
      <c r="AC171">
        <f t="shared" si="81"/>
        <v>-0.86503846326775691</v>
      </c>
      <c r="AD171">
        <f t="shared" si="82"/>
        <v>-107.37278152196822</v>
      </c>
      <c r="AE171">
        <v>13</v>
      </c>
      <c r="AF171">
        <v>3</v>
      </c>
      <c r="AG171">
        <f t="shared" si="83"/>
        <v>1</v>
      </c>
      <c r="AH171">
        <f t="shared" si="84"/>
        <v>0</v>
      </c>
      <c r="AI171">
        <f t="shared" si="85"/>
        <v>25556.385322432532</v>
      </c>
      <c r="AJ171">
        <f t="shared" si="86"/>
        <v>0</v>
      </c>
      <c r="AK171">
        <f t="shared" si="87"/>
        <v>0</v>
      </c>
      <c r="AL171">
        <f t="shared" si="88"/>
        <v>0</v>
      </c>
      <c r="AM171">
        <f t="shared" si="89"/>
        <v>0</v>
      </c>
      <c r="AN171">
        <v>3</v>
      </c>
      <c r="AO171">
        <v>0.5</v>
      </c>
      <c r="AP171" t="s">
        <v>331</v>
      </c>
      <c r="AQ171">
        <v>2</v>
      </c>
      <c r="AR171">
        <v>1775490271.599999</v>
      </c>
      <c r="AS171">
        <v>31.38459677419355</v>
      </c>
      <c r="AT171">
        <v>31.953580645161281</v>
      </c>
      <c r="AU171">
        <v>-0.65523416129032253</v>
      </c>
      <c r="AV171">
        <v>-1.975131935483871</v>
      </c>
      <c r="AW171">
        <v>23.388596774193541</v>
      </c>
      <c r="AX171">
        <v>0.33403680645161282</v>
      </c>
      <c r="AY171">
        <v>500.00461290322568</v>
      </c>
      <c r="AZ171">
        <v>100.2717741935484</v>
      </c>
      <c r="BA171">
        <v>4.1619051612903232E-2</v>
      </c>
      <c r="BB171">
        <v>27.302935483870961</v>
      </c>
      <c r="BC171">
        <v>27.377032258064521</v>
      </c>
      <c r="BD171">
        <v>999.90000000000032</v>
      </c>
      <c r="BE171">
        <v>0</v>
      </c>
      <c r="BF171">
        <v>0</v>
      </c>
      <c r="BG171">
        <v>4998.2903225806449</v>
      </c>
      <c r="BH171">
        <v>0.37020493548387101</v>
      </c>
      <c r="BI171">
        <v>0.23331922580645159</v>
      </c>
      <c r="BJ171">
        <v>-0.55851432258064515</v>
      </c>
      <c r="BK171">
        <v>31.37450322580646</v>
      </c>
      <c r="BL171">
        <v>31.890583870967738</v>
      </c>
      <c r="BM171">
        <v>1.319897096774193</v>
      </c>
      <c r="BN171">
        <v>31.953580645161281</v>
      </c>
      <c r="BO171">
        <v>-1.975131935483871</v>
      </c>
      <c r="BP171">
        <v>-6.5701487096774203E-2</v>
      </c>
      <c r="BQ171">
        <v>-0.1980499032258064</v>
      </c>
      <c r="BR171">
        <v>-99.900000000000034</v>
      </c>
      <c r="BS171">
        <v>-99.900000000000034</v>
      </c>
      <c r="BT171">
        <v>0</v>
      </c>
      <c r="BU171">
        <v>0</v>
      </c>
      <c r="BV171">
        <v>0</v>
      </c>
      <c r="BW171">
        <v>25</v>
      </c>
      <c r="BX171">
        <v>-1</v>
      </c>
      <c r="BY171">
        <v>1775490294.5999999</v>
      </c>
      <c r="BZ171" t="s">
        <v>798</v>
      </c>
      <c r="CA171">
        <v>1775490294.5999999</v>
      </c>
      <c r="CB171">
        <v>1775480969.5</v>
      </c>
      <c r="CC171">
        <v>156</v>
      </c>
      <c r="CD171">
        <v>-1.0999999999999999E-2</v>
      </c>
      <c r="CE171">
        <v>0.19500000000000001</v>
      </c>
      <c r="CF171">
        <v>7.9960000000000004</v>
      </c>
      <c r="CG171">
        <v>-0.98899999999999999</v>
      </c>
      <c r="CH171">
        <v>31</v>
      </c>
      <c r="CI171">
        <v>-3</v>
      </c>
      <c r="CJ171">
        <v>0.39</v>
      </c>
      <c r="CK171">
        <v>0.06</v>
      </c>
      <c r="CL171">
        <v>31.854984999999999</v>
      </c>
      <c r="CM171">
        <v>1.030557265907228</v>
      </c>
      <c r="CN171">
        <v>0.1996728648105863</v>
      </c>
      <c r="CO171">
        <v>-1</v>
      </c>
      <c r="CP171">
        <v>499.99889999999999</v>
      </c>
      <c r="CQ171">
        <v>3.8624062239742241E-2</v>
      </c>
      <c r="CR171">
        <v>5.4203228686118557E-2</v>
      </c>
      <c r="CS171">
        <v>-1</v>
      </c>
      <c r="CT171">
        <v>0</v>
      </c>
      <c r="CU171">
        <v>0</v>
      </c>
      <c r="CV171" t="s">
        <v>333</v>
      </c>
      <c r="CW171">
        <v>3.16736</v>
      </c>
      <c r="CX171">
        <v>2.6630199999999999</v>
      </c>
      <c r="CY171">
        <v>7.0041499999999998E-3</v>
      </c>
      <c r="CZ171">
        <v>9.5470599999999996E-3</v>
      </c>
      <c r="DA171">
        <v>2.6831200000000002E-3</v>
      </c>
      <c r="DB171">
        <v>-1.8354499999999999E-2</v>
      </c>
      <c r="DC171">
        <v>21424.1</v>
      </c>
      <c r="DD171">
        <v>21754.799999999999</v>
      </c>
      <c r="DE171">
        <v>23102.6</v>
      </c>
      <c r="DF171">
        <v>22317.3</v>
      </c>
      <c r="DG171">
        <v>29713.599999999999</v>
      </c>
      <c r="DH171">
        <v>27103.9</v>
      </c>
      <c r="DI171">
        <v>40604.800000000003</v>
      </c>
      <c r="DJ171">
        <v>36986.800000000003</v>
      </c>
      <c r="DK171">
        <v>2.0878199999999998</v>
      </c>
      <c r="DL171">
        <v>1.80152</v>
      </c>
      <c r="DM171">
        <v>2.4408099999999999E-2</v>
      </c>
      <c r="DN171">
        <v>0</v>
      </c>
      <c r="DO171">
        <v>26.9755</v>
      </c>
      <c r="DP171">
        <v>999.9</v>
      </c>
      <c r="DQ171">
        <v>75.599999999999994</v>
      </c>
      <c r="DR171">
        <v>30.3</v>
      </c>
      <c r="DS171">
        <v>32.680500000000002</v>
      </c>
      <c r="DT171">
        <v>30.5656</v>
      </c>
      <c r="DU171">
        <v>9.6955100000000005</v>
      </c>
      <c r="DV171">
        <v>1</v>
      </c>
      <c r="DW171">
        <v>0.20242499999999999</v>
      </c>
      <c r="DX171">
        <v>-0.24491499999999999</v>
      </c>
      <c r="DY171">
        <v>20.3674</v>
      </c>
      <c r="DZ171">
        <v>5.2116600000000002</v>
      </c>
      <c r="EA171">
        <v>11.8485</v>
      </c>
      <c r="EB171">
        <v>4.9676400000000003</v>
      </c>
      <c r="EC171">
        <v>3.2920400000000001</v>
      </c>
      <c r="ED171">
        <v>894.7</v>
      </c>
      <c r="EE171">
        <v>0</v>
      </c>
      <c r="EF171">
        <v>8660.7000000000007</v>
      </c>
      <c r="EG171">
        <v>111.4</v>
      </c>
      <c r="EH171">
        <v>4.9715699999999998</v>
      </c>
      <c r="EI171">
        <v>1.8717999999999999</v>
      </c>
      <c r="EJ171">
        <v>1.8689499999999999</v>
      </c>
      <c r="EK171">
        <v>1.8714</v>
      </c>
      <c r="EL171">
        <v>1.8691</v>
      </c>
      <c r="EM171">
        <v>1.8681000000000001</v>
      </c>
      <c r="EN171">
        <v>1.86995</v>
      </c>
      <c r="EO171">
        <v>1.8716699999999999</v>
      </c>
      <c r="EP171">
        <v>0</v>
      </c>
      <c r="EQ171">
        <v>0</v>
      </c>
      <c r="ER171">
        <v>0</v>
      </c>
      <c r="ES171">
        <v>0</v>
      </c>
      <c r="ET171" t="s">
        <v>334</v>
      </c>
      <c r="EU171" t="s">
        <v>335</v>
      </c>
      <c r="EV171" t="s">
        <v>336</v>
      </c>
      <c r="EW171" t="s">
        <v>336</v>
      </c>
      <c r="EX171" t="s">
        <v>336</v>
      </c>
      <c r="EY171" t="s">
        <v>336</v>
      </c>
      <c r="EZ171">
        <v>0</v>
      </c>
      <c r="FA171">
        <v>100</v>
      </c>
      <c r="FB171">
        <v>100</v>
      </c>
      <c r="FC171">
        <v>7.9960000000000004</v>
      </c>
      <c r="FD171">
        <v>-0.98929999999999996</v>
      </c>
      <c r="FE171">
        <v>8.0064649999999915</v>
      </c>
      <c r="FF171">
        <v>0</v>
      </c>
      <c r="FG171">
        <v>0</v>
      </c>
      <c r="FH171">
        <v>0</v>
      </c>
      <c r="FI171">
        <v>-0.98927100000000023</v>
      </c>
      <c r="FJ171">
        <v>0</v>
      </c>
      <c r="FK171">
        <v>0</v>
      </c>
      <c r="FL171">
        <v>0</v>
      </c>
      <c r="FM171">
        <v>-1</v>
      </c>
      <c r="FN171">
        <v>-1</v>
      </c>
      <c r="FO171">
        <v>-1</v>
      </c>
      <c r="FP171">
        <v>-1</v>
      </c>
      <c r="FQ171">
        <v>0.7</v>
      </c>
      <c r="FR171">
        <v>155.19999999999999</v>
      </c>
      <c r="FS171">
        <v>0.142822</v>
      </c>
      <c r="FT171">
        <v>4.99756</v>
      </c>
      <c r="FU171">
        <v>1.5979000000000001</v>
      </c>
      <c r="FV171">
        <v>2.1533199999999999</v>
      </c>
      <c r="FW171">
        <v>1.5478499999999999</v>
      </c>
      <c r="FX171">
        <v>2.4694799999999999</v>
      </c>
      <c r="FY171">
        <v>34.6235</v>
      </c>
      <c r="FZ171">
        <v>15.559200000000001</v>
      </c>
      <c r="GA171">
        <v>3</v>
      </c>
      <c r="GB171">
        <v>497.89699999999999</v>
      </c>
      <c r="GC171">
        <v>406.34500000000003</v>
      </c>
      <c r="GD171">
        <v>27.932300000000001</v>
      </c>
      <c r="GE171">
        <v>29.792400000000001</v>
      </c>
      <c r="GF171">
        <v>30</v>
      </c>
      <c r="GG171">
        <v>30.092500000000001</v>
      </c>
      <c r="GH171">
        <v>30.145800000000001</v>
      </c>
      <c r="GI171">
        <v>-1</v>
      </c>
      <c r="GJ171">
        <v>0</v>
      </c>
      <c r="GK171">
        <v>100</v>
      </c>
      <c r="GL171">
        <v>27.929300000000001</v>
      </c>
      <c r="GM171">
        <v>432.1</v>
      </c>
      <c r="GN171">
        <v>68.912800000000004</v>
      </c>
      <c r="GO171">
        <v>102.206</v>
      </c>
      <c r="GP171">
        <v>96.510999999999996</v>
      </c>
    </row>
    <row r="172" spans="1:198" x14ac:dyDescent="0.35">
      <c r="A172">
        <v>156</v>
      </c>
      <c r="B172">
        <v>1775490339.5999999</v>
      </c>
      <c r="C172">
        <v>9301.0999999046326</v>
      </c>
      <c r="D172" t="s">
        <v>799</v>
      </c>
      <c r="E172" t="s">
        <v>800</v>
      </c>
      <c r="F172">
        <v>60</v>
      </c>
      <c r="G172">
        <v>1775490331.599999</v>
      </c>
      <c r="H172">
        <f t="shared" si="60"/>
        <v>2.1974967252588653E-3</v>
      </c>
      <c r="I172">
        <f t="shared" si="61"/>
        <v>2.1974967252588651</v>
      </c>
      <c r="J172">
        <f t="shared" si="62"/>
        <v>1.2474948642744248</v>
      </c>
      <c r="K172">
        <f t="shared" si="63"/>
        <v>31.24854516129033</v>
      </c>
      <c r="L172">
        <f t="shared" si="64"/>
        <v>-3.8672007199150453</v>
      </c>
      <c r="M172">
        <f t="shared" si="65"/>
        <v>-0.3879276174794693</v>
      </c>
      <c r="N172">
        <f t="shared" si="66"/>
        <v>3.1346119718309464</v>
      </c>
      <c r="O172">
        <f t="shared" si="67"/>
        <v>5.8891769141967823E-2</v>
      </c>
      <c r="P172">
        <f t="shared" si="68"/>
        <v>2.3937825189978752</v>
      </c>
      <c r="Q172">
        <f t="shared" si="69"/>
        <v>5.809855085141865E-2</v>
      </c>
      <c r="R172">
        <f t="shared" si="70"/>
        <v>3.6381971665017769E-2</v>
      </c>
      <c r="S172">
        <f t="shared" si="71"/>
        <v>0</v>
      </c>
      <c r="T172">
        <f t="shared" si="72"/>
        <v>26.610084805441286</v>
      </c>
      <c r="U172">
        <f t="shared" si="73"/>
        <v>27.381341935483871</v>
      </c>
      <c r="V172">
        <f t="shared" si="74"/>
        <v>3.6601106470576772</v>
      </c>
      <c r="W172">
        <f t="shared" si="75"/>
        <v>-1.814473983677567</v>
      </c>
      <c r="X172">
        <f t="shared" si="76"/>
        <v>-6.6091151867853346E-2</v>
      </c>
      <c r="Y172">
        <f t="shared" si="77"/>
        <v>3.642441416211442</v>
      </c>
      <c r="Z172">
        <f t="shared" si="78"/>
        <v>3.7262017989255307</v>
      </c>
      <c r="AA172">
        <f t="shared" si="79"/>
        <v>-96.909605583915962</v>
      </c>
      <c r="AB172">
        <f t="shared" si="80"/>
        <v>-10.660243923309711</v>
      </c>
      <c r="AC172">
        <f t="shared" si="81"/>
        <v>-0.96434708320409357</v>
      </c>
      <c r="AD172">
        <f t="shared" si="82"/>
        <v>-108.53419659042976</v>
      </c>
      <c r="AE172">
        <v>13</v>
      </c>
      <c r="AF172">
        <v>3</v>
      </c>
      <c r="AG172">
        <f t="shared" si="83"/>
        <v>1</v>
      </c>
      <c r="AH172">
        <f t="shared" si="84"/>
        <v>0</v>
      </c>
      <c r="AI172">
        <f t="shared" si="85"/>
        <v>25574.181447619409</v>
      </c>
      <c r="AJ172">
        <f t="shared" si="86"/>
        <v>0</v>
      </c>
      <c r="AK172">
        <f t="shared" si="87"/>
        <v>0</v>
      </c>
      <c r="AL172">
        <f t="shared" si="88"/>
        <v>0</v>
      </c>
      <c r="AM172">
        <f t="shared" si="89"/>
        <v>0</v>
      </c>
      <c r="AN172">
        <v>3</v>
      </c>
      <c r="AO172">
        <v>0.5</v>
      </c>
      <c r="AP172" t="s">
        <v>331</v>
      </c>
      <c r="AQ172">
        <v>2</v>
      </c>
      <c r="AR172">
        <v>1775490331.599999</v>
      </c>
      <c r="AS172">
        <v>31.24854516129033</v>
      </c>
      <c r="AT172">
        <v>32.03824516129032</v>
      </c>
      <c r="AU172">
        <v>-0.65885422580645159</v>
      </c>
      <c r="AV172">
        <v>-1.9782241935483871</v>
      </c>
      <c r="AW172">
        <v>23.25954516129033</v>
      </c>
      <c r="AX172">
        <v>0.33041677419354842</v>
      </c>
      <c r="AY172">
        <v>499.9987741935484</v>
      </c>
      <c r="AZ172">
        <v>100.2706129032258</v>
      </c>
      <c r="BA172">
        <v>4.1640216129032258E-2</v>
      </c>
      <c r="BB172">
        <v>27.298738709677419</v>
      </c>
      <c r="BC172">
        <v>27.381341935483871</v>
      </c>
      <c r="BD172">
        <v>999.90000000000032</v>
      </c>
      <c r="BE172">
        <v>0</v>
      </c>
      <c r="BF172">
        <v>0</v>
      </c>
      <c r="BG172">
        <v>5001.2903225806449</v>
      </c>
      <c r="BH172">
        <v>0.3998905483870967</v>
      </c>
      <c r="BI172">
        <v>0.22961599999999999</v>
      </c>
      <c r="BJ172">
        <v>-0.78273477419354853</v>
      </c>
      <c r="BK172">
        <v>31.23492580645161</v>
      </c>
      <c r="BL172">
        <v>31.974990322580641</v>
      </c>
      <c r="BM172">
        <v>1.3193690322580649</v>
      </c>
      <c r="BN172">
        <v>32.03824516129032</v>
      </c>
      <c r="BO172">
        <v>-1.9782241935483871</v>
      </c>
      <c r="BP172">
        <v>-6.606374193548388E-2</v>
      </c>
      <c r="BQ172">
        <v>-0.19835780645161291</v>
      </c>
      <c r="BR172">
        <v>-99.900000000000034</v>
      </c>
      <c r="BS172">
        <v>-99.900000000000034</v>
      </c>
      <c r="BT172">
        <v>0</v>
      </c>
      <c r="BU172">
        <v>0</v>
      </c>
      <c r="BV172">
        <v>0</v>
      </c>
      <c r="BW172">
        <v>25</v>
      </c>
      <c r="BX172">
        <v>-1</v>
      </c>
      <c r="BY172">
        <v>1775490357.5999999</v>
      </c>
      <c r="BZ172" t="s">
        <v>801</v>
      </c>
      <c r="CA172">
        <v>1775490357.5999999</v>
      </c>
      <c r="CB172">
        <v>1775480969.5</v>
      </c>
      <c r="CC172">
        <v>157</v>
      </c>
      <c r="CD172">
        <v>-7.0000000000000001E-3</v>
      </c>
      <c r="CE172">
        <v>0.19500000000000001</v>
      </c>
      <c r="CF172">
        <v>7.9889999999999999</v>
      </c>
      <c r="CG172">
        <v>-0.98899999999999999</v>
      </c>
      <c r="CH172">
        <v>32</v>
      </c>
      <c r="CI172">
        <v>-3</v>
      </c>
      <c r="CJ172">
        <v>0.4</v>
      </c>
      <c r="CK172">
        <v>0.06</v>
      </c>
      <c r="CL172">
        <v>31.712701666666661</v>
      </c>
      <c r="CM172">
        <v>2.185658794109524</v>
      </c>
      <c r="CN172">
        <v>0.34591255662458309</v>
      </c>
      <c r="CO172">
        <v>-1</v>
      </c>
      <c r="CP172">
        <v>500.02136666666672</v>
      </c>
      <c r="CQ172">
        <v>-0.12960266740745061</v>
      </c>
      <c r="CR172">
        <v>4.1431858380828093E-2</v>
      </c>
      <c r="CS172">
        <v>-1</v>
      </c>
      <c r="CT172">
        <v>0</v>
      </c>
      <c r="CU172">
        <v>0</v>
      </c>
      <c r="CV172" t="s">
        <v>333</v>
      </c>
      <c r="CW172">
        <v>3.1674099999999998</v>
      </c>
      <c r="CX172">
        <v>2.6631499999999999</v>
      </c>
      <c r="CY172">
        <v>7.0064200000000002E-3</v>
      </c>
      <c r="CZ172">
        <v>9.5860800000000003E-3</v>
      </c>
      <c r="DA172">
        <v>2.7028099999999999E-3</v>
      </c>
      <c r="DB172">
        <v>-1.8335899999999999E-2</v>
      </c>
      <c r="DC172">
        <v>21424.2</v>
      </c>
      <c r="DD172">
        <v>21754.3</v>
      </c>
      <c r="DE172">
        <v>23102.7</v>
      </c>
      <c r="DF172">
        <v>22317.599999999999</v>
      </c>
      <c r="DG172">
        <v>29713.1</v>
      </c>
      <c r="DH172">
        <v>27103.7</v>
      </c>
      <c r="DI172">
        <v>40604.9</v>
      </c>
      <c r="DJ172">
        <v>36987.199999999997</v>
      </c>
      <c r="DK172">
        <v>2.0881599999999998</v>
      </c>
      <c r="DL172">
        <v>1.8017799999999999</v>
      </c>
      <c r="DM172">
        <v>2.4080299999999999E-2</v>
      </c>
      <c r="DN172">
        <v>0</v>
      </c>
      <c r="DO172">
        <v>26.976700000000001</v>
      </c>
      <c r="DP172">
        <v>999.9</v>
      </c>
      <c r="DQ172">
        <v>75.599999999999994</v>
      </c>
      <c r="DR172">
        <v>30.3</v>
      </c>
      <c r="DS172">
        <v>32.676600000000001</v>
      </c>
      <c r="DT172">
        <v>30.7456</v>
      </c>
      <c r="DU172">
        <v>9.6875</v>
      </c>
      <c r="DV172">
        <v>1</v>
      </c>
      <c r="DW172">
        <v>0.20202400000000001</v>
      </c>
      <c r="DX172">
        <v>-0.26864100000000002</v>
      </c>
      <c r="DY172">
        <v>20.367799999999999</v>
      </c>
      <c r="DZ172">
        <v>5.21286</v>
      </c>
      <c r="EA172">
        <v>11.8482</v>
      </c>
      <c r="EB172">
        <v>4.9677199999999999</v>
      </c>
      <c r="EC172">
        <v>3.2920199999999999</v>
      </c>
      <c r="ED172">
        <v>894.7</v>
      </c>
      <c r="EE172">
        <v>0</v>
      </c>
      <c r="EF172">
        <v>8694.5</v>
      </c>
      <c r="EG172">
        <v>111.4</v>
      </c>
      <c r="EH172">
        <v>4.97159</v>
      </c>
      <c r="EI172">
        <v>1.8717999999999999</v>
      </c>
      <c r="EJ172">
        <v>1.869</v>
      </c>
      <c r="EK172">
        <v>1.8714</v>
      </c>
      <c r="EL172">
        <v>1.86917</v>
      </c>
      <c r="EM172">
        <v>1.8681300000000001</v>
      </c>
      <c r="EN172">
        <v>1.8699600000000001</v>
      </c>
      <c r="EO172">
        <v>1.8717699999999999</v>
      </c>
      <c r="EP172">
        <v>0</v>
      </c>
      <c r="EQ172">
        <v>0</v>
      </c>
      <c r="ER172">
        <v>0</v>
      </c>
      <c r="ES172">
        <v>0</v>
      </c>
      <c r="ET172" t="s">
        <v>334</v>
      </c>
      <c r="EU172" t="s">
        <v>335</v>
      </c>
      <c r="EV172" t="s">
        <v>336</v>
      </c>
      <c r="EW172" t="s">
        <v>336</v>
      </c>
      <c r="EX172" t="s">
        <v>336</v>
      </c>
      <c r="EY172" t="s">
        <v>336</v>
      </c>
      <c r="EZ172">
        <v>0</v>
      </c>
      <c r="FA172">
        <v>100</v>
      </c>
      <c r="FB172">
        <v>100</v>
      </c>
      <c r="FC172">
        <v>7.9889999999999999</v>
      </c>
      <c r="FD172">
        <v>-0.98929999999999996</v>
      </c>
      <c r="FE172">
        <v>7.9959599999999966</v>
      </c>
      <c r="FF172">
        <v>0</v>
      </c>
      <c r="FG172">
        <v>0</v>
      </c>
      <c r="FH172">
        <v>0</v>
      </c>
      <c r="FI172">
        <v>-0.98927100000000023</v>
      </c>
      <c r="FJ172">
        <v>0</v>
      </c>
      <c r="FK172">
        <v>0</v>
      </c>
      <c r="FL172">
        <v>0</v>
      </c>
      <c r="FM172">
        <v>-1</v>
      </c>
      <c r="FN172">
        <v>-1</v>
      </c>
      <c r="FO172">
        <v>-1</v>
      </c>
      <c r="FP172">
        <v>-1</v>
      </c>
      <c r="FQ172">
        <v>0.8</v>
      </c>
      <c r="FR172">
        <v>156.19999999999999</v>
      </c>
      <c r="FS172">
        <v>0.142822</v>
      </c>
      <c r="FT172">
        <v>4.99756</v>
      </c>
      <c r="FU172">
        <v>1.5979000000000001</v>
      </c>
      <c r="FV172">
        <v>2.1533199999999999</v>
      </c>
      <c r="FW172">
        <v>1.5478499999999999</v>
      </c>
      <c r="FX172">
        <v>2.4694799999999999</v>
      </c>
      <c r="FY172">
        <v>34.6235</v>
      </c>
      <c r="FZ172">
        <v>15.5505</v>
      </c>
      <c r="GA172">
        <v>3</v>
      </c>
      <c r="GB172">
        <v>498.05500000000001</v>
      </c>
      <c r="GC172">
        <v>406.46</v>
      </c>
      <c r="GD172">
        <v>27.939599999999999</v>
      </c>
      <c r="GE172">
        <v>29.787299999999998</v>
      </c>
      <c r="GF172">
        <v>30</v>
      </c>
      <c r="GG172">
        <v>30.087299999999999</v>
      </c>
      <c r="GH172">
        <v>30.140599999999999</v>
      </c>
      <c r="GI172">
        <v>-1</v>
      </c>
      <c r="GJ172">
        <v>0</v>
      </c>
      <c r="GK172">
        <v>100</v>
      </c>
      <c r="GL172">
        <v>27.9406</v>
      </c>
      <c r="GM172">
        <v>432.1</v>
      </c>
      <c r="GN172">
        <v>68.912800000000004</v>
      </c>
      <c r="GO172">
        <v>102.206</v>
      </c>
      <c r="GP172">
        <v>96.512299999999996</v>
      </c>
    </row>
    <row r="173" spans="1:198" x14ac:dyDescent="0.35">
      <c r="A173">
        <v>157</v>
      </c>
      <c r="B173">
        <v>1775490399.5999999</v>
      </c>
      <c r="C173">
        <v>9361.0999999046326</v>
      </c>
      <c r="D173" t="s">
        <v>802</v>
      </c>
      <c r="E173" t="s">
        <v>803</v>
      </c>
      <c r="F173">
        <v>60</v>
      </c>
      <c r="G173">
        <v>1775490391.599999</v>
      </c>
      <c r="H173">
        <f t="shared" si="60"/>
        <v>2.1952567969715964E-3</v>
      </c>
      <c r="I173">
        <f t="shared" si="61"/>
        <v>2.1952567969715964</v>
      </c>
      <c r="J173">
        <f t="shared" si="62"/>
        <v>0.33888035584833742</v>
      </c>
      <c r="K173">
        <f t="shared" si="63"/>
        <v>32.071222580645163</v>
      </c>
      <c r="L173">
        <f t="shared" si="64"/>
        <v>21.148319276784267</v>
      </c>
      <c r="M173">
        <f t="shared" si="65"/>
        <v>2.1214247513925142</v>
      </c>
      <c r="N173">
        <f t="shared" si="66"/>
        <v>3.217120211755407</v>
      </c>
      <c r="O173">
        <f t="shared" si="67"/>
        <v>5.8877022596368761E-2</v>
      </c>
      <c r="P173">
        <f t="shared" si="68"/>
        <v>2.3923415572582556</v>
      </c>
      <c r="Q173">
        <f t="shared" si="69"/>
        <v>5.8083728020397053E-2</v>
      </c>
      <c r="R173">
        <f t="shared" si="70"/>
        <v>3.6372713855758868E-2</v>
      </c>
      <c r="S173">
        <f t="shared" si="71"/>
        <v>0</v>
      </c>
      <c r="T173">
        <f t="shared" si="72"/>
        <v>26.606991918032438</v>
      </c>
      <c r="U173">
        <f t="shared" si="73"/>
        <v>27.37130322580645</v>
      </c>
      <c r="V173">
        <f t="shared" si="74"/>
        <v>3.6579593330470321</v>
      </c>
      <c r="W173">
        <f t="shared" si="75"/>
        <v>-1.7959294455857773</v>
      </c>
      <c r="X173">
        <f t="shared" si="76"/>
        <v>-6.5402595802625474E-2</v>
      </c>
      <c r="Y173">
        <f t="shared" si="77"/>
        <v>3.6417129839581834</v>
      </c>
      <c r="Z173">
        <f t="shared" si="78"/>
        <v>3.7233619288496578</v>
      </c>
      <c r="AA173">
        <f t="shared" si="79"/>
        <v>-96.810824746447395</v>
      </c>
      <c r="AB173">
        <f t="shared" si="80"/>
        <v>-9.7992574112134552</v>
      </c>
      <c r="AC173">
        <f t="shared" si="81"/>
        <v>-0.88693485757658297</v>
      </c>
      <c r="AD173">
        <f t="shared" si="82"/>
        <v>-107.49701701523743</v>
      </c>
      <c r="AE173">
        <v>13</v>
      </c>
      <c r="AF173">
        <v>3</v>
      </c>
      <c r="AG173">
        <f t="shared" si="83"/>
        <v>1</v>
      </c>
      <c r="AH173">
        <f t="shared" si="84"/>
        <v>0</v>
      </c>
      <c r="AI173">
        <f t="shared" si="85"/>
        <v>25552.584037043911</v>
      </c>
      <c r="AJ173">
        <f t="shared" si="86"/>
        <v>0</v>
      </c>
      <c r="AK173">
        <f t="shared" si="87"/>
        <v>0</v>
      </c>
      <c r="AL173">
        <f t="shared" si="88"/>
        <v>0</v>
      </c>
      <c r="AM173">
        <f t="shared" si="89"/>
        <v>0</v>
      </c>
      <c r="AN173">
        <v>3</v>
      </c>
      <c r="AO173">
        <v>0.5</v>
      </c>
      <c r="AP173" t="s">
        <v>331</v>
      </c>
      <c r="AQ173">
        <v>2</v>
      </c>
      <c r="AR173">
        <v>1775490391.599999</v>
      </c>
      <c r="AS173">
        <v>32.071222580645163</v>
      </c>
      <c r="AT173">
        <v>32.316800000000001</v>
      </c>
      <c r="AU173">
        <v>-0.65199341935483868</v>
      </c>
      <c r="AV173">
        <v>-1.970040967741935</v>
      </c>
      <c r="AW173">
        <v>24.038222580645161</v>
      </c>
      <c r="AX173">
        <v>0.33727758064516122</v>
      </c>
      <c r="AY173">
        <v>499.98683870967739</v>
      </c>
      <c r="AZ173">
        <v>100.2700322580645</v>
      </c>
      <c r="BA173">
        <v>4.1709948387096768E-2</v>
      </c>
      <c r="BB173">
        <v>27.295325806451611</v>
      </c>
      <c r="BC173">
        <v>27.37130322580645</v>
      </c>
      <c r="BD173">
        <v>999.90000000000032</v>
      </c>
      <c r="BE173">
        <v>0</v>
      </c>
      <c r="BF173">
        <v>0</v>
      </c>
      <c r="BG173">
        <v>4997.6129032258068</v>
      </c>
      <c r="BH173">
        <v>0.36943525806451599</v>
      </c>
      <c r="BI173">
        <v>0.23331922580645159</v>
      </c>
      <c r="BJ173">
        <v>-0.28969743870967729</v>
      </c>
      <c r="BK173">
        <v>32.006241935483871</v>
      </c>
      <c r="BL173">
        <v>32.253254838709672</v>
      </c>
      <c r="BM173">
        <v>1.3180477419354839</v>
      </c>
      <c r="BN173">
        <v>32.316800000000001</v>
      </c>
      <c r="BO173">
        <v>-1.970040967741935</v>
      </c>
      <c r="BP173">
        <v>-6.537542903225807E-2</v>
      </c>
      <c r="BQ173">
        <v>-0.1975363225806451</v>
      </c>
      <c r="BR173">
        <v>-99.900000000000034</v>
      </c>
      <c r="BS173">
        <v>-99.900000000000034</v>
      </c>
      <c r="BT173">
        <v>0</v>
      </c>
      <c r="BU173">
        <v>0</v>
      </c>
      <c r="BV173">
        <v>0</v>
      </c>
      <c r="BW173">
        <v>25</v>
      </c>
      <c r="BX173">
        <v>-1</v>
      </c>
      <c r="BY173">
        <v>1775490414.5999999</v>
      </c>
      <c r="BZ173" t="s">
        <v>804</v>
      </c>
      <c r="CA173">
        <v>1775490414.5999999</v>
      </c>
      <c r="CB173">
        <v>1775480969.5</v>
      </c>
      <c r="CC173">
        <v>158</v>
      </c>
      <c r="CD173">
        <v>4.3999999999999997E-2</v>
      </c>
      <c r="CE173">
        <v>0.19500000000000001</v>
      </c>
      <c r="CF173">
        <v>8.0329999999999995</v>
      </c>
      <c r="CG173">
        <v>-0.98899999999999999</v>
      </c>
      <c r="CH173">
        <v>33</v>
      </c>
      <c r="CI173">
        <v>-3</v>
      </c>
      <c r="CJ173">
        <v>0.39</v>
      </c>
      <c r="CK173">
        <v>0.06</v>
      </c>
      <c r="CL173">
        <v>32.487479999999998</v>
      </c>
      <c r="CM173">
        <v>-1.466799444290064</v>
      </c>
      <c r="CN173">
        <v>0.30955097038560009</v>
      </c>
      <c r="CO173">
        <v>-1</v>
      </c>
      <c r="CP173">
        <v>499.97825</v>
      </c>
      <c r="CQ173">
        <v>5.5051958878527187E-2</v>
      </c>
      <c r="CR173">
        <v>4.7215684187916572E-2</v>
      </c>
      <c r="CS173">
        <v>-1</v>
      </c>
      <c r="CT173">
        <v>0</v>
      </c>
      <c r="CU173">
        <v>0</v>
      </c>
      <c r="CV173" t="s">
        <v>333</v>
      </c>
      <c r="CW173">
        <v>3.1673800000000001</v>
      </c>
      <c r="CX173">
        <v>2.6631800000000001</v>
      </c>
      <c r="CY173">
        <v>7.08575E-3</v>
      </c>
      <c r="CZ173">
        <v>9.4834399999999992E-3</v>
      </c>
      <c r="DA173">
        <v>2.7272300000000002E-3</v>
      </c>
      <c r="DB173">
        <v>-1.8269500000000001E-2</v>
      </c>
      <c r="DC173">
        <v>21422.5</v>
      </c>
      <c r="DD173">
        <v>21756.400000000001</v>
      </c>
      <c r="DE173">
        <v>23102.7</v>
      </c>
      <c r="DF173">
        <v>22317.4</v>
      </c>
      <c r="DG173">
        <v>29712.5</v>
      </c>
      <c r="DH173">
        <v>27101.9</v>
      </c>
      <c r="DI173">
        <v>40605</v>
      </c>
      <c r="DJ173">
        <v>36987.199999999997</v>
      </c>
      <c r="DK173">
        <v>2.0884</v>
      </c>
      <c r="DL173">
        <v>1.79942</v>
      </c>
      <c r="DM173">
        <v>2.4914700000000001E-2</v>
      </c>
      <c r="DN173">
        <v>0</v>
      </c>
      <c r="DO173">
        <v>26.965299999999999</v>
      </c>
      <c r="DP173">
        <v>999.9</v>
      </c>
      <c r="DQ173">
        <v>75.599999999999994</v>
      </c>
      <c r="DR173">
        <v>30.3</v>
      </c>
      <c r="DS173">
        <v>32.678199999999997</v>
      </c>
      <c r="DT173">
        <v>30.445599999999999</v>
      </c>
      <c r="DU173">
        <v>9.8317300000000003</v>
      </c>
      <c r="DV173">
        <v>1</v>
      </c>
      <c r="DW173">
        <v>0.20161200000000001</v>
      </c>
      <c r="DX173">
        <v>-0.30532900000000002</v>
      </c>
      <c r="DY173">
        <v>20.367599999999999</v>
      </c>
      <c r="DZ173">
        <v>5.2117800000000001</v>
      </c>
      <c r="EA173">
        <v>11.8482</v>
      </c>
      <c r="EB173">
        <v>4.9677600000000002</v>
      </c>
      <c r="EC173">
        <v>3.2920199999999999</v>
      </c>
      <c r="ED173">
        <v>894.7</v>
      </c>
      <c r="EE173">
        <v>0</v>
      </c>
      <c r="EF173">
        <v>8727.5</v>
      </c>
      <c r="EG173">
        <v>111.4</v>
      </c>
      <c r="EH173">
        <v>4.97159</v>
      </c>
      <c r="EI173">
        <v>1.8717999999999999</v>
      </c>
      <c r="EJ173">
        <v>1.8690100000000001</v>
      </c>
      <c r="EK173">
        <v>1.8714299999999999</v>
      </c>
      <c r="EL173">
        <v>1.8691199999999999</v>
      </c>
      <c r="EM173">
        <v>1.86812</v>
      </c>
      <c r="EN173">
        <v>1.8699399999999999</v>
      </c>
      <c r="EO173">
        <v>1.87171</v>
      </c>
      <c r="EP173">
        <v>0</v>
      </c>
      <c r="EQ173">
        <v>0</v>
      </c>
      <c r="ER173">
        <v>0</v>
      </c>
      <c r="ES173">
        <v>0</v>
      </c>
      <c r="ET173" t="s">
        <v>334</v>
      </c>
      <c r="EU173" t="s">
        <v>335</v>
      </c>
      <c r="EV173" t="s">
        <v>336</v>
      </c>
      <c r="EW173" t="s">
        <v>336</v>
      </c>
      <c r="EX173" t="s">
        <v>336</v>
      </c>
      <c r="EY173" t="s">
        <v>336</v>
      </c>
      <c r="EZ173">
        <v>0</v>
      </c>
      <c r="FA173">
        <v>100</v>
      </c>
      <c r="FB173">
        <v>100</v>
      </c>
      <c r="FC173">
        <v>8.0329999999999995</v>
      </c>
      <c r="FD173">
        <v>-0.98929999999999996</v>
      </c>
      <c r="FE173">
        <v>7.9888750000000002</v>
      </c>
      <c r="FF173">
        <v>0</v>
      </c>
      <c r="FG173">
        <v>0</v>
      </c>
      <c r="FH173">
        <v>0</v>
      </c>
      <c r="FI173">
        <v>-0.98927100000000023</v>
      </c>
      <c r="FJ173">
        <v>0</v>
      </c>
      <c r="FK173">
        <v>0</v>
      </c>
      <c r="FL173">
        <v>0</v>
      </c>
      <c r="FM173">
        <v>-1</v>
      </c>
      <c r="FN173">
        <v>-1</v>
      </c>
      <c r="FO173">
        <v>-1</v>
      </c>
      <c r="FP173">
        <v>-1</v>
      </c>
      <c r="FQ173">
        <v>0.7</v>
      </c>
      <c r="FR173">
        <v>157.19999999999999</v>
      </c>
      <c r="FS173">
        <v>0.142822</v>
      </c>
      <c r="FT173">
        <v>4.99756</v>
      </c>
      <c r="FU173">
        <v>1.5979000000000001</v>
      </c>
      <c r="FV173">
        <v>2.1533199999999999</v>
      </c>
      <c r="FW173">
        <v>1.5478499999999999</v>
      </c>
      <c r="FX173">
        <v>2.4450699999999999</v>
      </c>
      <c r="FY173">
        <v>34.6235</v>
      </c>
      <c r="FZ173">
        <v>15.5505</v>
      </c>
      <c r="GA173">
        <v>3</v>
      </c>
      <c r="GB173">
        <v>498.17399999999998</v>
      </c>
      <c r="GC173">
        <v>405.09</v>
      </c>
      <c r="GD173">
        <v>27.971499999999999</v>
      </c>
      <c r="GE173">
        <v>29.782900000000001</v>
      </c>
      <c r="GF173">
        <v>30.0001</v>
      </c>
      <c r="GG173">
        <v>30.084800000000001</v>
      </c>
      <c r="GH173">
        <v>30.138100000000001</v>
      </c>
      <c r="GI173">
        <v>-1</v>
      </c>
      <c r="GJ173">
        <v>0</v>
      </c>
      <c r="GK173">
        <v>100</v>
      </c>
      <c r="GL173">
        <v>27.9742</v>
      </c>
      <c r="GM173">
        <v>432.1</v>
      </c>
      <c r="GN173">
        <v>68.912800000000004</v>
      </c>
      <c r="GO173">
        <v>102.206</v>
      </c>
      <c r="GP173">
        <v>96.511899999999997</v>
      </c>
    </row>
    <row r="174" spans="1:198" x14ac:dyDescent="0.35">
      <c r="A174">
        <v>158</v>
      </c>
      <c r="B174">
        <v>1775490459.5999999</v>
      </c>
      <c r="C174">
        <v>9421.0999999046326</v>
      </c>
      <c r="D174" t="s">
        <v>805</v>
      </c>
      <c r="E174" t="s">
        <v>806</v>
      </c>
      <c r="F174">
        <v>60</v>
      </c>
      <c r="G174">
        <v>1775490451.599999</v>
      </c>
      <c r="H174">
        <f t="shared" si="60"/>
        <v>2.1845511395876122E-3</v>
      </c>
      <c r="I174">
        <f t="shared" si="61"/>
        <v>2.184551139587612</v>
      </c>
      <c r="J174">
        <f t="shared" si="62"/>
        <v>0.59120449299720013</v>
      </c>
      <c r="K174">
        <f t="shared" si="63"/>
        <v>31.67251612903226</v>
      </c>
      <c r="L174">
        <f t="shared" si="64"/>
        <v>13.9544288340536</v>
      </c>
      <c r="M174">
        <f t="shared" si="65"/>
        <v>1.3997553085958914</v>
      </c>
      <c r="N174">
        <f t="shared" si="66"/>
        <v>3.1770395704059391</v>
      </c>
      <c r="O174">
        <f t="shared" si="67"/>
        <v>5.8561299741746703E-2</v>
      </c>
      <c r="P174">
        <f t="shared" si="68"/>
        <v>2.3932835675412538</v>
      </c>
      <c r="Q174">
        <f t="shared" si="69"/>
        <v>5.7776733607833357E-2</v>
      </c>
      <c r="R174">
        <f t="shared" si="70"/>
        <v>3.618007291827588E-2</v>
      </c>
      <c r="S174">
        <f t="shared" si="71"/>
        <v>0</v>
      </c>
      <c r="T174">
        <f t="shared" si="72"/>
        <v>26.616266938300679</v>
      </c>
      <c r="U174">
        <f t="shared" si="73"/>
        <v>27.37462903225806</v>
      </c>
      <c r="V174">
        <f t="shared" si="74"/>
        <v>3.658671937232008</v>
      </c>
      <c r="W174">
        <f t="shared" si="75"/>
        <v>-1.8149541575165913</v>
      </c>
      <c r="X174">
        <f t="shared" si="76"/>
        <v>-6.6117377851399622E-2</v>
      </c>
      <c r="Y174">
        <f t="shared" si="77"/>
        <v>3.6429227469782646</v>
      </c>
      <c r="Z174">
        <f t="shared" si="78"/>
        <v>3.7247893150834077</v>
      </c>
      <c r="AA174">
        <f t="shared" si="79"/>
        <v>-96.338705255813693</v>
      </c>
      <c r="AB174">
        <f t="shared" si="80"/>
        <v>-9.500943758731168</v>
      </c>
      <c r="AC174">
        <f t="shared" si="81"/>
        <v>-0.859634500790741</v>
      </c>
      <c r="AD174">
        <f t="shared" si="82"/>
        <v>-106.69928351533561</v>
      </c>
      <c r="AE174">
        <v>13</v>
      </c>
      <c r="AF174">
        <v>3</v>
      </c>
      <c r="AG174">
        <f t="shared" si="83"/>
        <v>1</v>
      </c>
      <c r="AH174">
        <f t="shared" si="84"/>
        <v>0</v>
      </c>
      <c r="AI174">
        <f t="shared" si="85"/>
        <v>25566.52559948845</v>
      </c>
      <c r="AJ174">
        <f t="shared" si="86"/>
        <v>0</v>
      </c>
      <c r="AK174">
        <f t="shared" si="87"/>
        <v>0</v>
      </c>
      <c r="AL174">
        <f t="shared" si="88"/>
        <v>0</v>
      </c>
      <c r="AM174">
        <f t="shared" si="89"/>
        <v>0</v>
      </c>
      <c r="AN174">
        <v>3</v>
      </c>
      <c r="AO174">
        <v>0.5</v>
      </c>
      <c r="AP174" t="s">
        <v>331</v>
      </c>
      <c r="AQ174">
        <v>2</v>
      </c>
      <c r="AR174">
        <v>1775490451.599999</v>
      </c>
      <c r="AS174">
        <v>31.67251612903226</v>
      </c>
      <c r="AT174">
        <v>32.068732258064522</v>
      </c>
      <c r="AU174">
        <v>-0.65913680645161288</v>
      </c>
      <c r="AV174">
        <v>-1.970662903225807</v>
      </c>
      <c r="AW174">
        <v>23.679516129032262</v>
      </c>
      <c r="AX174">
        <v>0.33013419354838708</v>
      </c>
      <c r="AY174">
        <v>500.02612903225798</v>
      </c>
      <c r="AZ174">
        <v>100.2675161290322</v>
      </c>
      <c r="BA174">
        <v>4.1520180645161289E-2</v>
      </c>
      <c r="BB174">
        <v>27.30099354838709</v>
      </c>
      <c r="BC174">
        <v>27.37462903225806</v>
      </c>
      <c r="BD174">
        <v>999.90000000000032</v>
      </c>
      <c r="BE174">
        <v>0</v>
      </c>
      <c r="BF174">
        <v>0</v>
      </c>
      <c r="BG174">
        <v>5000.1612903225796</v>
      </c>
      <c r="BH174">
        <v>0.34526870967741941</v>
      </c>
      <c r="BI174">
        <v>0.23331922580645159</v>
      </c>
      <c r="BJ174">
        <v>-0.35630631709677418</v>
      </c>
      <c r="BK174">
        <v>31.691532258064509</v>
      </c>
      <c r="BL174">
        <v>32.005651612903222</v>
      </c>
      <c r="BM174">
        <v>1.3115258064516131</v>
      </c>
      <c r="BN174">
        <v>32.068732258064522</v>
      </c>
      <c r="BO174">
        <v>-1.970662903225807</v>
      </c>
      <c r="BP174">
        <v>-6.6090009677419348E-2</v>
      </c>
      <c r="BQ174">
        <v>-0.19759351612903231</v>
      </c>
      <c r="BR174">
        <v>-99.900000000000034</v>
      </c>
      <c r="BS174">
        <v>-99.900000000000034</v>
      </c>
      <c r="BT174">
        <v>0</v>
      </c>
      <c r="BU174">
        <v>0</v>
      </c>
      <c r="BV174">
        <v>0</v>
      </c>
      <c r="BW174">
        <v>25</v>
      </c>
      <c r="BX174">
        <v>-1</v>
      </c>
      <c r="BY174">
        <v>1775490475.5999999</v>
      </c>
      <c r="BZ174" t="s">
        <v>807</v>
      </c>
      <c r="CA174">
        <v>1775490475.5999999</v>
      </c>
      <c r="CB174">
        <v>1775480969.5</v>
      </c>
      <c r="CC174">
        <v>159</v>
      </c>
      <c r="CD174">
        <v>-3.9E-2</v>
      </c>
      <c r="CE174">
        <v>0.19500000000000001</v>
      </c>
      <c r="CF174">
        <v>7.9930000000000003</v>
      </c>
      <c r="CG174">
        <v>-0.98899999999999999</v>
      </c>
      <c r="CH174">
        <v>31</v>
      </c>
      <c r="CI174">
        <v>-3</v>
      </c>
      <c r="CJ174">
        <v>0.14000000000000001</v>
      </c>
      <c r="CK174">
        <v>0.06</v>
      </c>
      <c r="CL174">
        <v>32.230632786885238</v>
      </c>
      <c r="CM174">
        <v>-1.04525393971442</v>
      </c>
      <c r="CN174">
        <v>0.30783271682517949</v>
      </c>
      <c r="CO174">
        <v>-1</v>
      </c>
      <c r="CP174">
        <v>500.00521311475421</v>
      </c>
      <c r="CQ174">
        <v>0.16145108408326669</v>
      </c>
      <c r="CR174">
        <v>5.0273714656667898E-2</v>
      </c>
      <c r="CS174">
        <v>-1</v>
      </c>
      <c r="CT174">
        <v>0</v>
      </c>
      <c r="CU174">
        <v>0</v>
      </c>
      <c r="CV174" t="s">
        <v>333</v>
      </c>
      <c r="CW174">
        <v>3.1673</v>
      </c>
      <c r="CX174">
        <v>2.6627900000000002</v>
      </c>
      <c r="CY174">
        <v>7.08401E-3</v>
      </c>
      <c r="CZ174">
        <v>9.7530399999999993E-3</v>
      </c>
      <c r="DA174">
        <v>2.66906E-3</v>
      </c>
      <c r="DB174">
        <v>-1.8263000000000001E-2</v>
      </c>
      <c r="DC174">
        <v>21422.5</v>
      </c>
      <c r="DD174">
        <v>21750.7</v>
      </c>
      <c r="DE174">
        <v>23102.7</v>
      </c>
      <c r="DF174">
        <v>22317.599999999999</v>
      </c>
      <c r="DG174">
        <v>29713.9</v>
      </c>
      <c r="DH174">
        <v>27102</v>
      </c>
      <c r="DI174">
        <v>40604.6</v>
      </c>
      <c r="DJ174">
        <v>36987.599999999999</v>
      </c>
      <c r="DK174">
        <v>2.0888599999999999</v>
      </c>
      <c r="DL174">
        <v>1.8002800000000001</v>
      </c>
      <c r="DM174">
        <v>2.5495899999999998E-2</v>
      </c>
      <c r="DN174">
        <v>0</v>
      </c>
      <c r="DO174">
        <v>26.958400000000001</v>
      </c>
      <c r="DP174">
        <v>999.9</v>
      </c>
      <c r="DQ174">
        <v>75.599999999999994</v>
      </c>
      <c r="DR174">
        <v>30.3</v>
      </c>
      <c r="DS174">
        <v>32.680999999999997</v>
      </c>
      <c r="DT174">
        <v>30.685600000000001</v>
      </c>
      <c r="DU174">
        <v>9.9599399999999996</v>
      </c>
      <c r="DV174">
        <v>1</v>
      </c>
      <c r="DW174">
        <v>0.20138400000000001</v>
      </c>
      <c r="DX174">
        <v>-0.25977299999999998</v>
      </c>
      <c r="DY174">
        <v>20.367599999999999</v>
      </c>
      <c r="DZ174">
        <v>5.2114200000000004</v>
      </c>
      <c r="EA174">
        <v>11.8483</v>
      </c>
      <c r="EB174">
        <v>4.9674399999999999</v>
      </c>
      <c r="EC174">
        <v>3.2920199999999999</v>
      </c>
      <c r="ED174">
        <v>894.7</v>
      </c>
      <c r="EE174">
        <v>0</v>
      </c>
      <c r="EF174">
        <v>8754.7999999999993</v>
      </c>
      <c r="EG174">
        <v>111.4</v>
      </c>
      <c r="EH174">
        <v>4.9715699999999998</v>
      </c>
      <c r="EI174">
        <v>1.8717999999999999</v>
      </c>
      <c r="EJ174">
        <v>1.86894</v>
      </c>
      <c r="EK174">
        <v>1.87138</v>
      </c>
      <c r="EL174">
        <v>1.8691599999999999</v>
      </c>
      <c r="EM174">
        <v>1.86809</v>
      </c>
      <c r="EN174">
        <v>1.8699399999999999</v>
      </c>
      <c r="EO174">
        <v>1.8717699999999999</v>
      </c>
      <c r="EP174">
        <v>0</v>
      </c>
      <c r="EQ174">
        <v>0</v>
      </c>
      <c r="ER174">
        <v>0</v>
      </c>
      <c r="ES174">
        <v>0</v>
      </c>
      <c r="ET174" t="s">
        <v>334</v>
      </c>
      <c r="EU174" t="s">
        <v>335</v>
      </c>
      <c r="EV174" t="s">
        <v>336</v>
      </c>
      <c r="EW174" t="s">
        <v>336</v>
      </c>
      <c r="EX174" t="s">
        <v>336</v>
      </c>
      <c r="EY174" t="s">
        <v>336</v>
      </c>
      <c r="EZ174">
        <v>0</v>
      </c>
      <c r="FA174">
        <v>100</v>
      </c>
      <c r="FB174">
        <v>100</v>
      </c>
      <c r="FC174">
        <v>7.9930000000000003</v>
      </c>
      <c r="FD174">
        <v>-0.98929999999999996</v>
      </c>
      <c r="FE174">
        <v>8.0329050000000031</v>
      </c>
      <c r="FF174">
        <v>0</v>
      </c>
      <c r="FG174">
        <v>0</v>
      </c>
      <c r="FH174">
        <v>0</v>
      </c>
      <c r="FI174">
        <v>-0.98927100000000023</v>
      </c>
      <c r="FJ174">
        <v>0</v>
      </c>
      <c r="FK174">
        <v>0</v>
      </c>
      <c r="FL174">
        <v>0</v>
      </c>
      <c r="FM174">
        <v>-1</v>
      </c>
      <c r="FN174">
        <v>-1</v>
      </c>
      <c r="FO174">
        <v>-1</v>
      </c>
      <c r="FP174">
        <v>-1</v>
      </c>
      <c r="FQ174">
        <v>0.8</v>
      </c>
      <c r="FR174">
        <v>158.19999999999999</v>
      </c>
      <c r="FS174">
        <v>0.142822</v>
      </c>
      <c r="FT174">
        <v>4.99756</v>
      </c>
      <c r="FU174">
        <v>1.5979000000000001</v>
      </c>
      <c r="FV174">
        <v>2.1533199999999999</v>
      </c>
      <c r="FW174">
        <v>1.5478499999999999</v>
      </c>
      <c r="FX174">
        <v>2.4096700000000002</v>
      </c>
      <c r="FY174">
        <v>34.6235</v>
      </c>
      <c r="FZ174">
        <v>15.541700000000001</v>
      </c>
      <c r="GA174">
        <v>3</v>
      </c>
      <c r="GB174">
        <v>498.40199999999999</v>
      </c>
      <c r="GC174">
        <v>405.55</v>
      </c>
      <c r="GD174">
        <v>27.953099999999999</v>
      </c>
      <c r="GE174">
        <v>29.777000000000001</v>
      </c>
      <c r="GF174">
        <v>30.0001</v>
      </c>
      <c r="GG174">
        <v>30.079699999999999</v>
      </c>
      <c r="GH174">
        <v>30.132999999999999</v>
      </c>
      <c r="GI174">
        <v>-1</v>
      </c>
      <c r="GJ174">
        <v>0</v>
      </c>
      <c r="GK174">
        <v>100</v>
      </c>
      <c r="GL174">
        <v>27.956399999999999</v>
      </c>
      <c r="GM174">
        <v>432.1</v>
      </c>
      <c r="GN174">
        <v>68.912800000000004</v>
      </c>
      <c r="GO174">
        <v>102.206</v>
      </c>
      <c r="GP174">
        <v>96.512799999999999</v>
      </c>
    </row>
    <row r="175" spans="1:198" x14ac:dyDescent="0.35">
      <c r="A175">
        <v>159</v>
      </c>
      <c r="B175">
        <v>1775490519.5999999</v>
      </c>
      <c r="C175">
        <v>9481.0999999046326</v>
      </c>
      <c r="D175" t="s">
        <v>808</v>
      </c>
      <c r="E175" t="s">
        <v>809</v>
      </c>
      <c r="F175">
        <v>60</v>
      </c>
      <c r="G175">
        <v>1775490511.599999</v>
      </c>
      <c r="H175">
        <f t="shared" si="60"/>
        <v>2.1821788940433076E-3</v>
      </c>
      <c r="I175">
        <f t="shared" si="61"/>
        <v>2.1821788940433078</v>
      </c>
      <c r="J175">
        <f t="shared" si="62"/>
        <v>0.44215990892469859</v>
      </c>
      <c r="K175">
        <f t="shared" si="63"/>
        <v>31.825119354838709</v>
      </c>
      <c r="L175">
        <f t="shared" si="64"/>
        <v>18.090734160585363</v>
      </c>
      <c r="M175">
        <f t="shared" si="65"/>
        <v>1.8146450222492656</v>
      </c>
      <c r="N175">
        <f t="shared" si="66"/>
        <v>3.1923134742409016</v>
      </c>
      <c r="O175">
        <f t="shared" si="67"/>
        <v>5.8526252533900952E-2</v>
      </c>
      <c r="P175">
        <f t="shared" si="68"/>
        <v>2.395588809243185</v>
      </c>
      <c r="Q175">
        <f t="shared" si="69"/>
        <v>5.7743361623836351E-2</v>
      </c>
      <c r="R175">
        <f t="shared" si="70"/>
        <v>3.6159068127945768E-2</v>
      </c>
      <c r="S175">
        <f t="shared" si="71"/>
        <v>0</v>
      </c>
      <c r="T175">
        <f t="shared" si="72"/>
        <v>26.617920763955123</v>
      </c>
      <c r="U175">
        <f t="shared" si="73"/>
        <v>27.377029032258061</v>
      </c>
      <c r="V175">
        <f t="shared" si="74"/>
        <v>3.6591862486817535</v>
      </c>
      <c r="W175">
        <f t="shared" si="75"/>
        <v>-1.7461396832250551</v>
      </c>
      <c r="X175">
        <f t="shared" si="76"/>
        <v>-6.3611662059733912E-2</v>
      </c>
      <c r="Y175">
        <f t="shared" si="77"/>
        <v>3.6429881681771037</v>
      </c>
      <c r="Z175">
        <f t="shared" si="78"/>
        <v>3.7227979107414875</v>
      </c>
      <c r="AA175">
        <f t="shared" si="79"/>
        <v>-96.234089227309866</v>
      </c>
      <c r="AB175">
        <f t="shared" si="80"/>
        <v>-9.7804790247068549</v>
      </c>
      <c r="AC175">
        <f t="shared" si="81"/>
        <v>-0.88408692967321001</v>
      </c>
      <c r="AD175">
        <f t="shared" si="82"/>
        <v>-106.89865518168993</v>
      </c>
      <c r="AE175">
        <v>13</v>
      </c>
      <c r="AF175">
        <v>3</v>
      </c>
      <c r="AG175">
        <f t="shared" si="83"/>
        <v>1</v>
      </c>
      <c r="AH175">
        <f t="shared" si="84"/>
        <v>0</v>
      </c>
      <c r="AI175">
        <f t="shared" si="85"/>
        <v>25601.597111181392</v>
      </c>
      <c r="AJ175">
        <f t="shared" si="86"/>
        <v>0</v>
      </c>
      <c r="AK175">
        <f t="shared" si="87"/>
        <v>0</v>
      </c>
      <c r="AL175">
        <f t="shared" si="88"/>
        <v>0</v>
      </c>
      <c r="AM175">
        <f t="shared" si="89"/>
        <v>0</v>
      </c>
      <c r="AN175">
        <v>3</v>
      </c>
      <c r="AO175">
        <v>0.5</v>
      </c>
      <c r="AP175" t="s">
        <v>331</v>
      </c>
      <c r="AQ175">
        <v>2</v>
      </c>
      <c r="AR175">
        <v>1775490511.599999</v>
      </c>
      <c r="AS175">
        <v>31.825119354838709</v>
      </c>
      <c r="AT175">
        <v>32.132061290322582</v>
      </c>
      <c r="AU175">
        <v>-0.63416351612903221</v>
      </c>
      <c r="AV175">
        <v>-1.944203548387097</v>
      </c>
      <c r="AW175">
        <v>23.818119354838711</v>
      </c>
      <c r="AX175">
        <v>0.3551074838709678</v>
      </c>
      <c r="AY175">
        <v>500.0372580645161</v>
      </c>
      <c r="AZ175">
        <v>100.2664516129032</v>
      </c>
      <c r="BA175">
        <v>4.1529596774193538E-2</v>
      </c>
      <c r="BB175">
        <v>27.301299999999991</v>
      </c>
      <c r="BC175">
        <v>27.377029032258061</v>
      </c>
      <c r="BD175">
        <v>999.90000000000032</v>
      </c>
      <c r="BE175">
        <v>0</v>
      </c>
      <c r="BF175">
        <v>0</v>
      </c>
      <c r="BG175">
        <v>5006.1451612903229</v>
      </c>
      <c r="BH175">
        <v>0.37559941935483881</v>
      </c>
      <c r="BI175">
        <v>0.23331922580645159</v>
      </c>
      <c r="BJ175">
        <v>-0.32048325806451611</v>
      </c>
      <c r="BK175">
        <v>31.791403225806452</v>
      </c>
      <c r="BL175">
        <v>32.069699999999997</v>
      </c>
      <c r="BM175">
        <v>1.310039677419355</v>
      </c>
      <c r="BN175">
        <v>32.132061290322582</v>
      </c>
      <c r="BO175">
        <v>-1.944203548387097</v>
      </c>
      <c r="BP175">
        <v>-6.3585293548387087E-2</v>
      </c>
      <c r="BQ175">
        <v>-0.19493822580645159</v>
      </c>
      <c r="BR175">
        <v>-99.900000000000034</v>
      </c>
      <c r="BS175">
        <v>-99.900000000000034</v>
      </c>
      <c r="BT175">
        <v>0</v>
      </c>
      <c r="BU175">
        <v>0</v>
      </c>
      <c r="BV175">
        <v>0</v>
      </c>
      <c r="BW175">
        <v>25</v>
      </c>
      <c r="BX175">
        <v>-1</v>
      </c>
      <c r="BY175">
        <v>1775490536.5999999</v>
      </c>
      <c r="BZ175" t="s">
        <v>810</v>
      </c>
      <c r="CA175">
        <v>1775490536.5999999</v>
      </c>
      <c r="CB175">
        <v>1775480969.5</v>
      </c>
      <c r="CC175">
        <v>160</v>
      </c>
      <c r="CD175">
        <v>1.4E-2</v>
      </c>
      <c r="CE175">
        <v>0.19500000000000001</v>
      </c>
      <c r="CF175">
        <v>8.0069999999999997</v>
      </c>
      <c r="CG175">
        <v>-0.98899999999999999</v>
      </c>
      <c r="CH175">
        <v>32</v>
      </c>
      <c r="CI175">
        <v>-3</v>
      </c>
      <c r="CJ175">
        <v>0.17</v>
      </c>
      <c r="CK175">
        <v>0.06</v>
      </c>
      <c r="CL175">
        <v>32.295666666666662</v>
      </c>
      <c r="CM175">
        <v>-0.78560622395104784</v>
      </c>
      <c r="CN175">
        <v>0.26139276492580199</v>
      </c>
      <c r="CO175">
        <v>-1</v>
      </c>
      <c r="CP175">
        <v>500.0231</v>
      </c>
      <c r="CQ175">
        <v>0.15588330091834141</v>
      </c>
      <c r="CR175">
        <v>4.683826783020089E-2</v>
      </c>
      <c r="CS175">
        <v>-1</v>
      </c>
      <c r="CT175">
        <v>0</v>
      </c>
      <c r="CU175">
        <v>0</v>
      </c>
      <c r="CV175" t="s">
        <v>333</v>
      </c>
      <c r="CW175">
        <v>3.16743</v>
      </c>
      <c r="CX175">
        <v>2.6627900000000002</v>
      </c>
      <c r="CY175">
        <v>7.0653799999999996E-3</v>
      </c>
      <c r="CZ175">
        <v>9.5073099999999997E-3</v>
      </c>
      <c r="DA175">
        <v>2.86988E-3</v>
      </c>
      <c r="DB175">
        <v>-1.7980099999999999E-2</v>
      </c>
      <c r="DC175">
        <v>21423.1</v>
      </c>
      <c r="DD175">
        <v>21755.9</v>
      </c>
      <c r="DE175">
        <v>23102.799999999999</v>
      </c>
      <c r="DF175">
        <v>22317.4</v>
      </c>
      <c r="DG175">
        <v>29708.3</v>
      </c>
      <c r="DH175">
        <v>27094.3</v>
      </c>
      <c r="DI175">
        <v>40605.1</v>
      </c>
      <c r="DJ175">
        <v>36987.199999999997</v>
      </c>
      <c r="DK175">
        <v>2.0888200000000001</v>
      </c>
      <c r="DL175">
        <v>1.80158</v>
      </c>
      <c r="DM175">
        <v>2.53618E-2</v>
      </c>
      <c r="DN175">
        <v>0</v>
      </c>
      <c r="DO175">
        <v>26.960699999999999</v>
      </c>
      <c r="DP175">
        <v>999.9</v>
      </c>
      <c r="DQ175">
        <v>75.5</v>
      </c>
      <c r="DR175">
        <v>30.3</v>
      </c>
      <c r="DS175">
        <v>32.637999999999998</v>
      </c>
      <c r="DT175">
        <v>30.445599999999999</v>
      </c>
      <c r="DU175">
        <v>9.9398999999999997</v>
      </c>
      <c r="DV175">
        <v>1</v>
      </c>
      <c r="DW175">
        <v>0.200931</v>
      </c>
      <c r="DX175">
        <v>-0.24945999999999999</v>
      </c>
      <c r="DY175">
        <v>20.367799999999999</v>
      </c>
      <c r="DZ175">
        <v>5.2123799999999996</v>
      </c>
      <c r="EA175">
        <v>11.8482</v>
      </c>
      <c r="EB175">
        <v>4.9678800000000001</v>
      </c>
      <c r="EC175">
        <v>3.2919999999999998</v>
      </c>
      <c r="ED175">
        <v>894.7</v>
      </c>
      <c r="EE175">
        <v>0</v>
      </c>
      <c r="EF175">
        <v>8788.5</v>
      </c>
      <c r="EG175">
        <v>111.5</v>
      </c>
      <c r="EH175">
        <v>4.9715699999999998</v>
      </c>
      <c r="EI175">
        <v>1.8717999999999999</v>
      </c>
      <c r="EJ175">
        <v>1.86903</v>
      </c>
      <c r="EK175">
        <v>1.87141</v>
      </c>
      <c r="EL175">
        <v>1.8691199999999999</v>
      </c>
      <c r="EM175">
        <v>1.86812</v>
      </c>
      <c r="EN175">
        <v>1.8699600000000001</v>
      </c>
      <c r="EO175">
        <v>1.8717999999999999</v>
      </c>
      <c r="EP175">
        <v>0</v>
      </c>
      <c r="EQ175">
        <v>0</v>
      </c>
      <c r="ER175">
        <v>0</v>
      </c>
      <c r="ES175">
        <v>0</v>
      </c>
      <c r="ET175" t="s">
        <v>334</v>
      </c>
      <c r="EU175" t="s">
        <v>335</v>
      </c>
      <c r="EV175" t="s">
        <v>336</v>
      </c>
      <c r="EW175" t="s">
        <v>336</v>
      </c>
      <c r="EX175" t="s">
        <v>336</v>
      </c>
      <c r="EY175" t="s">
        <v>336</v>
      </c>
      <c r="EZ175">
        <v>0</v>
      </c>
      <c r="FA175">
        <v>100</v>
      </c>
      <c r="FB175">
        <v>100</v>
      </c>
      <c r="FC175">
        <v>8.0069999999999997</v>
      </c>
      <c r="FD175">
        <v>-0.98929999999999996</v>
      </c>
      <c r="FE175">
        <v>7.9934600000000016</v>
      </c>
      <c r="FF175">
        <v>0</v>
      </c>
      <c r="FG175">
        <v>0</v>
      </c>
      <c r="FH175">
        <v>0</v>
      </c>
      <c r="FI175">
        <v>-0.98927100000000023</v>
      </c>
      <c r="FJ175">
        <v>0</v>
      </c>
      <c r="FK175">
        <v>0</v>
      </c>
      <c r="FL175">
        <v>0</v>
      </c>
      <c r="FM175">
        <v>-1</v>
      </c>
      <c r="FN175">
        <v>-1</v>
      </c>
      <c r="FO175">
        <v>-1</v>
      </c>
      <c r="FP175">
        <v>-1</v>
      </c>
      <c r="FQ175">
        <v>0.7</v>
      </c>
      <c r="FR175">
        <v>159.19999999999999</v>
      </c>
      <c r="FS175">
        <v>0.142822</v>
      </c>
      <c r="FT175">
        <v>4.99756</v>
      </c>
      <c r="FU175">
        <v>1.5979000000000001</v>
      </c>
      <c r="FV175">
        <v>2.1533199999999999</v>
      </c>
      <c r="FW175">
        <v>1.5478499999999999</v>
      </c>
      <c r="FX175">
        <v>2.3864700000000001</v>
      </c>
      <c r="FY175">
        <v>34.6235</v>
      </c>
      <c r="FZ175">
        <v>15.532999999999999</v>
      </c>
      <c r="GA175">
        <v>3</v>
      </c>
      <c r="GB175">
        <v>498.34</v>
      </c>
      <c r="GC175">
        <v>406.262</v>
      </c>
      <c r="GD175">
        <v>27.943100000000001</v>
      </c>
      <c r="GE175">
        <v>29.7744</v>
      </c>
      <c r="GF175">
        <v>30.0001</v>
      </c>
      <c r="GG175">
        <v>30.0745</v>
      </c>
      <c r="GH175">
        <v>30.1279</v>
      </c>
      <c r="GI175">
        <v>-1</v>
      </c>
      <c r="GJ175">
        <v>0</v>
      </c>
      <c r="GK175">
        <v>100</v>
      </c>
      <c r="GL175">
        <v>27.9421</v>
      </c>
      <c r="GM175">
        <v>432.1</v>
      </c>
      <c r="GN175">
        <v>68.912800000000004</v>
      </c>
      <c r="GO175">
        <v>102.20699999999999</v>
      </c>
      <c r="GP175">
        <v>96.511799999999994</v>
      </c>
    </row>
    <row r="176" spans="1:198" x14ac:dyDescent="0.35">
      <c r="A176">
        <v>160</v>
      </c>
      <c r="B176">
        <v>1775490579.5999999</v>
      </c>
      <c r="C176">
        <v>9541.0999999046326</v>
      </c>
      <c r="D176" t="s">
        <v>811</v>
      </c>
      <c r="E176" t="s">
        <v>812</v>
      </c>
      <c r="F176">
        <v>60</v>
      </c>
      <c r="G176">
        <v>1775490571.599999</v>
      </c>
      <c r="H176">
        <f t="shared" si="60"/>
        <v>2.1750540598941795E-3</v>
      </c>
      <c r="I176">
        <f t="shared" si="61"/>
        <v>2.1750540598941797</v>
      </c>
      <c r="J176">
        <f t="shared" si="62"/>
        <v>-0.48073146587618359</v>
      </c>
      <c r="K176">
        <f t="shared" si="63"/>
        <v>32.869893548387097</v>
      </c>
      <c r="L176">
        <f t="shared" si="64"/>
        <v>43.889437359470683</v>
      </c>
      <c r="M176">
        <f t="shared" si="65"/>
        <v>4.4024116015494448</v>
      </c>
      <c r="N176">
        <f t="shared" si="66"/>
        <v>3.2970757750643398</v>
      </c>
      <c r="O176">
        <f t="shared" si="67"/>
        <v>5.8348410576482324E-2</v>
      </c>
      <c r="P176">
        <f t="shared" si="68"/>
        <v>2.392490457557845</v>
      </c>
      <c r="Q176">
        <f t="shared" si="69"/>
        <v>5.7569242971443405E-2</v>
      </c>
      <c r="R176">
        <f t="shared" si="70"/>
        <v>3.6049915089377188E-2</v>
      </c>
      <c r="S176">
        <f t="shared" si="71"/>
        <v>0</v>
      </c>
      <c r="T176">
        <f t="shared" si="72"/>
        <v>26.616944953820905</v>
      </c>
      <c r="U176">
        <f t="shared" si="73"/>
        <v>27.370712903225801</v>
      </c>
      <c r="V176">
        <f t="shared" si="74"/>
        <v>3.6578328601915118</v>
      </c>
      <c r="W176">
        <f t="shared" si="75"/>
        <v>-1.7577025795844556</v>
      </c>
      <c r="X176">
        <f t="shared" si="76"/>
        <v>-6.4023903979330388E-2</v>
      </c>
      <c r="Y176">
        <f t="shared" si="77"/>
        <v>3.6424765328879753</v>
      </c>
      <c r="Z176">
        <f t="shared" si="78"/>
        <v>3.721856764170842</v>
      </c>
      <c r="AA176">
        <f t="shared" si="79"/>
        <v>-95.919884041333319</v>
      </c>
      <c r="AB176">
        <f t="shared" si="80"/>
        <v>-9.2622955220679817</v>
      </c>
      <c r="AC176">
        <f t="shared" si="81"/>
        <v>-0.8382945438817323</v>
      </c>
      <c r="AD176">
        <f t="shared" si="82"/>
        <v>-106.02047410728304</v>
      </c>
      <c r="AE176">
        <v>13</v>
      </c>
      <c r="AF176">
        <v>3</v>
      </c>
      <c r="AG176">
        <f t="shared" si="83"/>
        <v>1</v>
      </c>
      <c r="AH176">
        <f t="shared" si="84"/>
        <v>0</v>
      </c>
      <c r="AI176">
        <f t="shared" si="85"/>
        <v>25554.727398140123</v>
      </c>
      <c r="AJ176">
        <f t="shared" si="86"/>
        <v>0</v>
      </c>
      <c r="AK176">
        <f t="shared" si="87"/>
        <v>0</v>
      </c>
      <c r="AL176">
        <f t="shared" si="88"/>
        <v>0</v>
      </c>
      <c r="AM176">
        <f t="shared" si="89"/>
        <v>0</v>
      </c>
      <c r="AN176">
        <v>3</v>
      </c>
      <c r="AO176">
        <v>0.5</v>
      </c>
      <c r="AP176" t="s">
        <v>331</v>
      </c>
      <c r="AQ176">
        <v>2</v>
      </c>
      <c r="AR176">
        <v>1775490571.599999</v>
      </c>
      <c r="AS176">
        <v>32.869893548387097</v>
      </c>
      <c r="AT176">
        <v>32.624335483870972</v>
      </c>
      <c r="AU176">
        <v>-0.63828041935483881</v>
      </c>
      <c r="AV176">
        <v>-1.944228064516129</v>
      </c>
      <c r="AW176">
        <v>24.8488935483871</v>
      </c>
      <c r="AX176">
        <v>0.35099061290322592</v>
      </c>
      <c r="AY176">
        <v>499.96851612903242</v>
      </c>
      <c r="AZ176">
        <v>100.2654193548387</v>
      </c>
      <c r="BA176">
        <v>4.143957096774193E-2</v>
      </c>
      <c r="BB176">
        <v>27.298903225806441</v>
      </c>
      <c r="BC176">
        <v>27.370712903225801</v>
      </c>
      <c r="BD176">
        <v>999.90000000000032</v>
      </c>
      <c r="BE176">
        <v>0</v>
      </c>
      <c r="BF176">
        <v>0</v>
      </c>
      <c r="BG176">
        <v>4998.2258064516127</v>
      </c>
      <c r="BH176">
        <v>0.37482725806451628</v>
      </c>
      <c r="BI176">
        <v>0.23331922580645159</v>
      </c>
      <c r="BJ176">
        <v>0.23197487419354851</v>
      </c>
      <c r="BK176">
        <v>32.835354838709677</v>
      </c>
      <c r="BL176">
        <v>32.56102903225807</v>
      </c>
      <c r="BM176">
        <v>1.305947419354839</v>
      </c>
      <c r="BN176">
        <v>32.624335483870972</v>
      </c>
      <c r="BO176">
        <v>-1.944228064516129</v>
      </c>
      <c r="BP176">
        <v>-6.3997503225806454E-2</v>
      </c>
      <c r="BQ176">
        <v>-0.19493906451612911</v>
      </c>
      <c r="BR176">
        <v>-99.900000000000034</v>
      </c>
      <c r="BS176">
        <v>-99.900000000000034</v>
      </c>
      <c r="BT176">
        <v>0</v>
      </c>
      <c r="BU176">
        <v>0</v>
      </c>
      <c r="BV176">
        <v>0</v>
      </c>
      <c r="BW176">
        <v>25</v>
      </c>
      <c r="BX176">
        <v>-0.99139793548387101</v>
      </c>
      <c r="BY176">
        <v>1775490593.5999999</v>
      </c>
      <c r="BZ176" t="s">
        <v>813</v>
      </c>
      <c r="CA176">
        <v>1775490593.5999999</v>
      </c>
      <c r="CB176">
        <v>1775480969.5</v>
      </c>
      <c r="CC176">
        <v>161</v>
      </c>
      <c r="CD176">
        <v>1.2999999999999999E-2</v>
      </c>
      <c r="CE176">
        <v>0.19500000000000001</v>
      </c>
      <c r="CF176">
        <v>8.0210000000000008</v>
      </c>
      <c r="CG176">
        <v>-0.98899999999999999</v>
      </c>
      <c r="CH176">
        <v>32</v>
      </c>
      <c r="CI176">
        <v>-3</v>
      </c>
      <c r="CJ176">
        <v>0.23</v>
      </c>
      <c r="CK176">
        <v>0.06</v>
      </c>
      <c r="CL176">
        <v>33.169250819672143</v>
      </c>
      <c r="CM176">
        <v>-3.576614912744597</v>
      </c>
      <c r="CN176">
        <v>0.80273451333100798</v>
      </c>
      <c r="CO176">
        <v>-1</v>
      </c>
      <c r="CP176">
        <v>499.99478688524579</v>
      </c>
      <c r="CQ176">
        <v>-9.8462189318396232E-2</v>
      </c>
      <c r="CR176">
        <v>6.2094617056131618E-2</v>
      </c>
      <c r="CS176">
        <v>-1</v>
      </c>
      <c r="CT176">
        <v>0</v>
      </c>
      <c r="CU176">
        <v>0</v>
      </c>
      <c r="CV176" t="s">
        <v>333</v>
      </c>
      <c r="CW176">
        <v>3.1674099999999998</v>
      </c>
      <c r="CX176">
        <v>2.66275</v>
      </c>
      <c r="CY176">
        <v>7.1694200000000001E-3</v>
      </c>
      <c r="CZ176">
        <v>9.4579699999999996E-3</v>
      </c>
      <c r="DA176">
        <v>2.8790899999999999E-3</v>
      </c>
      <c r="DB176">
        <v>-1.8018099999999999E-2</v>
      </c>
      <c r="DC176">
        <v>21420.6</v>
      </c>
      <c r="DD176">
        <v>21756.7</v>
      </c>
      <c r="DE176">
        <v>23102.5</v>
      </c>
      <c r="DF176">
        <v>22317.200000000001</v>
      </c>
      <c r="DG176">
        <v>29707.8</v>
      </c>
      <c r="DH176">
        <v>27095.1</v>
      </c>
      <c r="DI176">
        <v>40604.699999999997</v>
      </c>
      <c r="DJ176">
        <v>36987</v>
      </c>
      <c r="DK176">
        <v>2.0892200000000001</v>
      </c>
      <c r="DL176">
        <v>1.8013399999999999</v>
      </c>
      <c r="DM176">
        <v>2.5123400000000001E-2</v>
      </c>
      <c r="DN176">
        <v>0</v>
      </c>
      <c r="DO176">
        <v>26.965299999999999</v>
      </c>
      <c r="DP176">
        <v>999.9</v>
      </c>
      <c r="DQ176">
        <v>75.5</v>
      </c>
      <c r="DR176">
        <v>30.3</v>
      </c>
      <c r="DS176">
        <v>32.639200000000002</v>
      </c>
      <c r="DT176">
        <v>30.445599999999999</v>
      </c>
      <c r="DU176">
        <v>10.100199999999999</v>
      </c>
      <c r="DV176">
        <v>1</v>
      </c>
      <c r="DW176">
        <v>0.20111000000000001</v>
      </c>
      <c r="DX176">
        <v>-0.26130900000000001</v>
      </c>
      <c r="DY176">
        <v>20.367999999999999</v>
      </c>
      <c r="DZ176">
        <v>5.2121399999999998</v>
      </c>
      <c r="EA176">
        <v>11.8485</v>
      </c>
      <c r="EB176">
        <v>4.9678000000000004</v>
      </c>
      <c r="EC176">
        <v>3.2920400000000001</v>
      </c>
      <c r="ED176">
        <v>894.7</v>
      </c>
      <c r="EE176">
        <v>0</v>
      </c>
      <c r="EF176">
        <v>8821.9</v>
      </c>
      <c r="EG176">
        <v>111.5</v>
      </c>
      <c r="EH176">
        <v>4.97159</v>
      </c>
      <c r="EI176">
        <v>1.8717999999999999</v>
      </c>
      <c r="EJ176">
        <v>1.869</v>
      </c>
      <c r="EK176">
        <v>1.8713900000000001</v>
      </c>
      <c r="EL176">
        <v>1.86914</v>
      </c>
      <c r="EM176">
        <v>1.86812</v>
      </c>
      <c r="EN176">
        <v>1.8699600000000001</v>
      </c>
      <c r="EO176">
        <v>1.8717999999999999</v>
      </c>
      <c r="EP176">
        <v>0</v>
      </c>
      <c r="EQ176">
        <v>0</v>
      </c>
      <c r="ER176">
        <v>0</v>
      </c>
      <c r="ES176">
        <v>0</v>
      </c>
      <c r="ET176" t="s">
        <v>334</v>
      </c>
      <c r="EU176" t="s">
        <v>335</v>
      </c>
      <c r="EV176" t="s">
        <v>336</v>
      </c>
      <c r="EW176" t="s">
        <v>336</v>
      </c>
      <c r="EX176" t="s">
        <v>336</v>
      </c>
      <c r="EY176" t="s">
        <v>336</v>
      </c>
      <c r="EZ176">
        <v>0</v>
      </c>
      <c r="FA176">
        <v>100</v>
      </c>
      <c r="FB176">
        <v>100</v>
      </c>
      <c r="FC176">
        <v>8.0210000000000008</v>
      </c>
      <c r="FD176">
        <v>-0.98929999999999996</v>
      </c>
      <c r="FE176">
        <v>8.0074150000000124</v>
      </c>
      <c r="FF176">
        <v>0</v>
      </c>
      <c r="FG176">
        <v>0</v>
      </c>
      <c r="FH176">
        <v>0</v>
      </c>
      <c r="FI176">
        <v>-0.98927100000000023</v>
      </c>
      <c r="FJ176">
        <v>0</v>
      </c>
      <c r="FK176">
        <v>0</v>
      </c>
      <c r="FL176">
        <v>0</v>
      </c>
      <c r="FM176">
        <v>-1</v>
      </c>
      <c r="FN176">
        <v>-1</v>
      </c>
      <c r="FO176">
        <v>-1</v>
      </c>
      <c r="FP176">
        <v>-1</v>
      </c>
      <c r="FQ176">
        <v>0.7</v>
      </c>
      <c r="FR176">
        <v>160.19999999999999</v>
      </c>
      <c r="FS176">
        <v>0.142822</v>
      </c>
      <c r="FT176">
        <v>4.99756</v>
      </c>
      <c r="FU176">
        <v>1.5979000000000001</v>
      </c>
      <c r="FV176">
        <v>2.1520999999999999</v>
      </c>
      <c r="FW176">
        <v>1.5478499999999999</v>
      </c>
      <c r="FX176">
        <v>2.32666</v>
      </c>
      <c r="FY176">
        <v>34.646299999999997</v>
      </c>
      <c r="FZ176">
        <v>15.5242</v>
      </c>
      <c r="GA176">
        <v>3</v>
      </c>
      <c r="GB176">
        <v>498.572</v>
      </c>
      <c r="GC176">
        <v>406.10700000000003</v>
      </c>
      <c r="GD176">
        <v>27.9495</v>
      </c>
      <c r="GE176">
        <v>29.7744</v>
      </c>
      <c r="GF176">
        <v>30.0001</v>
      </c>
      <c r="GG176">
        <v>30.0745</v>
      </c>
      <c r="GH176">
        <v>30.125299999999999</v>
      </c>
      <c r="GI176">
        <v>-1</v>
      </c>
      <c r="GJ176">
        <v>0</v>
      </c>
      <c r="GK176">
        <v>100</v>
      </c>
      <c r="GL176">
        <v>27.950299999999999</v>
      </c>
      <c r="GM176">
        <v>432.1</v>
      </c>
      <c r="GN176">
        <v>68.912800000000004</v>
      </c>
      <c r="GO176">
        <v>102.206</v>
      </c>
      <c r="GP176">
        <v>96.511099999999999</v>
      </c>
    </row>
    <row r="177" spans="1:198" x14ac:dyDescent="0.35">
      <c r="A177">
        <v>161</v>
      </c>
      <c r="B177">
        <v>1775490639.5999999</v>
      </c>
      <c r="C177">
        <v>9601.0999999046326</v>
      </c>
      <c r="D177" t="s">
        <v>814</v>
      </c>
      <c r="E177" t="s">
        <v>815</v>
      </c>
      <c r="F177">
        <v>60</v>
      </c>
      <c r="G177">
        <v>1775490631.599999</v>
      </c>
      <c r="H177">
        <f t="shared" si="60"/>
        <v>2.2042262740568043E-3</v>
      </c>
      <c r="I177">
        <f t="shared" si="61"/>
        <v>2.2042262740568042</v>
      </c>
      <c r="J177">
        <f t="shared" si="62"/>
        <v>0.33062412420564119</v>
      </c>
      <c r="K177">
        <f t="shared" si="63"/>
        <v>31.555600000000009</v>
      </c>
      <c r="L177">
        <f t="shared" si="64"/>
        <v>20.919100892527752</v>
      </c>
      <c r="M177">
        <f t="shared" si="65"/>
        <v>2.0983003112443002</v>
      </c>
      <c r="N177">
        <f t="shared" si="66"/>
        <v>3.1651993860382319</v>
      </c>
      <c r="O177">
        <f t="shared" si="67"/>
        <v>5.911942816655863E-2</v>
      </c>
      <c r="P177">
        <f t="shared" si="68"/>
        <v>2.3947225747689727</v>
      </c>
      <c r="Q177">
        <f t="shared" si="69"/>
        <v>5.8320419389286171E-2</v>
      </c>
      <c r="R177">
        <f t="shared" si="70"/>
        <v>3.6521150191987206E-2</v>
      </c>
      <c r="S177">
        <f t="shared" si="71"/>
        <v>0</v>
      </c>
      <c r="T177">
        <f t="shared" si="72"/>
        <v>26.610299954655897</v>
      </c>
      <c r="U177">
        <f t="shared" si="73"/>
        <v>27.377083870967741</v>
      </c>
      <c r="V177">
        <f t="shared" si="74"/>
        <v>3.6591980011591803</v>
      </c>
      <c r="W177">
        <f t="shared" si="75"/>
        <v>-1.7545350441838641</v>
      </c>
      <c r="X177">
        <f t="shared" si="76"/>
        <v>-6.3915679616495177E-2</v>
      </c>
      <c r="Y177">
        <f t="shared" si="77"/>
        <v>3.6428841833835279</v>
      </c>
      <c r="Z177">
        <f t="shared" si="78"/>
        <v>3.7231136807756755</v>
      </c>
      <c r="AA177">
        <f t="shared" si="79"/>
        <v>-97.206378685905065</v>
      </c>
      <c r="AB177">
        <f t="shared" si="80"/>
        <v>-9.8469086384320281</v>
      </c>
      <c r="AC177">
        <f t="shared" si="81"/>
        <v>-0.89041174999169936</v>
      </c>
      <c r="AD177">
        <f t="shared" si="82"/>
        <v>-107.94369907432879</v>
      </c>
      <c r="AE177">
        <v>13</v>
      </c>
      <c r="AF177">
        <v>3</v>
      </c>
      <c r="AG177">
        <f t="shared" si="83"/>
        <v>1</v>
      </c>
      <c r="AH177">
        <f t="shared" si="84"/>
        <v>0</v>
      </c>
      <c r="AI177">
        <f t="shared" si="85"/>
        <v>25588.557832506369</v>
      </c>
      <c r="AJ177">
        <f t="shared" si="86"/>
        <v>0</v>
      </c>
      <c r="AK177">
        <f t="shared" si="87"/>
        <v>0</v>
      </c>
      <c r="AL177">
        <f t="shared" si="88"/>
        <v>0</v>
      </c>
      <c r="AM177">
        <f t="shared" si="89"/>
        <v>0</v>
      </c>
      <c r="AN177">
        <v>3</v>
      </c>
      <c r="AO177">
        <v>0.5</v>
      </c>
      <c r="AP177" t="s">
        <v>331</v>
      </c>
      <c r="AQ177">
        <v>2</v>
      </c>
      <c r="AR177">
        <v>1775490631.599999</v>
      </c>
      <c r="AS177">
        <v>31.555600000000009</v>
      </c>
      <c r="AT177">
        <v>31.795712903225802</v>
      </c>
      <c r="AU177">
        <v>-0.6372102903225807</v>
      </c>
      <c r="AV177">
        <v>-1.960616451612903</v>
      </c>
      <c r="AW177">
        <v>23.554600000000001</v>
      </c>
      <c r="AX177">
        <v>0.35206070967741931</v>
      </c>
      <c r="AY177">
        <v>499.98954838709682</v>
      </c>
      <c r="AZ177">
        <v>100.2641290322581</v>
      </c>
      <c r="BA177">
        <v>4.1344038709677421E-2</v>
      </c>
      <c r="BB177">
        <v>27.300812903225811</v>
      </c>
      <c r="BC177">
        <v>27.377083870967741</v>
      </c>
      <c r="BD177">
        <v>999.90000000000032</v>
      </c>
      <c r="BE177">
        <v>0</v>
      </c>
      <c r="BF177">
        <v>0</v>
      </c>
      <c r="BG177">
        <v>5004.0322580645161</v>
      </c>
      <c r="BH177">
        <v>0.39372003225806451</v>
      </c>
      <c r="BI177">
        <v>0.23331922580645159</v>
      </c>
      <c r="BJ177">
        <v>-0.22033512258064519</v>
      </c>
      <c r="BK177">
        <v>31.55526129032258</v>
      </c>
      <c r="BL177">
        <v>31.73349677419354</v>
      </c>
      <c r="BM177">
        <v>1.3234074193548391</v>
      </c>
      <c r="BN177">
        <v>31.795712903225802</v>
      </c>
      <c r="BO177">
        <v>-1.960616451612903</v>
      </c>
      <c r="BP177">
        <v>-6.3889319354838714E-2</v>
      </c>
      <c r="BQ177">
        <v>-0.19657951612903229</v>
      </c>
      <c r="BR177">
        <v>-99.900000000000034</v>
      </c>
      <c r="BS177">
        <v>-99.900000000000034</v>
      </c>
      <c r="BT177">
        <v>0</v>
      </c>
      <c r="BU177">
        <v>0</v>
      </c>
      <c r="BV177">
        <v>0</v>
      </c>
      <c r="BW177">
        <v>25</v>
      </c>
      <c r="BX177">
        <v>-1</v>
      </c>
      <c r="BY177">
        <v>1775490656.5999999</v>
      </c>
      <c r="BZ177" t="s">
        <v>816</v>
      </c>
      <c r="CA177">
        <v>1775490656.5999999</v>
      </c>
      <c r="CB177">
        <v>1775480969.5</v>
      </c>
      <c r="CC177">
        <v>162</v>
      </c>
      <c r="CD177">
        <v>-0.02</v>
      </c>
      <c r="CE177">
        <v>0.19500000000000001</v>
      </c>
      <c r="CF177">
        <v>8.0009999999999994</v>
      </c>
      <c r="CG177">
        <v>-0.98899999999999999</v>
      </c>
      <c r="CH177">
        <v>32</v>
      </c>
      <c r="CI177">
        <v>-3</v>
      </c>
      <c r="CJ177">
        <v>0.15</v>
      </c>
      <c r="CK177">
        <v>0.06</v>
      </c>
      <c r="CL177">
        <v>32.090601666666672</v>
      </c>
      <c r="CM177">
        <v>-2.8434735204223132</v>
      </c>
      <c r="CN177">
        <v>0.53655009411724264</v>
      </c>
      <c r="CO177">
        <v>-1</v>
      </c>
      <c r="CP177">
        <v>500.00115</v>
      </c>
      <c r="CQ177">
        <v>2.173603778794133E-2</v>
      </c>
      <c r="CR177">
        <v>6.7898901562051125E-2</v>
      </c>
      <c r="CS177">
        <v>-1</v>
      </c>
      <c r="CT177">
        <v>0</v>
      </c>
      <c r="CU177">
        <v>0</v>
      </c>
      <c r="CV177" t="s">
        <v>333</v>
      </c>
      <c r="CW177">
        <v>3.1675200000000001</v>
      </c>
      <c r="CX177">
        <v>2.66275</v>
      </c>
      <c r="CY177">
        <v>6.9855799999999999E-3</v>
      </c>
      <c r="CZ177">
        <v>9.4703900000000004E-3</v>
      </c>
      <c r="DA177">
        <v>2.8422299999999998E-3</v>
      </c>
      <c r="DB177">
        <v>-1.8190000000000001E-2</v>
      </c>
      <c r="DC177">
        <v>21424.6</v>
      </c>
      <c r="DD177">
        <v>21756.799999999999</v>
      </c>
      <c r="DE177">
        <v>23102.6</v>
      </c>
      <c r="DF177">
        <v>22317.5</v>
      </c>
      <c r="DG177">
        <v>29708.799999999999</v>
      </c>
      <c r="DH177">
        <v>27099.9</v>
      </c>
      <c r="DI177">
        <v>40604.699999999997</v>
      </c>
      <c r="DJ177">
        <v>36987.4</v>
      </c>
      <c r="DK177">
        <v>2.0895800000000002</v>
      </c>
      <c r="DL177">
        <v>1.8007599999999999</v>
      </c>
      <c r="DM177">
        <v>2.4721E-2</v>
      </c>
      <c r="DN177">
        <v>0</v>
      </c>
      <c r="DO177">
        <v>26.975999999999999</v>
      </c>
      <c r="DP177">
        <v>999.9</v>
      </c>
      <c r="DQ177">
        <v>75.5</v>
      </c>
      <c r="DR177">
        <v>30.3</v>
      </c>
      <c r="DS177">
        <v>32.640500000000003</v>
      </c>
      <c r="DT177">
        <v>30.415600000000001</v>
      </c>
      <c r="DU177">
        <v>10.1242</v>
      </c>
      <c r="DV177">
        <v>1</v>
      </c>
      <c r="DW177">
        <v>0.200933</v>
      </c>
      <c r="DX177">
        <v>-0.248917</v>
      </c>
      <c r="DY177">
        <v>20.367899999999999</v>
      </c>
      <c r="DZ177">
        <v>5.2110599999999998</v>
      </c>
      <c r="EA177">
        <v>11.8485</v>
      </c>
      <c r="EB177">
        <v>4.9677199999999999</v>
      </c>
      <c r="EC177">
        <v>3.2920199999999999</v>
      </c>
      <c r="ED177">
        <v>894.7</v>
      </c>
      <c r="EE177">
        <v>0</v>
      </c>
      <c r="EF177">
        <v>8855</v>
      </c>
      <c r="EG177">
        <v>111.5</v>
      </c>
      <c r="EH177">
        <v>4.9715699999999998</v>
      </c>
      <c r="EI177">
        <v>1.8717999999999999</v>
      </c>
      <c r="EJ177">
        <v>1.8690199999999999</v>
      </c>
      <c r="EK177">
        <v>1.87137</v>
      </c>
      <c r="EL177">
        <v>1.86913</v>
      </c>
      <c r="EM177">
        <v>1.8681099999999999</v>
      </c>
      <c r="EN177">
        <v>1.8699600000000001</v>
      </c>
      <c r="EO177">
        <v>1.8717699999999999</v>
      </c>
      <c r="EP177">
        <v>0</v>
      </c>
      <c r="EQ177">
        <v>0</v>
      </c>
      <c r="ER177">
        <v>0</v>
      </c>
      <c r="ES177">
        <v>0</v>
      </c>
      <c r="ET177" t="s">
        <v>334</v>
      </c>
      <c r="EU177" t="s">
        <v>335</v>
      </c>
      <c r="EV177" t="s">
        <v>336</v>
      </c>
      <c r="EW177" t="s">
        <v>336</v>
      </c>
      <c r="EX177" t="s">
        <v>336</v>
      </c>
      <c r="EY177" t="s">
        <v>336</v>
      </c>
      <c r="EZ177">
        <v>0</v>
      </c>
      <c r="FA177">
        <v>100</v>
      </c>
      <c r="FB177">
        <v>100</v>
      </c>
      <c r="FC177">
        <v>8.0009999999999994</v>
      </c>
      <c r="FD177">
        <v>-0.98929999999999996</v>
      </c>
      <c r="FE177">
        <v>8.020775000000004</v>
      </c>
      <c r="FF177">
        <v>0</v>
      </c>
      <c r="FG177">
        <v>0</v>
      </c>
      <c r="FH177">
        <v>0</v>
      </c>
      <c r="FI177">
        <v>-0.98927100000000023</v>
      </c>
      <c r="FJ177">
        <v>0</v>
      </c>
      <c r="FK177">
        <v>0</v>
      </c>
      <c r="FL177">
        <v>0</v>
      </c>
      <c r="FM177">
        <v>-1</v>
      </c>
      <c r="FN177">
        <v>-1</v>
      </c>
      <c r="FO177">
        <v>-1</v>
      </c>
      <c r="FP177">
        <v>-1</v>
      </c>
      <c r="FQ177">
        <v>0.8</v>
      </c>
      <c r="FR177">
        <v>161.19999999999999</v>
      </c>
      <c r="FS177">
        <v>0.142822</v>
      </c>
      <c r="FT177">
        <v>4.99756</v>
      </c>
      <c r="FU177">
        <v>1.5991200000000001</v>
      </c>
      <c r="FV177">
        <v>2.1533199999999999</v>
      </c>
      <c r="FW177">
        <v>1.5478499999999999</v>
      </c>
      <c r="FX177">
        <v>2.35229</v>
      </c>
      <c r="FY177">
        <v>34.646299999999997</v>
      </c>
      <c r="FZ177">
        <v>15.515499999999999</v>
      </c>
      <c r="GA177">
        <v>3</v>
      </c>
      <c r="GB177">
        <v>498.762</v>
      </c>
      <c r="GC177">
        <v>405.76400000000001</v>
      </c>
      <c r="GD177">
        <v>27.946100000000001</v>
      </c>
      <c r="GE177">
        <v>29.7744</v>
      </c>
      <c r="GF177">
        <v>30.0001</v>
      </c>
      <c r="GG177">
        <v>30.071999999999999</v>
      </c>
      <c r="GH177">
        <v>30.123699999999999</v>
      </c>
      <c r="GI177">
        <v>-1</v>
      </c>
      <c r="GJ177">
        <v>0</v>
      </c>
      <c r="GK177">
        <v>100</v>
      </c>
      <c r="GL177">
        <v>27.946100000000001</v>
      </c>
      <c r="GM177">
        <v>432.1</v>
      </c>
      <c r="GN177">
        <v>68.912800000000004</v>
      </c>
      <c r="GO177">
        <v>102.206</v>
      </c>
      <c r="GP177">
        <v>96.512299999999996</v>
      </c>
    </row>
    <row r="178" spans="1:198" x14ac:dyDescent="0.35">
      <c r="A178">
        <v>162</v>
      </c>
      <c r="B178">
        <v>1775490699.5999999</v>
      </c>
      <c r="C178">
        <v>9661.0999999046326</v>
      </c>
      <c r="D178" t="s">
        <v>817</v>
      </c>
      <c r="E178" t="s">
        <v>818</v>
      </c>
      <c r="F178">
        <v>60</v>
      </c>
      <c r="G178">
        <v>1775490691.599999</v>
      </c>
      <c r="H178">
        <f t="shared" si="60"/>
        <v>2.1776812359350626E-3</v>
      </c>
      <c r="I178">
        <f t="shared" si="61"/>
        <v>2.1776812359350628</v>
      </c>
      <c r="J178">
        <f t="shared" si="62"/>
        <v>0.42751565013743742</v>
      </c>
      <c r="K178">
        <f t="shared" si="63"/>
        <v>30.952716129032261</v>
      </c>
      <c r="L178">
        <f t="shared" si="64"/>
        <v>17.63532951710414</v>
      </c>
      <c r="M178">
        <f t="shared" si="65"/>
        <v>1.7688969912455637</v>
      </c>
      <c r="N178">
        <f t="shared" si="66"/>
        <v>3.1046863274326806</v>
      </c>
      <c r="O178">
        <f t="shared" si="67"/>
        <v>5.8388374410671649E-2</v>
      </c>
      <c r="P178">
        <f t="shared" si="68"/>
        <v>2.3944812761378182</v>
      </c>
      <c r="Q178">
        <f t="shared" si="69"/>
        <v>5.7608786161104174E-2</v>
      </c>
      <c r="R178">
        <f t="shared" si="70"/>
        <v>3.6074667033718769E-2</v>
      </c>
      <c r="S178">
        <f t="shared" si="71"/>
        <v>0</v>
      </c>
      <c r="T178">
        <f t="shared" si="72"/>
        <v>26.614886024098581</v>
      </c>
      <c r="U178">
        <f t="shared" si="73"/>
        <v>27.373316129032251</v>
      </c>
      <c r="V178">
        <f t="shared" si="74"/>
        <v>3.6583906134451727</v>
      </c>
      <c r="W178">
        <f t="shared" si="75"/>
        <v>-1.7933566562953549</v>
      </c>
      <c r="X178">
        <f t="shared" si="76"/>
        <v>-6.5315878112337217E-2</v>
      </c>
      <c r="Y178">
        <f t="shared" si="77"/>
        <v>3.6421019702385453</v>
      </c>
      <c r="Z178">
        <f t="shared" si="78"/>
        <v>3.7237064915575098</v>
      </c>
      <c r="AA178">
        <f t="shared" si="79"/>
        <v>-96.035742504736263</v>
      </c>
      <c r="AB178">
        <f t="shared" si="80"/>
        <v>-9.8325908867431622</v>
      </c>
      <c r="AC178">
        <f t="shared" si="81"/>
        <v>-0.88917365240129442</v>
      </c>
      <c r="AD178">
        <f t="shared" si="82"/>
        <v>-106.75750704388072</v>
      </c>
      <c r="AE178">
        <v>13</v>
      </c>
      <c r="AF178">
        <v>3</v>
      </c>
      <c r="AG178">
        <f t="shared" si="83"/>
        <v>1</v>
      </c>
      <c r="AH178">
        <f t="shared" si="84"/>
        <v>0</v>
      </c>
      <c r="AI178">
        <f t="shared" si="85"/>
        <v>25585.258387841961</v>
      </c>
      <c r="AJ178">
        <f t="shared" si="86"/>
        <v>0</v>
      </c>
      <c r="AK178">
        <f t="shared" si="87"/>
        <v>0</v>
      </c>
      <c r="AL178">
        <f t="shared" si="88"/>
        <v>0</v>
      </c>
      <c r="AM178">
        <f t="shared" si="89"/>
        <v>0</v>
      </c>
      <c r="AN178">
        <v>3</v>
      </c>
      <c r="AO178">
        <v>0.5</v>
      </c>
      <c r="AP178" t="s">
        <v>331</v>
      </c>
      <c r="AQ178">
        <v>2</v>
      </c>
      <c r="AR178">
        <v>1775490691.599999</v>
      </c>
      <c r="AS178">
        <v>30.952716129032261</v>
      </c>
      <c r="AT178">
        <v>31.249661290322582</v>
      </c>
      <c r="AU178">
        <v>-0.65117812903225802</v>
      </c>
      <c r="AV178">
        <v>-1.958605483870967</v>
      </c>
      <c r="AW178">
        <v>22.981716129032261</v>
      </c>
      <c r="AX178">
        <v>0.33809283870967738</v>
      </c>
      <c r="AY178">
        <v>500.01232258064522</v>
      </c>
      <c r="AZ178">
        <v>100.2626774193549</v>
      </c>
      <c r="BA178">
        <v>4.1486987096774203E-2</v>
      </c>
      <c r="BB178">
        <v>27.297148387096769</v>
      </c>
      <c r="BC178">
        <v>27.373316129032251</v>
      </c>
      <c r="BD178">
        <v>999.90000000000032</v>
      </c>
      <c r="BE178">
        <v>0</v>
      </c>
      <c r="BF178">
        <v>0</v>
      </c>
      <c r="BG178">
        <v>5003.4838709677406</v>
      </c>
      <c r="BH178">
        <v>0.36672232258064519</v>
      </c>
      <c r="BI178">
        <v>0.23331922580645159</v>
      </c>
      <c r="BJ178">
        <v>-0.26716209677419361</v>
      </c>
      <c r="BK178">
        <v>30.962335483870969</v>
      </c>
      <c r="BL178">
        <v>31.188580645161291</v>
      </c>
      <c r="BM178">
        <v>1.307427419354839</v>
      </c>
      <c r="BN178">
        <v>31.249661290322582</v>
      </c>
      <c r="BO178">
        <v>-1.958605483870967</v>
      </c>
      <c r="BP178">
        <v>-6.5289019354838704E-2</v>
      </c>
      <c r="BQ178">
        <v>-0.19637541935483871</v>
      </c>
      <c r="BR178">
        <v>-99.900000000000034</v>
      </c>
      <c r="BS178">
        <v>-99.900000000000034</v>
      </c>
      <c r="BT178">
        <v>0</v>
      </c>
      <c r="BU178">
        <v>0</v>
      </c>
      <c r="BV178">
        <v>0</v>
      </c>
      <c r="BW178">
        <v>25</v>
      </c>
      <c r="BX178">
        <v>-1</v>
      </c>
      <c r="BY178">
        <v>1775490717.5999999</v>
      </c>
      <c r="BZ178" t="s">
        <v>819</v>
      </c>
      <c r="CA178">
        <v>1775490717.5999999</v>
      </c>
      <c r="CB178">
        <v>1775480969.5</v>
      </c>
      <c r="CC178">
        <v>163</v>
      </c>
      <c r="CD178">
        <v>-0.03</v>
      </c>
      <c r="CE178">
        <v>0.19500000000000001</v>
      </c>
      <c r="CF178">
        <v>7.9710000000000001</v>
      </c>
      <c r="CG178">
        <v>-0.98899999999999999</v>
      </c>
      <c r="CH178">
        <v>32</v>
      </c>
      <c r="CI178">
        <v>-3</v>
      </c>
      <c r="CJ178">
        <v>0.23</v>
      </c>
      <c r="CK178">
        <v>0.06</v>
      </c>
      <c r="CL178">
        <v>31.41997666666667</v>
      </c>
      <c r="CM178">
        <v>-1.190133259238636</v>
      </c>
      <c r="CN178">
        <v>0.1979721414464391</v>
      </c>
      <c r="CO178">
        <v>-1</v>
      </c>
      <c r="CP178">
        <v>499.98316666666659</v>
      </c>
      <c r="CQ178">
        <v>0.19479410947540579</v>
      </c>
      <c r="CR178">
        <v>4.704259299353792E-2</v>
      </c>
      <c r="CS178">
        <v>-1</v>
      </c>
      <c r="CT178">
        <v>0</v>
      </c>
      <c r="CU178">
        <v>0</v>
      </c>
      <c r="CV178" t="s">
        <v>333</v>
      </c>
      <c r="CW178">
        <v>3.16751</v>
      </c>
      <c r="CX178">
        <v>2.6627100000000001</v>
      </c>
      <c r="CY178">
        <v>6.816E-3</v>
      </c>
      <c r="CZ178">
        <v>9.3690700000000002E-3</v>
      </c>
      <c r="DA178">
        <v>2.78166E-3</v>
      </c>
      <c r="DB178">
        <v>-1.8104100000000001E-2</v>
      </c>
      <c r="DC178">
        <v>21428.2</v>
      </c>
      <c r="DD178">
        <v>21759</v>
      </c>
      <c r="DE178">
        <v>23102.6</v>
      </c>
      <c r="DF178">
        <v>22317.5</v>
      </c>
      <c r="DG178">
        <v>29710.7</v>
      </c>
      <c r="DH178">
        <v>27097.7</v>
      </c>
      <c r="DI178">
        <v>40604.800000000003</v>
      </c>
      <c r="DJ178">
        <v>36987.5</v>
      </c>
      <c r="DK178">
        <v>2.0892599999999999</v>
      </c>
      <c r="DL178">
        <v>1.8013399999999999</v>
      </c>
      <c r="DM178">
        <v>2.49267E-2</v>
      </c>
      <c r="DN178">
        <v>0</v>
      </c>
      <c r="DO178">
        <v>26.967600000000001</v>
      </c>
      <c r="DP178">
        <v>999.9</v>
      </c>
      <c r="DQ178">
        <v>75.400000000000006</v>
      </c>
      <c r="DR178">
        <v>30.3</v>
      </c>
      <c r="DS178">
        <v>32.594999999999999</v>
      </c>
      <c r="DT178">
        <v>30.625599999999999</v>
      </c>
      <c r="DU178">
        <v>10.084099999999999</v>
      </c>
      <c r="DV178">
        <v>1</v>
      </c>
      <c r="DW178">
        <v>0.200547</v>
      </c>
      <c r="DX178">
        <v>-0.28820499999999999</v>
      </c>
      <c r="DY178">
        <v>20.367899999999999</v>
      </c>
      <c r="DZ178">
        <v>5.2121399999999998</v>
      </c>
      <c r="EA178">
        <v>11.8483</v>
      </c>
      <c r="EB178">
        <v>4.9677199999999999</v>
      </c>
      <c r="EC178">
        <v>3.2920799999999999</v>
      </c>
      <c r="ED178">
        <v>894.7</v>
      </c>
      <c r="EE178">
        <v>0</v>
      </c>
      <c r="EF178">
        <v>8882.2000000000007</v>
      </c>
      <c r="EG178">
        <v>111.5</v>
      </c>
      <c r="EH178">
        <v>4.9715800000000003</v>
      </c>
      <c r="EI178">
        <v>1.87181</v>
      </c>
      <c r="EJ178">
        <v>1.869</v>
      </c>
      <c r="EK178">
        <v>1.87141</v>
      </c>
      <c r="EL178">
        <v>1.86911</v>
      </c>
      <c r="EM178">
        <v>1.86812</v>
      </c>
      <c r="EN178">
        <v>1.8699600000000001</v>
      </c>
      <c r="EO178">
        <v>1.87178</v>
      </c>
      <c r="EP178">
        <v>0</v>
      </c>
      <c r="EQ178">
        <v>0</v>
      </c>
      <c r="ER178">
        <v>0</v>
      </c>
      <c r="ES178">
        <v>0</v>
      </c>
      <c r="ET178" t="s">
        <v>334</v>
      </c>
      <c r="EU178" t="s">
        <v>335</v>
      </c>
      <c r="EV178" t="s">
        <v>336</v>
      </c>
      <c r="EW178" t="s">
        <v>336</v>
      </c>
      <c r="EX178" t="s">
        <v>336</v>
      </c>
      <c r="EY178" t="s">
        <v>336</v>
      </c>
      <c r="EZ178">
        <v>0</v>
      </c>
      <c r="FA178">
        <v>100</v>
      </c>
      <c r="FB178">
        <v>100</v>
      </c>
      <c r="FC178">
        <v>7.9710000000000001</v>
      </c>
      <c r="FD178">
        <v>-0.98929999999999996</v>
      </c>
      <c r="FE178">
        <v>8.0007849999999969</v>
      </c>
      <c r="FF178">
        <v>0</v>
      </c>
      <c r="FG178">
        <v>0</v>
      </c>
      <c r="FH178">
        <v>0</v>
      </c>
      <c r="FI178">
        <v>-0.98927100000000023</v>
      </c>
      <c r="FJ178">
        <v>0</v>
      </c>
      <c r="FK178">
        <v>0</v>
      </c>
      <c r="FL178">
        <v>0</v>
      </c>
      <c r="FM178">
        <v>-1</v>
      </c>
      <c r="FN178">
        <v>-1</v>
      </c>
      <c r="FO178">
        <v>-1</v>
      </c>
      <c r="FP178">
        <v>-1</v>
      </c>
      <c r="FQ178">
        <v>0.7</v>
      </c>
      <c r="FR178">
        <v>162.19999999999999</v>
      </c>
      <c r="FS178">
        <v>0.142822</v>
      </c>
      <c r="FT178">
        <v>4.99756</v>
      </c>
      <c r="FU178">
        <v>1.5979000000000001</v>
      </c>
      <c r="FV178">
        <v>2.1520999999999999</v>
      </c>
      <c r="FW178">
        <v>1.5478499999999999</v>
      </c>
      <c r="FX178">
        <v>2.36694</v>
      </c>
      <c r="FY178">
        <v>34.646299999999997</v>
      </c>
      <c r="FZ178">
        <v>15.5067</v>
      </c>
      <c r="GA178">
        <v>3</v>
      </c>
      <c r="GB178">
        <v>498.55599999999998</v>
      </c>
      <c r="GC178">
        <v>406.07400000000001</v>
      </c>
      <c r="GD178">
        <v>27.973099999999999</v>
      </c>
      <c r="GE178">
        <v>29.771899999999999</v>
      </c>
      <c r="GF178">
        <v>30</v>
      </c>
      <c r="GG178">
        <v>30.069400000000002</v>
      </c>
      <c r="GH178">
        <v>30.1203</v>
      </c>
      <c r="GI178">
        <v>-1</v>
      </c>
      <c r="GJ178">
        <v>0</v>
      </c>
      <c r="GK178">
        <v>100</v>
      </c>
      <c r="GL178">
        <v>27.974</v>
      </c>
      <c r="GM178">
        <v>432.1</v>
      </c>
      <c r="GN178">
        <v>68.912800000000004</v>
      </c>
      <c r="GO178">
        <v>102.206</v>
      </c>
      <c r="GP178">
        <v>96.5124</v>
      </c>
    </row>
    <row r="179" spans="1:198" x14ac:dyDescent="0.35">
      <c r="A179">
        <v>163</v>
      </c>
      <c r="B179">
        <v>1775490759.5999999</v>
      </c>
      <c r="C179">
        <v>9721.0999999046326</v>
      </c>
      <c r="D179" t="s">
        <v>820</v>
      </c>
      <c r="E179" t="s">
        <v>821</v>
      </c>
      <c r="F179">
        <v>60</v>
      </c>
      <c r="G179">
        <v>1775490751.599999</v>
      </c>
      <c r="H179">
        <f t="shared" si="60"/>
        <v>2.1836796284678476E-3</v>
      </c>
      <c r="I179">
        <f t="shared" si="61"/>
        <v>2.1836796284678477</v>
      </c>
      <c r="J179">
        <f t="shared" si="62"/>
        <v>0.25155121632680649</v>
      </c>
      <c r="K179">
        <f t="shared" si="63"/>
        <v>31.55968064516129</v>
      </c>
      <c r="L179">
        <f t="shared" si="64"/>
        <v>22.960653685332723</v>
      </c>
      <c r="M179">
        <f t="shared" si="65"/>
        <v>2.303000996164724</v>
      </c>
      <c r="N179">
        <f t="shared" si="66"/>
        <v>3.1655011638835129</v>
      </c>
      <c r="O179">
        <f t="shared" si="67"/>
        <v>5.8554105048169637E-2</v>
      </c>
      <c r="P179">
        <f t="shared" si="68"/>
        <v>2.395328222687485</v>
      </c>
      <c r="Q179">
        <f t="shared" si="69"/>
        <v>5.7770390168402304E-2</v>
      </c>
      <c r="R179">
        <f t="shared" si="70"/>
        <v>3.6176033577685882E-2</v>
      </c>
      <c r="S179">
        <f t="shared" si="71"/>
        <v>0</v>
      </c>
      <c r="T179">
        <f t="shared" si="72"/>
        <v>26.618973781729842</v>
      </c>
      <c r="U179">
        <f t="shared" si="73"/>
        <v>27.378061290322581</v>
      </c>
      <c r="V179">
        <f t="shared" si="74"/>
        <v>3.6594074773125356</v>
      </c>
      <c r="W179">
        <f t="shared" si="75"/>
        <v>-1.7562803785449961</v>
      </c>
      <c r="X179">
        <f t="shared" si="76"/>
        <v>-6.3987049279444028E-2</v>
      </c>
      <c r="Y179">
        <f t="shared" si="77"/>
        <v>3.6433276862350752</v>
      </c>
      <c r="Z179">
        <f t="shared" si="78"/>
        <v>3.7233945265919797</v>
      </c>
      <c r="AA179">
        <f t="shared" si="79"/>
        <v>-96.300271615432081</v>
      </c>
      <c r="AB179">
        <f t="shared" si="80"/>
        <v>-9.7073483858167613</v>
      </c>
      <c r="AC179">
        <f t="shared" si="81"/>
        <v>-0.87758338575125994</v>
      </c>
      <c r="AD179">
        <f t="shared" si="82"/>
        <v>-106.8852033870001</v>
      </c>
      <c r="AE179">
        <v>13</v>
      </c>
      <c r="AF179">
        <v>3</v>
      </c>
      <c r="AG179">
        <f t="shared" si="83"/>
        <v>1</v>
      </c>
      <c r="AH179">
        <f t="shared" si="84"/>
        <v>0</v>
      </c>
      <c r="AI179">
        <f t="shared" si="85"/>
        <v>25597.737173487887</v>
      </c>
      <c r="AJ179">
        <f t="shared" si="86"/>
        <v>0</v>
      </c>
      <c r="AK179">
        <f t="shared" si="87"/>
        <v>0</v>
      </c>
      <c r="AL179">
        <f t="shared" si="88"/>
        <v>0</v>
      </c>
      <c r="AM179">
        <f t="shared" si="89"/>
        <v>0</v>
      </c>
      <c r="AN179">
        <v>3</v>
      </c>
      <c r="AO179">
        <v>0.5</v>
      </c>
      <c r="AP179" t="s">
        <v>331</v>
      </c>
      <c r="AQ179">
        <v>2</v>
      </c>
      <c r="AR179">
        <v>1775490751.599999</v>
      </c>
      <c r="AS179">
        <v>31.55968064516129</v>
      </c>
      <c r="AT179">
        <v>31.751948387096771</v>
      </c>
      <c r="AU179">
        <v>-0.63794348387096766</v>
      </c>
      <c r="AV179">
        <v>-1.9489003225806449</v>
      </c>
      <c r="AW179">
        <v>23.57468064516129</v>
      </c>
      <c r="AX179">
        <v>0.35132751612903218</v>
      </c>
      <c r="AY179">
        <v>500.03309677419361</v>
      </c>
      <c r="AZ179">
        <v>100.2604516129033</v>
      </c>
      <c r="BA179">
        <v>4.1614161290322589E-2</v>
      </c>
      <c r="BB179">
        <v>27.302890322580641</v>
      </c>
      <c r="BC179">
        <v>27.378061290322581</v>
      </c>
      <c r="BD179">
        <v>999.90000000000032</v>
      </c>
      <c r="BE179">
        <v>0</v>
      </c>
      <c r="BF179">
        <v>0</v>
      </c>
      <c r="BG179">
        <v>5005.7741935483873</v>
      </c>
      <c r="BH179">
        <v>0.36635329032258068</v>
      </c>
      <c r="BI179">
        <v>0.23331922580645159</v>
      </c>
      <c r="BJ179">
        <v>-0.20621183341935481</v>
      </c>
      <c r="BK179">
        <v>31.52562258064517</v>
      </c>
      <c r="BL179">
        <v>31.690177419354839</v>
      </c>
      <c r="BM179">
        <v>1.3109577419354841</v>
      </c>
      <c r="BN179">
        <v>31.751948387096771</v>
      </c>
      <c r="BO179">
        <v>-1.9489003225806449</v>
      </c>
      <c r="BP179">
        <v>-6.3960483870967741E-2</v>
      </c>
      <c r="BQ179">
        <v>-0.1953976129032258</v>
      </c>
      <c r="BR179">
        <v>-99.900000000000034</v>
      </c>
      <c r="BS179">
        <v>-99.900000000000034</v>
      </c>
      <c r="BT179">
        <v>0</v>
      </c>
      <c r="BU179">
        <v>0</v>
      </c>
      <c r="BV179">
        <v>0</v>
      </c>
      <c r="BW179">
        <v>25</v>
      </c>
      <c r="BX179">
        <v>-1</v>
      </c>
      <c r="BY179">
        <v>1775490776.0999999</v>
      </c>
      <c r="BZ179" t="s">
        <v>822</v>
      </c>
      <c r="CA179">
        <v>1775490776.0999999</v>
      </c>
      <c r="CB179">
        <v>1775480969.5</v>
      </c>
      <c r="CC179">
        <v>164</v>
      </c>
      <c r="CD179">
        <v>1.4E-2</v>
      </c>
      <c r="CE179">
        <v>0.19500000000000001</v>
      </c>
      <c r="CF179">
        <v>7.9850000000000003</v>
      </c>
      <c r="CG179">
        <v>-0.98899999999999999</v>
      </c>
      <c r="CH179">
        <v>32</v>
      </c>
      <c r="CI179">
        <v>-3</v>
      </c>
      <c r="CJ179">
        <v>0.28999999999999998</v>
      </c>
      <c r="CK179">
        <v>0.06</v>
      </c>
      <c r="CL179">
        <v>32.047631147540983</v>
      </c>
      <c r="CM179">
        <v>-2.9346333157060251</v>
      </c>
      <c r="CN179">
        <v>0.51706817020233242</v>
      </c>
      <c r="CO179">
        <v>-1</v>
      </c>
      <c r="CP179">
        <v>500.00886885245899</v>
      </c>
      <c r="CQ179">
        <v>0.14993336858842241</v>
      </c>
      <c r="CR179">
        <v>5.2208747275970302E-2</v>
      </c>
      <c r="CS179">
        <v>-1</v>
      </c>
      <c r="CT179">
        <v>0</v>
      </c>
      <c r="CU179">
        <v>0</v>
      </c>
      <c r="CV179" t="s">
        <v>333</v>
      </c>
      <c r="CW179">
        <v>3.1675200000000001</v>
      </c>
      <c r="CX179">
        <v>2.6630600000000002</v>
      </c>
      <c r="CY179">
        <v>6.9426999999999996E-3</v>
      </c>
      <c r="CZ179">
        <v>9.3112799999999999E-3</v>
      </c>
      <c r="DA179">
        <v>2.8472100000000002E-3</v>
      </c>
      <c r="DB179">
        <v>-1.8051299999999999E-2</v>
      </c>
      <c r="DC179">
        <v>21425.200000000001</v>
      </c>
      <c r="DD179">
        <v>21760.1</v>
      </c>
      <c r="DE179">
        <v>23102.2</v>
      </c>
      <c r="DF179">
        <v>22317.3</v>
      </c>
      <c r="DG179">
        <v>29708.1</v>
      </c>
      <c r="DH179">
        <v>27096.2</v>
      </c>
      <c r="DI179">
        <v>40603.800000000003</v>
      </c>
      <c r="DJ179">
        <v>36987.199999999997</v>
      </c>
      <c r="DK179">
        <v>2.0894400000000002</v>
      </c>
      <c r="DL179">
        <v>1.8017399999999999</v>
      </c>
      <c r="DM179">
        <v>2.52724E-2</v>
      </c>
      <c r="DN179">
        <v>0</v>
      </c>
      <c r="DO179">
        <v>26.969899999999999</v>
      </c>
      <c r="DP179">
        <v>999.9</v>
      </c>
      <c r="DQ179">
        <v>75.400000000000006</v>
      </c>
      <c r="DR179">
        <v>30.3</v>
      </c>
      <c r="DS179">
        <v>32.597999999999999</v>
      </c>
      <c r="DT179">
        <v>30.5656</v>
      </c>
      <c r="DU179">
        <v>10.0481</v>
      </c>
      <c r="DV179">
        <v>1</v>
      </c>
      <c r="DW179">
        <v>0.20038600000000001</v>
      </c>
      <c r="DX179">
        <v>-0.23827499999999999</v>
      </c>
      <c r="DY179">
        <v>20.368099999999998</v>
      </c>
      <c r="DZ179">
        <v>5.2119</v>
      </c>
      <c r="EA179">
        <v>11.8482</v>
      </c>
      <c r="EB179">
        <v>4.9677199999999999</v>
      </c>
      <c r="EC179">
        <v>3.2920600000000002</v>
      </c>
      <c r="ED179">
        <v>894.7</v>
      </c>
      <c r="EE179">
        <v>0</v>
      </c>
      <c r="EF179">
        <v>8915.5</v>
      </c>
      <c r="EG179">
        <v>111.5</v>
      </c>
      <c r="EH179">
        <v>4.9715699999999998</v>
      </c>
      <c r="EI179">
        <v>1.8717999999999999</v>
      </c>
      <c r="EJ179">
        <v>1.8690100000000001</v>
      </c>
      <c r="EK179">
        <v>1.87141</v>
      </c>
      <c r="EL179">
        <v>1.8691500000000001</v>
      </c>
      <c r="EM179">
        <v>1.86812</v>
      </c>
      <c r="EN179">
        <v>1.8699600000000001</v>
      </c>
      <c r="EO179">
        <v>1.8717900000000001</v>
      </c>
      <c r="EP179">
        <v>0</v>
      </c>
      <c r="EQ179">
        <v>0</v>
      </c>
      <c r="ER179">
        <v>0</v>
      </c>
      <c r="ES179">
        <v>0</v>
      </c>
      <c r="ET179" t="s">
        <v>334</v>
      </c>
      <c r="EU179" t="s">
        <v>335</v>
      </c>
      <c r="EV179" t="s">
        <v>336</v>
      </c>
      <c r="EW179" t="s">
        <v>336</v>
      </c>
      <c r="EX179" t="s">
        <v>336</v>
      </c>
      <c r="EY179" t="s">
        <v>336</v>
      </c>
      <c r="EZ179">
        <v>0</v>
      </c>
      <c r="FA179">
        <v>100</v>
      </c>
      <c r="FB179">
        <v>100</v>
      </c>
      <c r="FC179">
        <v>7.9850000000000003</v>
      </c>
      <c r="FD179">
        <v>-0.98929999999999996</v>
      </c>
      <c r="FE179">
        <v>7.9710550000000033</v>
      </c>
      <c r="FF179">
        <v>0</v>
      </c>
      <c r="FG179">
        <v>0</v>
      </c>
      <c r="FH179">
        <v>0</v>
      </c>
      <c r="FI179">
        <v>-0.98927100000000023</v>
      </c>
      <c r="FJ179">
        <v>0</v>
      </c>
      <c r="FK179">
        <v>0</v>
      </c>
      <c r="FL179">
        <v>0</v>
      </c>
      <c r="FM179">
        <v>-1</v>
      </c>
      <c r="FN179">
        <v>-1</v>
      </c>
      <c r="FO179">
        <v>-1</v>
      </c>
      <c r="FP179">
        <v>-1</v>
      </c>
      <c r="FQ179">
        <v>0.7</v>
      </c>
      <c r="FR179">
        <v>163.19999999999999</v>
      </c>
      <c r="FS179">
        <v>0.142822</v>
      </c>
      <c r="FT179">
        <v>4.99756</v>
      </c>
      <c r="FU179">
        <v>1.5979000000000001</v>
      </c>
      <c r="FV179">
        <v>2.1520999999999999</v>
      </c>
      <c r="FW179">
        <v>1.5478499999999999</v>
      </c>
      <c r="FX179">
        <v>2.3742700000000001</v>
      </c>
      <c r="FY179">
        <v>34.646299999999997</v>
      </c>
      <c r="FZ179">
        <v>15.5067</v>
      </c>
      <c r="GA179">
        <v>3</v>
      </c>
      <c r="GB179">
        <v>498.64100000000002</v>
      </c>
      <c r="GC179">
        <v>406.28699999999998</v>
      </c>
      <c r="GD179">
        <v>27.950800000000001</v>
      </c>
      <c r="GE179">
        <v>29.769300000000001</v>
      </c>
      <c r="GF179">
        <v>30.0001</v>
      </c>
      <c r="GG179">
        <v>30.0669</v>
      </c>
      <c r="GH179">
        <v>30.117799999999999</v>
      </c>
      <c r="GI179">
        <v>-1</v>
      </c>
      <c r="GJ179">
        <v>0</v>
      </c>
      <c r="GK179">
        <v>100</v>
      </c>
      <c r="GL179">
        <v>27.946999999999999</v>
      </c>
      <c r="GM179">
        <v>432.1</v>
      </c>
      <c r="GN179">
        <v>68.912800000000004</v>
      </c>
      <c r="GO179">
        <v>102.20399999999999</v>
      </c>
      <c r="GP179">
        <v>96.511799999999994</v>
      </c>
    </row>
    <row r="180" spans="1:198" x14ac:dyDescent="0.35">
      <c r="A180">
        <v>164</v>
      </c>
      <c r="B180">
        <v>1775490819.5999999</v>
      </c>
      <c r="C180">
        <v>9781.0999999046326</v>
      </c>
      <c r="D180" t="s">
        <v>823</v>
      </c>
      <c r="E180" t="s">
        <v>824</v>
      </c>
      <c r="F180">
        <v>60</v>
      </c>
      <c r="G180">
        <v>1775490811.849999</v>
      </c>
      <c r="H180">
        <f t="shared" si="60"/>
        <v>2.1544578028097191E-3</v>
      </c>
      <c r="I180">
        <f t="shared" si="61"/>
        <v>2.154457802809719</v>
      </c>
      <c r="J180">
        <f t="shared" si="62"/>
        <v>1.0511541172403731</v>
      </c>
      <c r="K180">
        <f t="shared" si="63"/>
        <v>31.023700000000002</v>
      </c>
      <c r="L180">
        <f t="shared" si="64"/>
        <v>0.62130259299531798</v>
      </c>
      <c r="M180">
        <f t="shared" si="65"/>
        <v>6.2316499235515833E-2</v>
      </c>
      <c r="N180">
        <f t="shared" si="66"/>
        <v>3.1116695779627008</v>
      </c>
      <c r="O180">
        <f t="shared" si="67"/>
        <v>5.7769118120285352E-2</v>
      </c>
      <c r="P180">
        <f t="shared" si="68"/>
        <v>2.3919355318150388</v>
      </c>
      <c r="Q180">
        <f t="shared" si="69"/>
        <v>5.7005061205481378E-2</v>
      </c>
      <c r="R180">
        <f t="shared" si="70"/>
        <v>3.5695968778058945E-2</v>
      </c>
      <c r="S180">
        <f t="shared" si="71"/>
        <v>0</v>
      </c>
      <c r="T180">
        <f t="shared" si="72"/>
        <v>26.618916593297573</v>
      </c>
      <c r="U180">
        <f t="shared" si="73"/>
        <v>27.36423666666667</v>
      </c>
      <c r="V180">
        <f t="shared" si="74"/>
        <v>3.6564456183011682</v>
      </c>
      <c r="W180">
        <f t="shared" si="75"/>
        <v>-1.8249956625317501</v>
      </c>
      <c r="X180">
        <f t="shared" si="76"/>
        <v>-6.6458134349603432E-2</v>
      </c>
      <c r="Y180">
        <f t="shared" si="77"/>
        <v>3.6415502630515011</v>
      </c>
      <c r="Z180">
        <f t="shared" si="78"/>
        <v>3.7229037526507716</v>
      </c>
      <c r="AA180">
        <f t="shared" si="79"/>
        <v>-95.011589103908619</v>
      </c>
      <c r="AB180">
        <f t="shared" si="80"/>
        <v>-8.9846570047780911</v>
      </c>
      <c r="AC180">
        <f t="shared" si="81"/>
        <v>-0.81331127139564863</v>
      </c>
      <c r="AD180">
        <f t="shared" si="82"/>
        <v>-104.80955738008235</v>
      </c>
      <c r="AE180">
        <v>13</v>
      </c>
      <c r="AF180">
        <v>3</v>
      </c>
      <c r="AG180">
        <f t="shared" si="83"/>
        <v>1</v>
      </c>
      <c r="AH180">
        <f t="shared" si="84"/>
        <v>0</v>
      </c>
      <c r="AI180">
        <f t="shared" si="85"/>
        <v>25546.953231652129</v>
      </c>
      <c r="AJ180">
        <f t="shared" si="86"/>
        <v>0</v>
      </c>
      <c r="AK180">
        <f t="shared" si="87"/>
        <v>0</v>
      </c>
      <c r="AL180">
        <f t="shared" si="88"/>
        <v>0</v>
      </c>
      <c r="AM180">
        <f t="shared" si="89"/>
        <v>0</v>
      </c>
      <c r="AN180">
        <v>3</v>
      </c>
      <c r="AO180">
        <v>0.5</v>
      </c>
      <c r="AP180" t="s">
        <v>331</v>
      </c>
      <c r="AQ180">
        <v>2</v>
      </c>
      <c r="AR180">
        <v>1775490811.849999</v>
      </c>
      <c r="AS180">
        <v>31.023700000000002</v>
      </c>
      <c r="AT180">
        <v>31.694463333333331</v>
      </c>
      <c r="AU180">
        <v>-0.66259516666666662</v>
      </c>
      <c r="AV180">
        <v>-1.956063333333333</v>
      </c>
      <c r="AW180">
        <v>23.037700000000001</v>
      </c>
      <c r="AX180">
        <v>0.32667583333333328</v>
      </c>
      <c r="AY180">
        <v>500.02436666666671</v>
      </c>
      <c r="AZ180">
        <v>100.2580333333333</v>
      </c>
      <c r="BA180">
        <v>4.1723883333333329E-2</v>
      </c>
      <c r="BB180">
        <v>27.294563333333329</v>
      </c>
      <c r="BC180">
        <v>27.36423666666667</v>
      </c>
      <c r="BD180">
        <v>999.9000000000002</v>
      </c>
      <c r="BE180">
        <v>0</v>
      </c>
      <c r="BF180">
        <v>0</v>
      </c>
      <c r="BG180">
        <v>4997.166666666667</v>
      </c>
      <c r="BH180">
        <v>0.3817884666666666</v>
      </c>
      <c r="BI180">
        <v>0.23344266666666669</v>
      </c>
      <c r="BJ180">
        <v>-0.67182891</v>
      </c>
      <c r="BK180">
        <v>31.002089999999999</v>
      </c>
      <c r="BL180">
        <v>31.63258333333334</v>
      </c>
      <c r="BM180">
        <v>1.2934680000000001</v>
      </c>
      <c r="BN180">
        <v>31.694463333333331</v>
      </c>
      <c r="BO180">
        <v>-1.956063333333333</v>
      </c>
      <c r="BP180">
        <v>-6.6430470000000005E-2</v>
      </c>
      <c r="BQ180">
        <v>-0.19611100000000001</v>
      </c>
      <c r="BR180">
        <v>-99.900000000000034</v>
      </c>
      <c r="BS180">
        <v>-99.900000000000034</v>
      </c>
      <c r="BT180">
        <v>0</v>
      </c>
      <c r="BU180">
        <v>0</v>
      </c>
      <c r="BV180">
        <v>0</v>
      </c>
      <c r="BW180">
        <v>25</v>
      </c>
      <c r="BX180">
        <v>-1</v>
      </c>
      <c r="BY180">
        <v>1775490837.0999999</v>
      </c>
      <c r="BZ180" t="s">
        <v>825</v>
      </c>
      <c r="CA180">
        <v>1775490837.0999999</v>
      </c>
      <c r="CB180">
        <v>1775480969.5</v>
      </c>
      <c r="CC180">
        <v>165</v>
      </c>
      <c r="CD180">
        <v>1E-3</v>
      </c>
      <c r="CE180">
        <v>0.19500000000000001</v>
      </c>
      <c r="CF180">
        <v>7.9859999999999998</v>
      </c>
      <c r="CG180">
        <v>-0.98899999999999999</v>
      </c>
      <c r="CH180">
        <v>32</v>
      </c>
      <c r="CI180">
        <v>-3</v>
      </c>
      <c r="CJ180">
        <v>0.28999999999999998</v>
      </c>
      <c r="CK180">
        <v>0.06</v>
      </c>
      <c r="CL180">
        <v>31.574486666666662</v>
      </c>
      <c r="CM180">
        <v>2.1986914142818108</v>
      </c>
      <c r="CN180">
        <v>0.5599328523631697</v>
      </c>
      <c r="CO180">
        <v>-1</v>
      </c>
      <c r="CP180">
        <v>500.02143333333328</v>
      </c>
      <c r="CQ180">
        <v>7.8888580162073146E-2</v>
      </c>
      <c r="CR180">
        <v>4.7901067025930298E-2</v>
      </c>
      <c r="CS180">
        <v>-1</v>
      </c>
      <c r="CT180">
        <v>0</v>
      </c>
      <c r="CU180">
        <v>0</v>
      </c>
      <c r="CV180" t="s">
        <v>333</v>
      </c>
      <c r="CW180">
        <v>3.16744</v>
      </c>
      <c r="CX180">
        <v>2.6632199999999999</v>
      </c>
      <c r="CY180">
        <v>6.9999499999999996E-3</v>
      </c>
      <c r="CZ180">
        <v>9.7925600000000005E-3</v>
      </c>
      <c r="DA180">
        <v>2.6382900000000002E-3</v>
      </c>
      <c r="DB180">
        <v>-1.8185199999999999E-2</v>
      </c>
      <c r="DC180">
        <v>21424.400000000001</v>
      </c>
      <c r="DD180">
        <v>21749.7</v>
      </c>
      <c r="DE180">
        <v>23102.7</v>
      </c>
      <c r="DF180">
        <v>22317.5</v>
      </c>
      <c r="DG180">
        <v>29715</v>
      </c>
      <c r="DH180">
        <v>27099.9</v>
      </c>
      <c r="DI180">
        <v>40604.800000000003</v>
      </c>
      <c r="DJ180">
        <v>36987.5</v>
      </c>
      <c r="DK180">
        <v>2.08948</v>
      </c>
      <c r="DL180">
        <v>1.80142</v>
      </c>
      <c r="DM180">
        <v>2.4998200000000002E-2</v>
      </c>
      <c r="DN180">
        <v>0</v>
      </c>
      <c r="DO180">
        <v>26.958400000000001</v>
      </c>
      <c r="DP180">
        <v>999.9</v>
      </c>
      <c r="DQ180">
        <v>75.400000000000006</v>
      </c>
      <c r="DR180">
        <v>30.3</v>
      </c>
      <c r="DS180">
        <v>32.598700000000001</v>
      </c>
      <c r="DT180">
        <v>30.595600000000001</v>
      </c>
      <c r="DU180">
        <v>10.120200000000001</v>
      </c>
      <c r="DV180">
        <v>1</v>
      </c>
      <c r="DW180">
        <v>0.20005300000000001</v>
      </c>
      <c r="DX180">
        <v>-0.291246</v>
      </c>
      <c r="DY180">
        <v>20.367899999999999</v>
      </c>
      <c r="DZ180">
        <v>5.2111799999999997</v>
      </c>
      <c r="EA180">
        <v>11.8482</v>
      </c>
      <c r="EB180">
        <v>4.9676400000000003</v>
      </c>
      <c r="EC180">
        <v>3.2920799999999999</v>
      </c>
      <c r="ED180">
        <v>894.7</v>
      </c>
      <c r="EE180">
        <v>0</v>
      </c>
      <c r="EF180">
        <v>8948.6</v>
      </c>
      <c r="EG180">
        <v>111.5</v>
      </c>
      <c r="EH180">
        <v>4.9715999999999996</v>
      </c>
      <c r="EI180">
        <v>1.8717999999999999</v>
      </c>
      <c r="EJ180">
        <v>1.869</v>
      </c>
      <c r="EK180">
        <v>1.8713900000000001</v>
      </c>
      <c r="EL180">
        <v>1.86913</v>
      </c>
      <c r="EM180">
        <v>1.8681000000000001</v>
      </c>
      <c r="EN180">
        <v>1.8699600000000001</v>
      </c>
      <c r="EO180">
        <v>1.8717299999999999</v>
      </c>
      <c r="EP180">
        <v>0</v>
      </c>
      <c r="EQ180">
        <v>0</v>
      </c>
      <c r="ER180">
        <v>0</v>
      </c>
      <c r="ES180">
        <v>0</v>
      </c>
      <c r="ET180" t="s">
        <v>334</v>
      </c>
      <c r="EU180" t="s">
        <v>335</v>
      </c>
      <c r="EV180" t="s">
        <v>336</v>
      </c>
      <c r="EW180" t="s">
        <v>336</v>
      </c>
      <c r="EX180" t="s">
        <v>336</v>
      </c>
      <c r="EY180" t="s">
        <v>336</v>
      </c>
      <c r="EZ180">
        <v>0</v>
      </c>
      <c r="FA180">
        <v>100</v>
      </c>
      <c r="FB180">
        <v>100</v>
      </c>
      <c r="FC180">
        <v>7.9859999999999998</v>
      </c>
      <c r="FD180">
        <v>-0.98929999999999996</v>
      </c>
      <c r="FE180">
        <v>7.9849380952380962</v>
      </c>
      <c r="FF180">
        <v>0</v>
      </c>
      <c r="FG180">
        <v>0</v>
      </c>
      <c r="FH180">
        <v>0</v>
      </c>
      <c r="FI180">
        <v>-0.98927100000000023</v>
      </c>
      <c r="FJ180">
        <v>0</v>
      </c>
      <c r="FK180">
        <v>0</v>
      </c>
      <c r="FL180">
        <v>0</v>
      </c>
      <c r="FM180">
        <v>-1</v>
      </c>
      <c r="FN180">
        <v>-1</v>
      </c>
      <c r="FO180">
        <v>-1</v>
      </c>
      <c r="FP180">
        <v>-1</v>
      </c>
      <c r="FQ180">
        <v>0.7</v>
      </c>
      <c r="FR180">
        <v>164.2</v>
      </c>
      <c r="FS180">
        <v>0.142822</v>
      </c>
      <c r="FT180">
        <v>4.99756</v>
      </c>
      <c r="FU180">
        <v>1.5979000000000001</v>
      </c>
      <c r="FV180">
        <v>2.1520999999999999</v>
      </c>
      <c r="FW180">
        <v>1.5478499999999999</v>
      </c>
      <c r="FX180">
        <v>2.36694</v>
      </c>
      <c r="FY180">
        <v>34.646299999999997</v>
      </c>
      <c r="FZ180">
        <v>15.497999999999999</v>
      </c>
      <c r="GA180">
        <v>3</v>
      </c>
      <c r="GB180">
        <v>498.62400000000002</v>
      </c>
      <c r="GC180">
        <v>406.08699999999999</v>
      </c>
      <c r="GD180">
        <v>27.961600000000001</v>
      </c>
      <c r="GE180">
        <v>29.7667</v>
      </c>
      <c r="GF180">
        <v>30</v>
      </c>
      <c r="GG180">
        <v>30.061800000000002</v>
      </c>
      <c r="GH180">
        <v>30.115200000000002</v>
      </c>
      <c r="GI180">
        <v>-1</v>
      </c>
      <c r="GJ180">
        <v>0</v>
      </c>
      <c r="GK180">
        <v>100</v>
      </c>
      <c r="GL180">
        <v>27.965299999999999</v>
      </c>
      <c r="GM180">
        <v>432.1</v>
      </c>
      <c r="GN180">
        <v>68.912800000000004</v>
      </c>
      <c r="GO180">
        <v>102.206</v>
      </c>
      <c r="GP180">
        <v>96.5124</v>
      </c>
    </row>
    <row r="181" spans="1:198" x14ac:dyDescent="0.35">
      <c r="A181">
        <v>165</v>
      </c>
      <c r="B181">
        <v>1775490880</v>
      </c>
      <c r="C181">
        <v>9841.5</v>
      </c>
      <c r="D181" t="s">
        <v>826</v>
      </c>
      <c r="E181" t="s">
        <v>827</v>
      </c>
      <c r="F181">
        <v>60</v>
      </c>
      <c r="G181">
        <v>1775490872.0580649</v>
      </c>
      <c r="H181">
        <f t="shared" si="60"/>
        <v>2.1776665553705169E-3</v>
      </c>
      <c r="I181">
        <f t="shared" si="61"/>
        <v>2.177666555370517</v>
      </c>
      <c r="J181">
        <f t="shared" si="62"/>
        <v>1.0961286093179348</v>
      </c>
      <c r="K181">
        <f t="shared" si="63"/>
        <v>30.27077741935484</v>
      </c>
      <c r="L181">
        <f t="shared" si="64"/>
        <v>-1.0015388159906371</v>
      </c>
      <c r="M181">
        <f t="shared" si="65"/>
        <v>-0.10045205231751168</v>
      </c>
      <c r="N181">
        <f t="shared" si="66"/>
        <v>3.0360897335897268</v>
      </c>
      <c r="O181">
        <f t="shared" si="67"/>
        <v>5.8381577735690832E-2</v>
      </c>
      <c r="P181">
        <f t="shared" si="68"/>
        <v>2.3925079212657678</v>
      </c>
      <c r="Q181">
        <f t="shared" si="69"/>
        <v>5.7601536067258825E-2</v>
      </c>
      <c r="R181">
        <f t="shared" si="70"/>
        <v>3.6070175353588627E-2</v>
      </c>
      <c r="S181">
        <f t="shared" si="71"/>
        <v>0</v>
      </c>
      <c r="T181">
        <f t="shared" si="72"/>
        <v>26.616010989756134</v>
      </c>
      <c r="U181">
        <f t="shared" si="73"/>
        <v>27.369183870967738</v>
      </c>
      <c r="V181">
        <f t="shared" si="74"/>
        <v>3.6575052925064813</v>
      </c>
      <c r="W181">
        <f t="shared" si="75"/>
        <v>-1.824014323745065</v>
      </c>
      <c r="X181">
        <f t="shared" si="76"/>
        <v>-6.6438828997828478E-2</v>
      </c>
      <c r="Y181">
        <f t="shared" si="77"/>
        <v>3.6424510560540071</v>
      </c>
      <c r="Z181">
        <f t="shared" si="78"/>
        <v>3.7239441215043096</v>
      </c>
      <c r="AA181">
        <f t="shared" si="79"/>
        <v>-96.035095091839793</v>
      </c>
      <c r="AB181">
        <f t="shared" si="80"/>
        <v>-9.0805360484100337</v>
      </c>
      <c r="AC181">
        <f t="shared" si="81"/>
        <v>-0.82183143157547378</v>
      </c>
      <c r="AD181">
        <f t="shared" si="82"/>
        <v>-105.93746257182531</v>
      </c>
      <c r="AE181">
        <v>13</v>
      </c>
      <c r="AF181">
        <v>3</v>
      </c>
      <c r="AG181">
        <f t="shared" si="83"/>
        <v>1</v>
      </c>
      <c r="AH181">
        <f t="shared" si="84"/>
        <v>0</v>
      </c>
      <c r="AI181">
        <f t="shared" si="85"/>
        <v>25555.379467450191</v>
      </c>
      <c r="AJ181">
        <f t="shared" si="86"/>
        <v>0</v>
      </c>
      <c r="AK181">
        <f t="shared" si="87"/>
        <v>0</v>
      </c>
      <c r="AL181">
        <f t="shared" si="88"/>
        <v>0</v>
      </c>
      <c r="AM181">
        <f t="shared" si="89"/>
        <v>0</v>
      </c>
      <c r="AN181">
        <v>3</v>
      </c>
      <c r="AO181">
        <v>0.5</v>
      </c>
      <c r="AP181" t="s">
        <v>331</v>
      </c>
      <c r="AQ181">
        <v>2</v>
      </c>
      <c r="AR181">
        <v>1775490872.0580649</v>
      </c>
      <c r="AS181">
        <v>30.27077741935484</v>
      </c>
      <c r="AT181">
        <v>30.968012903225809</v>
      </c>
      <c r="AU181">
        <v>-0.66241619354838721</v>
      </c>
      <c r="AV181">
        <v>-1.969893870967742</v>
      </c>
      <c r="AW181">
        <v>22.274777419354841</v>
      </c>
      <c r="AX181">
        <v>0.3268547741935483</v>
      </c>
      <c r="AY181">
        <v>499.99532258064522</v>
      </c>
      <c r="AZ181">
        <v>100.25596774193551</v>
      </c>
      <c r="BA181">
        <v>4.1744851612903228E-2</v>
      </c>
      <c r="BB181">
        <v>27.298783870967739</v>
      </c>
      <c r="BC181">
        <v>27.369183870967738</v>
      </c>
      <c r="BD181">
        <v>999.90000000000032</v>
      </c>
      <c r="BE181">
        <v>0</v>
      </c>
      <c r="BF181">
        <v>0</v>
      </c>
      <c r="BG181">
        <v>4998.7419354838712</v>
      </c>
      <c r="BH181">
        <v>0.37143880645161292</v>
      </c>
      <c r="BI181">
        <v>0.23331922580645159</v>
      </c>
      <c r="BJ181">
        <v>-0.70727125806451596</v>
      </c>
      <c r="BK181">
        <v>30.24070967741935</v>
      </c>
      <c r="BL181">
        <v>30.907132258064522</v>
      </c>
      <c r="BM181">
        <v>1.3074764516129029</v>
      </c>
      <c r="BN181">
        <v>30.968012903225809</v>
      </c>
      <c r="BO181">
        <v>-1.969893870967742</v>
      </c>
      <c r="BP181">
        <v>-6.6411241935483881E-2</v>
      </c>
      <c r="BQ181">
        <v>-0.19749367741935481</v>
      </c>
      <c r="BR181">
        <v>-99.900000000000034</v>
      </c>
      <c r="BS181">
        <v>-99.900000000000034</v>
      </c>
      <c r="BT181">
        <v>0</v>
      </c>
      <c r="BU181">
        <v>0</v>
      </c>
      <c r="BV181">
        <v>0</v>
      </c>
      <c r="BW181">
        <v>25</v>
      </c>
      <c r="BX181">
        <v>-1</v>
      </c>
      <c r="BY181">
        <v>1775490895</v>
      </c>
      <c r="BZ181" t="s">
        <v>828</v>
      </c>
      <c r="CA181">
        <v>1775490895</v>
      </c>
      <c r="CB181">
        <v>1775480969.5</v>
      </c>
      <c r="CC181">
        <v>166</v>
      </c>
      <c r="CD181">
        <v>0.01</v>
      </c>
      <c r="CE181">
        <v>0.19500000000000001</v>
      </c>
      <c r="CF181">
        <v>7.9960000000000004</v>
      </c>
      <c r="CG181">
        <v>-0.98899999999999999</v>
      </c>
      <c r="CH181">
        <v>30</v>
      </c>
      <c r="CI181">
        <v>-3</v>
      </c>
      <c r="CJ181">
        <v>0.33</v>
      </c>
      <c r="CK181">
        <v>0.06</v>
      </c>
      <c r="CL181">
        <v>30.676004918032781</v>
      </c>
      <c r="CM181">
        <v>2.1243093503379482</v>
      </c>
      <c r="CN181">
        <v>0.32036072108664848</v>
      </c>
      <c r="CO181">
        <v>-1</v>
      </c>
      <c r="CP181">
        <v>500.00981967213107</v>
      </c>
      <c r="CQ181">
        <v>-0.13762408531819589</v>
      </c>
      <c r="CR181">
        <v>4.4489640789710357E-2</v>
      </c>
      <c r="CS181">
        <v>-1</v>
      </c>
      <c r="CT181">
        <v>0</v>
      </c>
      <c r="CU181">
        <v>0</v>
      </c>
      <c r="CV181" t="s">
        <v>333</v>
      </c>
      <c r="CW181">
        <v>3.1674600000000002</v>
      </c>
      <c r="CX181">
        <v>2.6631900000000002</v>
      </c>
      <c r="CY181">
        <v>6.72822E-3</v>
      </c>
      <c r="CZ181">
        <v>9.2669399999999996E-3</v>
      </c>
      <c r="DA181">
        <v>2.6763199999999998E-3</v>
      </c>
      <c r="DB181">
        <v>-1.8252899999999999E-2</v>
      </c>
      <c r="DC181">
        <v>21430.2</v>
      </c>
      <c r="DD181">
        <v>21761.599999999999</v>
      </c>
      <c r="DE181">
        <v>23102.6</v>
      </c>
      <c r="DF181">
        <v>22317.8</v>
      </c>
      <c r="DG181">
        <v>29713.7</v>
      </c>
      <c r="DH181">
        <v>27102.2</v>
      </c>
      <c r="DI181">
        <v>40604.5</v>
      </c>
      <c r="DJ181">
        <v>36988.199999999997</v>
      </c>
      <c r="DK181">
        <v>2.0894599999999999</v>
      </c>
      <c r="DL181">
        <v>1.8004</v>
      </c>
      <c r="DM181">
        <v>2.56628E-2</v>
      </c>
      <c r="DN181">
        <v>0</v>
      </c>
      <c r="DO181">
        <v>26.949300000000001</v>
      </c>
      <c r="DP181">
        <v>999.9</v>
      </c>
      <c r="DQ181">
        <v>75.400000000000006</v>
      </c>
      <c r="DR181">
        <v>30.3</v>
      </c>
      <c r="DS181">
        <v>32.596699999999998</v>
      </c>
      <c r="DT181">
        <v>30.365600000000001</v>
      </c>
      <c r="DU181">
        <v>9.7596100000000003</v>
      </c>
      <c r="DV181">
        <v>1</v>
      </c>
      <c r="DW181">
        <v>0.199545</v>
      </c>
      <c r="DX181">
        <v>-0.31275599999999998</v>
      </c>
      <c r="DY181">
        <v>20.368099999999998</v>
      </c>
      <c r="DZ181">
        <v>5.2112999999999996</v>
      </c>
      <c r="EA181">
        <v>11.8485</v>
      </c>
      <c r="EB181">
        <v>4.9676400000000003</v>
      </c>
      <c r="EC181">
        <v>3.2920400000000001</v>
      </c>
      <c r="ED181">
        <v>894.7</v>
      </c>
      <c r="EE181">
        <v>0</v>
      </c>
      <c r="EF181">
        <v>8981.2000000000007</v>
      </c>
      <c r="EG181">
        <v>111.6</v>
      </c>
      <c r="EH181">
        <v>4.9715800000000003</v>
      </c>
      <c r="EI181">
        <v>1.87181</v>
      </c>
      <c r="EJ181">
        <v>1.8690100000000001</v>
      </c>
      <c r="EK181">
        <v>1.8714500000000001</v>
      </c>
      <c r="EL181">
        <v>1.8691800000000001</v>
      </c>
      <c r="EM181">
        <v>1.8681000000000001</v>
      </c>
      <c r="EN181">
        <v>1.86995</v>
      </c>
      <c r="EO181">
        <v>1.8717699999999999</v>
      </c>
      <c r="EP181">
        <v>0</v>
      </c>
      <c r="EQ181">
        <v>0</v>
      </c>
      <c r="ER181">
        <v>0</v>
      </c>
      <c r="ES181">
        <v>0</v>
      </c>
      <c r="ET181" t="s">
        <v>334</v>
      </c>
      <c r="EU181" t="s">
        <v>335</v>
      </c>
      <c r="EV181" t="s">
        <v>336</v>
      </c>
      <c r="EW181" t="s">
        <v>336</v>
      </c>
      <c r="EX181" t="s">
        <v>336</v>
      </c>
      <c r="EY181" t="s">
        <v>336</v>
      </c>
      <c r="EZ181">
        <v>0</v>
      </c>
      <c r="FA181">
        <v>100</v>
      </c>
      <c r="FB181">
        <v>100</v>
      </c>
      <c r="FC181">
        <v>7.9960000000000004</v>
      </c>
      <c r="FD181">
        <v>-0.98929999999999996</v>
      </c>
      <c r="FE181">
        <v>7.9859666666666698</v>
      </c>
      <c r="FF181">
        <v>0</v>
      </c>
      <c r="FG181">
        <v>0</v>
      </c>
      <c r="FH181">
        <v>0</v>
      </c>
      <c r="FI181">
        <v>-0.98927100000000023</v>
      </c>
      <c r="FJ181">
        <v>0</v>
      </c>
      <c r="FK181">
        <v>0</v>
      </c>
      <c r="FL181">
        <v>0</v>
      </c>
      <c r="FM181">
        <v>-1</v>
      </c>
      <c r="FN181">
        <v>-1</v>
      </c>
      <c r="FO181">
        <v>-1</v>
      </c>
      <c r="FP181">
        <v>-1</v>
      </c>
      <c r="FQ181">
        <v>0.7</v>
      </c>
      <c r="FR181">
        <v>165.2</v>
      </c>
      <c r="FS181">
        <v>0.142822</v>
      </c>
      <c r="FT181">
        <v>4.99756</v>
      </c>
      <c r="FU181">
        <v>1.5979000000000001</v>
      </c>
      <c r="FV181">
        <v>2.1533199999999999</v>
      </c>
      <c r="FW181">
        <v>1.5478499999999999</v>
      </c>
      <c r="FX181">
        <v>2.4462899999999999</v>
      </c>
      <c r="FY181">
        <v>34.646299999999997</v>
      </c>
      <c r="FZ181">
        <v>15.497999999999999</v>
      </c>
      <c r="GA181">
        <v>3</v>
      </c>
      <c r="GB181">
        <v>498.57299999999998</v>
      </c>
      <c r="GC181">
        <v>405.46</v>
      </c>
      <c r="GD181">
        <v>28.004799999999999</v>
      </c>
      <c r="GE181">
        <v>29.759</v>
      </c>
      <c r="GF181">
        <v>30.0001</v>
      </c>
      <c r="GG181">
        <v>30.0566</v>
      </c>
      <c r="GH181">
        <v>30.108699999999999</v>
      </c>
      <c r="GI181">
        <v>-1</v>
      </c>
      <c r="GJ181">
        <v>0</v>
      </c>
      <c r="GK181">
        <v>100</v>
      </c>
      <c r="GL181">
        <v>28.0047</v>
      </c>
      <c r="GM181">
        <v>432.1</v>
      </c>
      <c r="GN181">
        <v>68.912800000000004</v>
      </c>
      <c r="GO181">
        <v>102.205</v>
      </c>
      <c r="GP181">
        <v>96.514099999999999</v>
      </c>
    </row>
    <row r="182" spans="1:198" x14ac:dyDescent="0.35">
      <c r="A182">
        <v>166</v>
      </c>
      <c r="B182">
        <v>1775490940</v>
      </c>
      <c r="C182">
        <v>9901.5</v>
      </c>
      <c r="D182" t="s">
        <v>829</v>
      </c>
      <c r="E182" t="s">
        <v>830</v>
      </c>
      <c r="F182">
        <v>60</v>
      </c>
      <c r="G182">
        <v>1775490932</v>
      </c>
      <c r="H182">
        <f t="shared" si="60"/>
        <v>2.1821913611708098E-3</v>
      </c>
      <c r="I182">
        <f t="shared" si="61"/>
        <v>2.1821913611708097</v>
      </c>
      <c r="J182">
        <f t="shared" si="62"/>
        <v>0.6208241911032264</v>
      </c>
      <c r="K182">
        <f t="shared" si="63"/>
        <v>30.202829032258059</v>
      </c>
      <c r="L182">
        <f t="shared" si="64"/>
        <v>11.755881998509087</v>
      </c>
      <c r="M182">
        <f t="shared" si="65"/>
        <v>1.1790617053372001</v>
      </c>
      <c r="N182">
        <f t="shared" si="66"/>
        <v>3.0292069203568364</v>
      </c>
      <c r="O182">
        <f t="shared" si="67"/>
        <v>5.8490441205309114E-2</v>
      </c>
      <c r="P182">
        <f t="shared" si="68"/>
        <v>2.3906474632953674</v>
      </c>
      <c r="Q182">
        <f t="shared" si="69"/>
        <v>5.7706908297535137E-2</v>
      </c>
      <c r="R182">
        <f t="shared" si="70"/>
        <v>3.6136340514897308E-2</v>
      </c>
      <c r="S182">
        <f t="shared" si="71"/>
        <v>0</v>
      </c>
      <c r="T182">
        <f t="shared" si="72"/>
        <v>26.617234871271656</v>
      </c>
      <c r="U182">
        <f t="shared" si="73"/>
        <v>27.370538709677419</v>
      </c>
      <c r="V182">
        <f t="shared" si="74"/>
        <v>3.657795541061728</v>
      </c>
      <c r="W182">
        <f t="shared" si="75"/>
        <v>-1.8388755173785778</v>
      </c>
      <c r="X182">
        <f t="shared" si="76"/>
        <v>-6.6992423610991822E-2</v>
      </c>
      <c r="Y182">
        <f t="shared" si="77"/>
        <v>3.6431190136509817</v>
      </c>
      <c r="Z182">
        <f t="shared" si="78"/>
        <v>3.72478796467272</v>
      </c>
      <c r="AA182">
        <f t="shared" si="79"/>
        <v>-96.23463902763271</v>
      </c>
      <c r="AB182">
        <f t="shared" si="80"/>
        <v>-8.8448086562588415</v>
      </c>
      <c r="AC182">
        <f t="shared" si="81"/>
        <v>-0.80113789417076642</v>
      </c>
      <c r="AD182">
        <f t="shared" si="82"/>
        <v>-105.88058557806232</v>
      </c>
      <c r="AE182">
        <v>13</v>
      </c>
      <c r="AF182">
        <v>3</v>
      </c>
      <c r="AG182">
        <f t="shared" si="83"/>
        <v>1</v>
      </c>
      <c r="AH182">
        <f t="shared" si="84"/>
        <v>0</v>
      </c>
      <c r="AI182">
        <f t="shared" si="85"/>
        <v>25526.912992118567</v>
      </c>
      <c r="AJ182">
        <f t="shared" si="86"/>
        <v>0</v>
      </c>
      <c r="AK182">
        <f t="shared" si="87"/>
        <v>0</v>
      </c>
      <c r="AL182">
        <f t="shared" si="88"/>
        <v>0</v>
      </c>
      <c r="AM182">
        <f t="shared" si="89"/>
        <v>0</v>
      </c>
      <c r="AN182">
        <v>3</v>
      </c>
      <c r="AO182">
        <v>0.5</v>
      </c>
      <c r="AP182" t="s">
        <v>331</v>
      </c>
      <c r="AQ182">
        <v>2</v>
      </c>
      <c r="AR182">
        <v>1775490932</v>
      </c>
      <c r="AS182">
        <v>30.202829032258059</v>
      </c>
      <c r="AT182">
        <v>30.614883870967748</v>
      </c>
      <c r="AU182">
        <v>-0.66795064516129032</v>
      </c>
      <c r="AV182">
        <v>-1.9781887096774191</v>
      </c>
      <c r="AW182">
        <v>22.217829032258059</v>
      </c>
      <c r="AX182">
        <v>0.32132032258064508</v>
      </c>
      <c r="AY182">
        <v>499.98141935483869</v>
      </c>
      <c r="AZ182">
        <v>100.2538064516129</v>
      </c>
      <c r="BA182">
        <v>4.1663125806451623E-2</v>
      </c>
      <c r="BB182">
        <v>27.301912903225801</v>
      </c>
      <c r="BC182">
        <v>27.370538709677419</v>
      </c>
      <c r="BD182">
        <v>999.90000000000032</v>
      </c>
      <c r="BE182">
        <v>0</v>
      </c>
      <c r="BF182">
        <v>0</v>
      </c>
      <c r="BG182">
        <v>4994.0645161290322</v>
      </c>
      <c r="BH182">
        <v>0.35500838709677418</v>
      </c>
      <c r="BI182">
        <v>0.22961599999999999</v>
      </c>
      <c r="BJ182">
        <v>-0.40105432258064522</v>
      </c>
      <c r="BK182">
        <v>30.19366451612904</v>
      </c>
      <c r="BL182">
        <v>30.554441935483869</v>
      </c>
      <c r="BM182">
        <v>1.310239032258065</v>
      </c>
      <c r="BN182">
        <v>30.614883870967748</v>
      </c>
      <c r="BO182">
        <v>-1.9781887096774191</v>
      </c>
      <c r="BP182">
        <v>-6.6964561290322577E-2</v>
      </c>
      <c r="BQ182">
        <v>-0.19832087096774201</v>
      </c>
      <c r="BR182">
        <v>-99.900000000000034</v>
      </c>
      <c r="BS182">
        <v>-99.900000000000034</v>
      </c>
      <c r="BT182">
        <v>0</v>
      </c>
      <c r="BU182">
        <v>0</v>
      </c>
      <c r="BV182">
        <v>0</v>
      </c>
      <c r="BW182">
        <v>25</v>
      </c>
      <c r="BX182">
        <v>-1</v>
      </c>
      <c r="BY182">
        <v>1775490959</v>
      </c>
      <c r="BZ182" t="s">
        <v>831</v>
      </c>
      <c r="CA182">
        <v>1775490959</v>
      </c>
      <c r="CB182">
        <v>1775480969.5</v>
      </c>
      <c r="CC182">
        <v>167</v>
      </c>
      <c r="CD182">
        <v>-1.0999999999999999E-2</v>
      </c>
      <c r="CE182">
        <v>0.19500000000000001</v>
      </c>
      <c r="CF182">
        <v>7.9850000000000003</v>
      </c>
      <c r="CG182">
        <v>-0.98899999999999999</v>
      </c>
      <c r="CH182">
        <v>31</v>
      </c>
      <c r="CI182">
        <v>-3</v>
      </c>
      <c r="CJ182">
        <v>0.21</v>
      </c>
      <c r="CK182">
        <v>0.06</v>
      </c>
      <c r="CL182">
        <v>30.663295000000002</v>
      </c>
      <c r="CM182">
        <v>-0.34372381217005971</v>
      </c>
      <c r="CN182">
        <v>0.1002613009839789</v>
      </c>
      <c r="CO182">
        <v>-1</v>
      </c>
      <c r="CP182">
        <v>499.99571666666662</v>
      </c>
      <c r="CQ182">
        <v>-2.9184773546926911E-2</v>
      </c>
      <c r="CR182">
        <v>4.4397857180523963E-2</v>
      </c>
      <c r="CS182">
        <v>-1</v>
      </c>
      <c r="CT182">
        <v>0</v>
      </c>
      <c r="CU182">
        <v>0</v>
      </c>
      <c r="CV182" t="s">
        <v>333</v>
      </c>
      <c r="CW182">
        <v>3.1674000000000002</v>
      </c>
      <c r="CX182">
        <v>2.6630699999999998</v>
      </c>
      <c r="CY182">
        <v>6.6061799999999997E-3</v>
      </c>
      <c r="CZ182">
        <v>9.1471199999999999E-3</v>
      </c>
      <c r="DA182">
        <v>2.6076200000000002E-3</v>
      </c>
      <c r="DB182">
        <v>-1.8330099999999998E-2</v>
      </c>
      <c r="DC182">
        <v>21433.4</v>
      </c>
      <c r="DD182">
        <v>21764.6</v>
      </c>
      <c r="DE182">
        <v>23103.200000000001</v>
      </c>
      <c r="DF182">
        <v>22318.2</v>
      </c>
      <c r="DG182">
        <v>29716.6</v>
      </c>
      <c r="DH182">
        <v>27104.5</v>
      </c>
      <c r="DI182">
        <v>40605.699999999997</v>
      </c>
      <c r="DJ182">
        <v>36988.5</v>
      </c>
      <c r="DK182">
        <v>2.0893000000000002</v>
      </c>
      <c r="DL182">
        <v>1.8000799999999999</v>
      </c>
      <c r="DM182">
        <v>2.5713400000000001E-2</v>
      </c>
      <c r="DN182">
        <v>0</v>
      </c>
      <c r="DO182">
        <v>26.952400000000001</v>
      </c>
      <c r="DP182">
        <v>999.9</v>
      </c>
      <c r="DQ182">
        <v>75.400000000000006</v>
      </c>
      <c r="DR182">
        <v>30.3</v>
      </c>
      <c r="DS182">
        <v>32.597900000000003</v>
      </c>
      <c r="DT182">
        <v>30.485600000000002</v>
      </c>
      <c r="DU182">
        <v>9.9759600000000006</v>
      </c>
      <c r="DV182">
        <v>1</v>
      </c>
      <c r="DW182">
        <v>0.198378</v>
      </c>
      <c r="DX182">
        <v>-0.27248800000000001</v>
      </c>
      <c r="DY182">
        <v>20.368099999999998</v>
      </c>
      <c r="DZ182">
        <v>5.2121399999999998</v>
      </c>
      <c r="EA182">
        <v>11.848699999999999</v>
      </c>
      <c r="EB182">
        <v>4.9678399999999998</v>
      </c>
      <c r="EC182">
        <v>3.2920400000000001</v>
      </c>
      <c r="ED182">
        <v>894.7</v>
      </c>
      <c r="EE182">
        <v>0</v>
      </c>
      <c r="EF182">
        <v>9009.1</v>
      </c>
      <c r="EG182">
        <v>111.6</v>
      </c>
      <c r="EH182">
        <v>4.9716300000000002</v>
      </c>
      <c r="EI182">
        <v>1.87181</v>
      </c>
      <c r="EJ182">
        <v>1.86904</v>
      </c>
      <c r="EK182">
        <v>1.87144</v>
      </c>
      <c r="EL182">
        <v>1.8691800000000001</v>
      </c>
      <c r="EM182">
        <v>1.8681300000000001</v>
      </c>
      <c r="EN182">
        <v>1.8699600000000001</v>
      </c>
      <c r="EO182">
        <v>1.8717299999999999</v>
      </c>
      <c r="EP182">
        <v>0</v>
      </c>
      <c r="EQ182">
        <v>0</v>
      </c>
      <c r="ER182">
        <v>0</v>
      </c>
      <c r="ES182">
        <v>0</v>
      </c>
      <c r="ET182" t="s">
        <v>334</v>
      </c>
      <c r="EU182" t="s">
        <v>335</v>
      </c>
      <c r="EV182" t="s">
        <v>336</v>
      </c>
      <c r="EW182" t="s">
        <v>336</v>
      </c>
      <c r="EX182" t="s">
        <v>336</v>
      </c>
      <c r="EY182" t="s">
        <v>336</v>
      </c>
      <c r="EZ182">
        <v>0</v>
      </c>
      <c r="FA182">
        <v>100</v>
      </c>
      <c r="FB182">
        <v>100</v>
      </c>
      <c r="FC182">
        <v>7.9850000000000003</v>
      </c>
      <c r="FD182">
        <v>-0.98929999999999996</v>
      </c>
      <c r="FE182">
        <v>7.9960049999999896</v>
      </c>
      <c r="FF182">
        <v>0</v>
      </c>
      <c r="FG182">
        <v>0</v>
      </c>
      <c r="FH182">
        <v>0</v>
      </c>
      <c r="FI182">
        <v>-0.98927100000000023</v>
      </c>
      <c r="FJ182">
        <v>0</v>
      </c>
      <c r="FK182">
        <v>0</v>
      </c>
      <c r="FL182">
        <v>0</v>
      </c>
      <c r="FM182">
        <v>-1</v>
      </c>
      <c r="FN182">
        <v>-1</v>
      </c>
      <c r="FO182">
        <v>-1</v>
      </c>
      <c r="FP182">
        <v>-1</v>
      </c>
      <c r="FQ182">
        <v>0.8</v>
      </c>
      <c r="FR182">
        <v>166.2</v>
      </c>
      <c r="FS182">
        <v>0.142822</v>
      </c>
      <c r="FT182">
        <v>4.99756</v>
      </c>
      <c r="FU182">
        <v>1.5979000000000001</v>
      </c>
      <c r="FV182">
        <v>2.1520999999999999</v>
      </c>
      <c r="FW182">
        <v>1.5478499999999999</v>
      </c>
      <c r="FX182">
        <v>2.4487299999999999</v>
      </c>
      <c r="FY182">
        <v>34.6235</v>
      </c>
      <c r="FZ182">
        <v>15.497999999999999</v>
      </c>
      <c r="GA182">
        <v>3</v>
      </c>
      <c r="GB182">
        <v>498.43700000000001</v>
      </c>
      <c r="GC182">
        <v>405.23500000000001</v>
      </c>
      <c r="GD182">
        <v>27.970300000000002</v>
      </c>
      <c r="GE182">
        <v>29.751300000000001</v>
      </c>
      <c r="GF182">
        <v>30.0001</v>
      </c>
      <c r="GG182">
        <v>30.051100000000002</v>
      </c>
      <c r="GH182">
        <v>30.102499999999999</v>
      </c>
      <c r="GI182">
        <v>-1</v>
      </c>
      <c r="GJ182">
        <v>0</v>
      </c>
      <c r="GK182">
        <v>100</v>
      </c>
      <c r="GL182">
        <v>27.968800000000002</v>
      </c>
      <c r="GM182">
        <v>432.1</v>
      </c>
      <c r="GN182">
        <v>68.912800000000004</v>
      </c>
      <c r="GO182">
        <v>102.208</v>
      </c>
      <c r="GP182">
        <v>96.515199999999993</v>
      </c>
    </row>
    <row r="183" spans="1:198" x14ac:dyDescent="0.35">
      <c r="A183">
        <v>167</v>
      </c>
      <c r="B183">
        <v>1775491000</v>
      </c>
      <c r="C183">
        <v>9961.5</v>
      </c>
      <c r="D183" t="s">
        <v>832</v>
      </c>
      <c r="E183" t="s">
        <v>833</v>
      </c>
      <c r="F183">
        <v>60</v>
      </c>
      <c r="G183">
        <v>1775490992</v>
      </c>
      <c r="H183">
        <f t="shared" si="60"/>
        <v>2.1427901866213623E-3</v>
      </c>
      <c r="I183">
        <f t="shared" si="61"/>
        <v>2.1427901866213626</v>
      </c>
      <c r="J183">
        <f t="shared" si="62"/>
        <v>0.82417233237694809</v>
      </c>
      <c r="K183">
        <f t="shared" si="63"/>
        <v>30.59776129032258</v>
      </c>
      <c r="L183">
        <f t="shared" si="64"/>
        <v>6.255842386925532</v>
      </c>
      <c r="M183">
        <f t="shared" si="65"/>
        <v>0.62743028492915676</v>
      </c>
      <c r="N183">
        <f t="shared" si="66"/>
        <v>3.0688052698872998</v>
      </c>
      <c r="O183">
        <f t="shared" si="67"/>
        <v>5.7416234346898777E-2</v>
      </c>
      <c r="P183">
        <f t="shared" si="68"/>
        <v>2.3911134728197125</v>
      </c>
      <c r="Q183">
        <f t="shared" si="69"/>
        <v>5.6661161842510827E-2</v>
      </c>
      <c r="R183">
        <f t="shared" si="70"/>
        <v>3.5480239086945614E-2</v>
      </c>
      <c r="S183">
        <f t="shared" si="71"/>
        <v>0</v>
      </c>
      <c r="T183">
        <f t="shared" si="72"/>
        <v>26.623833498169258</v>
      </c>
      <c r="U183">
        <f t="shared" si="73"/>
        <v>27.366283870967749</v>
      </c>
      <c r="V183">
        <f t="shared" si="74"/>
        <v>3.6568840899432251</v>
      </c>
      <c r="W183">
        <f t="shared" si="75"/>
        <v>-1.8720979677023262</v>
      </c>
      <c r="X183">
        <f t="shared" si="76"/>
        <v>-6.8179257341364319E-2</v>
      </c>
      <c r="Y183">
        <f t="shared" si="77"/>
        <v>3.6418637548676189</v>
      </c>
      <c r="Z183">
        <f t="shared" si="78"/>
        <v>3.7250633472845895</v>
      </c>
      <c r="AA183">
        <f t="shared" si="79"/>
        <v>-94.497047230002082</v>
      </c>
      <c r="AB183">
        <f t="shared" si="80"/>
        <v>-9.0561150145405751</v>
      </c>
      <c r="AC183">
        <f t="shared" si="81"/>
        <v>-0.82007605042845932</v>
      </c>
      <c r="AD183">
        <f t="shared" si="82"/>
        <v>-104.37323829497112</v>
      </c>
      <c r="AE183">
        <v>13</v>
      </c>
      <c r="AF183">
        <v>3</v>
      </c>
      <c r="AG183">
        <f t="shared" si="83"/>
        <v>1</v>
      </c>
      <c r="AH183">
        <f t="shared" si="84"/>
        <v>0</v>
      </c>
      <c r="AI183">
        <f t="shared" si="85"/>
        <v>25534.519762952666</v>
      </c>
      <c r="AJ183">
        <f t="shared" si="86"/>
        <v>0</v>
      </c>
      <c r="AK183">
        <f t="shared" si="87"/>
        <v>0</v>
      </c>
      <c r="AL183">
        <f t="shared" si="88"/>
        <v>0</v>
      </c>
      <c r="AM183">
        <f t="shared" si="89"/>
        <v>0</v>
      </c>
      <c r="AN183">
        <v>3</v>
      </c>
      <c r="AO183">
        <v>0.5</v>
      </c>
      <c r="AP183" t="s">
        <v>331</v>
      </c>
      <c r="AQ183">
        <v>2</v>
      </c>
      <c r="AR183">
        <v>1775490992</v>
      </c>
      <c r="AS183">
        <v>30.59776129032258</v>
      </c>
      <c r="AT183">
        <v>31.131638709677421</v>
      </c>
      <c r="AU183">
        <v>-0.67978658064516118</v>
      </c>
      <c r="AV183">
        <v>-1.966419677419355</v>
      </c>
      <c r="AW183">
        <v>22.612761290322581</v>
      </c>
      <c r="AX183">
        <v>0.30948438709677423</v>
      </c>
      <c r="AY183">
        <v>499.96696774193538</v>
      </c>
      <c r="AZ183">
        <v>100.2532580645161</v>
      </c>
      <c r="BA183">
        <v>4.1833487096774202E-2</v>
      </c>
      <c r="BB183">
        <v>27.296032258064511</v>
      </c>
      <c r="BC183">
        <v>27.366283870967749</v>
      </c>
      <c r="BD183">
        <v>999.90000000000032</v>
      </c>
      <c r="BE183">
        <v>0</v>
      </c>
      <c r="BF183">
        <v>0</v>
      </c>
      <c r="BG183">
        <v>4995.2903225806449</v>
      </c>
      <c r="BH183">
        <v>0.40146106451612901</v>
      </c>
      <c r="BI183">
        <v>0.23331922580645159</v>
      </c>
      <c r="BJ183">
        <v>-0.53383106451612905</v>
      </c>
      <c r="BK183">
        <v>30.577019354838711</v>
      </c>
      <c r="BL183">
        <v>31.07053548387098</v>
      </c>
      <c r="BM183">
        <v>1.286633548387097</v>
      </c>
      <c r="BN183">
        <v>31.131638709677421</v>
      </c>
      <c r="BO183">
        <v>-1.966419677419355</v>
      </c>
      <c r="BP183">
        <v>-6.8150841935483861E-2</v>
      </c>
      <c r="BQ183">
        <v>-0.19714012903225811</v>
      </c>
      <c r="BR183">
        <v>-99.900000000000034</v>
      </c>
      <c r="BS183">
        <v>-99.900000000000034</v>
      </c>
      <c r="BT183">
        <v>0</v>
      </c>
      <c r="BU183">
        <v>0</v>
      </c>
      <c r="BV183">
        <v>0</v>
      </c>
      <c r="BW183">
        <v>25</v>
      </c>
      <c r="BX183">
        <v>-1</v>
      </c>
      <c r="BY183">
        <v>1775491019</v>
      </c>
      <c r="BZ183" t="s">
        <v>834</v>
      </c>
      <c r="CA183">
        <v>1775491019</v>
      </c>
      <c r="CB183">
        <v>1775480969.5</v>
      </c>
      <c r="CC183">
        <v>168</v>
      </c>
      <c r="CD183">
        <v>0</v>
      </c>
      <c r="CE183">
        <v>0.19500000000000001</v>
      </c>
      <c r="CF183">
        <v>7.9850000000000003</v>
      </c>
      <c r="CG183">
        <v>-0.98899999999999999</v>
      </c>
      <c r="CH183">
        <v>31</v>
      </c>
      <c r="CI183">
        <v>-3</v>
      </c>
      <c r="CJ183">
        <v>0.18</v>
      </c>
      <c r="CK183">
        <v>0.06</v>
      </c>
      <c r="CL183">
        <v>31.040725000000009</v>
      </c>
      <c r="CM183">
        <v>0.68934915254244655</v>
      </c>
      <c r="CN183">
        <v>0.1247631577897366</v>
      </c>
      <c r="CO183">
        <v>-1</v>
      </c>
      <c r="CP183">
        <v>499.99565000000001</v>
      </c>
      <c r="CQ183">
        <v>-0.23590219505373131</v>
      </c>
      <c r="CR183">
        <v>6.6692284661223497E-2</v>
      </c>
      <c r="CS183">
        <v>-1</v>
      </c>
      <c r="CT183">
        <v>0</v>
      </c>
      <c r="CU183">
        <v>0</v>
      </c>
      <c r="CV183" t="s">
        <v>333</v>
      </c>
      <c r="CW183">
        <v>3.1674600000000002</v>
      </c>
      <c r="CX183">
        <v>2.6631900000000002</v>
      </c>
      <c r="CY183">
        <v>6.7754199999999999E-3</v>
      </c>
      <c r="CZ183">
        <v>9.3224099999999997E-3</v>
      </c>
      <c r="DA183">
        <v>2.5581699999999998E-3</v>
      </c>
      <c r="DB183">
        <v>-1.8274599999999998E-2</v>
      </c>
      <c r="DC183">
        <v>21430.1</v>
      </c>
      <c r="DD183">
        <v>21761.4</v>
      </c>
      <c r="DE183">
        <v>23103.5</v>
      </c>
      <c r="DF183">
        <v>22318.9</v>
      </c>
      <c r="DG183">
        <v>29718.400000000001</v>
      </c>
      <c r="DH183">
        <v>27103.8</v>
      </c>
      <c r="DI183">
        <v>40606.1</v>
      </c>
      <c r="DJ183">
        <v>36989.599999999999</v>
      </c>
      <c r="DK183">
        <v>2.0893999999999999</v>
      </c>
      <c r="DL183">
        <v>1.8003</v>
      </c>
      <c r="DM183">
        <v>2.6255799999999999E-2</v>
      </c>
      <c r="DN183">
        <v>0</v>
      </c>
      <c r="DO183">
        <v>26.946999999999999</v>
      </c>
      <c r="DP183">
        <v>999.9</v>
      </c>
      <c r="DQ183">
        <v>75.400000000000006</v>
      </c>
      <c r="DR183">
        <v>30.3</v>
      </c>
      <c r="DS183">
        <v>32.6008</v>
      </c>
      <c r="DT183">
        <v>30.785599999999999</v>
      </c>
      <c r="DU183">
        <v>9.8477599999999992</v>
      </c>
      <c r="DV183">
        <v>1</v>
      </c>
      <c r="DW183">
        <v>0.19783700000000001</v>
      </c>
      <c r="DX183">
        <v>-0.312085</v>
      </c>
      <c r="DY183">
        <v>20.367699999999999</v>
      </c>
      <c r="DZ183">
        <v>5.2114200000000004</v>
      </c>
      <c r="EA183">
        <v>11.8482</v>
      </c>
      <c r="EB183">
        <v>4.9677600000000002</v>
      </c>
      <c r="EC183">
        <v>3.2920400000000001</v>
      </c>
      <c r="ED183">
        <v>894.7</v>
      </c>
      <c r="EE183">
        <v>0</v>
      </c>
      <c r="EF183">
        <v>9042.2000000000007</v>
      </c>
      <c r="EG183">
        <v>111.6</v>
      </c>
      <c r="EH183">
        <v>4.9715999999999996</v>
      </c>
      <c r="EI183">
        <v>1.87181</v>
      </c>
      <c r="EJ183">
        <v>1.8690500000000001</v>
      </c>
      <c r="EK183">
        <v>1.87147</v>
      </c>
      <c r="EL183">
        <v>1.86917</v>
      </c>
      <c r="EM183">
        <v>1.86812</v>
      </c>
      <c r="EN183">
        <v>1.8699600000000001</v>
      </c>
      <c r="EO183">
        <v>1.8717900000000001</v>
      </c>
      <c r="EP183">
        <v>0</v>
      </c>
      <c r="EQ183">
        <v>0</v>
      </c>
      <c r="ER183">
        <v>0</v>
      </c>
      <c r="ES183">
        <v>0</v>
      </c>
      <c r="ET183" t="s">
        <v>334</v>
      </c>
      <c r="EU183" t="s">
        <v>335</v>
      </c>
      <c r="EV183" t="s">
        <v>336</v>
      </c>
      <c r="EW183" t="s">
        <v>336</v>
      </c>
      <c r="EX183" t="s">
        <v>336</v>
      </c>
      <c r="EY183" t="s">
        <v>336</v>
      </c>
      <c r="EZ183">
        <v>0</v>
      </c>
      <c r="FA183">
        <v>100</v>
      </c>
      <c r="FB183">
        <v>100</v>
      </c>
      <c r="FC183">
        <v>7.9850000000000003</v>
      </c>
      <c r="FD183">
        <v>-0.98929999999999996</v>
      </c>
      <c r="FE183">
        <v>7.9850500000000046</v>
      </c>
      <c r="FF183">
        <v>0</v>
      </c>
      <c r="FG183">
        <v>0</v>
      </c>
      <c r="FH183">
        <v>0</v>
      </c>
      <c r="FI183">
        <v>-0.98927100000000023</v>
      </c>
      <c r="FJ183">
        <v>0</v>
      </c>
      <c r="FK183">
        <v>0</v>
      </c>
      <c r="FL183">
        <v>0</v>
      </c>
      <c r="FM183">
        <v>-1</v>
      </c>
      <c r="FN183">
        <v>-1</v>
      </c>
      <c r="FO183">
        <v>-1</v>
      </c>
      <c r="FP183">
        <v>-1</v>
      </c>
      <c r="FQ183">
        <v>0.7</v>
      </c>
      <c r="FR183">
        <v>167.2</v>
      </c>
      <c r="FS183">
        <v>0.142822</v>
      </c>
      <c r="FT183">
        <v>4.99756</v>
      </c>
      <c r="FU183">
        <v>1.5979000000000001</v>
      </c>
      <c r="FV183">
        <v>2.1520999999999999</v>
      </c>
      <c r="FW183">
        <v>1.5478499999999999</v>
      </c>
      <c r="FX183">
        <v>2.4572799999999999</v>
      </c>
      <c r="FY183">
        <v>34.6235</v>
      </c>
      <c r="FZ183">
        <v>15.4892</v>
      </c>
      <c r="GA183">
        <v>3</v>
      </c>
      <c r="GB183">
        <v>498.43900000000002</v>
      </c>
      <c r="GC183">
        <v>405.315</v>
      </c>
      <c r="GD183">
        <v>27.983499999999999</v>
      </c>
      <c r="GE183">
        <v>29.7437</v>
      </c>
      <c r="GF183">
        <v>30.0001</v>
      </c>
      <c r="GG183">
        <v>30.043800000000001</v>
      </c>
      <c r="GH183">
        <v>30.095500000000001</v>
      </c>
      <c r="GI183">
        <v>-1</v>
      </c>
      <c r="GJ183">
        <v>0</v>
      </c>
      <c r="GK183">
        <v>100</v>
      </c>
      <c r="GL183">
        <v>27.985099999999999</v>
      </c>
      <c r="GM183">
        <v>432.1</v>
      </c>
      <c r="GN183">
        <v>68.912800000000004</v>
      </c>
      <c r="GO183">
        <v>102.209</v>
      </c>
      <c r="GP183">
        <v>96.518100000000004</v>
      </c>
    </row>
    <row r="184" spans="1:198" x14ac:dyDescent="0.35">
      <c r="A184">
        <v>168</v>
      </c>
      <c r="B184">
        <v>1775491060</v>
      </c>
      <c r="C184">
        <v>10021.5</v>
      </c>
      <c r="D184" t="s">
        <v>835</v>
      </c>
      <c r="E184" t="s">
        <v>836</v>
      </c>
      <c r="F184">
        <v>60</v>
      </c>
      <c r="G184">
        <v>1775491052</v>
      </c>
      <c r="H184">
        <f t="shared" si="60"/>
        <v>2.1287150718725624E-3</v>
      </c>
      <c r="I184">
        <f t="shared" si="61"/>
        <v>2.1287150718725623</v>
      </c>
      <c r="J184">
        <f t="shared" si="62"/>
        <v>0.60688486514839002</v>
      </c>
      <c r="K184">
        <f t="shared" si="63"/>
        <v>31.139193548387091</v>
      </c>
      <c r="L184">
        <f t="shared" si="64"/>
        <v>12.603067544547724</v>
      </c>
      <c r="M184">
        <f t="shared" si="65"/>
        <v>1.2640029773475954</v>
      </c>
      <c r="N184">
        <f t="shared" si="66"/>
        <v>3.1230518457700445</v>
      </c>
      <c r="O184">
        <f t="shared" si="67"/>
        <v>5.7043269056128151E-2</v>
      </c>
      <c r="P184">
        <f t="shared" si="68"/>
        <v>2.3912164400520415</v>
      </c>
      <c r="Q184">
        <f t="shared" si="69"/>
        <v>5.6297937287778446E-2</v>
      </c>
      <c r="R184">
        <f t="shared" si="70"/>
        <v>3.5252364504114883E-2</v>
      </c>
      <c r="S184">
        <f t="shared" si="71"/>
        <v>0</v>
      </c>
      <c r="T184">
        <f t="shared" si="72"/>
        <v>26.631318885873938</v>
      </c>
      <c r="U184">
        <f t="shared" si="73"/>
        <v>27.36170000000001</v>
      </c>
      <c r="V184">
        <f t="shared" si="74"/>
        <v>3.6559023769205443</v>
      </c>
      <c r="W184">
        <f t="shared" si="75"/>
        <v>-1.8812486334278546</v>
      </c>
      <c r="X184">
        <f t="shared" si="76"/>
        <v>-6.8524726542910031E-2</v>
      </c>
      <c r="Y184">
        <f t="shared" si="77"/>
        <v>3.6425130270021766</v>
      </c>
      <c r="Z184">
        <f t="shared" si="78"/>
        <v>3.7244271034634542</v>
      </c>
      <c r="AA184">
        <f t="shared" si="79"/>
        <v>-93.876334669580004</v>
      </c>
      <c r="AB184">
        <f t="shared" si="80"/>
        <v>-8.0734221662671821</v>
      </c>
      <c r="AC184">
        <f t="shared" si="81"/>
        <v>-0.73105123466381161</v>
      </c>
      <c r="AD184">
        <f t="shared" si="82"/>
        <v>-102.68080807051099</v>
      </c>
      <c r="AE184">
        <v>13</v>
      </c>
      <c r="AF184">
        <v>3</v>
      </c>
      <c r="AG184">
        <f t="shared" si="83"/>
        <v>1</v>
      </c>
      <c r="AH184">
        <f t="shared" si="84"/>
        <v>0</v>
      </c>
      <c r="AI184">
        <f t="shared" si="85"/>
        <v>25535.898571973004</v>
      </c>
      <c r="AJ184">
        <f t="shared" si="86"/>
        <v>0</v>
      </c>
      <c r="AK184">
        <f t="shared" si="87"/>
        <v>0</v>
      </c>
      <c r="AL184">
        <f t="shared" si="88"/>
        <v>0</v>
      </c>
      <c r="AM184">
        <f t="shared" si="89"/>
        <v>0</v>
      </c>
      <c r="AN184">
        <v>3</v>
      </c>
      <c r="AO184">
        <v>0.5</v>
      </c>
      <c r="AP184" t="s">
        <v>331</v>
      </c>
      <c r="AQ184">
        <v>2</v>
      </c>
      <c r="AR184">
        <v>1775491052</v>
      </c>
      <c r="AS184">
        <v>31.139193548387091</v>
      </c>
      <c r="AT184">
        <v>31.54311612903226</v>
      </c>
      <c r="AU184">
        <v>-0.68324345161290323</v>
      </c>
      <c r="AV184">
        <v>-1.9614077419354841</v>
      </c>
      <c r="AW184">
        <v>23.130193548387091</v>
      </c>
      <c r="AX184">
        <v>0.30602751612903228</v>
      </c>
      <c r="AY184">
        <v>499.97551612903231</v>
      </c>
      <c r="AZ184">
        <v>100.2514516129032</v>
      </c>
      <c r="BA184">
        <v>4.1828009677419363E-2</v>
      </c>
      <c r="BB184">
        <v>27.299074193548378</v>
      </c>
      <c r="BC184">
        <v>27.36170000000001</v>
      </c>
      <c r="BD184">
        <v>999.90000000000032</v>
      </c>
      <c r="BE184">
        <v>0</v>
      </c>
      <c r="BF184">
        <v>0</v>
      </c>
      <c r="BG184">
        <v>4995.6451612903229</v>
      </c>
      <c r="BH184">
        <v>0.33592874193548389</v>
      </c>
      <c r="BI184">
        <v>0.22961599999999999</v>
      </c>
      <c r="BJ184">
        <v>-0.42761648387096779</v>
      </c>
      <c r="BK184">
        <v>31.09426451612903</v>
      </c>
      <c r="BL184">
        <v>31.48137419354839</v>
      </c>
      <c r="BM184">
        <v>1.2781651612903231</v>
      </c>
      <c r="BN184">
        <v>31.54311612903226</v>
      </c>
      <c r="BO184">
        <v>-1.9614077419354841</v>
      </c>
      <c r="BP184">
        <v>-6.8496103225806446E-2</v>
      </c>
      <c r="BQ184">
        <v>-0.19663393548387101</v>
      </c>
      <c r="BR184">
        <v>-99.900000000000034</v>
      </c>
      <c r="BS184">
        <v>-99.900000000000034</v>
      </c>
      <c r="BT184">
        <v>0</v>
      </c>
      <c r="BU184">
        <v>0</v>
      </c>
      <c r="BV184">
        <v>0</v>
      </c>
      <c r="BW184">
        <v>25</v>
      </c>
      <c r="BX184">
        <v>-1</v>
      </c>
      <c r="BY184">
        <v>1775491076</v>
      </c>
      <c r="BZ184" t="s">
        <v>837</v>
      </c>
      <c r="CA184">
        <v>1775491076</v>
      </c>
      <c r="CB184">
        <v>1775480969.5</v>
      </c>
      <c r="CC184">
        <v>169</v>
      </c>
      <c r="CD184">
        <v>2.4E-2</v>
      </c>
      <c r="CE184">
        <v>0.19500000000000001</v>
      </c>
      <c r="CF184">
        <v>8.0090000000000003</v>
      </c>
      <c r="CG184">
        <v>-0.98899999999999999</v>
      </c>
      <c r="CH184">
        <v>32</v>
      </c>
      <c r="CI184">
        <v>-3</v>
      </c>
      <c r="CJ184">
        <v>0.3</v>
      </c>
      <c r="CK184">
        <v>0.06</v>
      </c>
      <c r="CL184">
        <v>31.577624590163929</v>
      </c>
      <c r="CM184">
        <v>-2.802771020621694E-2</v>
      </c>
      <c r="CN184">
        <v>9.8373016518405146E-2</v>
      </c>
      <c r="CO184">
        <v>-1</v>
      </c>
      <c r="CP184">
        <v>499.98188524590159</v>
      </c>
      <c r="CQ184">
        <v>-0.12754521417291309</v>
      </c>
      <c r="CR184">
        <v>6.2229901188969053E-2</v>
      </c>
      <c r="CS184">
        <v>-1</v>
      </c>
      <c r="CT184">
        <v>0</v>
      </c>
      <c r="CU184">
        <v>0</v>
      </c>
      <c r="CV184" t="s">
        <v>333</v>
      </c>
      <c r="CW184">
        <v>3.1674500000000001</v>
      </c>
      <c r="CX184">
        <v>2.66337</v>
      </c>
      <c r="CY184">
        <v>6.9019099999999998E-3</v>
      </c>
      <c r="CZ184">
        <v>9.4174600000000008E-3</v>
      </c>
      <c r="DA184">
        <v>2.5171600000000001E-3</v>
      </c>
      <c r="DB184">
        <v>-1.8022400000000001E-2</v>
      </c>
      <c r="DC184">
        <v>21427.599999999999</v>
      </c>
      <c r="DD184">
        <v>21759.4</v>
      </c>
      <c r="DE184">
        <v>23103.7</v>
      </c>
      <c r="DF184">
        <v>22318.9</v>
      </c>
      <c r="DG184">
        <v>29719.9</v>
      </c>
      <c r="DH184">
        <v>27097.3</v>
      </c>
      <c r="DI184">
        <v>40606.5</v>
      </c>
      <c r="DJ184">
        <v>36989.9</v>
      </c>
      <c r="DK184">
        <v>2.08962</v>
      </c>
      <c r="DL184">
        <v>1.8003199999999999</v>
      </c>
      <c r="DM184">
        <v>2.6255799999999999E-2</v>
      </c>
      <c r="DN184">
        <v>0</v>
      </c>
      <c r="DO184">
        <v>26.935600000000001</v>
      </c>
      <c r="DP184">
        <v>999.9</v>
      </c>
      <c r="DQ184">
        <v>75.3</v>
      </c>
      <c r="DR184">
        <v>30.3</v>
      </c>
      <c r="DS184">
        <v>32.555999999999997</v>
      </c>
      <c r="DT184">
        <v>30.575600000000001</v>
      </c>
      <c r="DU184">
        <v>9.8477599999999992</v>
      </c>
      <c r="DV184">
        <v>1</v>
      </c>
      <c r="DW184">
        <v>0.19713600000000001</v>
      </c>
      <c r="DX184">
        <v>-0.28925699999999999</v>
      </c>
      <c r="DY184">
        <v>20.367599999999999</v>
      </c>
      <c r="DZ184">
        <v>5.21082</v>
      </c>
      <c r="EA184">
        <v>11.8482</v>
      </c>
      <c r="EB184">
        <v>4.9676799999999997</v>
      </c>
      <c r="EC184">
        <v>3.2921</v>
      </c>
      <c r="ED184">
        <v>894.7</v>
      </c>
      <c r="EE184">
        <v>0</v>
      </c>
      <c r="EF184">
        <v>9074.9</v>
      </c>
      <c r="EG184">
        <v>111.6</v>
      </c>
      <c r="EH184">
        <v>4.9715999999999996</v>
      </c>
      <c r="EI184">
        <v>1.8717999999999999</v>
      </c>
      <c r="EJ184">
        <v>1.86903</v>
      </c>
      <c r="EK184">
        <v>1.8714299999999999</v>
      </c>
      <c r="EL184">
        <v>1.8691800000000001</v>
      </c>
      <c r="EM184">
        <v>1.86809</v>
      </c>
      <c r="EN184">
        <v>1.86995</v>
      </c>
      <c r="EO184">
        <v>1.8717600000000001</v>
      </c>
      <c r="EP184">
        <v>0</v>
      </c>
      <c r="EQ184">
        <v>0</v>
      </c>
      <c r="ER184">
        <v>0</v>
      </c>
      <c r="ES184">
        <v>0</v>
      </c>
      <c r="ET184" t="s">
        <v>334</v>
      </c>
      <c r="EU184" t="s">
        <v>335</v>
      </c>
      <c r="EV184" t="s">
        <v>336</v>
      </c>
      <c r="EW184" t="s">
        <v>336</v>
      </c>
      <c r="EX184" t="s">
        <v>336</v>
      </c>
      <c r="EY184" t="s">
        <v>336</v>
      </c>
      <c r="EZ184">
        <v>0</v>
      </c>
      <c r="FA184">
        <v>100</v>
      </c>
      <c r="FB184">
        <v>100</v>
      </c>
      <c r="FC184">
        <v>8.0090000000000003</v>
      </c>
      <c r="FD184">
        <v>-0.98929999999999996</v>
      </c>
      <c r="FE184">
        <v>7.9853049999999968</v>
      </c>
      <c r="FF184">
        <v>0</v>
      </c>
      <c r="FG184">
        <v>0</v>
      </c>
      <c r="FH184">
        <v>0</v>
      </c>
      <c r="FI184">
        <v>-0.98927100000000023</v>
      </c>
      <c r="FJ184">
        <v>0</v>
      </c>
      <c r="FK184">
        <v>0</v>
      </c>
      <c r="FL184">
        <v>0</v>
      </c>
      <c r="FM184">
        <v>-1</v>
      </c>
      <c r="FN184">
        <v>-1</v>
      </c>
      <c r="FO184">
        <v>-1</v>
      </c>
      <c r="FP184">
        <v>-1</v>
      </c>
      <c r="FQ184">
        <v>0.7</v>
      </c>
      <c r="FR184">
        <v>168.2</v>
      </c>
      <c r="FS184">
        <v>0.142822</v>
      </c>
      <c r="FT184">
        <v>4.99756</v>
      </c>
      <c r="FU184">
        <v>1.5979000000000001</v>
      </c>
      <c r="FV184">
        <v>2.1520999999999999</v>
      </c>
      <c r="FW184">
        <v>1.5478499999999999</v>
      </c>
      <c r="FX184">
        <v>2.4157700000000002</v>
      </c>
      <c r="FY184">
        <v>34.6235</v>
      </c>
      <c r="FZ184">
        <v>15.4892</v>
      </c>
      <c r="GA184">
        <v>3</v>
      </c>
      <c r="GB184">
        <v>498.50799999999998</v>
      </c>
      <c r="GC184">
        <v>405.28899999999999</v>
      </c>
      <c r="GD184">
        <v>28.008600000000001</v>
      </c>
      <c r="GE184">
        <v>29.736000000000001</v>
      </c>
      <c r="GF184">
        <v>30</v>
      </c>
      <c r="GG184">
        <v>30.036200000000001</v>
      </c>
      <c r="GH184">
        <v>30.0898</v>
      </c>
      <c r="GI184">
        <v>-1</v>
      </c>
      <c r="GJ184">
        <v>0</v>
      </c>
      <c r="GK184">
        <v>100</v>
      </c>
      <c r="GL184">
        <v>27.988700000000001</v>
      </c>
      <c r="GM184">
        <v>432.1</v>
      </c>
      <c r="GN184">
        <v>68.912800000000004</v>
      </c>
      <c r="GO184">
        <v>102.21</v>
      </c>
      <c r="GP184">
        <v>96.518600000000006</v>
      </c>
    </row>
    <row r="185" spans="1:198" x14ac:dyDescent="0.35">
      <c r="A185">
        <v>169</v>
      </c>
      <c r="B185">
        <v>1775491120</v>
      </c>
      <c r="C185">
        <v>10081.5</v>
      </c>
      <c r="D185" t="s">
        <v>838</v>
      </c>
      <c r="E185" t="s">
        <v>839</v>
      </c>
      <c r="F185">
        <v>60</v>
      </c>
      <c r="G185">
        <v>1775491112</v>
      </c>
      <c r="H185">
        <f t="shared" si="60"/>
        <v>2.098619808850846E-3</v>
      </c>
      <c r="I185">
        <f t="shared" si="61"/>
        <v>2.0986198088508461</v>
      </c>
      <c r="J185">
        <f t="shared" si="62"/>
        <v>0.84731546518168466</v>
      </c>
      <c r="K185">
        <f t="shared" si="63"/>
        <v>31.43202258064516</v>
      </c>
      <c r="L185">
        <f t="shared" si="64"/>
        <v>5.9046125575582877</v>
      </c>
      <c r="M185">
        <f t="shared" si="65"/>
        <v>0.59219411510702979</v>
      </c>
      <c r="N185">
        <f t="shared" si="66"/>
        <v>3.1524267878241039</v>
      </c>
      <c r="O185">
        <f t="shared" si="67"/>
        <v>5.6183204580906219E-2</v>
      </c>
      <c r="P185">
        <f t="shared" si="68"/>
        <v>2.3936824109237382</v>
      </c>
      <c r="Q185">
        <f t="shared" si="69"/>
        <v>5.5460759749955665E-2</v>
      </c>
      <c r="R185">
        <f t="shared" si="70"/>
        <v>3.4727109621711695E-2</v>
      </c>
      <c r="S185">
        <f t="shared" si="71"/>
        <v>0</v>
      </c>
      <c r="T185">
        <f t="shared" si="72"/>
        <v>26.638534691854666</v>
      </c>
      <c r="U185">
        <f t="shared" si="73"/>
        <v>27.367522580645161</v>
      </c>
      <c r="V185">
        <f t="shared" si="74"/>
        <v>3.657149419927157</v>
      </c>
      <c r="W185">
        <f t="shared" si="75"/>
        <v>-1.9237381970170588</v>
      </c>
      <c r="X185">
        <f t="shared" si="76"/>
        <v>-7.0060732038808193E-2</v>
      </c>
      <c r="Y185">
        <f t="shared" si="77"/>
        <v>3.6419057513877982</v>
      </c>
      <c r="Z185">
        <f t="shared" si="78"/>
        <v>3.7272101519659651</v>
      </c>
      <c r="AA185">
        <f t="shared" si="79"/>
        <v>-92.549133570322311</v>
      </c>
      <c r="AB185">
        <f t="shared" si="80"/>
        <v>-9.2003045285480365</v>
      </c>
      <c r="AC185">
        <f t="shared" si="81"/>
        <v>-0.83224496014034954</v>
      </c>
      <c r="AD185">
        <f t="shared" si="82"/>
        <v>-102.58168305901069</v>
      </c>
      <c r="AE185">
        <v>13</v>
      </c>
      <c r="AF185">
        <v>3</v>
      </c>
      <c r="AG185">
        <f t="shared" si="83"/>
        <v>1</v>
      </c>
      <c r="AH185">
        <f t="shared" si="84"/>
        <v>0</v>
      </c>
      <c r="AI185">
        <f t="shared" si="85"/>
        <v>25573.618698125636</v>
      </c>
      <c r="AJ185">
        <f t="shared" si="86"/>
        <v>0</v>
      </c>
      <c r="AK185">
        <f t="shared" si="87"/>
        <v>0</v>
      </c>
      <c r="AL185">
        <f t="shared" si="88"/>
        <v>0</v>
      </c>
      <c r="AM185">
        <f t="shared" si="89"/>
        <v>0</v>
      </c>
      <c r="AN185">
        <v>3</v>
      </c>
      <c r="AO185">
        <v>0.5</v>
      </c>
      <c r="AP185" t="s">
        <v>331</v>
      </c>
      <c r="AQ185">
        <v>2</v>
      </c>
      <c r="AR185">
        <v>1775491112</v>
      </c>
      <c r="AS185">
        <v>31.43202258064516</v>
      </c>
      <c r="AT185">
        <v>31.980016129032261</v>
      </c>
      <c r="AU185">
        <v>-0.69855722580645152</v>
      </c>
      <c r="AV185">
        <v>-1.958668387096774</v>
      </c>
      <c r="AW185">
        <v>23.424022580645161</v>
      </c>
      <c r="AX185">
        <v>0.29071377419354838</v>
      </c>
      <c r="AY185">
        <v>499.97632258064522</v>
      </c>
      <c r="AZ185">
        <v>100.25187096774189</v>
      </c>
      <c r="BA185">
        <v>4.1604570967741943E-2</v>
      </c>
      <c r="BB185">
        <v>27.296229032258061</v>
      </c>
      <c r="BC185">
        <v>27.367522580645161</v>
      </c>
      <c r="BD185">
        <v>999.90000000000032</v>
      </c>
      <c r="BE185">
        <v>0</v>
      </c>
      <c r="BF185">
        <v>0</v>
      </c>
      <c r="BG185">
        <v>5001.9677419354839</v>
      </c>
      <c r="BH185">
        <v>0.38016125806451612</v>
      </c>
      <c r="BI185">
        <v>0.23331922580645159</v>
      </c>
      <c r="BJ185">
        <v>-0.5465827096774194</v>
      </c>
      <c r="BK185">
        <v>31.411487096774191</v>
      </c>
      <c r="BL185">
        <v>31.917496774193548</v>
      </c>
      <c r="BM185">
        <v>1.2601116129032259</v>
      </c>
      <c r="BN185">
        <v>31.980016129032261</v>
      </c>
      <c r="BO185">
        <v>-1.958668387096774</v>
      </c>
      <c r="BP185">
        <v>-7.0031651612903228E-2</v>
      </c>
      <c r="BQ185">
        <v>-0.1963602258064516</v>
      </c>
      <c r="BR185">
        <v>-99.900000000000034</v>
      </c>
      <c r="BS185">
        <v>-99.900000000000034</v>
      </c>
      <c r="BT185">
        <v>0</v>
      </c>
      <c r="BU185">
        <v>0</v>
      </c>
      <c r="BV185">
        <v>0</v>
      </c>
      <c r="BW185">
        <v>25</v>
      </c>
      <c r="BX185">
        <v>-1</v>
      </c>
      <c r="BY185">
        <v>1775491136</v>
      </c>
      <c r="BZ185" t="s">
        <v>840</v>
      </c>
      <c r="CA185">
        <v>1775491136</v>
      </c>
      <c r="CB185">
        <v>1775480969.5</v>
      </c>
      <c r="CC185">
        <v>170</v>
      </c>
      <c r="CD185">
        <v>-1E-3</v>
      </c>
      <c r="CE185">
        <v>0.19500000000000001</v>
      </c>
      <c r="CF185">
        <v>8.0079999999999991</v>
      </c>
      <c r="CG185">
        <v>-0.98899999999999999</v>
      </c>
      <c r="CH185">
        <v>32</v>
      </c>
      <c r="CI185">
        <v>-3</v>
      </c>
      <c r="CJ185">
        <v>0.14000000000000001</v>
      </c>
      <c r="CK185">
        <v>0.06</v>
      </c>
      <c r="CL185">
        <v>31.852866666666671</v>
      </c>
      <c r="CM185">
        <v>0.8371051958877751</v>
      </c>
      <c r="CN185">
        <v>0.14075317837342871</v>
      </c>
      <c r="CO185">
        <v>-1</v>
      </c>
      <c r="CP185">
        <v>499.98326666666668</v>
      </c>
      <c r="CQ185">
        <v>1.4630730759460369E-2</v>
      </c>
      <c r="CR185">
        <v>5.6245256590128342E-2</v>
      </c>
      <c r="CS185">
        <v>-1</v>
      </c>
      <c r="CT185">
        <v>0</v>
      </c>
      <c r="CU185">
        <v>0</v>
      </c>
      <c r="CV185" t="s">
        <v>333</v>
      </c>
      <c r="CW185">
        <v>3.16736</v>
      </c>
      <c r="CX185">
        <v>2.6630799999999999</v>
      </c>
      <c r="CY185">
        <v>7.0085499999999997E-3</v>
      </c>
      <c r="CZ185">
        <v>9.5088499999999992E-3</v>
      </c>
      <c r="DA185">
        <v>2.3509899999999999E-3</v>
      </c>
      <c r="DB185">
        <v>-1.8127899999999999E-2</v>
      </c>
      <c r="DC185">
        <v>21425.200000000001</v>
      </c>
      <c r="DD185">
        <v>21757.9</v>
      </c>
      <c r="DE185">
        <v>23103.599999999999</v>
      </c>
      <c r="DF185">
        <v>22319.4</v>
      </c>
      <c r="DG185">
        <v>29724.7</v>
      </c>
      <c r="DH185">
        <v>27100.799999999999</v>
      </c>
      <c r="DI185">
        <v>40606.300000000003</v>
      </c>
      <c r="DJ185">
        <v>36990.800000000003</v>
      </c>
      <c r="DK185">
        <v>2.0897600000000001</v>
      </c>
      <c r="DL185">
        <v>1.8001199999999999</v>
      </c>
      <c r="DM185">
        <v>2.67744E-2</v>
      </c>
      <c r="DN185">
        <v>0</v>
      </c>
      <c r="DO185">
        <v>26.928799999999999</v>
      </c>
      <c r="DP185">
        <v>999.9</v>
      </c>
      <c r="DQ185">
        <v>75.3</v>
      </c>
      <c r="DR185">
        <v>30.3</v>
      </c>
      <c r="DS185">
        <v>32.555599999999998</v>
      </c>
      <c r="DT185">
        <v>30.605599999999999</v>
      </c>
      <c r="DU185">
        <v>10.1442</v>
      </c>
      <c r="DV185">
        <v>1</v>
      </c>
      <c r="DW185">
        <v>0.19651199999999999</v>
      </c>
      <c r="DX185">
        <v>-0.33500200000000002</v>
      </c>
      <c r="DY185">
        <v>20.367799999999999</v>
      </c>
      <c r="DZ185">
        <v>5.2112999999999996</v>
      </c>
      <c r="EA185">
        <v>11.8482</v>
      </c>
      <c r="EB185">
        <v>4.9678399999999998</v>
      </c>
      <c r="EC185">
        <v>3.2923</v>
      </c>
      <c r="ED185">
        <v>894.7</v>
      </c>
      <c r="EE185">
        <v>0</v>
      </c>
      <c r="EF185">
        <v>9102.2000000000007</v>
      </c>
      <c r="EG185">
        <v>111.6</v>
      </c>
      <c r="EH185">
        <v>4.9716100000000001</v>
      </c>
      <c r="EI185">
        <v>1.8717999999999999</v>
      </c>
      <c r="EJ185">
        <v>1.8690100000000001</v>
      </c>
      <c r="EK185">
        <v>1.8714599999999999</v>
      </c>
      <c r="EL185">
        <v>1.86917</v>
      </c>
      <c r="EM185">
        <v>1.8681000000000001</v>
      </c>
      <c r="EN185">
        <v>1.8699399999999999</v>
      </c>
      <c r="EO185">
        <v>1.87174</v>
      </c>
      <c r="EP185">
        <v>0</v>
      </c>
      <c r="EQ185">
        <v>0</v>
      </c>
      <c r="ER185">
        <v>0</v>
      </c>
      <c r="ES185">
        <v>0</v>
      </c>
      <c r="ET185" t="s">
        <v>334</v>
      </c>
      <c r="EU185" t="s">
        <v>335</v>
      </c>
      <c r="EV185" t="s">
        <v>336</v>
      </c>
      <c r="EW185" t="s">
        <v>336</v>
      </c>
      <c r="EX185" t="s">
        <v>336</v>
      </c>
      <c r="EY185" t="s">
        <v>336</v>
      </c>
      <c r="EZ185">
        <v>0</v>
      </c>
      <c r="FA185">
        <v>100</v>
      </c>
      <c r="FB185">
        <v>100</v>
      </c>
      <c r="FC185">
        <v>8.0079999999999991</v>
      </c>
      <c r="FD185">
        <v>-0.98929999999999996</v>
      </c>
      <c r="FE185">
        <v>8.0094050000000081</v>
      </c>
      <c r="FF185">
        <v>0</v>
      </c>
      <c r="FG185">
        <v>0</v>
      </c>
      <c r="FH185">
        <v>0</v>
      </c>
      <c r="FI185">
        <v>-0.98927100000000023</v>
      </c>
      <c r="FJ185">
        <v>0</v>
      </c>
      <c r="FK185">
        <v>0</v>
      </c>
      <c r="FL185">
        <v>0</v>
      </c>
      <c r="FM185">
        <v>-1</v>
      </c>
      <c r="FN185">
        <v>-1</v>
      </c>
      <c r="FO185">
        <v>-1</v>
      </c>
      <c r="FP185">
        <v>-1</v>
      </c>
      <c r="FQ185">
        <v>0.7</v>
      </c>
      <c r="FR185">
        <v>169.2</v>
      </c>
      <c r="FS185">
        <v>0.142822</v>
      </c>
      <c r="FT185">
        <v>4.99756</v>
      </c>
      <c r="FU185">
        <v>1.5979000000000001</v>
      </c>
      <c r="FV185">
        <v>2.1520999999999999</v>
      </c>
      <c r="FW185">
        <v>1.5478499999999999</v>
      </c>
      <c r="FX185">
        <v>2.2997999999999998</v>
      </c>
      <c r="FY185">
        <v>34.6235</v>
      </c>
      <c r="FZ185">
        <v>15.4717</v>
      </c>
      <c r="GA185">
        <v>3</v>
      </c>
      <c r="GB185">
        <v>498.53500000000003</v>
      </c>
      <c r="GC185">
        <v>405.12400000000002</v>
      </c>
      <c r="GD185">
        <v>28.0002</v>
      </c>
      <c r="GE185">
        <v>29.728300000000001</v>
      </c>
      <c r="GF185">
        <v>30</v>
      </c>
      <c r="GG185">
        <v>30.0291</v>
      </c>
      <c r="GH185">
        <v>30.082100000000001</v>
      </c>
      <c r="GI185">
        <v>-1</v>
      </c>
      <c r="GJ185">
        <v>0</v>
      </c>
      <c r="GK185">
        <v>100</v>
      </c>
      <c r="GL185">
        <v>28.002700000000001</v>
      </c>
      <c r="GM185">
        <v>432.1</v>
      </c>
      <c r="GN185">
        <v>68.912800000000004</v>
      </c>
      <c r="GO185">
        <v>102.21</v>
      </c>
      <c r="GP185">
        <v>96.520899999999997</v>
      </c>
    </row>
    <row r="186" spans="1:198" x14ac:dyDescent="0.35">
      <c r="A186">
        <v>170</v>
      </c>
      <c r="B186">
        <v>1775491180</v>
      </c>
      <c r="C186">
        <v>10141.5</v>
      </c>
      <c r="D186" t="s">
        <v>841</v>
      </c>
      <c r="E186" t="s">
        <v>842</v>
      </c>
      <c r="F186">
        <v>60</v>
      </c>
      <c r="G186">
        <v>1775491172</v>
      </c>
      <c r="H186">
        <f t="shared" si="60"/>
        <v>2.1150088045789692E-3</v>
      </c>
      <c r="I186">
        <f t="shared" si="61"/>
        <v>2.1150088045789692</v>
      </c>
      <c r="J186">
        <f t="shared" si="62"/>
        <v>0.65676736109694356</v>
      </c>
      <c r="K186">
        <f t="shared" si="63"/>
        <v>31.27674838709677</v>
      </c>
      <c r="L186">
        <f t="shared" si="64"/>
        <v>11.223583677989447</v>
      </c>
      <c r="M186">
        <f t="shared" si="65"/>
        <v>1.1256713794790458</v>
      </c>
      <c r="N186">
        <f t="shared" si="66"/>
        <v>3.1369072047431077</v>
      </c>
      <c r="O186">
        <f t="shared" si="67"/>
        <v>5.6618482350276833E-2</v>
      </c>
      <c r="P186">
        <f t="shared" si="68"/>
        <v>2.3899644655279055</v>
      </c>
      <c r="Q186">
        <f t="shared" si="69"/>
        <v>5.5883753478655498E-2</v>
      </c>
      <c r="R186">
        <f t="shared" si="70"/>
        <v>3.4992563993445316E-2</v>
      </c>
      <c r="S186">
        <f t="shared" si="71"/>
        <v>0</v>
      </c>
      <c r="T186">
        <f t="shared" si="72"/>
        <v>26.637959238867445</v>
      </c>
      <c r="U186">
        <f t="shared" si="73"/>
        <v>27.3680129032258</v>
      </c>
      <c r="V186">
        <f t="shared" si="74"/>
        <v>3.6572544510206275</v>
      </c>
      <c r="W186">
        <f t="shared" si="75"/>
        <v>-1.9408208415438899</v>
      </c>
      <c r="X186">
        <f t="shared" si="76"/>
        <v>-7.070566461370896E-2</v>
      </c>
      <c r="Y186">
        <f t="shared" si="77"/>
        <v>3.6430804482429102</v>
      </c>
      <c r="Z186">
        <f t="shared" si="78"/>
        <v>3.7279601156343363</v>
      </c>
      <c r="AA186">
        <f t="shared" si="79"/>
        <v>-93.271888281932547</v>
      </c>
      <c r="AB186">
        <f t="shared" si="80"/>
        <v>-8.5401129431096638</v>
      </c>
      <c r="AC186">
        <f t="shared" si="81"/>
        <v>-0.773750013783288</v>
      </c>
      <c r="AD186">
        <f t="shared" si="82"/>
        <v>-102.58575123882549</v>
      </c>
      <c r="AE186">
        <v>13</v>
      </c>
      <c r="AF186">
        <v>3</v>
      </c>
      <c r="AG186">
        <f t="shared" si="83"/>
        <v>1</v>
      </c>
      <c r="AH186">
        <f t="shared" si="84"/>
        <v>0</v>
      </c>
      <c r="AI186">
        <f t="shared" si="85"/>
        <v>25516.556431496061</v>
      </c>
      <c r="AJ186">
        <f t="shared" si="86"/>
        <v>0</v>
      </c>
      <c r="AK186">
        <f t="shared" si="87"/>
        <v>0</v>
      </c>
      <c r="AL186">
        <f t="shared" si="88"/>
        <v>0</v>
      </c>
      <c r="AM186">
        <f t="shared" si="89"/>
        <v>0</v>
      </c>
      <c r="AN186">
        <v>3</v>
      </c>
      <c r="AO186">
        <v>0.5</v>
      </c>
      <c r="AP186" t="s">
        <v>331</v>
      </c>
      <c r="AQ186">
        <v>2</v>
      </c>
      <c r="AR186">
        <v>1775491172</v>
      </c>
      <c r="AS186">
        <v>31.27674838709677</v>
      </c>
      <c r="AT186">
        <v>31.710512903225801</v>
      </c>
      <c r="AU186">
        <v>-0.70497567741935474</v>
      </c>
      <c r="AV186">
        <v>-1.974915806451613</v>
      </c>
      <c r="AW186">
        <v>23.262748387096771</v>
      </c>
      <c r="AX186">
        <v>0.28429532258064522</v>
      </c>
      <c r="AY186">
        <v>499.9841612903225</v>
      </c>
      <c r="AZ186">
        <v>100.25351612903221</v>
      </c>
      <c r="BA186">
        <v>4.1666922580645173E-2</v>
      </c>
      <c r="BB186">
        <v>27.301732258064511</v>
      </c>
      <c r="BC186">
        <v>27.3680129032258</v>
      </c>
      <c r="BD186">
        <v>999.90000000000032</v>
      </c>
      <c r="BE186">
        <v>0</v>
      </c>
      <c r="BF186">
        <v>0</v>
      </c>
      <c r="BG186">
        <v>4992.322580645161</v>
      </c>
      <c r="BH186">
        <v>0.38731325806451611</v>
      </c>
      <c r="BI186">
        <v>0.22961599999999999</v>
      </c>
      <c r="BJ186">
        <v>-0.43934132258064518</v>
      </c>
      <c r="BK186">
        <v>31.24913225806452</v>
      </c>
      <c r="BL186">
        <v>31.64799677419354</v>
      </c>
      <c r="BM186">
        <v>1.26994064516129</v>
      </c>
      <c r="BN186">
        <v>31.710512903225801</v>
      </c>
      <c r="BO186">
        <v>-1.974915806451613</v>
      </c>
      <c r="BP186">
        <v>-7.0676264516129045E-2</v>
      </c>
      <c r="BQ186">
        <v>-0.19799225806451609</v>
      </c>
      <c r="BR186">
        <v>-99.900000000000034</v>
      </c>
      <c r="BS186">
        <v>-99.900000000000034</v>
      </c>
      <c r="BT186">
        <v>0</v>
      </c>
      <c r="BU186">
        <v>0</v>
      </c>
      <c r="BV186">
        <v>0</v>
      </c>
      <c r="BW186">
        <v>25</v>
      </c>
      <c r="BX186">
        <v>-1</v>
      </c>
      <c r="BY186">
        <v>1775491200</v>
      </c>
      <c r="BZ186" t="s">
        <v>843</v>
      </c>
      <c r="CA186">
        <v>1775491200</v>
      </c>
      <c r="CB186">
        <v>1775480969.5</v>
      </c>
      <c r="CC186">
        <v>171</v>
      </c>
      <c r="CD186">
        <v>6.0000000000000001E-3</v>
      </c>
      <c r="CE186">
        <v>0.19500000000000001</v>
      </c>
      <c r="CF186">
        <v>8.0139999999999993</v>
      </c>
      <c r="CG186">
        <v>-0.98899999999999999</v>
      </c>
      <c r="CH186">
        <v>32</v>
      </c>
      <c r="CI186">
        <v>-3</v>
      </c>
      <c r="CJ186">
        <v>0.28999999999999998</v>
      </c>
      <c r="CK186">
        <v>0.06</v>
      </c>
      <c r="CL186">
        <v>31.722860000000001</v>
      </c>
      <c r="CM186">
        <v>-0.1033553764934072</v>
      </c>
      <c r="CN186">
        <v>0.1227109641936423</v>
      </c>
      <c r="CO186">
        <v>-1</v>
      </c>
      <c r="CP186">
        <v>499.99873333333329</v>
      </c>
      <c r="CQ186">
        <v>-3.7003612113493553E-2</v>
      </c>
      <c r="CR186">
        <v>5.4034824162032008E-2</v>
      </c>
      <c r="CS186">
        <v>-1</v>
      </c>
      <c r="CT186">
        <v>0</v>
      </c>
      <c r="CU186">
        <v>0</v>
      </c>
      <c r="CV186" t="s">
        <v>333</v>
      </c>
      <c r="CW186">
        <v>3.1673200000000001</v>
      </c>
      <c r="CX186">
        <v>2.6631900000000002</v>
      </c>
      <c r="CY186">
        <v>6.9609099999999998E-3</v>
      </c>
      <c r="CZ186">
        <v>9.4645800000000002E-3</v>
      </c>
      <c r="DA186">
        <v>2.3079900000000002E-3</v>
      </c>
      <c r="DB186">
        <v>-1.8347700000000002E-2</v>
      </c>
      <c r="DC186">
        <v>21426.7</v>
      </c>
      <c r="DD186">
        <v>21759.4</v>
      </c>
      <c r="DE186">
        <v>23104.1</v>
      </c>
      <c r="DF186">
        <v>22319.9</v>
      </c>
      <c r="DG186">
        <v>29726.6</v>
      </c>
      <c r="DH186">
        <v>27107.200000000001</v>
      </c>
      <c r="DI186">
        <v>40607.199999999997</v>
      </c>
      <c r="DJ186">
        <v>36991.599999999999</v>
      </c>
      <c r="DK186">
        <v>2.0897000000000001</v>
      </c>
      <c r="DL186">
        <v>1.8004599999999999</v>
      </c>
      <c r="DM186">
        <v>2.74241E-2</v>
      </c>
      <c r="DN186">
        <v>0</v>
      </c>
      <c r="DO186">
        <v>26.923999999999999</v>
      </c>
      <c r="DP186">
        <v>999.9</v>
      </c>
      <c r="DQ186">
        <v>75.3</v>
      </c>
      <c r="DR186">
        <v>30.3</v>
      </c>
      <c r="DS186">
        <v>32.556100000000001</v>
      </c>
      <c r="DT186">
        <v>30.575600000000001</v>
      </c>
      <c r="DU186">
        <v>10.2804</v>
      </c>
      <c r="DV186">
        <v>1</v>
      </c>
      <c r="DW186">
        <v>0.19578899999999999</v>
      </c>
      <c r="DX186">
        <v>-0.31839200000000001</v>
      </c>
      <c r="DY186">
        <v>20.367699999999999</v>
      </c>
      <c r="DZ186">
        <v>5.2115400000000003</v>
      </c>
      <c r="EA186">
        <v>11.8482</v>
      </c>
      <c r="EB186">
        <v>4.9676799999999997</v>
      </c>
      <c r="EC186">
        <v>3.2921</v>
      </c>
      <c r="ED186">
        <v>894.7</v>
      </c>
      <c r="EE186">
        <v>0</v>
      </c>
      <c r="EF186">
        <v>9136.1</v>
      </c>
      <c r="EG186">
        <v>111.6</v>
      </c>
      <c r="EH186">
        <v>4.9715999999999996</v>
      </c>
      <c r="EI186">
        <v>1.8717999999999999</v>
      </c>
      <c r="EJ186">
        <v>1.8690100000000001</v>
      </c>
      <c r="EK186">
        <v>1.87144</v>
      </c>
      <c r="EL186">
        <v>1.86917</v>
      </c>
      <c r="EM186">
        <v>1.86808</v>
      </c>
      <c r="EN186">
        <v>1.8699600000000001</v>
      </c>
      <c r="EO186">
        <v>1.87171</v>
      </c>
      <c r="EP186">
        <v>0</v>
      </c>
      <c r="EQ186">
        <v>0</v>
      </c>
      <c r="ER186">
        <v>0</v>
      </c>
      <c r="ES186">
        <v>0</v>
      </c>
      <c r="ET186" t="s">
        <v>334</v>
      </c>
      <c r="EU186" t="s">
        <v>335</v>
      </c>
      <c r="EV186" t="s">
        <v>336</v>
      </c>
      <c r="EW186" t="s">
        <v>336</v>
      </c>
      <c r="EX186" t="s">
        <v>336</v>
      </c>
      <c r="EY186" t="s">
        <v>336</v>
      </c>
      <c r="EZ186">
        <v>0</v>
      </c>
      <c r="FA186">
        <v>100</v>
      </c>
      <c r="FB186">
        <v>100</v>
      </c>
      <c r="FC186">
        <v>8.0139999999999993</v>
      </c>
      <c r="FD186">
        <v>-0.98929999999999996</v>
      </c>
      <c r="FE186">
        <v>8.0084100000000014</v>
      </c>
      <c r="FF186">
        <v>0</v>
      </c>
      <c r="FG186">
        <v>0</v>
      </c>
      <c r="FH186">
        <v>0</v>
      </c>
      <c r="FI186">
        <v>-0.98927100000000023</v>
      </c>
      <c r="FJ186">
        <v>0</v>
      </c>
      <c r="FK186">
        <v>0</v>
      </c>
      <c r="FL186">
        <v>0</v>
      </c>
      <c r="FM186">
        <v>-1</v>
      </c>
      <c r="FN186">
        <v>-1</v>
      </c>
      <c r="FO186">
        <v>-1</v>
      </c>
      <c r="FP186">
        <v>-1</v>
      </c>
      <c r="FQ186">
        <v>0.7</v>
      </c>
      <c r="FR186">
        <v>170.2</v>
      </c>
      <c r="FS186">
        <v>0.142822</v>
      </c>
      <c r="FT186">
        <v>4.99756</v>
      </c>
      <c r="FU186">
        <v>1.5979000000000001</v>
      </c>
      <c r="FV186">
        <v>2.1520999999999999</v>
      </c>
      <c r="FW186">
        <v>1.5478499999999999</v>
      </c>
      <c r="FX186">
        <v>2.36694</v>
      </c>
      <c r="FY186">
        <v>34.6235</v>
      </c>
      <c r="FZ186">
        <v>15.462899999999999</v>
      </c>
      <c r="GA186">
        <v>3</v>
      </c>
      <c r="GB186">
        <v>498.43599999999998</v>
      </c>
      <c r="GC186">
        <v>405.25200000000001</v>
      </c>
      <c r="GD186">
        <v>28.0061</v>
      </c>
      <c r="GE186">
        <v>29.718</v>
      </c>
      <c r="GF186">
        <v>30</v>
      </c>
      <c r="GG186">
        <v>30.020900000000001</v>
      </c>
      <c r="GH186">
        <v>30.071999999999999</v>
      </c>
      <c r="GI186">
        <v>-1</v>
      </c>
      <c r="GJ186">
        <v>0</v>
      </c>
      <c r="GK186">
        <v>100</v>
      </c>
      <c r="GL186">
        <v>28.008500000000002</v>
      </c>
      <c r="GM186">
        <v>432.1</v>
      </c>
      <c r="GN186">
        <v>68.912800000000004</v>
      </c>
      <c r="GO186">
        <v>102.212</v>
      </c>
      <c r="GP186">
        <v>96.523200000000003</v>
      </c>
    </row>
    <row r="187" spans="1:198" x14ac:dyDescent="0.35">
      <c r="A187">
        <v>171</v>
      </c>
      <c r="B187">
        <v>1775491240</v>
      </c>
      <c r="C187">
        <v>10201.5</v>
      </c>
      <c r="D187" t="s">
        <v>844</v>
      </c>
      <c r="E187" t="s">
        <v>845</v>
      </c>
      <c r="F187">
        <v>60</v>
      </c>
      <c r="G187">
        <v>1775491232</v>
      </c>
      <c r="H187">
        <f t="shared" si="60"/>
        <v>2.0865583543173507E-3</v>
      </c>
      <c r="I187">
        <f t="shared" si="61"/>
        <v>2.0865583543173507</v>
      </c>
      <c r="J187">
        <f t="shared" si="62"/>
        <v>0.72648306718360889</v>
      </c>
      <c r="K187">
        <f t="shared" si="63"/>
        <v>31.85307419354838</v>
      </c>
      <c r="L187">
        <f t="shared" si="64"/>
        <v>9.5452000576344052</v>
      </c>
      <c r="M187">
        <f t="shared" si="65"/>
        <v>0.95733832230223159</v>
      </c>
      <c r="N187">
        <f t="shared" si="66"/>
        <v>3.194712360610021</v>
      </c>
      <c r="O187">
        <f t="shared" si="67"/>
        <v>5.5814923255658233E-2</v>
      </c>
      <c r="P187">
        <f t="shared" si="68"/>
        <v>2.3958166369740721</v>
      </c>
      <c r="Q187">
        <f t="shared" si="69"/>
        <v>5.5102480288719537E-2</v>
      </c>
      <c r="R187">
        <f t="shared" si="70"/>
        <v>3.450230263945489E-2</v>
      </c>
      <c r="S187">
        <f t="shared" si="71"/>
        <v>0</v>
      </c>
      <c r="T187">
        <f t="shared" si="72"/>
        <v>26.645111438480061</v>
      </c>
      <c r="U187">
        <f t="shared" si="73"/>
        <v>27.360309677419359</v>
      </c>
      <c r="V187">
        <f t="shared" si="74"/>
        <v>3.6556046614342241</v>
      </c>
      <c r="W187">
        <f t="shared" si="75"/>
        <v>-2.0442451092084206</v>
      </c>
      <c r="X187">
        <f t="shared" si="76"/>
        <v>-7.4459346673764609E-2</v>
      </c>
      <c r="Y187">
        <f t="shared" si="77"/>
        <v>3.6423883974753406</v>
      </c>
      <c r="Z187">
        <f t="shared" si="78"/>
        <v>3.7300640081079885</v>
      </c>
      <c r="AA187">
        <f t="shared" si="79"/>
        <v>-92.017223425395173</v>
      </c>
      <c r="AB187">
        <f t="shared" si="80"/>
        <v>-7.9847898059020395</v>
      </c>
      <c r="AC187">
        <f t="shared" si="81"/>
        <v>-0.72163014931750302</v>
      </c>
      <c r="AD187">
        <f t="shared" si="82"/>
        <v>-100.72364338061472</v>
      </c>
      <c r="AE187">
        <v>13</v>
      </c>
      <c r="AF187">
        <v>3</v>
      </c>
      <c r="AG187">
        <f t="shared" si="83"/>
        <v>1</v>
      </c>
      <c r="AH187">
        <f t="shared" si="84"/>
        <v>0</v>
      </c>
      <c r="AI187">
        <f t="shared" si="85"/>
        <v>25605.810401963477</v>
      </c>
      <c r="AJ187">
        <f t="shared" si="86"/>
        <v>0</v>
      </c>
      <c r="AK187">
        <f t="shared" si="87"/>
        <v>0</v>
      </c>
      <c r="AL187">
        <f t="shared" si="88"/>
        <v>0</v>
      </c>
      <c r="AM187">
        <f t="shared" si="89"/>
        <v>0</v>
      </c>
      <c r="AN187">
        <v>3</v>
      </c>
      <c r="AO187">
        <v>0.5</v>
      </c>
      <c r="AP187" t="s">
        <v>331</v>
      </c>
      <c r="AQ187">
        <v>2</v>
      </c>
      <c r="AR187">
        <v>1775491232</v>
      </c>
      <c r="AS187">
        <v>31.85307419354838</v>
      </c>
      <c r="AT187">
        <v>32.328825806451597</v>
      </c>
      <c r="AU187">
        <v>-0.74240145161290327</v>
      </c>
      <c r="AV187">
        <v>-1.9952232258064519</v>
      </c>
      <c r="AW187">
        <v>23.85607419354838</v>
      </c>
      <c r="AX187">
        <v>0.24686954838709671</v>
      </c>
      <c r="AY187">
        <v>500.01703225806449</v>
      </c>
      <c r="AZ187">
        <v>100.25364516129029</v>
      </c>
      <c r="BA187">
        <v>4.1614919354838707E-2</v>
      </c>
      <c r="BB187">
        <v>27.298490322580651</v>
      </c>
      <c r="BC187">
        <v>27.360309677419359</v>
      </c>
      <c r="BD187">
        <v>999.90000000000032</v>
      </c>
      <c r="BE187">
        <v>0</v>
      </c>
      <c r="BF187">
        <v>0</v>
      </c>
      <c r="BG187">
        <v>5007.3709677419356</v>
      </c>
      <c r="BH187">
        <v>0.37584464516129029</v>
      </c>
      <c r="BI187">
        <v>0.23331922580645159</v>
      </c>
      <c r="BJ187">
        <v>-0.45826858064516129</v>
      </c>
      <c r="BK187">
        <v>31.8469129032258</v>
      </c>
      <c r="BL187">
        <v>32.264441935483873</v>
      </c>
      <c r="BM187">
        <v>1.252821935483871</v>
      </c>
      <c r="BN187">
        <v>32.328825806451597</v>
      </c>
      <c r="BO187">
        <v>-1.9952232258064519</v>
      </c>
      <c r="BP187">
        <v>-7.4428454838709676E-2</v>
      </c>
      <c r="BQ187">
        <v>-0.2000283870967742</v>
      </c>
      <c r="BR187">
        <v>-99.900000000000034</v>
      </c>
      <c r="BS187">
        <v>-99.900000000000034</v>
      </c>
      <c r="BT187">
        <v>0</v>
      </c>
      <c r="BU187">
        <v>0</v>
      </c>
      <c r="BV187">
        <v>0</v>
      </c>
      <c r="BW187">
        <v>25</v>
      </c>
      <c r="BX187">
        <v>-0.98924741935483884</v>
      </c>
      <c r="BY187">
        <v>1775491255.5</v>
      </c>
      <c r="BZ187" t="s">
        <v>846</v>
      </c>
      <c r="CA187">
        <v>1775491255.5</v>
      </c>
      <c r="CB187">
        <v>1775480969.5</v>
      </c>
      <c r="CC187">
        <v>172</v>
      </c>
      <c r="CD187">
        <v>-1.7000000000000001E-2</v>
      </c>
      <c r="CE187">
        <v>0.19500000000000001</v>
      </c>
      <c r="CF187">
        <v>7.9969999999999999</v>
      </c>
      <c r="CG187">
        <v>-0.98899999999999999</v>
      </c>
      <c r="CH187">
        <v>32</v>
      </c>
      <c r="CI187">
        <v>-3</v>
      </c>
      <c r="CJ187">
        <v>0.25</v>
      </c>
      <c r="CK187">
        <v>0.06</v>
      </c>
      <c r="CL187">
        <v>32.296327868852458</v>
      </c>
      <c r="CM187">
        <v>0.19462337387623729</v>
      </c>
      <c r="CN187">
        <v>8.852039337350022E-2</v>
      </c>
      <c r="CO187">
        <v>-1</v>
      </c>
      <c r="CP187">
        <v>500.01557377049193</v>
      </c>
      <c r="CQ187">
        <v>-7.2393442622898624E-2</v>
      </c>
      <c r="CR187">
        <v>8.2048458096097163E-2</v>
      </c>
      <c r="CS187">
        <v>-1</v>
      </c>
      <c r="CT187">
        <v>0</v>
      </c>
      <c r="CU187">
        <v>0</v>
      </c>
      <c r="CV187" t="s">
        <v>333</v>
      </c>
      <c r="CW187">
        <v>3.1674099999999998</v>
      </c>
      <c r="CX187">
        <v>2.6629100000000001</v>
      </c>
      <c r="CY187">
        <v>7.1232600000000002E-3</v>
      </c>
      <c r="CZ187">
        <v>9.6224399999999995E-3</v>
      </c>
      <c r="DA187">
        <v>1.9966300000000001E-3</v>
      </c>
      <c r="DB187">
        <v>-1.8528300000000001E-2</v>
      </c>
      <c r="DC187">
        <v>21424.1</v>
      </c>
      <c r="DD187">
        <v>21756.5</v>
      </c>
      <c r="DE187">
        <v>23104.9</v>
      </c>
      <c r="DF187">
        <v>22320.5</v>
      </c>
      <c r="DG187">
        <v>29737</v>
      </c>
      <c r="DH187">
        <v>27112.799999999999</v>
      </c>
      <c r="DI187">
        <v>40608.699999999997</v>
      </c>
      <c r="DJ187">
        <v>36992.699999999997</v>
      </c>
      <c r="DK187">
        <v>2.0899800000000002</v>
      </c>
      <c r="DL187">
        <v>1.80108</v>
      </c>
      <c r="DM187">
        <v>2.6607499999999999E-2</v>
      </c>
      <c r="DN187">
        <v>0</v>
      </c>
      <c r="DO187">
        <v>26.922000000000001</v>
      </c>
      <c r="DP187">
        <v>999.9</v>
      </c>
      <c r="DQ187">
        <v>75.3</v>
      </c>
      <c r="DR187">
        <v>30.3</v>
      </c>
      <c r="DS187">
        <v>32.5548</v>
      </c>
      <c r="DT187">
        <v>30.755600000000001</v>
      </c>
      <c r="DU187">
        <v>10.1883</v>
      </c>
      <c r="DV187">
        <v>1</v>
      </c>
      <c r="DW187">
        <v>0.19450400000000001</v>
      </c>
      <c r="DX187">
        <v>-0.34714400000000001</v>
      </c>
      <c r="DY187">
        <v>20.367799999999999</v>
      </c>
      <c r="DZ187">
        <v>5.2117800000000001</v>
      </c>
      <c r="EA187">
        <v>11.8483</v>
      </c>
      <c r="EB187">
        <v>4.9678399999999998</v>
      </c>
      <c r="EC187">
        <v>3.2920799999999999</v>
      </c>
      <c r="ED187">
        <v>894.7</v>
      </c>
      <c r="EE187">
        <v>0</v>
      </c>
      <c r="EF187">
        <v>9168.9</v>
      </c>
      <c r="EG187">
        <v>111.7</v>
      </c>
      <c r="EH187">
        <v>4.9715699999999998</v>
      </c>
      <c r="EI187">
        <v>1.8717999999999999</v>
      </c>
      <c r="EJ187">
        <v>1.86897</v>
      </c>
      <c r="EK187">
        <v>1.87138</v>
      </c>
      <c r="EL187">
        <v>1.86913</v>
      </c>
      <c r="EM187">
        <v>1.86809</v>
      </c>
      <c r="EN187">
        <v>1.8699300000000001</v>
      </c>
      <c r="EO187">
        <v>1.8716900000000001</v>
      </c>
      <c r="EP187">
        <v>0</v>
      </c>
      <c r="EQ187">
        <v>0</v>
      </c>
      <c r="ER187">
        <v>0</v>
      </c>
      <c r="ES187">
        <v>0</v>
      </c>
      <c r="ET187" t="s">
        <v>334</v>
      </c>
      <c r="EU187" t="s">
        <v>335</v>
      </c>
      <c r="EV187" t="s">
        <v>336</v>
      </c>
      <c r="EW187" t="s">
        <v>336</v>
      </c>
      <c r="EX187" t="s">
        <v>336</v>
      </c>
      <c r="EY187" t="s">
        <v>336</v>
      </c>
      <c r="EZ187">
        <v>0</v>
      </c>
      <c r="FA187">
        <v>100</v>
      </c>
      <c r="FB187">
        <v>100</v>
      </c>
      <c r="FC187">
        <v>7.9969999999999999</v>
      </c>
      <c r="FD187">
        <v>-0.98929999999999996</v>
      </c>
      <c r="FE187">
        <v>8.0144749999999974</v>
      </c>
      <c r="FF187">
        <v>0</v>
      </c>
      <c r="FG187">
        <v>0</v>
      </c>
      <c r="FH187">
        <v>0</v>
      </c>
      <c r="FI187">
        <v>-0.98927100000000023</v>
      </c>
      <c r="FJ187">
        <v>0</v>
      </c>
      <c r="FK187">
        <v>0</v>
      </c>
      <c r="FL187">
        <v>0</v>
      </c>
      <c r="FM187">
        <v>-1</v>
      </c>
      <c r="FN187">
        <v>-1</v>
      </c>
      <c r="FO187">
        <v>-1</v>
      </c>
      <c r="FP187">
        <v>-1</v>
      </c>
      <c r="FQ187">
        <v>0.7</v>
      </c>
      <c r="FR187">
        <v>171.2</v>
      </c>
      <c r="FS187">
        <v>0.142822</v>
      </c>
      <c r="FT187">
        <v>4.99756</v>
      </c>
      <c r="FU187">
        <v>1.5979000000000001</v>
      </c>
      <c r="FV187">
        <v>2.1533199999999999</v>
      </c>
      <c r="FW187">
        <v>1.5478499999999999</v>
      </c>
      <c r="FX187">
        <v>2.3901400000000002</v>
      </c>
      <c r="FY187">
        <v>34.6235</v>
      </c>
      <c r="FZ187">
        <v>15.462899999999999</v>
      </c>
      <c r="GA187">
        <v>3</v>
      </c>
      <c r="GB187">
        <v>498.505</v>
      </c>
      <c r="GC187">
        <v>405.541</v>
      </c>
      <c r="GD187">
        <v>28.001000000000001</v>
      </c>
      <c r="GE187">
        <v>29.706299999999999</v>
      </c>
      <c r="GF187">
        <v>29.9999</v>
      </c>
      <c r="GG187">
        <v>30.008700000000001</v>
      </c>
      <c r="GH187">
        <v>30.061800000000002</v>
      </c>
      <c r="GI187">
        <v>-1</v>
      </c>
      <c r="GJ187">
        <v>0</v>
      </c>
      <c r="GK187">
        <v>100</v>
      </c>
      <c r="GL187">
        <v>28.0015</v>
      </c>
      <c r="GM187">
        <v>432.1</v>
      </c>
      <c r="GN187">
        <v>68.912800000000004</v>
      </c>
      <c r="GO187">
        <v>102.21599999999999</v>
      </c>
      <c r="GP187">
        <v>96.525800000000004</v>
      </c>
    </row>
    <row r="188" spans="1:198" x14ac:dyDescent="0.35">
      <c r="A188">
        <v>172</v>
      </c>
      <c r="B188">
        <v>1775491300</v>
      </c>
      <c r="C188">
        <v>10261.5</v>
      </c>
      <c r="D188" t="s">
        <v>847</v>
      </c>
      <c r="E188" t="s">
        <v>848</v>
      </c>
      <c r="F188">
        <v>60</v>
      </c>
      <c r="G188">
        <v>1775491292.25</v>
      </c>
      <c r="H188">
        <f t="shared" si="60"/>
        <v>2.1167711129324407E-3</v>
      </c>
      <c r="I188">
        <f t="shared" si="61"/>
        <v>2.1167711129324407</v>
      </c>
      <c r="J188">
        <f t="shared" si="62"/>
        <v>0.41745348786616626</v>
      </c>
      <c r="K188">
        <f t="shared" si="63"/>
        <v>31.891860000000001</v>
      </c>
      <c r="L188">
        <f t="shared" si="64"/>
        <v>18.450033976636416</v>
      </c>
      <c r="M188">
        <f t="shared" si="65"/>
        <v>1.8504717545873883</v>
      </c>
      <c r="N188">
        <f t="shared" si="66"/>
        <v>3.1986383442971977</v>
      </c>
      <c r="O188">
        <f t="shared" si="67"/>
        <v>5.666236247882768E-2</v>
      </c>
      <c r="P188">
        <f t="shared" si="68"/>
        <v>2.3946178047718374</v>
      </c>
      <c r="Q188">
        <f t="shared" si="69"/>
        <v>5.5927912266661294E-2</v>
      </c>
      <c r="R188">
        <f t="shared" si="70"/>
        <v>3.5020139415433291E-2</v>
      </c>
      <c r="S188">
        <f t="shared" si="71"/>
        <v>0</v>
      </c>
      <c r="T188">
        <f t="shared" si="72"/>
        <v>26.633108152319707</v>
      </c>
      <c r="U188">
        <f t="shared" si="73"/>
        <v>27.357510000000001</v>
      </c>
      <c r="V188">
        <f t="shared" si="74"/>
        <v>3.6550052192090638</v>
      </c>
      <c r="W188">
        <f t="shared" si="75"/>
        <v>-2.0113501244167886</v>
      </c>
      <c r="X188">
        <f t="shared" si="76"/>
        <v>-7.3251580180049555E-2</v>
      </c>
      <c r="Y188">
        <f t="shared" si="77"/>
        <v>3.6419109378726189</v>
      </c>
      <c r="Z188">
        <f t="shared" si="78"/>
        <v>3.7282567993891136</v>
      </c>
      <c r="AA188">
        <f t="shared" si="79"/>
        <v>-93.34960608032064</v>
      </c>
      <c r="AB188">
        <f t="shared" si="80"/>
        <v>-7.9081520568831296</v>
      </c>
      <c r="AC188">
        <f t="shared" si="81"/>
        <v>-0.71504378571915739</v>
      </c>
      <c r="AD188">
        <f t="shared" si="82"/>
        <v>-101.97280192292293</v>
      </c>
      <c r="AE188">
        <v>13</v>
      </c>
      <c r="AF188">
        <v>3</v>
      </c>
      <c r="AG188">
        <f t="shared" si="83"/>
        <v>1</v>
      </c>
      <c r="AH188">
        <f t="shared" si="84"/>
        <v>0</v>
      </c>
      <c r="AI188">
        <f t="shared" si="85"/>
        <v>25587.714846090163</v>
      </c>
      <c r="AJ188">
        <f t="shared" si="86"/>
        <v>0</v>
      </c>
      <c r="AK188">
        <f t="shared" si="87"/>
        <v>0</v>
      </c>
      <c r="AL188">
        <f t="shared" si="88"/>
        <v>0</v>
      </c>
      <c r="AM188">
        <f t="shared" si="89"/>
        <v>0</v>
      </c>
      <c r="AN188">
        <v>3</v>
      </c>
      <c r="AO188">
        <v>0.5</v>
      </c>
      <c r="AP188" t="s">
        <v>331</v>
      </c>
      <c r="AQ188">
        <v>2</v>
      </c>
      <c r="AR188">
        <v>1775491292.25</v>
      </c>
      <c r="AS188">
        <v>31.891860000000001</v>
      </c>
      <c r="AT188">
        <v>32.182826666666671</v>
      </c>
      <c r="AU188">
        <v>-0.73035113333333335</v>
      </c>
      <c r="AV188">
        <v>-2.0012973333333339</v>
      </c>
      <c r="AW188">
        <v>23.903860000000002</v>
      </c>
      <c r="AX188">
        <v>0.25891986666666661</v>
      </c>
      <c r="AY188">
        <v>500.01733333333328</v>
      </c>
      <c r="AZ188">
        <v>100.2550333333334</v>
      </c>
      <c r="BA188">
        <v>4.1354030000000007E-2</v>
      </c>
      <c r="BB188">
        <v>27.296253333333329</v>
      </c>
      <c r="BC188">
        <v>27.357510000000001</v>
      </c>
      <c r="BD188">
        <v>999.9000000000002</v>
      </c>
      <c r="BE188">
        <v>0</v>
      </c>
      <c r="BF188">
        <v>0</v>
      </c>
      <c r="BG188">
        <v>5004.2166666666662</v>
      </c>
      <c r="BH188">
        <v>0.37516090000000002</v>
      </c>
      <c r="BI188">
        <v>0.23344266666666669</v>
      </c>
      <c r="BJ188">
        <v>-0.28162346666666671</v>
      </c>
      <c r="BK188">
        <v>31.877926666666671</v>
      </c>
      <c r="BL188">
        <v>32.118546666666667</v>
      </c>
      <c r="BM188">
        <v>1.2709466666666669</v>
      </c>
      <c r="BN188">
        <v>32.182826666666671</v>
      </c>
      <c r="BO188">
        <v>-2.0012973333333339</v>
      </c>
      <c r="BP188">
        <v>-7.3221313333333329E-2</v>
      </c>
      <c r="BQ188">
        <v>-0.20063990000000001</v>
      </c>
      <c r="BR188">
        <v>-99.900000000000034</v>
      </c>
      <c r="BS188">
        <v>-99.900000000000034</v>
      </c>
      <c r="BT188">
        <v>0</v>
      </c>
      <c r="BU188">
        <v>0</v>
      </c>
      <c r="BV188">
        <v>0</v>
      </c>
      <c r="BW188">
        <v>25</v>
      </c>
      <c r="BX188">
        <v>-0.99333336666666672</v>
      </c>
      <c r="BY188">
        <v>1775491316</v>
      </c>
      <c r="BZ188" t="s">
        <v>849</v>
      </c>
      <c r="CA188">
        <v>1775491316</v>
      </c>
      <c r="CB188">
        <v>1775480969.5</v>
      </c>
      <c r="CC188">
        <v>173</v>
      </c>
      <c r="CD188">
        <v>-8.9999999999999993E-3</v>
      </c>
      <c r="CE188">
        <v>0.19500000000000001</v>
      </c>
      <c r="CF188">
        <v>7.9880000000000004</v>
      </c>
      <c r="CG188">
        <v>-0.98899999999999999</v>
      </c>
      <c r="CH188">
        <v>32</v>
      </c>
      <c r="CI188">
        <v>-3</v>
      </c>
      <c r="CJ188">
        <v>0.23</v>
      </c>
      <c r="CK188">
        <v>0.06</v>
      </c>
      <c r="CL188">
        <v>32.338090000000001</v>
      </c>
      <c r="CM188">
        <v>-1.278137704917983</v>
      </c>
      <c r="CN188">
        <v>0.20541124174040071</v>
      </c>
      <c r="CO188">
        <v>-1</v>
      </c>
      <c r="CP188">
        <v>500.00833333333333</v>
      </c>
      <c r="CQ188">
        <v>0.1377582661857418</v>
      </c>
      <c r="CR188">
        <v>5.4974741674906222E-2</v>
      </c>
      <c r="CS188">
        <v>-1</v>
      </c>
      <c r="CT188">
        <v>0</v>
      </c>
      <c r="CU188">
        <v>0</v>
      </c>
      <c r="CV188" t="s">
        <v>333</v>
      </c>
      <c r="CW188">
        <v>3.1675300000000002</v>
      </c>
      <c r="CX188">
        <v>2.66276</v>
      </c>
      <c r="CY188">
        <v>7.0760399999999996E-3</v>
      </c>
      <c r="CZ188">
        <v>9.4889599999999994E-3</v>
      </c>
      <c r="DA188">
        <v>2.1308199999999998E-3</v>
      </c>
      <c r="DB188">
        <v>-1.8584300000000002E-2</v>
      </c>
      <c r="DC188">
        <v>21425.599999999999</v>
      </c>
      <c r="DD188">
        <v>21760.1</v>
      </c>
      <c r="DE188">
        <v>23105.4</v>
      </c>
      <c r="DF188">
        <v>22321.200000000001</v>
      </c>
      <c r="DG188">
        <v>29733.4</v>
      </c>
      <c r="DH188">
        <v>27114.799999999999</v>
      </c>
      <c r="DI188">
        <v>40609.1</v>
      </c>
      <c r="DJ188">
        <v>36993.5</v>
      </c>
      <c r="DK188">
        <v>2.0903200000000002</v>
      </c>
      <c r="DL188">
        <v>1.80104</v>
      </c>
      <c r="DM188">
        <v>2.7373399999999999E-2</v>
      </c>
      <c r="DN188">
        <v>0</v>
      </c>
      <c r="DO188">
        <v>26.907900000000001</v>
      </c>
      <c r="DP188">
        <v>999.9</v>
      </c>
      <c r="DQ188">
        <v>75.3</v>
      </c>
      <c r="DR188">
        <v>30.3</v>
      </c>
      <c r="DS188">
        <v>32.554099999999998</v>
      </c>
      <c r="DT188">
        <v>30.215599999999998</v>
      </c>
      <c r="DU188">
        <v>9.7916600000000003</v>
      </c>
      <c r="DV188">
        <v>1</v>
      </c>
      <c r="DW188">
        <v>0.19292100000000001</v>
      </c>
      <c r="DX188">
        <v>-0.38827499999999998</v>
      </c>
      <c r="DY188">
        <v>20.3675</v>
      </c>
      <c r="DZ188">
        <v>5.2116600000000002</v>
      </c>
      <c r="EA188">
        <v>11.8482</v>
      </c>
      <c r="EB188">
        <v>4.9679200000000003</v>
      </c>
      <c r="EC188">
        <v>3.2920600000000002</v>
      </c>
      <c r="ED188">
        <v>894.7</v>
      </c>
      <c r="EE188">
        <v>0</v>
      </c>
      <c r="EF188">
        <v>9201.7999999999993</v>
      </c>
      <c r="EG188">
        <v>111.7</v>
      </c>
      <c r="EH188">
        <v>4.9715999999999996</v>
      </c>
      <c r="EI188">
        <v>1.8717999999999999</v>
      </c>
      <c r="EJ188">
        <v>1.86904</v>
      </c>
      <c r="EK188">
        <v>1.8714200000000001</v>
      </c>
      <c r="EL188">
        <v>1.86917</v>
      </c>
      <c r="EM188">
        <v>1.86812</v>
      </c>
      <c r="EN188">
        <v>1.86995</v>
      </c>
      <c r="EO188">
        <v>1.87175</v>
      </c>
      <c r="EP188">
        <v>0</v>
      </c>
      <c r="EQ188">
        <v>0</v>
      </c>
      <c r="ER188">
        <v>0</v>
      </c>
      <c r="ES188">
        <v>0</v>
      </c>
      <c r="ET188" t="s">
        <v>334</v>
      </c>
      <c r="EU188" t="s">
        <v>335</v>
      </c>
      <c r="EV188" t="s">
        <v>336</v>
      </c>
      <c r="EW188" t="s">
        <v>336</v>
      </c>
      <c r="EX188" t="s">
        <v>336</v>
      </c>
      <c r="EY188" t="s">
        <v>336</v>
      </c>
      <c r="EZ188">
        <v>0</v>
      </c>
      <c r="FA188">
        <v>100</v>
      </c>
      <c r="FB188">
        <v>100</v>
      </c>
      <c r="FC188">
        <v>7.9880000000000004</v>
      </c>
      <c r="FD188">
        <v>-0.98929999999999996</v>
      </c>
      <c r="FE188">
        <v>7.9973523809523783</v>
      </c>
      <c r="FF188">
        <v>0</v>
      </c>
      <c r="FG188">
        <v>0</v>
      </c>
      <c r="FH188">
        <v>0</v>
      </c>
      <c r="FI188">
        <v>-0.98927100000000023</v>
      </c>
      <c r="FJ188">
        <v>0</v>
      </c>
      <c r="FK188">
        <v>0</v>
      </c>
      <c r="FL188">
        <v>0</v>
      </c>
      <c r="FM188">
        <v>-1</v>
      </c>
      <c r="FN188">
        <v>-1</v>
      </c>
      <c r="FO188">
        <v>-1</v>
      </c>
      <c r="FP188">
        <v>-1</v>
      </c>
      <c r="FQ188">
        <v>0.7</v>
      </c>
      <c r="FR188">
        <v>172.2</v>
      </c>
      <c r="FS188">
        <v>0.142822</v>
      </c>
      <c r="FT188">
        <v>4.99756</v>
      </c>
      <c r="FU188">
        <v>1.5979000000000001</v>
      </c>
      <c r="FV188">
        <v>2.1533199999999999</v>
      </c>
      <c r="FW188">
        <v>1.5478499999999999</v>
      </c>
      <c r="FX188">
        <v>2.4694799999999999</v>
      </c>
      <c r="FY188">
        <v>34.6006</v>
      </c>
      <c r="FZ188">
        <v>15.462899999999999</v>
      </c>
      <c r="GA188">
        <v>3</v>
      </c>
      <c r="GB188">
        <v>498.59899999999999</v>
      </c>
      <c r="GC188">
        <v>405.43200000000002</v>
      </c>
      <c r="GD188">
        <v>28.0334</v>
      </c>
      <c r="GE188">
        <v>29.689900000000002</v>
      </c>
      <c r="GF188">
        <v>30</v>
      </c>
      <c r="GG188">
        <v>29.9953</v>
      </c>
      <c r="GH188">
        <v>30.0488</v>
      </c>
      <c r="GI188">
        <v>-1</v>
      </c>
      <c r="GJ188">
        <v>0</v>
      </c>
      <c r="GK188">
        <v>100</v>
      </c>
      <c r="GL188">
        <v>28.035799999999998</v>
      </c>
      <c r="GM188">
        <v>432.1</v>
      </c>
      <c r="GN188">
        <v>68.912800000000004</v>
      </c>
      <c r="GO188">
        <v>102.217</v>
      </c>
      <c r="GP188">
        <v>96.528199999999998</v>
      </c>
    </row>
    <row r="189" spans="1:198" x14ac:dyDescent="0.35">
      <c r="A189">
        <v>173</v>
      </c>
      <c r="B189">
        <v>1775491360</v>
      </c>
      <c r="C189">
        <v>10321.5</v>
      </c>
      <c r="D189" t="s">
        <v>850</v>
      </c>
      <c r="E189" t="s">
        <v>851</v>
      </c>
      <c r="F189">
        <v>60</v>
      </c>
      <c r="G189">
        <v>1775491352</v>
      </c>
      <c r="H189">
        <f t="shared" si="60"/>
        <v>2.1524577494646895E-3</v>
      </c>
      <c r="I189">
        <f t="shared" si="61"/>
        <v>2.1524577494646895</v>
      </c>
      <c r="J189">
        <f t="shared" si="62"/>
        <v>0.58257937712232677</v>
      </c>
      <c r="K189">
        <f t="shared" si="63"/>
        <v>31.512061290322581</v>
      </c>
      <c r="L189">
        <f t="shared" si="64"/>
        <v>13.777173597722037</v>
      </c>
      <c r="M189">
        <f t="shared" si="65"/>
        <v>1.3818323223380868</v>
      </c>
      <c r="N189">
        <f t="shared" si="66"/>
        <v>3.160618143163004</v>
      </c>
      <c r="O189">
        <f t="shared" si="67"/>
        <v>5.7608328802369185E-2</v>
      </c>
      <c r="P189">
        <f t="shared" si="68"/>
        <v>2.3916180580701738</v>
      </c>
      <c r="Q189">
        <f t="shared" si="69"/>
        <v>5.6848389585887164E-2</v>
      </c>
      <c r="R189">
        <f t="shared" si="70"/>
        <v>3.5597685779920646E-2</v>
      </c>
      <c r="S189">
        <f t="shared" si="71"/>
        <v>0</v>
      </c>
      <c r="T189">
        <f t="shared" si="72"/>
        <v>26.628903598403838</v>
      </c>
      <c r="U189">
        <f t="shared" si="73"/>
        <v>27.363590322580649</v>
      </c>
      <c r="V189">
        <f t="shared" si="74"/>
        <v>3.6563071934054254</v>
      </c>
      <c r="W189">
        <f t="shared" si="75"/>
        <v>-2.0168702214109846</v>
      </c>
      <c r="X189">
        <f t="shared" si="76"/>
        <v>-7.3485969570330809E-2</v>
      </c>
      <c r="Y189">
        <f t="shared" si="77"/>
        <v>3.6435646076880781</v>
      </c>
      <c r="Z189">
        <f t="shared" si="78"/>
        <v>3.7297931629757564</v>
      </c>
      <c r="AA189">
        <f t="shared" si="79"/>
        <v>-94.923386751392812</v>
      </c>
      <c r="AB189">
        <f t="shared" si="80"/>
        <v>-7.6833922231286822</v>
      </c>
      <c r="AC189">
        <f t="shared" si="81"/>
        <v>-0.69564073308871155</v>
      </c>
      <c r="AD189">
        <f t="shared" si="82"/>
        <v>-103.3024197076102</v>
      </c>
      <c r="AE189">
        <v>12</v>
      </c>
      <c r="AF189">
        <v>2</v>
      </c>
      <c r="AG189">
        <f t="shared" si="83"/>
        <v>1</v>
      </c>
      <c r="AH189">
        <f t="shared" si="84"/>
        <v>0</v>
      </c>
      <c r="AI189">
        <f t="shared" si="85"/>
        <v>25541.366005587999</v>
      </c>
      <c r="AJ189">
        <f t="shared" si="86"/>
        <v>0</v>
      </c>
      <c r="AK189">
        <f t="shared" si="87"/>
        <v>0</v>
      </c>
      <c r="AL189">
        <f t="shared" si="88"/>
        <v>0</v>
      </c>
      <c r="AM189">
        <f t="shared" si="89"/>
        <v>0</v>
      </c>
      <c r="AN189">
        <v>3</v>
      </c>
      <c r="AO189">
        <v>0.5</v>
      </c>
      <c r="AP189" t="s">
        <v>331</v>
      </c>
      <c r="AQ189">
        <v>2</v>
      </c>
      <c r="AR189">
        <v>1775491352</v>
      </c>
      <c r="AS189">
        <v>31.512061290322581</v>
      </c>
      <c r="AT189">
        <v>31.90230322580646</v>
      </c>
      <c r="AU189">
        <v>-0.7326713548387096</v>
      </c>
      <c r="AV189">
        <v>-2.0250832258064522</v>
      </c>
      <c r="AW189">
        <v>23.528061290322579</v>
      </c>
      <c r="AX189">
        <v>0.2565996451612903</v>
      </c>
      <c r="AY189">
        <v>500.00348387096773</v>
      </c>
      <c r="AZ189">
        <v>100.2569677419355</v>
      </c>
      <c r="BA189">
        <v>4.1711993548387109E-2</v>
      </c>
      <c r="BB189">
        <v>27.303999999999991</v>
      </c>
      <c r="BC189">
        <v>27.363590322580649</v>
      </c>
      <c r="BD189">
        <v>999.90000000000032</v>
      </c>
      <c r="BE189">
        <v>0</v>
      </c>
      <c r="BF189">
        <v>0</v>
      </c>
      <c r="BG189">
        <v>4996.4032258064517</v>
      </c>
      <c r="BH189">
        <v>0.38194854838709691</v>
      </c>
      <c r="BI189">
        <v>0.23331922580645159</v>
      </c>
      <c r="BJ189">
        <v>-0.38593845161290319</v>
      </c>
      <c r="BK189">
        <v>31.493296774193549</v>
      </c>
      <c r="BL189">
        <v>31.837835483870968</v>
      </c>
      <c r="BM189">
        <v>1.292411935483871</v>
      </c>
      <c r="BN189">
        <v>31.90230322580646</v>
      </c>
      <c r="BO189">
        <v>-2.0250832258064522</v>
      </c>
      <c r="BP189">
        <v>-7.3455396774193549E-2</v>
      </c>
      <c r="BQ189">
        <v>-0.20302877419354839</v>
      </c>
      <c r="BR189">
        <v>-99.900000000000034</v>
      </c>
      <c r="BS189">
        <v>-99.900000000000034</v>
      </c>
      <c r="BT189">
        <v>0</v>
      </c>
      <c r="BU189">
        <v>0</v>
      </c>
      <c r="BV189">
        <v>0</v>
      </c>
      <c r="BW189">
        <v>25</v>
      </c>
      <c r="BX189">
        <v>-1</v>
      </c>
      <c r="BY189">
        <v>1775491380</v>
      </c>
      <c r="BZ189" t="s">
        <v>852</v>
      </c>
      <c r="CA189">
        <v>1775491380</v>
      </c>
      <c r="CB189">
        <v>1775480969.5</v>
      </c>
      <c r="CC189">
        <v>174</v>
      </c>
      <c r="CD189">
        <v>-4.0000000000000001E-3</v>
      </c>
      <c r="CE189">
        <v>0.19500000000000001</v>
      </c>
      <c r="CF189">
        <v>7.984</v>
      </c>
      <c r="CG189">
        <v>-0.98899999999999999</v>
      </c>
      <c r="CH189">
        <v>32</v>
      </c>
      <c r="CI189">
        <v>-3</v>
      </c>
      <c r="CJ189">
        <v>0.37</v>
      </c>
      <c r="CK189">
        <v>0.06</v>
      </c>
      <c r="CL189">
        <v>31.965609836065571</v>
      </c>
      <c r="CM189">
        <v>-0.49991454257015011</v>
      </c>
      <c r="CN189">
        <v>0.119006107716132</v>
      </c>
      <c r="CO189">
        <v>-1</v>
      </c>
      <c r="CP189">
        <v>499.995524590164</v>
      </c>
      <c r="CQ189">
        <v>9.8221047064750724E-2</v>
      </c>
      <c r="CR189">
        <v>5.078711807670333E-2</v>
      </c>
      <c r="CS189">
        <v>-1</v>
      </c>
      <c r="CT189">
        <v>0</v>
      </c>
      <c r="CU189">
        <v>0</v>
      </c>
      <c r="CV189" t="s">
        <v>333</v>
      </c>
      <c r="CW189">
        <v>3.16737</v>
      </c>
      <c r="CX189">
        <v>2.6631100000000001</v>
      </c>
      <c r="CY189">
        <v>6.98279E-3</v>
      </c>
      <c r="CZ189">
        <v>9.4540400000000004E-3</v>
      </c>
      <c r="DA189">
        <v>2.06435E-3</v>
      </c>
      <c r="DB189">
        <v>-1.88743E-2</v>
      </c>
      <c r="DC189">
        <v>21427.9</v>
      </c>
      <c r="DD189">
        <v>21761.3</v>
      </c>
      <c r="DE189">
        <v>23105.7</v>
      </c>
      <c r="DF189">
        <v>22321.599999999999</v>
      </c>
      <c r="DG189">
        <v>29735.9</v>
      </c>
      <c r="DH189">
        <v>27123</v>
      </c>
      <c r="DI189">
        <v>40609.800000000003</v>
      </c>
      <c r="DJ189">
        <v>36994.199999999997</v>
      </c>
      <c r="DK189">
        <v>2.0906400000000001</v>
      </c>
      <c r="DL189">
        <v>1.8025</v>
      </c>
      <c r="DM189">
        <v>2.7313799999999999E-2</v>
      </c>
      <c r="DN189">
        <v>0</v>
      </c>
      <c r="DO189">
        <v>26.917400000000001</v>
      </c>
      <c r="DP189">
        <v>999.9</v>
      </c>
      <c r="DQ189">
        <v>75.3</v>
      </c>
      <c r="DR189">
        <v>30.3</v>
      </c>
      <c r="DS189">
        <v>32.552799999999998</v>
      </c>
      <c r="DT189">
        <v>30.695599999999999</v>
      </c>
      <c r="DU189">
        <v>9.9238800000000005</v>
      </c>
      <c r="DV189">
        <v>1</v>
      </c>
      <c r="DW189">
        <v>0.19156899999999999</v>
      </c>
      <c r="DX189">
        <v>-0.329266</v>
      </c>
      <c r="DY189">
        <v>20.368200000000002</v>
      </c>
      <c r="DZ189">
        <v>5.2111799999999997</v>
      </c>
      <c r="EA189">
        <v>11.8482</v>
      </c>
      <c r="EB189">
        <v>4.9678000000000004</v>
      </c>
      <c r="EC189">
        <v>3.2920799999999999</v>
      </c>
      <c r="ED189">
        <v>894.7</v>
      </c>
      <c r="EE189">
        <v>0</v>
      </c>
      <c r="EF189">
        <v>9229.5</v>
      </c>
      <c r="EG189">
        <v>111.7</v>
      </c>
      <c r="EH189">
        <v>4.9715999999999996</v>
      </c>
      <c r="EI189">
        <v>1.8717999999999999</v>
      </c>
      <c r="EJ189">
        <v>1.869</v>
      </c>
      <c r="EK189">
        <v>1.87141</v>
      </c>
      <c r="EL189">
        <v>1.86911</v>
      </c>
      <c r="EM189">
        <v>1.8681000000000001</v>
      </c>
      <c r="EN189">
        <v>1.8699300000000001</v>
      </c>
      <c r="EO189">
        <v>1.8716999999999999</v>
      </c>
      <c r="EP189">
        <v>0</v>
      </c>
      <c r="EQ189">
        <v>0</v>
      </c>
      <c r="ER189">
        <v>0</v>
      </c>
      <c r="ES189">
        <v>0</v>
      </c>
      <c r="ET189" t="s">
        <v>334</v>
      </c>
      <c r="EU189" t="s">
        <v>335</v>
      </c>
      <c r="EV189" t="s">
        <v>336</v>
      </c>
      <c r="EW189" t="s">
        <v>336</v>
      </c>
      <c r="EX189" t="s">
        <v>336</v>
      </c>
      <c r="EY189" t="s">
        <v>336</v>
      </c>
      <c r="EZ189">
        <v>0</v>
      </c>
      <c r="FA189">
        <v>100</v>
      </c>
      <c r="FB189">
        <v>100</v>
      </c>
      <c r="FC189">
        <v>7.984</v>
      </c>
      <c r="FD189">
        <v>-0.98929999999999996</v>
      </c>
      <c r="FE189">
        <v>7.9883000000000104</v>
      </c>
      <c r="FF189">
        <v>0</v>
      </c>
      <c r="FG189">
        <v>0</v>
      </c>
      <c r="FH189">
        <v>0</v>
      </c>
      <c r="FI189">
        <v>-0.98927100000000023</v>
      </c>
      <c r="FJ189">
        <v>0</v>
      </c>
      <c r="FK189">
        <v>0</v>
      </c>
      <c r="FL189">
        <v>0</v>
      </c>
      <c r="FM189">
        <v>-1</v>
      </c>
      <c r="FN189">
        <v>-1</v>
      </c>
      <c r="FO189">
        <v>-1</v>
      </c>
      <c r="FP189">
        <v>-1</v>
      </c>
      <c r="FQ189">
        <v>0.7</v>
      </c>
      <c r="FR189">
        <v>173.2</v>
      </c>
      <c r="FS189">
        <v>0.142822</v>
      </c>
      <c r="FT189">
        <v>4.99756</v>
      </c>
      <c r="FU189">
        <v>1.5979000000000001</v>
      </c>
      <c r="FV189">
        <v>2.1533199999999999</v>
      </c>
      <c r="FW189">
        <v>1.5478499999999999</v>
      </c>
      <c r="FX189">
        <v>2.36938</v>
      </c>
      <c r="FY189">
        <v>34.6006</v>
      </c>
      <c r="FZ189">
        <v>15.4542</v>
      </c>
      <c r="GA189">
        <v>3</v>
      </c>
      <c r="GB189">
        <v>498.67500000000001</v>
      </c>
      <c r="GC189">
        <v>406.17599999999999</v>
      </c>
      <c r="GD189">
        <v>27.996700000000001</v>
      </c>
      <c r="GE189">
        <v>29.674600000000002</v>
      </c>
      <c r="GF189">
        <v>30</v>
      </c>
      <c r="GG189">
        <v>29.981100000000001</v>
      </c>
      <c r="GH189">
        <v>30.034600000000001</v>
      </c>
      <c r="GI189">
        <v>-1</v>
      </c>
      <c r="GJ189">
        <v>0</v>
      </c>
      <c r="GK189">
        <v>100</v>
      </c>
      <c r="GL189">
        <v>27.995000000000001</v>
      </c>
      <c r="GM189">
        <v>432.1</v>
      </c>
      <c r="GN189">
        <v>68.912800000000004</v>
      </c>
      <c r="GO189">
        <v>102.21899999999999</v>
      </c>
      <c r="GP189">
        <v>96.53</v>
      </c>
    </row>
    <row r="190" spans="1:198" x14ac:dyDescent="0.35">
      <c r="A190">
        <v>174</v>
      </c>
      <c r="B190">
        <v>1775491420</v>
      </c>
      <c r="C190">
        <v>10381.5</v>
      </c>
      <c r="D190" t="s">
        <v>853</v>
      </c>
      <c r="E190" t="s">
        <v>854</v>
      </c>
      <c r="F190">
        <v>60</v>
      </c>
      <c r="G190">
        <v>1775491412</v>
      </c>
      <c r="H190">
        <f t="shared" si="60"/>
        <v>2.1519239656397015E-3</v>
      </c>
      <c r="I190">
        <f t="shared" si="61"/>
        <v>2.1519239656397016</v>
      </c>
      <c r="J190">
        <f t="shared" si="62"/>
        <v>0.79583930724616336</v>
      </c>
      <c r="K190">
        <f t="shared" si="63"/>
        <v>31.635551612903221</v>
      </c>
      <c r="L190">
        <f t="shared" si="64"/>
        <v>8.0728729181923615</v>
      </c>
      <c r="M190">
        <f t="shared" si="65"/>
        <v>0.80970793005549124</v>
      </c>
      <c r="N190">
        <f t="shared" si="66"/>
        <v>3.1730410316409685</v>
      </c>
      <c r="O190">
        <f t="shared" si="67"/>
        <v>5.7592870932102996E-2</v>
      </c>
      <c r="P190">
        <f t="shared" si="68"/>
        <v>2.3940808492302215</v>
      </c>
      <c r="Q190">
        <f t="shared" si="69"/>
        <v>5.6834106817274757E-2</v>
      </c>
      <c r="R190">
        <f t="shared" si="70"/>
        <v>3.5588655827468674E-2</v>
      </c>
      <c r="S190">
        <f t="shared" si="71"/>
        <v>0</v>
      </c>
      <c r="T190">
        <f t="shared" si="72"/>
        <v>26.620102379930447</v>
      </c>
      <c r="U190">
        <f t="shared" si="73"/>
        <v>27.354880645161291</v>
      </c>
      <c r="V190">
        <f t="shared" si="74"/>
        <v>3.6544423230721139</v>
      </c>
      <c r="W190">
        <f t="shared" si="75"/>
        <v>-2.0727715415857886</v>
      </c>
      <c r="X190">
        <f t="shared" si="76"/>
        <v>-7.5480295030152661E-2</v>
      </c>
      <c r="Y190">
        <f t="shared" si="77"/>
        <v>3.6415154065848432</v>
      </c>
      <c r="Z190">
        <f t="shared" si="78"/>
        <v>3.7299226181022664</v>
      </c>
      <c r="AA190">
        <f t="shared" si="79"/>
        <v>-94.89984688471084</v>
      </c>
      <c r="AB190">
        <f t="shared" si="80"/>
        <v>-7.8062179250247636</v>
      </c>
      <c r="AC190">
        <f t="shared" si="81"/>
        <v>-0.70596954722500194</v>
      </c>
      <c r="AD190">
        <f t="shared" si="82"/>
        <v>-103.4120343569606</v>
      </c>
      <c r="AE190">
        <v>13</v>
      </c>
      <c r="AF190">
        <v>3</v>
      </c>
      <c r="AG190">
        <f t="shared" si="83"/>
        <v>1</v>
      </c>
      <c r="AH190">
        <f t="shared" si="84"/>
        <v>0</v>
      </c>
      <c r="AI190">
        <f t="shared" si="85"/>
        <v>25579.568864862689</v>
      </c>
      <c r="AJ190">
        <f t="shared" si="86"/>
        <v>0</v>
      </c>
      <c r="AK190">
        <f t="shared" si="87"/>
        <v>0</v>
      </c>
      <c r="AL190">
        <f t="shared" si="88"/>
        <v>0</v>
      </c>
      <c r="AM190">
        <f t="shared" si="89"/>
        <v>0</v>
      </c>
      <c r="AN190">
        <v>3</v>
      </c>
      <c r="AO190">
        <v>0.5</v>
      </c>
      <c r="AP190" t="s">
        <v>331</v>
      </c>
      <c r="AQ190">
        <v>2</v>
      </c>
      <c r="AR190">
        <v>1775491412</v>
      </c>
      <c r="AS190">
        <v>31.635551612903221</v>
      </c>
      <c r="AT190">
        <v>32.153922580645158</v>
      </c>
      <c r="AU190">
        <v>-0.75254645161290334</v>
      </c>
      <c r="AV190">
        <v>-2.0447248387096781</v>
      </c>
      <c r="AW190">
        <v>23.621551612903229</v>
      </c>
      <c r="AX190">
        <v>0.23672454838709681</v>
      </c>
      <c r="AY190">
        <v>499.9797419354839</v>
      </c>
      <c r="AZ190">
        <v>100.2585161290322</v>
      </c>
      <c r="BA190">
        <v>4.133229677419354E-2</v>
      </c>
      <c r="BB190">
        <v>27.2944</v>
      </c>
      <c r="BC190">
        <v>27.354880645161291</v>
      </c>
      <c r="BD190">
        <v>999.90000000000032</v>
      </c>
      <c r="BE190">
        <v>0</v>
      </c>
      <c r="BF190">
        <v>0</v>
      </c>
      <c r="BG190">
        <v>5002.6612903225796</v>
      </c>
      <c r="BH190">
        <v>0.39221348387096788</v>
      </c>
      <c r="BI190">
        <v>0.23331922580645159</v>
      </c>
      <c r="BJ190">
        <v>-0.5480837419354837</v>
      </c>
      <c r="BK190">
        <v>31.582070967741942</v>
      </c>
      <c r="BL190">
        <v>32.088299999999997</v>
      </c>
      <c r="BM190">
        <v>1.2921780645161289</v>
      </c>
      <c r="BN190">
        <v>32.153922580645158</v>
      </c>
      <c r="BO190">
        <v>-2.0447248387096781</v>
      </c>
      <c r="BP190">
        <v>-7.5449245161290313E-2</v>
      </c>
      <c r="BQ190">
        <v>-0.20500125806451619</v>
      </c>
      <c r="BR190">
        <v>-99.900000000000034</v>
      </c>
      <c r="BS190">
        <v>-99.900000000000034</v>
      </c>
      <c r="BT190">
        <v>0</v>
      </c>
      <c r="BU190">
        <v>0</v>
      </c>
      <c r="BV190">
        <v>0</v>
      </c>
      <c r="BW190">
        <v>25</v>
      </c>
      <c r="BX190">
        <v>-1</v>
      </c>
      <c r="BY190">
        <v>1775491440.5</v>
      </c>
      <c r="BZ190" t="s">
        <v>855</v>
      </c>
      <c r="CA190">
        <v>1775491440.5</v>
      </c>
      <c r="CB190">
        <v>1775480969.5</v>
      </c>
      <c r="CC190">
        <v>175</v>
      </c>
      <c r="CD190">
        <v>0.03</v>
      </c>
      <c r="CE190">
        <v>0.19500000000000001</v>
      </c>
      <c r="CF190">
        <v>8.0139999999999993</v>
      </c>
      <c r="CG190">
        <v>-0.98899999999999999</v>
      </c>
      <c r="CH190">
        <v>32</v>
      </c>
      <c r="CI190">
        <v>-3</v>
      </c>
      <c r="CJ190">
        <v>0.21</v>
      </c>
      <c r="CK190">
        <v>0.06</v>
      </c>
      <c r="CL190">
        <v>32.089734426229512</v>
      </c>
      <c r="CM190">
        <v>0.28821004759385638</v>
      </c>
      <c r="CN190">
        <v>0.11135763812569401</v>
      </c>
      <c r="CO190">
        <v>-1</v>
      </c>
      <c r="CP190">
        <v>499.99872131147532</v>
      </c>
      <c r="CQ190">
        <v>-0.11169328397701329</v>
      </c>
      <c r="CR190">
        <v>8.3905905758956664E-2</v>
      </c>
      <c r="CS190">
        <v>-1</v>
      </c>
      <c r="CT190">
        <v>0</v>
      </c>
      <c r="CU190">
        <v>0</v>
      </c>
      <c r="CV190" t="s">
        <v>333</v>
      </c>
      <c r="CW190">
        <v>3.1674099999999998</v>
      </c>
      <c r="CX190">
        <v>2.6624599999999998</v>
      </c>
      <c r="CY190">
        <v>7.0693300000000004E-3</v>
      </c>
      <c r="CZ190">
        <v>9.5078799999999998E-3</v>
      </c>
      <c r="DA190">
        <v>1.9191099999999999E-3</v>
      </c>
      <c r="DB190">
        <v>-1.9109399999999999E-2</v>
      </c>
      <c r="DC190">
        <v>21426.7</v>
      </c>
      <c r="DD190">
        <v>21760.9</v>
      </c>
      <c r="DE190">
        <v>23106.400000000001</v>
      </c>
      <c r="DF190">
        <v>22322.3</v>
      </c>
      <c r="DG190">
        <v>29741</v>
      </c>
      <c r="DH190">
        <v>27130.1</v>
      </c>
      <c r="DI190">
        <v>40610.9</v>
      </c>
      <c r="DJ190">
        <v>36995.4</v>
      </c>
      <c r="DK190">
        <v>2.09084</v>
      </c>
      <c r="DL190">
        <v>1.80064</v>
      </c>
      <c r="DM190">
        <v>2.7698299999999999E-2</v>
      </c>
      <c r="DN190">
        <v>0</v>
      </c>
      <c r="DO190">
        <v>26.9038</v>
      </c>
      <c r="DP190">
        <v>999.9</v>
      </c>
      <c r="DQ190">
        <v>75.3</v>
      </c>
      <c r="DR190">
        <v>30.3</v>
      </c>
      <c r="DS190">
        <v>32.550199999999997</v>
      </c>
      <c r="DT190">
        <v>30.575600000000001</v>
      </c>
      <c r="DU190">
        <v>10.192299999999999</v>
      </c>
      <c r="DV190">
        <v>1</v>
      </c>
      <c r="DW190">
        <v>0.19036400000000001</v>
      </c>
      <c r="DX190">
        <v>-0.39551199999999997</v>
      </c>
      <c r="DY190">
        <v>20.368200000000002</v>
      </c>
      <c r="DZ190">
        <v>5.2109399999999999</v>
      </c>
      <c r="EA190">
        <v>11.8482</v>
      </c>
      <c r="EB190">
        <v>4.9678399999999998</v>
      </c>
      <c r="EC190">
        <v>3.2921</v>
      </c>
      <c r="ED190">
        <v>894.7</v>
      </c>
      <c r="EE190">
        <v>0</v>
      </c>
      <c r="EF190">
        <v>9262.2999999999993</v>
      </c>
      <c r="EG190">
        <v>111.7</v>
      </c>
      <c r="EH190">
        <v>4.9715999999999996</v>
      </c>
      <c r="EI190">
        <v>1.8717999999999999</v>
      </c>
      <c r="EJ190">
        <v>1.86904</v>
      </c>
      <c r="EK190">
        <v>1.87141</v>
      </c>
      <c r="EL190">
        <v>1.86914</v>
      </c>
      <c r="EM190">
        <v>1.8681300000000001</v>
      </c>
      <c r="EN190">
        <v>1.8699600000000001</v>
      </c>
      <c r="EO190">
        <v>1.8717699999999999</v>
      </c>
      <c r="EP190">
        <v>0</v>
      </c>
      <c r="EQ190">
        <v>0</v>
      </c>
      <c r="ER190">
        <v>0</v>
      </c>
      <c r="ES190">
        <v>0</v>
      </c>
      <c r="ET190" t="s">
        <v>334</v>
      </c>
      <c r="EU190" t="s">
        <v>335</v>
      </c>
      <c r="EV190" t="s">
        <v>336</v>
      </c>
      <c r="EW190" t="s">
        <v>336</v>
      </c>
      <c r="EX190" t="s">
        <v>336</v>
      </c>
      <c r="EY190" t="s">
        <v>336</v>
      </c>
      <c r="EZ190">
        <v>0</v>
      </c>
      <c r="FA190">
        <v>100</v>
      </c>
      <c r="FB190">
        <v>100</v>
      </c>
      <c r="FC190">
        <v>8.0139999999999993</v>
      </c>
      <c r="FD190">
        <v>-0.98929999999999996</v>
      </c>
      <c r="FE190">
        <v>7.9842900000000014</v>
      </c>
      <c r="FF190">
        <v>0</v>
      </c>
      <c r="FG190">
        <v>0</v>
      </c>
      <c r="FH190">
        <v>0</v>
      </c>
      <c r="FI190">
        <v>-0.98927100000000023</v>
      </c>
      <c r="FJ190">
        <v>0</v>
      </c>
      <c r="FK190">
        <v>0</v>
      </c>
      <c r="FL190">
        <v>0</v>
      </c>
      <c r="FM190">
        <v>-1</v>
      </c>
      <c r="FN190">
        <v>-1</v>
      </c>
      <c r="FO190">
        <v>-1</v>
      </c>
      <c r="FP190">
        <v>-1</v>
      </c>
      <c r="FQ190">
        <v>0.7</v>
      </c>
      <c r="FR190">
        <v>174.2</v>
      </c>
      <c r="FS190">
        <v>0.142822</v>
      </c>
      <c r="FT190">
        <v>4.99756</v>
      </c>
      <c r="FU190">
        <v>1.5979000000000001</v>
      </c>
      <c r="FV190">
        <v>2.1533199999999999</v>
      </c>
      <c r="FW190">
        <v>1.5478499999999999</v>
      </c>
      <c r="FX190">
        <v>2.32422</v>
      </c>
      <c r="FY190">
        <v>34.6006</v>
      </c>
      <c r="FZ190">
        <v>15.445399999999999</v>
      </c>
      <c r="GA190">
        <v>3</v>
      </c>
      <c r="GB190">
        <v>498.685</v>
      </c>
      <c r="GC190">
        <v>405.02199999999999</v>
      </c>
      <c r="GD190">
        <v>28.022300000000001</v>
      </c>
      <c r="GE190">
        <v>29.6602</v>
      </c>
      <c r="GF190">
        <v>30</v>
      </c>
      <c r="GG190">
        <v>29.967300000000002</v>
      </c>
      <c r="GH190">
        <v>30.0212</v>
      </c>
      <c r="GI190">
        <v>-1</v>
      </c>
      <c r="GJ190">
        <v>0</v>
      </c>
      <c r="GK190">
        <v>100</v>
      </c>
      <c r="GL190">
        <v>28.0258</v>
      </c>
      <c r="GM190">
        <v>432.1</v>
      </c>
      <c r="GN190">
        <v>68.912800000000004</v>
      </c>
      <c r="GO190">
        <v>102.22199999999999</v>
      </c>
      <c r="GP190">
        <v>96.533199999999994</v>
      </c>
    </row>
    <row r="191" spans="1:198" x14ac:dyDescent="0.35">
      <c r="A191">
        <v>175</v>
      </c>
      <c r="B191">
        <v>1775491480</v>
      </c>
      <c r="C191">
        <v>10441.5</v>
      </c>
      <c r="D191" t="s">
        <v>856</v>
      </c>
      <c r="E191" t="s">
        <v>857</v>
      </c>
      <c r="F191">
        <v>60</v>
      </c>
      <c r="G191">
        <v>1775491472.25</v>
      </c>
      <c r="H191">
        <f t="shared" si="60"/>
        <v>2.1962607603019241E-3</v>
      </c>
      <c r="I191">
        <f t="shared" si="61"/>
        <v>2.1962607603019242</v>
      </c>
      <c r="J191">
        <f t="shared" si="62"/>
        <v>0.50393389449153936</v>
      </c>
      <c r="K191">
        <f t="shared" si="63"/>
        <v>31.665273333333332</v>
      </c>
      <c r="L191">
        <f t="shared" si="64"/>
        <v>16.341991528522559</v>
      </c>
      <c r="M191">
        <f t="shared" si="65"/>
        <v>1.6391082797535288</v>
      </c>
      <c r="N191">
        <f t="shared" si="66"/>
        <v>3.1760395671932957</v>
      </c>
      <c r="O191">
        <f t="shared" si="67"/>
        <v>5.8803163028150668E-2</v>
      </c>
      <c r="P191">
        <f t="shared" si="68"/>
        <v>2.390070942555599</v>
      </c>
      <c r="Q191">
        <f t="shared" si="69"/>
        <v>5.8011102261613524E-2</v>
      </c>
      <c r="R191">
        <f t="shared" si="70"/>
        <v>3.6327213556141415E-2</v>
      </c>
      <c r="S191">
        <f t="shared" si="71"/>
        <v>0</v>
      </c>
      <c r="T191">
        <f t="shared" si="72"/>
        <v>26.611324410883949</v>
      </c>
      <c r="U191">
        <f t="shared" si="73"/>
        <v>27.358650000000001</v>
      </c>
      <c r="V191">
        <f t="shared" si="74"/>
        <v>3.6552492955950586</v>
      </c>
      <c r="W191">
        <f t="shared" si="75"/>
        <v>-2.0387617245855765</v>
      </c>
      <c r="X191">
        <f t="shared" si="76"/>
        <v>-7.4268671228405317E-2</v>
      </c>
      <c r="Y191">
        <f t="shared" si="77"/>
        <v>3.6428323296829634</v>
      </c>
      <c r="Z191">
        <f t="shared" si="78"/>
        <v>3.7295179668234639</v>
      </c>
      <c r="AA191">
        <f t="shared" si="79"/>
        <v>-96.855099529314856</v>
      </c>
      <c r="AB191">
        <f t="shared" si="80"/>
        <v>-7.4838115503671565</v>
      </c>
      <c r="AC191">
        <f t="shared" si="81"/>
        <v>-0.67798130616152796</v>
      </c>
      <c r="AD191">
        <f t="shared" si="82"/>
        <v>-105.01689238584353</v>
      </c>
      <c r="AE191">
        <v>12</v>
      </c>
      <c r="AF191">
        <v>2</v>
      </c>
      <c r="AG191">
        <f t="shared" si="83"/>
        <v>1</v>
      </c>
      <c r="AH191">
        <f t="shared" si="84"/>
        <v>0</v>
      </c>
      <c r="AI191">
        <f t="shared" si="85"/>
        <v>25518.049921387137</v>
      </c>
      <c r="AJ191">
        <f t="shared" si="86"/>
        <v>0</v>
      </c>
      <c r="AK191">
        <f t="shared" si="87"/>
        <v>0</v>
      </c>
      <c r="AL191">
        <f t="shared" si="88"/>
        <v>0</v>
      </c>
      <c r="AM191">
        <f t="shared" si="89"/>
        <v>0</v>
      </c>
      <c r="AN191">
        <v>3</v>
      </c>
      <c r="AO191">
        <v>0.5</v>
      </c>
      <c r="AP191" t="s">
        <v>331</v>
      </c>
      <c r="AQ191">
        <v>2</v>
      </c>
      <c r="AR191">
        <v>1775491472.25</v>
      </c>
      <c r="AS191">
        <v>31.665273333333332</v>
      </c>
      <c r="AT191">
        <v>32.00935333333333</v>
      </c>
      <c r="AU191">
        <v>-0.74046236666666665</v>
      </c>
      <c r="AV191">
        <v>-2.0591659999999998</v>
      </c>
      <c r="AW191">
        <v>23.668273333333332</v>
      </c>
      <c r="AX191">
        <v>0.24880863333333339</v>
      </c>
      <c r="AY191">
        <v>500.01083333333338</v>
      </c>
      <c r="AZ191">
        <v>100.25913333333339</v>
      </c>
      <c r="BA191">
        <v>4.1266216666666647E-2</v>
      </c>
      <c r="BB191">
        <v>27.30056999999999</v>
      </c>
      <c r="BC191">
        <v>27.358650000000001</v>
      </c>
      <c r="BD191">
        <v>999.9000000000002</v>
      </c>
      <c r="BE191">
        <v>0</v>
      </c>
      <c r="BF191">
        <v>0</v>
      </c>
      <c r="BG191">
        <v>4992.3166666666666</v>
      </c>
      <c r="BH191">
        <v>0.40363586666666668</v>
      </c>
      <c r="BI191">
        <v>0.22961599999999999</v>
      </c>
      <c r="BJ191">
        <v>-0.32727053333333328</v>
      </c>
      <c r="BK191">
        <v>31.658629999999999</v>
      </c>
      <c r="BL191">
        <v>31.943576666666669</v>
      </c>
      <c r="BM191">
        <v>1.3187036666666669</v>
      </c>
      <c r="BN191">
        <v>32.00935333333333</v>
      </c>
      <c r="BO191">
        <v>-2.0591659999999998</v>
      </c>
      <c r="BP191">
        <v>-7.4238033333333328E-2</v>
      </c>
      <c r="BQ191">
        <v>-0.20644989999999999</v>
      </c>
      <c r="BR191">
        <v>-99.900000000000034</v>
      </c>
      <c r="BS191">
        <v>-99.900000000000034</v>
      </c>
      <c r="BT191">
        <v>0</v>
      </c>
      <c r="BU191">
        <v>0</v>
      </c>
      <c r="BV191">
        <v>0</v>
      </c>
      <c r="BW191">
        <v>25</v>
      </c>
      <c r="BX191">
        <v>-1</v>
      </c>
      <c r="BY191">
        <v>1775491497</v>
      </c>
      <c r="BZ191" t="s">
        <v>858</v>
      </c>
      <c r="CA191">
        <v>1775491497</v>
      </c>
      <c r="CB191">
        <v>1775480969.5</v>
      </c>
      <c r="CC191">
        <v>176</v>
      </c>
      <c r="CD191">
        <v>-1.7000000000000001E-2</v>
      </c>
      <c r="CE191">
        <v>0.19500000000000001</v>
      </c>
      <c r="CF191">
        <v>7.9969999999999999</v>
      </c>
      <c r="CG191">
        <v>-0.98899999999999999</v>
      </c>
      <c r="CH191">
        <v>33</v>
      </c>
      <c r="CI191">
        <v>-3</v>
      </c>
      <c r="CJ191">
        <v>0.25</v>
      </c>
      <c r="CK191">
        <v>0.06</v>
      </c>
      <c r="CL191">
        <v>32.106789999999997</v>
      </c>
      <c r="CM191">
        <v>-0.59775804390105036</v>
      </c>
      <c r="CN191">
        <v>0.14976224680027539</v>
      </c>
      <c r="CO191">
        <v>-1</v>
      </c>
      <c r="CP191">
        <v>500.01528333333329</v>
      </c>
      <c r="CQ191">
        <v>-0.19277021394798499</v>
      </c>
      <c r="CR191">
        <v>8.5591878833348081E-2</v>
      </c>
      <c r="CS191">
        <v>-1</v>
      </c>
      <c r="CT191">
        <v>0</v>
      </c>
      <c r="CU191">
        <v>0</v>
      </c>
      <c r="CV191" t="s">
        <v>333</v>
      </c>
      <c r="CW191">
        <v>3.1673100000000001</v>
      </c>
      <c r="CX191">
        <v>2.6627000000000001</v>
      </c>
      <c r="CY191">
        <v>7.0228599999999997E-3</v>
      </c>
      <c r="CZ191">
        <v>9.5607699999999997E-3</v>
      </c>
      <c r="DA191">
        <v>2.06521E-3</v>
      </c>
      <c r="DB191">
        <v>-1.9237400000000002E-2</v>
      </c>
      <c r="DC191">
        <v>21428.2</v>
      </c>
      <c r="DD191">
        <v>21760.1</v>
      </c>
      <c r="DE191">
        <v>23106.9</v>
      </c>
      <c r="DF191">
        <v>22322.7</v>
      </c>
      <c r="DG191">
        <v>29737.200000000001</v>
      </c>
      <c r="DH191">
        <v>27134</v>
      </c>
      <c r="DI191">
        <v>40611.699999999997</v>
      </c>
      <c r="DJ191">
        <v>36996.1</v>
      </c>
      <c r="DK191">
        <v>2.0916000000000001</v>
      </c>
      <c r="DL191">
        <v>1.8018000000000001</v>
      </c>
      <c r="DM191">
        <v>2.8455299999999999E-2</v>
      </c>
      <c r="DN191">
        <v>0</v>
      </c>
      <c r="DO191">
        <v>26.8963</v>
      </c>
      <c r="DP191">
        <v>999.9</v>
      </c>
      <c r="DQ191">
        <v>75.3</v>
      </c>
      <c r="DR191">
        <v>30.3</v>
      </c>
      <c r="DS191">
        <v>32.551900000000003</v>
      </c>
      <c r="DT191">
        <v>30.5456</v>
      </c>
      <c r="DU191">
        <v>10.260400000000001</v>
      </c>
      <c r="DV191">
        <v>1</v>
      </c>
      <c r="DW191">
        <v>0.18920500000000001</v>
      </c>
      <c r="DX191">
        <v>-0.314359</v>
      </c>
      <c r="DY191">
        <v>20.368300000000001</v>
      </c>
      <c r="DZ191">
        <v>5.2107000000000001</v>
      </c>
      <c r="EA191">
        <v>11.8482</v>
      </c>
      <c r="EB191">
        <v>4.9677600000000002</v>
      </c>
      <c r="EC191">
        <v>3.2922400000000001</v>
      </c>
      <c r="ED191">
        <v>894.7</v>
      </c>
      <c r="EE191">
        <v>0</v>
      </c>
      <c r="EF191">
        <v>9295</v>
      </c>
      <c r="EG191">
        <v>111.7</v>
      </c>
      <c r="EH191">
        <v>4.9715699999999998</v>
      </c>
      <c r="EI191">
        <v>1.8717999999999999</v>
      </c>
      <c r="EJ191">
        <v>1.8690100000000001</v>
      </c>
      <c r="EK191">
        <v>1.87141</v>
      </c>
      <c r="EL191">
        <v>1.8691800000000001</v>
      </c>
      <c r="EM191">
        <v>1.8681099999999999</v>
      </c>
      <c r="EN191">
        <v>1.86995</v>
      </c>
      <c r="EO191">
        <v>1.87174</v>
      </c>
      <c r="EP191">
        <v>0</v>
      </c>
      <c r="EQ191">
        <v>0</v>
      </c>
      <c r="ER191">
        <v>0</v>
      </c>
      <c r="ES191">
        <v>0</v>
      </c>
      <c r="ET191" t="s">
        <v>334</v>
      </c>
      <c r="EU191" t="s">
        <v>335</v>
      </c>
      <c r="EV191" t="s">
        <v>336</v>
      </c>
      <c r="EW191" t="s">
        <v>336</v>
      </c>
      <c r="EX191" t="s">
        <v>336</v>
      </c>
      <c r="EY191" t="s">
        <v>336</v>
      </c>
      <c r="EZ191">
        <v>0</v>
      </c>
      <c r="FA191">
        <v>100</v>
      </c>
      <c r="FB191">
        <v>100</v>
      </c>
      <c r="FC191">
        <v>7.9969999999999999</v>
      </c>
      <c r="FD191">
        <v>-0.98929999999999996</v>
      </c>
      <c r="FE191">
        <v>8.0138142857142896</v>
      </c>
      <c r="FF191">
        <v>0</v>
      </c>
      <c r="FG191">
        <v>0</v>
      </c>
      <c r="FH191">
        <v>0</v>
      </c>
      <c r="FI191">
        <v>-0.98927100000000023</v>
      </c>
      <c r="FJ191">
        <v>0</v>
      </c>
      <c r="FK191">
        <v>0</v>
      </c>
      <c r="FL191">
        <v>0</v>
      </c>
      <c r="FM191">
        <v>-1</v>
      </c>
      <c r="FN191">
        <v>-1</v>
      </c>
      <c r="FO191">
        <v>-1</v>
      </c>
      <c r="FP191">
        <v>-1</v>
      </c>
      <c r="FQ191">
        <v>0.7</v>
      </c>
      <c r="FR191">
        <v>175.2</v>
      </c>
      <c r="FS191">
        <v>0.142822</v>
      </c>
      <c r="FT191">
        <v>4.99756</v>
      </c>
      <c r="FU191">
        <v>1.5979000000000001</v>
      </c>
      <c r="FV191">
        <v>2.1533199999999999</v>
      </c>
      <c r="FW191">
        <v>1.5478499999999999</v>
      </c>
      <c r="FX191">
        <v>2.4157700000000002</v>
      </c>
      <c r="FY191">
        <v>34.6006</v>
      </c>
      <c r="FZ191">
        <v>15.4367</v>
      </c>
      <c r="GA191">
        <v>3</v>
      </c>
      <c r="GB191">
        <v>499.03199999999998</v>
      </c>
      <c r="GC191">
        <v>405.60300000000001</v>
      </c>
      <c r="GD191">
        <v>28.034199999999998</v>
      </c>
      <c r="GE191">
        <v>29.6464</v>
      </c>
      <c r="GF191">
        <v>30</v>
      </c>
      <c r="GG191">
        <v>29.955100000000002</v>
      </c>
      <c r="GH191">
        <v>30.008600000000001</v>
      </c>
      <c r="GI191">
        <v>-1</v>
      </c>
      <c r="GJ191">
        <v>0</v>
      </c>
      <c r="GK191">
        <v>100</v>
      </c>
      <c r="GL191">
        <v>28.027699999999999</v>
      </c>
      <c r="GM191">
        <v>432.1</v>
      </c>
      <c r="GN191">
        <v>68.912800000000004</v>
      </c>
      <c r="GO191">
        <v>102.224</v>
      </c>
      <c r="GP191">
        <v>96.534899999999993</v>
      </c>
    </row>
    <row r="192" spans="1:198" x14ac:dyDescent="0.35">
      <c r="A192">
        <v>176</v>
      </c>
      <c r="B192">
        <v>1775491540</v>
      </c>
      <c r="C192">
        <v>10501.5</v>
      </c>
      <c r="D192" t="s">
        <v>859</v>
      </c>
      <c r="E192" t="s">
        <v>860</v>
      </c>
      <c r="F192">
        <v>60</v>
      </c>
      <c r="G192">
        <v>1775491532</v>
      </c>
      <c r="H192">
        <f t="shared" si="60"/>
        <v>2.2118577263142941E-3</v>
      </c>
      <c r="I192">
        <f t="shared" si="61"/>
        <v>2.2118577263142942</v>
      </c>
      <c r="J192">
        <f t="shared" si="62"/>
        <v>1.0310625616910063</v>
      </c>
      <c r="K192">
        <f t="shared" si="63"/>
        <v>31.896848387096771</v>
      </c>
      <c r="L192">
        <f t="shared" si="64"/>
        <v>2.6706056045479496</v>
      </c>
      <c r="M192">
        <f t="shared" si="65"/>
        <v>0.26786668946750142</v>
      </c>
      <c r="N192">
        <f t="shared" si="66"/>
        <v>3.1993129825490181</v>
      </c>
      <c r="O192">
        <f t="shared" si="67"/>
        <v>5.9227911579382168E-2</v>
      </c>
      <c r="P192">
        <f t="shared" si="68"/>
        <v>2.3908345250617651</v>
      </c>
      <c r="Q192">
        <f t="shared" si="69"/>
        <v>5.8424704178771929E-2</v>
      </c>
      <c r="R192">
        <f t="shared" si="70"/>
        <v>3.6586697604000747E-2</v>
      </c>
      <c r="S192">
        <f t="shared" si="71"/>
        <v>0</v>
      </c>
      <c r="T192">
        <f t="shared" si="72"/>
        <v>26.605410636818316</v>
      </c>
      <c r="U192">
        <f t="shared" si="73"/>
        <v>27.35885161290323</v>
      </c>
      <c r="V192">
        <f t="shared" si="74"/>
        <v>3.6552924628199168</v>
      </c>
      <c r="W192">
        <f t="shared" si="75"/>
        <v>-2.0363040316826639</v>
      </c>
      <c r="X192">
        <f t="shared" si="76"/>
        <v>-7.4173831451037966E-2</v>
      </c>
      <c r="Y192">
        <f t="shared" si="77"/>
        <v>3.6425715559648393</v>
      </c>
      <c r="Z192">
        <f t="shared" si="78"/>
        <v>3.7294662942709547</v>
      </c>
      <c r="AA192">
        <f t="shared" si="79"/>
        <v>-97.542925730460368</v>
      </c>
      <c r="AB192">
        <f t="shared" si="80"/>
        <v>-7.6696487087122192</v>
      </c>
      <c r="AC192">
        <f t="shared" si="81"/>
        <v>-0.69459141276440872</v>
      </c>
      <c r="AD192">
        <f t="shared" si="82"/>
        <v>-105.90716585193699</v>
      </c>
      <c r="AE192">
        <v>12</v>
      </c>
      <c r="AF192">
        <v>2</v>
      </c>
      <c r="AG192">
        <f t="shared" si="83"/>
        <v>1</v>
      </c>
      <c r="AH192">
        <f t="shared" si="84"/>
        <v>0</v>
      </c>
      <c r="AI192">
        <f t="shared" si="85"/>
        <v>25529.719077825197</v>
      </c>
      <c r="AJ192">
        <f t="shared" si="86"/>
        <v>0</v>
      </c>
      <c r="AK192">
        <f t="shared" si="87"/>
        <v>0</v>
      </c>
      <c r="AL192">
        <f t="shared" si="88"/>
        <v>0</v>
      </c>
      <c r="AM192">
        <f t="shared" si="89"/>
        <v>0</v>
      </c>
      <c r="AN192">
        <v>3</v>
      </c>
      <c r="AO192">
        <v>0.5</v>
      </c>
      <c r="AP192" t="s">
        <v>331</v>
      </c>
      <c r="AQ192">
        <v>2</v>
      </c>
      <c r="AR192">
        <v>1775491532</v>
      </c>
      <c r="AS192">
        <v>31.896848387096771</v>
      </c>
      <c r="AT192">
        <v>32.557812903225809</v>
      </c>
      <c r="AU192">
        <v>-0.73950609677419354</v>
      </c>
      <c r="AV192">
        <v>-2.067594516129033</v>
      </c>
      <c r="AW192">
        <v>23.82884838709677</v>
      </c>
      <c r="AX192">
        <v>0.24976493548387099</v>
      </c>
      <c r="AY192">
        <v>500.00287096774201</v>
      </c>
      <c r="AZ192">
        <v>100.2602258064517</v>
      </c>
      <c r="BA192">
        <v>4.1626706451612913E-2</v>
      </c>
      <c r="BB192">
        <v>27.299348387096771</v>
      </c>
      <c r="BC192">
        <v>27.35885161290323</v>
      </c>
      <c r="BD192">
        <v>999.90000000000032</v>
      </c>
      <c r="BE192">
        <v>0</v>
      </c>
      <c r="BF192">
        <v>0</v>
      </c>
      <c r="BG192">
        <v>4994.2258064516127</v>
      </c>
      <c r="BH192">
        <v>0.36986574193548399</v>
      </c>
      <c r="BI192">
        <v>0.23331922580645159</v>
      </c>
      <c r="BJ192">
        <v>-0.73187367741935472</v>
      </c>
      <c r="BK192">
        <v>31.80242580645162</v>
      </c>
      <c r="BL192">
        <v>32.490645161290317</v>
      </c>
      <c r="BM192">
        <v>1.3280893548387089</v>
      </c>
      <c r="BN192">
        <v>32.557812903225809</v>
      </c>
      <c r="BO192">
        <v>-2.067594516129033</v>
      </c>
      <c r="BP192">
        <v>-7.4142967741935503E-2</v>
      </c>
      <c r="BQ192">
        <v>-0.20729732258064509</v>
      </c>
      <c r="BR192">
        <v>-99.900000000000034</v>
      </c>
      <c r="BS192">
        <v>-99.900000000000034</v>
      </c>
      <c r="BT192">
        <v>0</v>
      </c>
      <c r="BU192">
        <v>0</v>
      </c>
      <c r="BV192">
        <v>0</v>
      </c>
      <c r="BW192">
        <v>25</v>
      </c>
      <c r="BX192">
        <v>-1</v>
      </c>
      <c r="BY192">
        <v>1775491564</v>
      </c>
      <c r="BZ192" t="s">
        <v>861</v>
      </c>
      <c r="CA192">
        <v>1775491564</v>
      </c>
      <c r="CB192">
        <v>1775480969.5</v>
      </c>
      <c r="CC192">
        <v>177</v>
      </c>
      <c r="CD192">
        <v>7.0999999999999994E-2</v>
      </c>
      <c r="CE192">
        <v>0.19500000000000001</v>
      </c>
      <c r="CF192">
        <v>8.0679999999999996</v>
      </c>
      <c r="CG192">
        <v>-0.98899999999999999</v>
      </c>
      <c r="CH192">
        <v>36</v>
      </c>
      <c r="CI192">
        <v>-3</v>
      </c>
      <c r="CJ192">
        <v>0.68</v>
      </c>
      <c r="CK192">
        <v>0.06</v>
      </c>
      <c r="CL192">
        <v>32.29620833333334</v>
      </c>
      <c r="CM192">
        <v>1.7341647124201049</v>
      </c>
      <c r="CN192">
        <v>0.28538558086190863</v>
      </c>
      <c r="CO192">
        <v>-1</v>
      </c>
      <c r="CP192">
        <v>499.99574999999999</v>
      </c>
      <c r="CQ192">
        <v>7.3186996395320702E-3</v>
      </c>
      <c r="CR192">
        <v>4.3183957283539333E-2</v>
      </c>
      <c r="CS192">
        <v>-1</v>
      </c>
      <c r="CT192">
        <v>0</v>
      </c>
      <c r="CU192">
        <v>0</v>
      </c>
      <c r="CV192" t="s">
        <v>333</v>
      </c>
      <c r="CW192">
        <v>3.1674699999999998</v>
      </c>
      <c r="CX192">
        <v>2.66316</v>
      </c>
      <c r="CY192">
        <v>7.16229E-3</v>
      </c>
      <c r="CZ192">
        <v>9.68135E-3</v>
      </c>
      <c r="DA192">
        <v>2.0943400000000001E-3</v>
      </c>
      <c r="DB192">
        <v>-1.9277599999999999E-2</v>
      </c>
      <c r="DC192">
        <v>21425.599999999999</v>
      </c>
      <c r="DD192">
        <v>21757.8</v>
      </c>
      <c r="DE192">
        <v>23107.3</v>
      </c>
      <c r="DF192">
        <v>22323</v>
      </c>
      <c r="DG192">
        <v>29736.799999999999</v>
      </c>
      <c r="DH192">
        <v>27135.5</v>
      </c>
      <c r="DI192">
        <v>40612.199999999997</v>
      </c>
      <c r="DJ192">
        <v>36996.800000000003</v>
      </c>
      <c r="DK192">
        <v>2.0924999999999998</v>
      </c>
      <c r="DL192">
        <v>1.8008599999999999</v>
      </c>
      <c r="DM192">
        <v>2.79546E-2</v>
      </c>
      <c r="DN192">
        <v>0</v>
      </c>
      <c r="DO192">
        <v>26.896699999999999</v>
      </c>
      <c r="DP192">
        <v>999.9</v>
      </c>
      <c r="DQ192">
        <v>75.3</v>
      </c>
      <c r="DR192">
        <v>30.3</v>
      </c>
      <c r="DS192">
        <v>32.555399999999999</v>
      </c>
      <c r="DT192">
        <v>30.8156</v>
      </c>
      <c r="DU192">
        <v>10.036099999999999</v>
      </c>
      <c r="DV192">
        <v>1</v>
      </c>
      <c r="DW192">
        <v>0.188079</v>
      </c>
      <c r="DX192">
        <v>-0.38294600000000001</v>
      </c>
      <c r="DY192">
        <v>20.368099999999998</v>
      </c>
      <c r="DZ192">
        <v>5.2126200000000003</v>
      </c>
      <c r="EA192">
        <v>11.8482</v>
      </c>
      <c r="EB192">
        <v>4.9679599999999997</v>
      </c>
      <c r="EC192">
        <v>3.29216</v>
      </c>
      <c r="ED192">
        <v>894.7</v>
      </c>
      <c r="EE192">
        <v>0</v>
      </c>
      <c r="EF192">
        <v>9321.9</v>
      </c>
      <c r="EG192">
        <v>111.7</v>
      </c>
      <c r="EH192">
        <v>4.9715999999999996</v>
      </c>
      <c r="EI192">
        <v>1.87181</v>
      </c>
      <c r="EJ192">
        <v>1.869</v>
      </c>
      <c r="EK192">
        <v>1.87144</v>
      </c>
      <c r="EL192">
        <v>1.8691800000000001</v>
      </c>
      <c r="EM192">
        <v>1.86812</v>
      </c>
      <c r="EN192">
        <v>1.8699600000000001</v>
      </c>
      <c r="EO192">
        <v>1.8717600000000001</v>
      </c>
      <c r="EP192">
        <v>0</v>
      </c>
      <c r="EQ192">
        <v>0</v>
      </c>
      <c r="ER192">
        <v>0</v>
      </c>
      <c r="ES192">
        <v>0</v>
      </c>
      <c r="ET192" t="s">
        <v>334</v>
      </c>
      <c r="EU192" t="s">
        <v>335</v>
      </c>
      <c r="EV192" t="s">
        <v>336</v>
      </c>
      <c r="EW192" t="s">
        <v>336</v>
      </c>
      <c r="EX192" t="s">
        <v>336</v>
      </c>
      <c r="EY192" t="s">
        <v>336</v>
      </c>
      <c r="EZ192">
        <v>0</v>
      </c>
      <c r="FA192">
        <v>100</v>
      </c>
      <c r="FB192">
        <v>100</v>
      </c>
      <c r="FC192">
        <v>8.0679999999999996</v>
      </c>
      <c r="FD192">
        <v>-0.98929999999999996</v>
      </c>
      <c r="FE192">
        <v>7.9971100000000028</v>
      </c>
      <c r="FF192">
        <v>0</v>
      </c>
      <c r="FG192">
        <v>0</v>
      </c>
      <c r="FH192">
        <v>0</v>
      </c>
      <c r="FI192">
        <v>-0.98927100000000023</v>
      </c>
      <c r="FJ192">
        <v>0</v>
      </c>
      <c r="FK192">
        <v>0</v>
      </c>
      <c r="FL192">
        <v>0</v>
      </c>
      <c r="FM192">
        <v>-1</v>
      </c>
      <c r="FN192">
        <v>-1</v>
      </c>
      <c r="FO192">
        <v>-1</v>
      </c>
      <c r="FP192">
        <v>-1</v>
      </c>
      <c r="FQ192">
        <v>0.7</v>
      </c>
      <c r="FR192">
        <v>176.2</v>
      </c>
      <c r="FS192">
        <v>0.142822</v>
      </c>
      <c r="FT192">
        <v>4.99756</v>
      </c>
      <c r="FU192">
        <v>1.5979000000000001</v>
      </c>
      <c r="FV192">
        <v>2.1533199999999999</v>
      </c>
      <c r="FW192">
        <v>1.5478499999999999</v>
      </c>
      <c r="FX192">
        <v>2.4658199999999999</v>
      </c>
      <c r="FY192">
        <v>34.6006</v>
      </c>
      <c r="FZ192">
        <v>15.4367</v>
      </c>
      <c r="GA192">
        <v>3</v>
      </c>
      <c r="GB192">
        <v>499.452</v>
      </c>
      <c r="GC192">
        <v>404.98099999999999</v>
      </c>
      <c r="GD192">
        <v>28.027799999999999</v>
      </c>
      <c r="GE192">
        <v>29.633600000000001</v>
      </c>
      <c r="GF192">
        <v>30.0001</v>
      </c>
      <c r="GG192">
        <v>29.9419</v>
      </c>
      <c r="GH192">
        <v>29.995899999999999</v>
      </c>
      <c r="GI192">
        <v>-1</v>
      </c>
      <c r="GJ192">
        <v>0</v>
      </c>
      <c r="GK192">
        <v>100</v>
      </c>
      <c r="GL192">
        <v>28.028199999999998</v>
      </c>
      <c r="GM192">
        <v>432.1</v>
      </c>
      <c r="GN192">
        <v>68.912800000000004</v>
      </c>
      <c r="GO192">
        <v>102.22499999999999</v>
      </c>
      <c r="GP192">
        <v>96.536500000000004</v>
      </c>
    </row>
    <row r="193" spans="1:198" x14ac:dyDescent="0.35">
      <c r="A193">
        <v>177</v>
      </c>
      <c r="B193">
        <v>1775491600</v>
      </c>
      <c r="C193">
        <v>10561.5</v>
      </c>
      <c r="D193" t="s">
        <v>862</v>
      </c>
      <c r="E193" t="s">
        <v>863</v>
      </c>
      <c r="F193">
        <v>60</v>
      </c>
      <c r="G193">
        <v>1775491592</v>
      </c>
      <c r="H193">
        <f t="shared" si="60"/>
        <v>2.2099823712540736E-3</v>
      </c>
      <c r="I193">
        <f t="shared" si="61"/>
        <v>2.2099823712540734</v>
      </c>
      <c r="J193">
        <f t="shared" si="62"/>
        <v>0.30160920964753607</v>
      </c>
      <c r="K193">
        <f t="shared" si="63"/>
        <v>32.71148387096774</v>
      </c>
      <c r="L193">
        <f t="shared" si="64"/>
        <v>22.785385724788988</v>
      </c>
      <c r="M193">
        <f t="shared" si="65"/>
        <v>2.2854638683139941</v>
      </c>
      <c r="N193">
        <f t="shared" si="66"/>
        <v>3.2810905801211803</v>
      </c>
      <c r="O193">
        <f t="shared" si="67"/>
        <v>5.9189573188640043E-2</v>
      </c>
      <c r="P193">
        <f t="shared" si="68"/>
        <v>2.3919438080616873</v>
      </c>
      <c r="Q193">
        <f t="shared" si="69"/>
        <v>5.8387764274668762E-2</v>
      </c>
      <c r="R193">
        <f t="shared" si="70"/>
        <v>3.6563487085855412E-2</v>
      </c>
      <c r="S193">
        <f t="shared" si="71"/>
        <v>0</v>
      </c>
      <c r="T193">
        <f t="shared" si="72"/>
        <v>26.605545047498769</v>
      </c>
      <c r="U193">
        <f t="shared" si="73"/>
        <v>27.357861290322582</v>
      </c>
      <c r="V193">
        <f t="shared" si="74"/>
        <v>3.6550804296860795</v>
      </c>
      <c r="W193">
        <f t="shared" si="75"/>
        <v>-2.0221305593861127</v>
      </c>
      <c r="X193">
        <f t="shared" si="76"/>
        <v>-7.3654322273569967E-2</v>
      </c>
      <c r="Y193">
        <f t="shared" si="77"/>
        <v>3.6424118082627794</v>
      </c>
      <c r="Z193">
        <f t="shared" si="78"/>
        <v>3.7287347519596494</v>
      </c>
      <c r="AA193">
        <f t="shared" si="79"/>
        <v>-97.460222572304644</v>
      </c>
      <c r="AB193">
        <f t="shared" si="80"/>
        <v>-7.6420085564958251</v>
      </c>
      <c r="AC193">
        <f t="shared" si="81"/>
        <v>-0.69176125079449657</v>
      </c>
      <c r="AD193">
        <f t="shared" si="82"/>
        <v>-105.79399237959497</v>
      </c>
      <c r="AE193">
        <v>12</v>
      </c>
      <c r="AF193">
        <v>2</v>
      </c>
      <c r="AG193">
        <f t="shared" si="83"/>
        <v>1</v>
      </c>
      <c r="AH193">
        <f t="shared" si="84"/>
        <v>0</v>
      </c>
      <c r="AI193">
        <f t="shared" si="85"/>
        <v>25546.559661631567</v>
      </c>
      <c r="AJ193">
        <f t="shared" si="86"/>
        <v>0</v>
      </c>
      <c r="AK193">
        <f t="shared" si="87"/>
        <v>0</v>
      </c>
      <c r="AL193">
        <f t="shared" si="88"/>
        <v>0</v>
      </c>
      <c r="AM193">
        <f t="shared" si="89"/>
        <v>0</v>
      </c>
      <c r="AN193">
        <v>3</v>
      </c>
      <c r="AO193">
        <v>0.5</v>
      </c>
      <c r="AP193" t="s">
        <v>331</v>
      </c>
      <c r="AQ193">
        <v>2</v>
      </c>
      <c r="AR193">
        <v>1775491592</v>
      </c>
      <c r="AS193">
        <v>32.71148387096774</v>
      </c>
      <c r="AT193">
        <v>32.935819354838713</v>
      </c>
      <c r="AU193">
        <v>-0.73431138709677424</v>
      </c>
      <c r="AV193">
        <v>-2.0612441935483869</v>
      </c>
      <c r="AW193">
        <v>24.73748387096774</v>
      </c>
      <c r="AX193">
        <v>0.25495961290322577</v>
      </c>
      <c r="AY193">
        <v>500.01141935483872</v>
      </c>
      <c r="AZ193">
        <v>100.26245161290321</v>
      </c>
      <c r="BA193">
        <v>4.1484248387096773E-2</v>
      </c>
      <c r="BB193">
        <v>27.29859999999999</v>
      </c>
      <c r="BC193">
        <v>27.357861290322582</v>
      </c>
      <c r="BD193">
        <v>999.90000000000032</v>
      </c>
      <c r="BE193">
        <v>0</v>
      </c>
      <c r="BF193">
        <v>0</v>
      </c>
      <c r="BG193">
        <v>4996.9677419354839</v>
      </c>
      <c r="BH193">
        <v>0.38937629032258059</v>
      </c>
      <c r="BI193">
        <v>0.2325415483870967</v>
      </c>
      <c r="BJ193">
        <v>-0.12988154838709681</v>
      </c>
      <c r="BK193">
        <v>32.781867741935493</v>
      </c>
      <c r="BL193">
        <v>32.868074193548388</v>
      </c>
      <c r="BM193">
        <v>1.326932903225807</v>
      </c>
      <c r="BN193">
        <v>32.935819354838713</v>
      </c>
      <c r="BO193">
        <v>-2.0612441935483869</v>
      </c>
      <c r="BP193">
        <v>-7.3623890322580626E-2</v>
      </c>
      <c r="BQ193">
        <v>-0.2066655161290322</v>
      </c>
      <c r="BR193">
        <v>-99.900000000000034</v>
      </c>
      <c r="BS193">
        <v>-99.900000000000034</v>
      </c>
      <c r="BT193">
        <v>0</v>
      </c>
      <c r="BU193">
        <v>0</v>
      </c>
      <c r="BV193">
        <v>0</v>
      </c>
      <c r="BW193">
        <v>25</v>
      </c>
      <c r="BX193">
        <v>-1</v>
      </c>
      <c r="BY193">
        <v>1775491620</v>
      </c>
      <c r="BZ193" t="s">
        <v>864</v>
      </c>
      <c r="CA193">
        <v>1775491620</v>
      </c>
      <c r="CB193">
        <v>1775480969.5</v>
      </c>
      <c r="CC193">
        <v>178</v>
      </c>
      <c r="CD193">
        <v>-9.5000000000000001E-2</v>
      </c>
      <c r="CE193">
        <v>0.19500000000000001</v>
      </c>
      <c r="CF193">
        <v>7.9740000000000002</v>
      </c>
      <c r="CG193">
        <v>-0.98899999999999999</v>
      </c>
      <c r="CH193">
        <v>34</v>
      </c>
      <c r="CI193">
        <v>-3</v>
      </c>
      <c r="CJ193">
        <v>0.22</v>
      </c>
      <c r="CK193">
        <v>0.06</v>
      </c>
      <c r="CL193">
        <v>33.150565</v>
      </c>
      <c r="CM193">
        <v>-2.417830619616459</v>
      </c>
      <c r="CN193">
        <v>0.48605392938952779</v>
      </c>
      <c r="CO193">
        <v>-1</v>
      </c>
      <c r="CP193">
        <v>500.22525000000002</v>
      </c>
      <c r="CQ193">
        <v>-2.4332859127523121</v>
      </c>
      <c r="CR193">
        <v>0.79833776529736822</v>
      </c>
      <c r="CS193">
        <v>-1</v>
      </c>
      <c r="CT193">
        <v>0</v>
      </c>
      <c r="CU193">
        <v>0</v>
      </c>
      <c r="CV193" t="s">
        <v>333</v>
      </c>
      <c r="CW193">
        <v>3.1673399999999998</v>
      </c>
      <c r="CX193">
        <v>2.6629499999999999</v>
      </c>
      <c r="CY193">
        <v>7.2967199999999996E-3</v>
      </c>
      <c r="CZ193">
        <v>9.7672699999999998E-3</v>
      </c>
      <c r="DA193">
        <v>2.1571099999999998E-3</v>
      </c>
      <c r="DB193">
        <v>-1.9143400000000001E-2</v>
      </c>
      <c r="DC193">
        <v>21423.200000000001</v>
      </c>
      <c r="DD193">
        <v>21756.5</v>
      </c>
      <c r="DE193">
        <v>23107.7</v>
      </c>
      <c r="DF193">
        <v>22323.5</v>
      </c>
      <c r="DG193">
        <v>29735.3</v>
      </c>
      <c r="DH193">
        <v>27132.7</v>
      </c>
      <c r="DI193">
        <v>40612.699999999997</v>
      </c>
      <c r="DJ193">
        <v>36997.699999999997</v>
      </c>
      <c r="DK193">
        <v>2.09206</v>
      </c>
      <c r="DL193">
        <v>1.8024199999999999</v>
      </c>
      <c r="DM193">
        <v>2.8663899999999999E-2</v>
      </c>
      <c r="DN193">
        <v>0</v>
      </c>
      <c r="DO193">
        <v>26.892299999999999</v>
      </c>
      <c r="DP193">
        <v>999.9</v>
      </c>
      <c r="DQ193">
        <v>75.2</v>
      </c>
      <c r="DR193">
        <v>30.3</v>
      </c>
      <c r="DS193">
        <v>32.506700000000002</v>
      </c>
      <c r="DT193">
        <v>30.6356</v>
      </c>
      <c r="DU193">
        <v>9.9318899999999992</v>
      </c>
      <c r="DV193">
        <v>1</v>
      </c>
      <c r="DW193">
        <v>0.18728900000000001</v>
      </c>
      <c r="DX193">
        <v>-0.37927699999999998</v>
      </c>
      <c r="DY193">
        <v>20.367599999999999</v>
      </c>
      <c r="DZ193">
        <v>5.2099799999999998</v>
      </c>
      <c r="EA193">
        <v>11.8482</v>
      </c>
      <c r="EB193">
        <v>4.9675200000000004</v>
      </c>
      <c r="EC193">
        <v>3.29148</v>
      </c>
      <c r="ED193">
        <v>894.7</v>
      </c>
      <c r="EE193">
        <v>0</v>
      </c>
      <c r="EF193">
        <v>9354.5</v>
      </c>
      <c r="EG193">
        <v>111.8</v>
      </c>
      <c r="EH193">
        <v>4.9715999999999996</v>
      </c>
      <c r="EI193">
        <v>1.8717999999999999</v>
      </c>
      <c r="EJ193">
        <v>1.8690100000000001</v>
      </c>
      <c r="EK193">
        <v>1.8714500000000001</v>
      </c>
      <c r="EL193">
        <v>1.8691199999999999</v>
      </c>
      <c r="EM193">
        <v>1.8681300000000001</v>
      </c>
      <c r="EN193">
        <v>1.86995</v>
      </c>
      <c r="EO193">
        <v>1.87178</v>
      </c>
      <c r="EP193">
        <v>0</v>
      </c>
      <c r="EQ193">
        <v>0</v>
      </c>
      <c r="ER193">
        <v>0</v>
      </c>
      <c r="ES193">
        <v>0</v>
      </c>
      <c r="ET193" t="s">
        <v>334</v>
      </c>
      <c r="EU193" t="s">
        <v>335</v>
      </c>
      <c r="EV193" t="s">
        <v>336</v>
      </c>
      <c r="EW193" t="s">
        <v>336</v>
      </c>
      <c r="EX193" t="s">
        <v>336</v>
      </c>
      <c r="EY193" t="s">
        <v>336</v>
      </c>
      <c r="EZ193">
        <v>0</v>
      </c>
      <c r="FA193">
        <v>100</v>
      </c>
      <c r="FB193">
        <v>100</v>
      </c>
      <c r="FC193">
        <v>7.9740000000000002</v>
      </c>
      <c r="FD193">
        <v>-0.98929999999999996</v>
      </c>
      <c r="FE193">
        <v>8.0684449999999899</v>
      </c>
      <c r="FF193">
        <v>0</v>
      </c>
      <c r="FG193">
        <v>0</v>
      </c>
      <c r="FH193">
        <v>0</v>
      </c>
      <c r="FI193">
        <v>-0.98927100000000023</v>
      </c>
      <c r="FJ193">
        <v>0</v>
      </c>
      <c r="FK193">
        <v>0</v>
      </c>
      <c r="FL193">
        <v>0</v>
      </c>
      <c r="FM193">
        <v>-1</v>
      </c>
      <c r="FN193">
        <v>-1</v>
      </c>
      <c r="FO193">
        <v>-1</v>
      </c>
      <c r="FP193">
        <v>-1</v>
      </c>
      <c r="FQ193">
        <v>0.6</v>
      </c>
      <c r="FR193">
        <v>177.2</v>
      </c>
      <c r="FS193">
        <v>0.142822</v>
      </c>
      <c r="FT193">
        <v>4.99756</v>
      </c>
      <c r="FU193">
        <v>1.5979000000000001</v>
      </c>
      <c r="FV193">
        <v>2.1533199999999999</v>
      </c>
      <c r="FW193">
        <v>1.5478499999999999</v>
      </c>
      <c r="FX193">
        <v>2.3535200000000001</v>
      </c>
      <c r="FY193">
        <v>34.6006</v>
      </c>
      <c r="FZ193">
        <v>15.427899999999999</v>
      </c>
      <c r="GA193">
        <v>3</v>
      </c>
      <c r="GB193">
        <v>499.11700000000002</v>
      </c>
      <c r="GC193">
        <v>405.79899999999998</v>
      </c>
      <c r="GD193">
        <v>28.026399999999999</v>
      </c>
      <c r="GE193">
        <v>29.621400000000001</v>
      </c>
      <c r="GF193">
        <v>30</v>
      </c>
      <c r="GG193">
        <v>29.9316</v>
      </c>
      <c r="GH193">
        <v>29.984500000000001</v>
      </c>
      <c r="GI193">
        <v>-1</v>
      </c>
      <c r="GJ193">
        <v>0</v>
      </c>
      <c r="GK193">
        <v>100</v>
      </c>
      <c r="GL193">
        <v>28.026700000000002</v>
      </c>
      <c r="GM193">
        <v>432.1</v>
      </c>
      <c r="GN193">
        <v>68.912800000000004</v>
      </c>
      <c r="GO193">
        <v>102.227</v>
      </c>
      <c r="GP193">
        <v>96.539000000000001</v>
      </c>
    </row>
    <row r="194" spans="1:198" x14ac:dyDescent="0.35">
      <c r="A194">
        <v>178</v>
      </c>
      <c r="B194">
        <v>1775491660</v>
      </c>
      <c r="C194">
        <v>10621.5</v>
      </c>
      <c r="D194" t="s">
        <v>865</v>
      </c>
      <c r="E194" t="s">
        <v>866</v>
      </c>
      <c r="F194">
        <v>60</v>
      </c>
      <c r="G194">
        <v>1775491652</v>
      </c>
      <c r="H194">
        <f t="shared" si="60"/>
        <v>2.2021723469270067E-3</v>
      </c>
      <c r="I194">
        <f t="shared" si="61"/>
        <v>2.2021723469270067</v>
      </c>
      <c r="J194">
        <f t="shared" si="62"/>
        <v>0.67206706129642702</v>
      </c>
      <c r="K194">
        <f t="shared" si="63"/>
        <v>32.33568064516129</v>
      </c>
      <c r="L194">
        <f t="shared" si="64"/>
        <v>12.549449233536635</v>
      </c>
      <c r="M194">
        <f t="shared" si="65"/>
        <v>1.2587625439409478</v>
      </c>
      <c r="N194">
        <f t="shared" si="66"/>
        <v>3.2434047798840773</v>
      </c>
      <c r="O194">
        <f t="shared" si="67"/>
        <v>5.9026984376013308E-2</v>
      </c>
      <c r="P194">
        <f t="shared" si="68"/>
        <v>2.3919701426893942</v>
      </c>
      <c r="Q194">
        <f t="shared" si="69"/>
        <v>5.8229551066513563E-2</v>
      </c>
      <c r="R194">
        <f t="shared" si="70"/>
        <v>3.6464218081270941E-2</v>
      </c>
      <c r="S194">
        <f t="shared" si="71"/>
        <v>0</v>
      </c>
      <c r="T194">
        <f t="shared" si="72"/>
        <v>26.603953782126261</v>
      </c>
      <c r="U194">
        <f t="shared" si="73"/>
        <v>27.35115806451612</v>
      </c>
      <c r="V194">
        <f t="shared" si="74"/>
        <v>3.6536455169376416</v>
      </c>
      <c r="W194">
        <f t="shared" si="75"/>
        <v>-1.977557260506442</v>
      </c>
      <c r="X194">
        <f t="shared" si="76"/>
        <v>-7.2013705772436459E-2</v>
      </c>
      <c r="Y194">
        <f t="shared" si="77"/>
        <v>3.641548450232694</v>
      </c>
      <c r="Z194">
        <f t="shared" si="78"/>
        <v>3.7256592227100782</v>
      </c>
      <c r="AA194">
        <f t="shared" si="79"/>
        <v>-97.115800499480997</v>
      </c>
      <c r="AB194">
        <f t="shared" si="80"/>
        <v>-7.2993196059837082</v>
      </c>
      <c r="AC194">
        <f t="shared" si="81"/>
        <v>-0.6606980046990889</v>
      </c>
      <c r="AD194">
        <f t="shared" si="82"/>
        <v>-105.07581811016379</v>
      </c>
      <c r="AE194">
        <v>12</v>
      </c>
      <c r="AF194">
        <v>2</v>
      </c>
      <c r="AG194">
        <f t="shared" si="83"/>
        <v>1</v>
      </c>
      <c r="AH194">
        <f t="shared" si="84"/>
        <v>0</v>
      </c>
      <c r="AI194">
        <f t="shared" si="85"/>
        <v>25547.301633790496</v>
      </c>
      <c r="AJ194">
        <f t="shared" si="86"/>
        <v>0</v>
      </c>
      <c r="AK194">
        <f t="shared" si="87"/>
        <v>0</v>
      </c>
      <c r="AL194">
        <f t="shared" si="88"/>
        <v>0</v>
      </c>
      <c r="AM194">
        <f t="shared" si="89"/>
        <v>0</v>
      </c>
      <c r="AN194">
        <v>3</v>
      </c>
      <c r="AO194">
        <v>0.5</v>
      </c>
      <c r="AP194" t="s">
        <v>331</v>
      </c>
      <c r="AQ194">
        <v>2</v>
      </c>
      <c r="AR194">
        <v>1775491652</v>
      </c>
      <c r="AS194">
        <v>32.33568064516129</v>
      </c>
      <c r="AT194">
        <v>32.781661290322582</v>
      </c>
      <c r="AU194">
        <v>-0.71795300000000006</v>
      </c>
      <c r="AV194">
        <v>-2.0402499999999999</v>
      </c>
      <c r="AW194">
        <v>24.358680645161289</v>
      </c>
      <c r="AX194">
        <v>0.27131793548387101</v>
      </c>
      <c r="AY194">
        <v>499.983</v>
      </c>
      <c r="AZ194">
        <v>100.26251612903231</v>
      </c>
      <c r="BA194">
        <v>4.1690096774193552E-2</v>
      </c>
      <c r="BB194">
        <v>27.294554838709679</v>
      </c>
      <c r="BC194">
        <v>27.35115806451612</v>
      </c>
      <c r="BD194">
        <v>999.90000000000032</v>
      </c>
      <c r="BE194">
        <v>0</v>
      </c>
      <c r="BF194">
        <v>0</v>
      </c>
      <c r="BG194">
        <v>4997.0322580645161</v>
      </c>
      <c r="BH194">
        <v>0.37831112903225822</v>
      </c>
      <c r="BI194">
        <v>0.23331922580645159</v>
      </c>
      <c r="BJ194">
        <v>-0.44926096774193552</v>
      </c>
      <c r="BK194">
        <v>32.309196774193538</v>
      </c>
      <c r="BL194">
        <v>32.714916129032268</v>
      </c>
      <c r="BM194">
        <v>1.322296451612903</v>
      </c>
      <c r="BN194">
        <v>32.781661290322582</v>
      </c>
      <c r="BO194">
        <v>-2.0402499999999999</v>
      </c>
      <c r="BP194">
        <v>-7.1983767741935475E-2</v>
      </c>
      <c r="BQ194">
        <v>-0.20456058064516131</v>
      </c>
      <c r="BR194">
        <v>-99.900000000000034</v>
      </c>
      <c r="BS194">
        <v>-99.900000000000034</v>
      </c>
      <c r="BT194">
        <v>0</v>
      </c>
      <c r="BU194">
        <v>0</v>
      </c>
      <c r="BV194">
        <v>0</v>
      </c>
      <c r="BW194">
        <v>25</v>
      </c>
      <c r="BX194">
        <v>-1</v>
      </c>
      <c r="BY194">
        <v>1775491676</v>
      </c>
      <c r="BZ194" t="s">
        <v>867</v>
      </c>
      <c r="CA194">
        <v>1775491676</v>
      </c>
      <c r="CB194">
        <v>1775480969.5</v>
      </c>
      <c r="CC194">
        <v>179</v>
      </c>
      <c r="CD194">
        <v>3.0000000000000001E-3</v>
      </c>
      <c r="CE194">
        <v>0.19500000000000001</v>
      </c>
      <c r="CF194">
        <v>7.9770000000000003</v>
      </c>
      <c r="CG194">
        <v>-0.98899999999999999</v>
      </c>
      <c r="CH194">
        <v>33</v>
      </c>
      <c r="CI194">
        <v>-3</v>
      </c>
      <c r="CJ194">
        <v>0.13</v>
      </c>
      <c r="CK194">
        <v>0.06</v>
      </c>
      <c r="CL194">
        <v>32.715400000000002</v>
      </c>
      <c r="CM194">
        <v>0.55195265351489053</v>
      </c>
      <c r="CN194">
        <v>0.130396434000321</v>
      </c>
      <c r="CO194">
        <v>-1</v>
      </c>
      <c r="CP194">
        <v>499.99523333333337</v>
      </c>
      <c r="CQ194">
        <v>-7.9475409833762486E-2</v>
      </c>
      <c r="CR194">
        <v>5.3397992055470772E-2</v>
      </c>
      <c r="CS194">
        <v>-1</v>
      </c>
      <c r="CT194">
        <v>0</v>
      </c>
      <c r="CU194">
        <v>0</v>
      </c>
      <c r="CV194" t="s">
        <v>333</v>
      </c>
      <c r="CW194">
        <v>3.1675</v>
      </c>
      <c r="CX194">
        <v>2.6631399999999998</v>
      </c>
      <c r="CY194">
        <v>7.2560100000000002E-3</v>
      </c>
      <c r="CZ194">
        <v>9.7428800000000006E-3</v>
      </c>
      <c r="DA194">
        <v>2.2116100000000001E-3</v>
      </c>
      <c r="DB194">
        <v>-1.8993599999999999E-2</v>
      </c>
      <c r="DC194">
        <v>21424</v>
      </c>
      <c r="DD194">
        <v>21757.3</v>
      </c>
      <c r="DE194">
        <v>23107.599999999999</v>
      </c>
      <c r="DF194">
        <v>22323.8</v>
      </c>
      <c r="DG194">
        <v>29733.7</v>
      </c>
      <c r="DH194">
        <v>27128.9</v>
      </c>
      <c r="DI194">
        <v>40612.699999999997</v>
      </c>
      <c r="DJ194">
        <v>36997.9</v>
      </c>
      <c r="DK194">
        <v>2.0924</v>
      </c>
      <c r="DL194">
        <v>1.80124</v>
      </c>
      <c r="DM194">
        <v>2.9349299999999998E-2</v>
      </c>
      <c r="DN194">
        <v>0</v>
      </c>
      <c r="DO194">
        <v>26.876899999999999</v>
      </c>
      <c r="DP194">
        <v>999.9</v>
      </c>
      <c r="DQ194">
        <v>75.2</v>
      </c>
      <c r="DR194">
        <v>30.3</v>
      </c>
      <c r="DS194">
        <v>32.510100000000001</v>
      </c>
      <c r="DT194">
        <v>30.425599999999999</v>
      </c>
      <c r="DU194">
        <v>10.2845</v>
      </c>
      <c r="DV194">
        <v>1</v>
      </c>
      <c r="DW194">
        <v>0.186386</v>
      </c>
      <c r="DX194">
        <v>-0.421819</v>
      </c>
      <c r="DY194">
        <v>20.367999999999999</v>
      </c>
      <c r="DZ194">
        <v>5.2130999999999998</v>
      </c>
      <c r="EA194">
        <v>11.8482</v>
      </c>
      <c r="EB194">
        <v>4.9680400000000002</v>
      </c>
      <c r="EC194">
        <v>3.2920400000000001</v>
      </c>
      <c r="ED194">
        <v>894.7</v>
      </c>
      <c r="EE194">
        <v>0</v>
      </c>
      <c r="EF194">
        <v>9387.2999999999993</v>
      </c>
      <c r="EG194">
        <v>111.8</v>
      </c>
      <c r="EH194">
        <v>4.9716300000000002</v>
      </c>
      <c r="EI194">
        <v>1.8717999999999999</v>
      </c>
      <c r="EJ194">
        <v>1.86897</v>
      </c>
      <c r="EK194">
        <v>1.87147</v>
      </c>
      <c r="EL194">
        <v>1.86917</v>
      </c>
      <c r="EM194">
        <v>1.8681300000000001</v>
      </c>
      <c r="EN194">
        <v>1.86995</v>
      </c>
      <c r="EO194">
        <v>1.8717900000000001</v>
      </c>
      <c r="EP194">
        <v>0</v>
      </c>
      <c r="EQ194">
        <v>0</v>
      </c>
      <c r="ER194">
        <v>0</v>
      </c>
      <c r="ES194">
        <v>0</v>
      </c>
      <c r="ET194" t="s">
        <v>334</v>
      </c>
      <c r="EU194" t="s">
        <v>335</v>
      </c>
      <c r="EV194" t="s">
        <v>336</v>
      </c>
      <c r="EW194" t="s">
        <v>336</v>
      </c>
      <c r="EX194" t="s">
        <v>336</v>
      </c>
      <c r="EY194" t="s">
        <v>336</v>
      </c>
      <c r="EZ194">
        <v>0</v>
      </c>
      <c r="FA194">
        <v>100</v>
      </c>
      <c r="FB194">
        <v>100</v>
      </c>
      <c r="FC194">
        <v>7.9770000000000003</v>
      </c>
      <c r="FD194">
        <v>-0.98929999999999996</v>
      </c>
      <c r="FE194">
        <v>7.9737250000000053</v>
      </c>
      <c r="FF194">
        <v>0</v>
      </c>
      <c r="FG194">
        <v>0</v>
      </c>
      <c r="FH194">
        <v>0</v>
      </c>
      <c r="FI194">
        <v>-0.98927100000000023</v>
      </c>
      <c r="FJ194">
        <v>0</v>
      </c>
      <c r="FK194">
        <v>0</v>
      </c>
      <c r="FL194">
        <v>0</v>
      </c>
      <c r="FM194">
        <v>-1</v>
      </c>
      <c r="FN194">
        <v>-1</v>
      </c>
      <c r="FO194">
        <v>-1</v>
      </c>
      <c r="FP194">
        <v>-1</v>
      </c>
      <c r="FQ194">
        <v>0.7</v>
      </c>
      <c r="FR194">
        <v>178.2</v>
      </c>
      <c r="FS194">
        <v>0.142822</v>
      </c>
      <c r="FT194">
        <v>4.99756</v>
      </c>
      <c r="FU194">
        <v>1.5979000000000001</v>
      </c>
      <c r="FV194">
        <v>2.1533199999999999</v>
      </c>
      <c r="FW194">
        <v>1.5478499999999999</v>
      </c>
      <c r="FX194">
        <v>2.4230999999999998</v>
      </c>
      <c r="FY194">
        <v>34.6006</v>
      </c>
      <c r="FZ194">
        <v>15.4192</v>
      </c>
      <c r="GA194">
        <v>3</v>
      </c>
      <c r="GB194">
        <v>499.233</v>
      </c>
      <c r="GC194">
        <v>405.05700000000002</v>
      </c>
      <c r="GD194">
        <v>28.067699999999999</v>
      </c>
      <c r="GE194">
        <v>29.613199999999999</v>
      </c>
      <c r="GF194">
        <v>30</v>
      </c>
      <c r="GG194">
        <v>29.920999999999999</v>
      </c>
      <c r="GH194">
        <v>29.974299999999999</v>
      </c>
      <c r="GI194">
        <v>-1</v>
      </c>
      <c r="GJ194">
        <v>0</v>
      </c>
      <c r="GK194">
        <v>100</v>
      </c>
      <c r="GL194">
        <v>28.0702</v>
      </c>
      <c r="GM194">
        <v>432.1</v>
      </c>
      <c r="GN194">
        <v>68.912800000000004</v>
      </c>
      <c r="GO194">
        <v>102.227</v>
      </c>
      <c r="GP194">
        <v>96.539699999999996</v>
      </c>
    </row>
    <row r="195" spans="1:198" x14ac:dyDescent="0.35">
      <c r="A195">
        <v>179</v>
      </c>
      <c r="B195">
        <v>1775491720</v>
      </c>
      <c r="C195">
        <v>10681.5</v>
      </c>
      <c r="D195" t="s">
        <v>868</v>
      </c>
      <c r="E195" t="s">
        <v>869</v>
      </c>
      <c r="F195">
        <v>60</v>
      </c>
      <c r="G195">
        <v>1775491712</v>
      </c>
      <c r="H195">
        <f t="shared" si="60"/>
        <v>2.1882801517935911E-3</v>
      </c>
      <c r="I195">
        <f t="shared" si="61"/>
        <v>2.1882801517935913</v>
      </c>
      <c r="J195">
        <f t="shared" si="62"/>
        <v>0.9369271593598919</v>
      </c>
      <c r="K195">
        <f t="shared" si="63"/>
        <v>33.032748387096767</v>
      </c>
      <c r="L195">
        <f t="shared" si="64"/>
        <v>5.9799680570357596</v>
      </c>
      <c r="M195">
        <f t="shared" si="65"/>
        <v>0.59981290172847712</v>
      </c>
      <c r="N195">
        <f t="shared" si="66"/>
        <v>3.3133067724031657</v>
      </c>
      <c r="O195">
        <f t="shared" si="67"/>
        <v>5.8611991525941869E-2</v>
      </c>
      <c r="P195">
        <f t="shared" si="68"/>
        <v>2.3940205152292333</v>
      </c>
      <c r="Q195">
        <f t="shared" si="69"/>
        <v>5.7826314792175426E-2</v>
      </c>
      <c r="R195">
        <f t="shared" si="70"/>
        <v>3.6211159220572657E-2</v>
      </c>
      <c r="S195">
        <f t="shared" si="71"/>
        <v>0</v>
      </c>
      <c r="T195">
        <f t="shared" si="72"/>
        <v>26.615888858861226</v>
      </c>
      <c r="U195">
        <f t="shared" si="73"/>
        <v>27.357248387096789</v>
      </c>
      <c r="V195">
        <f t="shared" si="74"/>
        <v>3.6549492093456393</v>
      </c>
      <c r="W195">
        <f t="shared" si="75"/>
        <v>-2.0037523845399727</v>
      </c>
      <c r="X195">
        <f t="shared" si="76"/>
        <v>-7.2997704192519539E-2</v>
      </c>
      <c r="Y195">
        <f t="shared" si="77"/>
        <v>3.6430501471008139</v>
      </c>
      <c r="Z195">
        <f t="shared" si="78"/>
        <v>3.7279469135381587</v>
      </c>
      <c r="AA195">
        <f t="shared" si="79"/>
        <v>-96.503154694097361</v>
      </c>
      <c r="AB195">
        <f t="shared" si="80"/>
        <v>-7.183587911389508</v>
      </c>
      <c r="AC195">
        <f t="shared" si="81"/>
        <v>-0.64970825394414966</v>
      </c>
      <c r="AD195">
        <f t="shared" si="82"/>
        <v>-104.33645085943103</v>
      </c>
      <c r="AE195">
        <v>12</v>
      </c>
      <c r="AF195">
        <v>2</v>
      </c>
      <c r="AG195">
        <f t="shared" si="83"/>
        <v>1</v>
      </c>
      <c r="AH195">
        <f t="shared" si="84"/>
        <v>0</v>
      </c>
      <c r="AI195">
        <f t="shared" si="85"/>
        <v>25577.892640529451</v>
      </c>
      <c r="AJ195">
        <f t="shared" si="86"/>
        <v>0</v>
      </c>
      <c r="AK195">
        <f t="shared" si="87"/>
        <v>0</v>
      </c>
      <c r="AL195">
        <f t="shared" si="88"/>
        <v>0</v>
      </c>
      <c r="AM195">
        <f t="shared" si="89"/>
        <v>0</v>
      </c>
      <c r="AN195">
        <v>3</v>
      </c>
      <c r="AO195">
        <v>0.5</v>
      </c>
      <c r="AP195" t="s">
        <v>331</v>
      </c>
      <c r="AQ195">
        <v>2</v>
      </c>
      <c r="AR195">
        <v>1775491712</v>
      </c>
      <c r="AS195">
        <v>33.032748387096767</v>
      </c>
      <c r="AT195">
        <v>33.638261290322568</v>
      </c>
      <c r="AU195">
        <v>-0.72776683870967751</v>
      </c>
      <c r="AV195">
        <v>-2.0416593548387101</v>
      </c>
      <c r="AW195">
        <v>25.065748387096779</v>
      </c>
      <c r="AX195">
        <v>0.26150416129032261</v>
      </c>
      <c r="AY195">
        <v>500.01183870967742</v>
      </c>
      <c r="AZ195">
        <v>100.2621935483871</v>
      </c>
      <c r="BA195">
        <v>4.1503061290322579E-2</v>
      </c>
      <c r="BB195">
        <v>27.30159032258064</v>
      </c>
      <c r="BC195">
        <v>27.357248387096789</v>
      </c>
      <c r="BD195">
        <v>999.90000000000032</v>
      </c>
      <c r="BE195">
        <v>0</v>
      </c>
      <c r="BF195">
        <v>0</v>
      </c>
      <c r="BG195">
        <v>5002.322580645161</v>
      </c>
      <c r="BH195">
        <v>0.39261545161290329</v>
      </c>
      <c r="BI195">
        <v>0.22961599999999999</v>
      </c>
      <c r="BJ195">
        <v>-0.59546172096774175</v>
      </c>
      <c r="BK195">
        <v>33.018770967741943</v>
      </c>
      <c r="BL195">
        <v>33.569716129032258</v>
      </c>
      <c r="BM195">
        <v>1.313892258064516</v>
      </c>
      <c r="BN195">
        <v>33.638261290322568</v>
      </c>
      <c r="BO195">
        <v>-2.0416593548387101</v>
      </c>
      <c r="BP195">
        <v>-7.2967564516129041E-2</v>
      </c>
      <c r="BQ195">
        <v>-0.20470145161290329</v>
      </c>
      <c r="BR195">
        <v>-99.900000000000034</v>
      </c>
      <c r="BS195">
        <v>-99.900000000000034</v>
      </c>
      <c r="BT195">
        <v>0</v>
      </c>
      <c r="BU195">
        <v>0</v>
      </c>
      <c r="BV195">
        <v>0</v>
      </c>
      <c r="BW195">
        <v>25</v>
      </c>
      <c r="BX195">
        <v>-1</v>
      </c>
      <c r="BY195">
        <v>1775491739.5</v>
      </c>
      <c r="BZ195" t="s">
        <v>870</v>
      </c>
      <c r="CA195">
        <v>1775491739.5</v>
      </c>
      <c r="CB195">
        <v>1775480969.5</v>
      </c>
      <c r="CC195">
        <v>180</v>
      </c>
      <c r="CD195">
        <v>-0.01</v>
      </c>
      <c r="CE195">
        <v>0.19500000000000001</v>
      </c>
      <c r="CF195">
        <v>7.9669999999999996</v>
      </c>
      <c r="CG195">
        <v>-0.98899999999999999</v>
      </c>
      <c r="CH195">
        <v>33</v>
      </c>
      <c r="CI195">
        <v>-3</v>
      </c>
      <c r="CJ195">
        <v>0.38</v>
      </c>
      <c r="CK195">
        <v>0.06</v>
      </c>
      <c r="CL195">
        <v>33.301644999999994</v>
      </c>
      <c r="CM195">
        <v>1.3241034731870489</v>
      </c>
      <c r="CN195">
        <v>0.84216359127844043</v>
      </c>
      <c r="CO195">
        <v>-1</v>
      </c>
      <c r="CP195">
        <v>499.99015000000003</v>
      </c>
      <c r="CQ195">
        <v>0.15581994998606999</v>
      </c>
      <c r="CR195">
        <v>4.924626043332371E-2</v>
      </c>
      <c r="CS195">
        <v>-1</v>
      </c>
      <c r="CT195">
        <v>0</v>
      </c>
      <c r="CU195">
        <v>0</v>
      </c>
      <c r="CV195" t="s">
        <v>333</v>
      </c>
      <c r="CW195">
        <v>3.16743</v>
      </c>
      <c r="CX195">
        <v>2.6630400000000001</v>
      </c>
      <c r="CY195">
        <v>7.3917899999999996E-3</v>
      </c>
      <c r="CZ195">
        <v>9.9428599999999995E-3</v>
      </c>
      <c r="DA195">
        <v>2.1183299999999999E-3</v>
      </c>
      <c r="DB195">
        <v>-1.9059900000000001E-2</v>
      </c>
      <c r="DC195">
        <v>21421.200000000001</v>
      </c>
      <c r="DD195">
        <v>21752.9</v>
      </c>
      <c r="DE195">
        <v>23107.7</v>
      </c>
      <c r="DF195">
        <v>22323.7</v>
      </c>
      <c r="DG195">
        <v>29736.5</v>
      </c>
      <c r="DH195">
        <v>27130.6</v>
      </c>
      <c r="DI195">
        <v>40612.800000000003</v>
      </c>
      <c r="DJ195">
        <v>36997.9</v>
      </c>
      <c r="DK195">
        <v>2.09232</v>
      </c>
      <c r="DL195">
        <v>1.8022199999999999</v>
      </c>
      <c r="DM195">
        <v>2.9191399999999999E-2</v>
      </c>
      <c r="DN195">
        <v>0</v>
      </c>
      <c r="DO195">
        <v>26.8767</v>
      </c>
      <c r="DP195">
        <v>999.9</v>
      </c>
      <c r="DQ195">
        <v>75.2</v>
      </c>
      <c r="DR195">
        <v>30.3</v>
      </c>
      <c r="DS195">
        <v>32.510899999999999</v>
      </c>
      <c r="DT195">
        <v>30.425599999999999</v>
      </c>
      <c r="DU195">
        <v>10.052099999999999</v>
      </c>
      <c r="DV195">
        <v>1</v>
      </c>
      <c r="DW195">
        <v>0.185583</v>
      </c>
      <c r="DX195">
        <v>-0.37492599999999998</v>
      </c>
      <c r="DY195">
        <v>20.368099999999998</v>
      </c>
      <c r="DZ195">
        <v>5.2134600000000004</v>
      </c>
      <c r="EA195">
        <v>11.8482</v>
      </c>
      <c r="EB195">
        <v>4.9678399999999998</v>
      </c>
      <c r="EC195">
        <v>3.2920400000000001</v>
      </c>
      <c r="ED195">
        <v>894.7</v>
      </c>
      <c r="EE195">
        <v>0</v>
      </c>
      <c r="EF195">
        <v>9420</v>
      </c>
      <c r="EG195">
        <v>111.8</v>
      </c>
      <c r="EH195">
        <v>4.9716199999999997</v>
      </c>
      <c r="EI195">
        <v>1.8717999999999999</v>
      </c>
      <c r="EJ195">
        <v>1.869</v>
      </c>
      <c r="EK195">
        <v>1.8714500000000001</v>
      </c>
      <c r="EL195">
        <v>1.8691199999999999</v>
      </c>
      <c r="EM195">
        <v>1.8681099999999999</v>
      </c>
      <c r="EN195">
        <v>1.8699600000000001</v>
      </c>
      <c r="EO195">
        <v>1.8717200000000001</v>
      </c>
      <c r="EP195">
        <v>0</v>
      </c>
      <c r="EQ195">
        <v>0</v>
      </c>
      <c r="ER195">
        <v>0</v>
      </c>
      <c r="ES195">
        <v>0</v>
      </c>
      <c r="ET195" t="s">
        <v>334</v>
      </c>
      <c r="EU195" t="s">
        <v>335</v>
      </c>
      <c r="EV195" t="s">
        <v>336</v>
      </c>
      <c r="EW195" t="s">
        <v>336</v>
      </c>
      <c r="EX195" t="s">
        <v>336</v>
      </c>
      <c r="EY195" t="s">
        <v>336</v>
      </c>
      <c r="EZ195">
        <v>0</v>
      </c>
      <c r="FA195">
        <v>100</v>
      </c>
      <c r="FB195">
        <v>100</v>
      </c>
      <c r="FC195">
        <v>7.9669999999999996</v>
      </c>
      <c r="FD195">
        <v>-0.98929999999999996</v>
      </c>
      <c r="FE195">
        <v>7.9770499999999949</v>
      </c>
      <c r="FF195">
        <v>0</v>
      </c>
      <c r="FG195">
        <v>0</v>
      </c>
      <c r="FH195">
        <v>0</v>
      </c>
      <c r="FI195">
        <v>-0.98927100000000023</v>
      </c>
      <c r="FJ195">
        <v>0</v>
      </c>
      <c r="FK195">
        <v>0</v>
      </c>
      <c r="FL195">
        <v>0</v>
      </c>
      <c r="FM195">
        <v>-1</v>
      </c>
      <c r="FN195">
        <v>-1</v>
      </c>
      <c r="FO195">
        <v>-1</v>
      </c>
      <c r="FP195">
        <v>-1</v>
      </c>
      <c r="FQ195">
        <v>0.7</v>
      </c>
      <c r="FR195">
        <v>179.2</v>
      </c>
      <c r="FS195">
        <v>0.142822</v>
      </c>
      <c r="FT195">
        <v>4.99756</v>
      </c>
      <c r="FU195">
        <v>1.5979000000000001</v>
      </c>
      <c r="FV195">
        <v>2.1533199999999999</v>
      </c>
      <c r="FW195">
        <v>1.5478499999999999</v>
      </c>
      <c r="FX195">
        <v>2.4475099999999999</v>
      </c>
      <c r="FY195">
        <v>34.6006</v>
      </c>
      <c r="FZ195">
        <v>15.4192</v>
      </c>
      <c r="GA195">
        <v>3</v>
      </c>
      <c r="GB195">
        <v>499.10700000000003</v>
      </c>
      <c r="GC195">
        <v>405.548</v>
      </c>
      <c r="GD195">
        <v>28.043500000000002</v>
      </c>
      <c r="GE195">
        <v>29.6036</v>
      </c>
      <c r="GF195">
        <v>30.0001</v>
      </c>
      <c r="GG195">
        <v>29.910900000000002</v>
      </c>
      <c r="GH195">
        <v>29.963699999999999</v>
      </c>
      <c r="GI195">
        <v>-1</v>
      </c>
      <c r="GJ195">
        <v>0</v>
      </c>
      <c r="GK195">
        <v>100</v>
      </c>
      <c r="GL195">
        <v>28.041899999999998</v>
      </c>
      <c r="GM195">
        <v>432.1</v>
      </c>
      <c r="GN195">
        <v>68.912800000000004</v>
      </c>
      <c r="GO195">
        <v>102.227</v>
      </c>
      <c r="GP195">
        <v>96.539500000000004</v>
      </c>
    </row>
    <row r="196" spans="1:198" x14ac:dyDescent="0.35">
      <c r="A196">
        <v>180</v>
      </c>
      <c r="B196">
        <v>1775491780</v>
      </c>
      <c r="C196">
        <v>10741.5</v>
      </c>
      <c r="D196" t="s">
        <v>871</v>
      </c>
      <c r="E196" t="s">
        <v>872</v>
      </c>
      <c r="F196">
        <v>60</v>
      </c>
      <c r="G196">
        <v>1775491772.25</v>
      </c>
      <c r="H196">
        <f t="shared" si="60"/>
        <v>2.1722115463234494E-3</v>
      </c>
      <c r="I196">
        <f t="shared" si="61"/>
        <v>2.1722115463234495</v>
      </c>
      <c r="J196">
        <f t="shared" si="62"/>
        <v>1.0206006546553736</v>
      </c>
      <c r="K196">
        <f t="shared" si="63"/>
        <v>32.417240000000007</v>
      </c>
      <c r="L196">
        <f t="shared" si="64"/>
        <v>2.9685317766567221</v>
      </c>
      <c r="M196">
        <f t="shared" si="65"/>
        <v>0.29775798398416908</v>
      </c>
      <c r="N196">
        <f t="shared" si="66"/>
        <v>3.2516047510874162</v>
      </c>
      <c r="O196">
        <f t="shared" si="67"/>
        <v>5.820399377453038E-2</v>
      </c>
      <c r="P196">
        <f t="shared" si="68"/>
        <v>2.3939768437179216</v>
      </c>
      <c r="Q196">
        <f t="shared" si="69"/>
        <v>5.7429125246526366E-2</v>
      </c>
      <c r="R196">
        <f t="shared" si="70"/>
        <v>3.5961962665320354E-2</v>
      </c>
      <c r="S196">
        <f t="shared" si="71"/>
        <v>0</v>
      </c>
      <c r="T196">
        <f t="shared" si="72"/>
        <v>26.615199055226288</v>
      </c>
      <c r="U196">
        <f t="shared" si="73"/>
        <v>27.351686666666659</v>
      </c>
      <c r="V196">
        <f t="shared" si="74"/>
        <v>3.6537586532505122</v>
      </c>
      <c r="W196">
        <f t="shared" si="75"/>
        <v>-1.9897052641658906</v>
      </c>
      <c r="X196">
        <f t="shared" si="76"/>
        <v>-7.2461708282103618E-2</v>
      </c>
      <c r="Y196">
        <f t="shared" si="77"/>
        <v>3.6418312594896047</v>
      </c>
      <c r="Z196">
        <f t="shared" si="78"/>
        <v>3.7262203615326159</v>
      </c>
      <c r="AA196">
        <f t="shared" si="79"/>
        <v>-95.794529192864118</v>
      </c>
      <c r="AB196">
        <f t="shared" si="80"/>
        <v>-7.2026360687936997</v>
      </c>
      <c r="AC196">
        <f t="shared" si="81"/>
        <v>-0.65140624352324716</v>
      </c>
      <c r="AD196">
        <f t="shared" si="82"/>
        <v>-103.64857150518105</v>
      </c>
      <c r="AE196">
        <v>12</v>
      </c>
      <c r="AF196">
        <v>2</v>
      </c>
      <c r="AG196">
        <f t="shared" si="83"/>
        <v>1</v>
      </c>
      <c r="AH196">
        <f t="shared" si="84"/>
        <v>0</v>
      </c>
      <c r="AI196">
        <f t="shared" si="85"/>
        <v>25577.680189323703</v>
      </c>
      <c r="AJ196">
        <f t="shared" si="86"/>
        <v>0</v>
      </c>
      <c r="AK196">
        <f t="shared" si="87"/>
        <v>0</v>
      </c>
      <c r="AL196">
        <f t="shared" si="88"/>
        <v>0</v>
      </c>
      <c r="AM196">
        <f t="shared" si="89"/>
        <v>0</v>
      </c>
      <c r="AN196">
        <v>3</v>
      </c>
      <c r="AO196">
        <v>0.5</v>
      </c>
      <c r="AP196" t="s">
        <v>331</v>
      </c>
      <c r="AQ196">
        <v>2</v>
      </c>
      <c r="AR196">
        <v>1775491772.25</v>
      </c>
      <c r="AS196">
        <v>32.417240000000007</v>
      </c>
      <c r="AT196">
        <v>33.071849999999998</v>
      </c>
      <c r="AU196">
        <v>-0.72241516666666661</v>
      </c>
      <c r="AV196">
        <v>-2.026682333333333</v>
      </c>
      <c r="AW196">
        <v>24.440239999999999</v>
      </c>
      <c r="AX196">
        <v>0.26685583333333329</v>
      </c>
      <c r="AY196">
        <v>500.00049999999999</v>
      </c>
      <c r="AZ196">
        <v>100.2630666666667</v>
      </c>
      <c r="BA196">
        <v>4.1732603333333333E-2</v>
      </c>
      <c r="BB196">
        <v>27.29588</v>
      </c>
      <c r="BC196">
        <v>27.351686666666659</v>
      </c>
      <c r="BD196">
        <v>999.9000000000002</v>
      </c>
      <c r="BE196">
        <v>0</v>
      </c>
      <c r="BF196">
        <v>0</v>
      </c>
      <c r="BG196">
        <v>5002.166666666667</v>
      </c>
      <c r="BH196">
        <v>0.34194059999999998</v>
      </c>
      <c r="BI196">
        <v>0.22961599999999999</v>
      </c>
      <c r="BJ196">
        <v>-0.66488499999999995</v>
      </c>
      <c r="BK196">
        <v>32.383566666666667</v>
      </c>
      <c r="BL196">
        <v>33.004959999999997</v>
      </c>
      <c r="BM196">
        <v>1.3042683333333329</v>
      </c>
      <c r="BN196">
        <v>33.071849999999998</v>
      </c>
      <c r="BO196">
        <v>-2.026682333333333</v>
      </c>
      <c r="BP196">
        <v>-7.2431573333333332E-2</v>
      </c>
      <c r="BQ196">
        <v>-0.20320150000000001</v>
      </c>
      <c r="BR196">
        <v>-99.900000000000034</v>
      </c>
      <c r="BS196">
        <v>-99.900000000000034</v>
      </c>
      <c r="BT196">
        <v>0</v>
      </c>
      <c r="BU196">
        <v>0</v>
      </c>
      <c r="BV196">
        <v>0</v>
      </c>
      <c r="BW196">
        <v>25</v>
      </c>
      <c r="BX196">
        <v>-1</v>
      </c>
      <c r="BY196">
        <v>1775491796</v>
      </c>
      <c r="BZ196" t="s">
        <v>873</v>
      </c>
      <c r="CA196">
        <v>1775491796</v>
      </c>
      <c r="CB196">
        <v>1775480969.5</v>
      </c>
      <c r="CC196">
        <v>181</v>
      </c>
      <c r="CD196">
        <v>0.01</v>
      </c>
      <c r="CE196">
        <v>0.19500000000000001</v>
      </c>
      <c r="CF196">
        <v>7.9770000000000003</v>
      </c>
      <c r="CG196">
        <v>-0.98899999999999999</v>
      </c>
      <c r="CH196">
        <v>33</v>
      </c>
      <c r="CI196">
        <v>-3</v>
      </c>
      <c r="CJ196">
        <v>0.13</v>
      </c>
      <c r="CK196">
        <v>0.06</v>
      </c>
      <c r="CL196">
        <v>32.830345000000001</v>
      </c>
      <c r="CM196">
        <v>1.4431698805223969</v>
      </c>
      <c r="CN196">
        <v>0.31538131070446601</v>
      </c>
      <c r="CO196">
        <v>-1</v>
      </c>
      <c r="CP196">
        <v>500.01333333333332</v>
      </c>
      <c r="CQ196">
        <v>-0.18155709919255331</v>
      </c>
      <c r="CR196">
        <v>6.2654786107865873E-2</v>
      </c>
      <c r="CS196">
        <v>-1</v>
      </c>
      <c r="CT196">
        <v>0</v>
      </c>
      <c r="CU196">
        <v>0</v>
      </c>
      <c r="CV196" t="s">
        <v>333</v>
      </c>
      <c r="CW196">
        <v>3.1674000000000002</v>
      </c>
      <c r="CX196">
        <v>2.6631</v>
      </c>
      <c r="CY196">
        <v>7.3233899999999999E-3</v>
      </c>
      <c r="CZ196">
        <v>9.8415199999999994E-3</v>
      </c>
      <c r="DA196">
        <v>2.1809500000000001E-3</v>
      </c>
      <c r="DB196">
        <v>-1.8818700000000001E-2</v>
      </c>
      <c r="DC196">
        <v>21422.799999999999</v>
      </c>
      <c r="DD196">
        <v>21755.4</v>
      </c>
      <c r="DE196">
        <v>23107.8</v>
      </c>
      <c r="DF196">
        <v>22324</v>
      </c>
      <c r="DG196">
        <v>29734.7</v>
      </c>
      <c r="DH196">
        <v>27124.6</v>
      </c>
      <c r="DI196">
        <v>40612.800000000003</v>
      </c>
      <c r="DJ196">
        <v>36998.400000000001</v>
      </c>
      <c r="DK196">
        <v>2.0925600000000002</v>
      </c>
      <c r="DL196">
        <v>1.8026199999999999</v>
      </c>
      <c r="DM196">
        <v>2.9429799999999999E-2</v>
      </c>
      <c r="DN196">
        <v>0</v>
      </c>
      <c r="DO196">
        <v>26.872399999999999</v>
      </c>
      <c r="DP196">
        <v>999.9</v>
      </c>
      <c r="DQ196">
        <v>75.2</v>
      </c>
      <c r="DR196">
        <v>30.3</v>
      </c>
      <c r="DS196">
        <v>32.508600000000001</v>
      </c>
      <c r="DT196">
        <v>30.485600000000002</v>
      </c>
      <c r="DU196">
        <v>9.9238800000000005</v>
      </c>
      <c r="DV196">
        <v>1</v>
      </c>
      <c r="DW196">
        <v>0.18490400000000001</v>
      </c>
      <c r="DX196">
        <v>-0.41165400000000002</v>
      </c>
      <c r="DY196">
        <v>20.368200000000002</v>
      </c>
      <c r="DZ196">
        <v>5.2129799999999999</v>
      </c>
      <c r="EA196">
        <v>11.8482</v>
      </c>
      <c r="EB196">
        <v>4.9677199999999999</v>
      </c>
      <c r="EC196">
        <v>3.2922799999999999</v>
      </c>
      <c r="ED196">
        <v>894.7</v>
      </c>
      <c r="EE196">
        <v>0</v>
      </c>
      <c r="EF196">
        <v>9446.7999999999993</v>
      </c>
      <c r="EG196">
        <v>111.8</v>
      </c>
      <c r="EH196">
        <v>4.9715999999999996</v>
      </c>
      <c r="EI196">
        <v>1.8717999999999999</v>
      </c>
      <c r="EJ196">
        <v>1.869</v>
      </c>
      <c r="EK196">
        <v>1.8714</v>
      </c>
      <c r="EL196">
        <v>1.8691500000000001</v>
      </c>
      <c r="EM196">
        <v>1.8681099999999999</v>
      </c>
      <c r="EN196">
        <v>1.8699399999999999</v>
      </c>
      <c r="EO196">
        <v>1.8717200000000001</v>
      </c>
      <c r="EP196">
        <v>0</v>
      </c>
      <c r="EQ196">
        <v>0</v>
      </c>
      <c r="ER196">
        <v>0</v>
      </c>
      <c r="ES196">
        <v>0</v>
      </c>
      <c r="ET196" t="s">
        <v>334</v>
      </c>
      <c r="EU196" t="s">
        <v>335</v>
      </c>
      <c r="EV196" t="s">
        <v>336</v>
      </c>
      <c r="EW196" t="s">
        <v>336</v>
      </c>
      <c r="EX196" t="s">
        <v>336</v>
      </c>
      <c r="EY196" t="s">
        <v>336</v>
      </c>
      <c r="EZ196">
        <v>0</v>
      </c>
      <c r="FA196">
        <v>100</v>
      </c>
      <c r="FB196">
        <v>100</v>
      </c>
      <c r="FC196">
        <v>7.9770000000000003</v>
      </c>
      <c r="FD196">
        <v>-0.98929999999999996</v>
      </c>
      <c r="FE196">
        <v>7.9667190476190513</v>
      </c>
      <c r="FF196">
        <v>0</v>
      </c>
      <c r="FG196">
        <v>0</v>
      </c>
      <c r="FH196">
        <v>0</v>
      </c>
      <c r="FI196">
        <v>-0.98927100000000023</v>
      </c>
      <c r="FJ196">
        <v>0</v>
      </c>
      <c r="FK196">
        <v>0</v>
      </c>
      <c r="FL196">
        <v>0</v>
      </c>
      <c r="FM196">
        <v>-1</v>
      </c>
      <c r="FN196">
        <v>-1</v>
      </c>
      <c r="FO196">
        <v>-1</v>
      </c>
      <c r="FP196">
        <v>-1</v>
      </c>
      <c r="FQ196">
        <v>0.7</v>
      </c>
      <c r="FR196">
        <v>180.2</v>
      </c>
      <c r="FS196">
        <v>0.142822</v>
      </c>
      <c r="FT196">
        <v>4.99756</v>
      </c>
      <c r="FU196">
        <v>1.5979000000000001</v>
      </c>
      <c r="FV196">
        <v>2.1520999999999999</v>
      </c>
      <c r="FW196">
        <v>1.5478499999999999</v>
      </c>
      <c r="FX196">
        <v>2.34985</v>
      </c>
      <c r="FY196">
        <v>34.5777</v>
      </c>
      <c r="FZ196">
        <v>15.410399999999999</v>
      </c>
      <c r="GA196">
        <v>3</v>
      </c>
      <c r="GB196">
        <v>499.17099999999999</v>
      </c>
      <c r="GC196">
        <v>405.714</v>
      </c>
      <c r="GD196">
        <v>28.061299999999999</v>
      </c>
      <c r="GE196">
        <v>29.595400000000001</v>
      </c>
      <c r="GF196">
        <v>30</v>
      </c>
      <c r="GG196">
        <v>29.9011</v>
      </c>
      <c r="GH196">
        <v>29.9541</v>
      </c>
      <c r="GI196">
        <v>-1</v>
      </c>
      <c r="GJ196">
        <v>0</v>
      </c>
      <c r="GK196">
        <v>100</v>
      </c>
      <c r="GL196">
        <v>28.064399999999999</v>
      </c>
      <c r="GM196">
        <v>432.1</v>
      </c>
      <c r="GN196">
        <v>68.912800000000004</v>
      </c>
      <c r="GO196">
        <v>102.227</v>
      </c>
      <c r="GP196">
        <v>96.540700000000001</v>
      </c>
    </row>
    <row r="197" spans="1:198" x14ac:dyDescent="0.35">
      <c r="A197">
        <v>181</v>
      </c>
      <c r="B197">
        <v>1775491840</v>
      </c>
      <c r="C197">
        <v>10801.5</v>
      </c>
      <c r="D197" t="s">
        <v>874</v>
      </c>
      <c r="E197" t="s">
        <v>875</v>
      </c>
      <c r="F197">
        <v>60</v>
      </c>
      <c r="G197">
        <v>1775491832</v>
      </c>
      <c r="H197">
        <f t="shared" si="60"/>
        <v>2.1540922428048702E-3</v>
      </c>
      <c r="I197">
        <f t="shared" si="61"/>
        <v>2.1540922428048703</v>
      </c>
      <c r="J197">
        <f t="shared" si="62"/>
        <v>3.7780425035274422E-2</v>
      </c>
      <c r="K197">
        <f t="shared" si="63"/>
        <v>32.316132258064513</v>
      </c>
      <c r="L197">
        <f t="shared" si="64"/>
        <v>29.391801337659626</v>
      </c>
      <c r="M197">
        <f t="shared" si="65"/>
        <v>2.9480425620847637</v>
      </c>
      <c r="N197">
        <f t="shared" si="66"/>
        <v>3.2413574195150221</v>
      </c>
      <c r="O197">
        <f t="shared" si="67"/>
        <v>5.7688476872089119E-2</v>
      </c>
      <c r="P197">
        <f t="shared" si="68"/>
        <v>2.391847382919766</v>
      </c>
      <c r="Q197">
        <f t="shared" si="69"/>
        <v>5.6926508746085167E-2</v>
      </c>
      <c r="R197">
        <f t="shared" si="70"/>
        <v>3.5646689246740651E-2</v>
      </c>
      <c r="S197">
        <f t="shared" si="71"/>
        <v>0</v>
      </c>
      <c r="T197">
        <f t="shared" si="72"/>
        <v>26.625287295354518</v>
      </c>
      <c r="U197">
        <f t="shared" si="73"/>
        <v>27.359100000000002</v>
      </c>
      <c r="V197">
        <f t="shared" si="74"/>
        <v>3.6553456454526678</v>
      </c>
      <c r="W197">
        <f t="shared" si="75"/>
        <v>-1.9835988996329823</v>
      </c>
      <c r="X197">
        <f t="shared" si="76"/>
        <v>-7.2260319854215604E-2</v>
      </c>
      <c r="Y197">
        <f t="shared" si="77"/>
        <v>3.6428896924466763</v>
      </c>
      <c r="Z197">
        <f t="shared" si="78"/>
        <v>3.7276059653068834</v>
      </c>
      <c r="AA197">
        <f t="shared" si="79"/>
        <v>-94.995467907694774</v>
      </c>
      <c r="AB197">
        <f t="shared" si="80"/>
        <v>-7.5127512122130051</v>
      </c>
      <c r="AC197">
        <f t="shared" si="81"/>
        <v>-0.68009999145425137</v>
      </c>
      <c r="AD197">
        <f t="shared" si="82"/>
        <v>-103.18831911136203</v>
      </c>
      <c r="AE197">
        <v>12</v>
      </c>
      <c r="AF197">
        <v>2</v>
      </c>
      <c r="AG197">
        <f t="shared" si="83"/>
        <v>1</v>
      </c>
      <c r="AH197">
        <f t="shared" si="84"/>
        <v>0</v>
      </c>
      <c r="AI197">
        <f t="shared" si="85"/>
        <v>25544.998217265529</v>
      </c>
      <c r="AJ197">
        <f t="shared" si="86"/>
        <v>0</v>
      </c>
      <c r="AK197">
        <f t="shared" si="87"/>
        <v>0</v>
      </c>
      <c r="AL197">
        <f t="shared" si="88"/>
        <v>0</v>
      </c>
      <c r="AM197">
        <f t="shared" si="89"/>
        <v>0</v>
      </c>
      <c r="AN197">
        <v>3</v>
      </c>
      <c r="AO197">
        <v>0.5</v>
      </c>
      <c r="AP197" t="s">
        <v>331</v>
      </c>
      <c r="AQ197">
        <v>2</v>
      </c>
      <c r="AR197">
        <v>1775491832</v>
      </c>
      <c r="AS197">
        <v>32.316132258064513</v>
      </c>
      <c r="AT197">
        <v>32.380570967741939</v>
      </c>
      <c r="AU197">
        <v>-0.72043090322580638</v>
      </c>
      <c r="AV197">
        <v>-2.013883548387096</v>
      </c>
      <c r="AW197">
        <v>24.312132258064519</v>
      </c>
      <c r="AX197">
        <v>0.26884006451612902</v>
      </c>
      <c r="AY197">
        <v>499.97441935483857</v>
      </c>
      <c r="AZ197">
        <v>100.26006451612911</v>
      </c>
      <c r="BA197">
        <v>4.146270967741935E-2</v>
      </c>
      <c r="BB197">
        <v>27.300838709677421</v>
      </c>
      <c r="BC197">
        <v>27.359100000000002</v>
      </c>
      <c r="BD197">
        <v>999.90000000000032</v>
      </c>
      <c r="BE197">
        <v>0</v>
      </c>
      <c r="BF197">
        <v>0</v>
      </c>
      <c r="BG197">
        <v>4996.8387096774204</v>
      </c>
      <c r="BH197">
        <v>0.37239503225806447</v>
      </c>
      <c r="BI197">
        <v>0.22961599999999999</v>
      </c>
      <c r="BJ197">
        <v>-9.1900640000000006E-2</v>
      </c>
      <c r="BK197">
        <v>32.265416129032261</v>
      </c>
      <c r="BL197">
        <v>32.315470967741938</v>
      </c>
      <c r="BM197">
        <v>1.2934538709677419</v>
      </c>
      <c r="BN197">
        <v>32.380570967741939</v>
      </c>
      <c r="BO197">
        <v>-2.013883548387096</v>
      </c>
      <c r="BP197">
        <v>-7.2230509677419341E-2</v>
      </c>
      <c r="BQ197">
        <v>-0.20191225806451621</v>
      </c>
      <c r="BR197">
        <v>-99.900000000000034</v>
      </c>
      <c r="BS197">
        <v>-99.900000000000034</v>
      </c>
      <c r="BT197">
        <v>0</v>
      </c>
      <c r="BU197">
        <v>0</v>
      </c>
      <c r="BV197">
        <v>0</v>
      </c>
      <c r="BW197">
        <v>25</v>
      </c>
      <c r="BX197">
        <v>-1</v>
      </c>
      <c r="BY197">
        <v>1775491856</v>
      </c>
      <c r="BZ197" t="s">
        <v>876</v>
      </c>
      <c r="CA197">
        <v>1775491856</v>
      </c>
      <c r="CB197">
        <v>1775480969.5</v>
      </c>
      <c r="CC197">
        <v>182</v>
      </c>
      <c r="CD197">
        <v>2.7E-2</v>
      </c>
      <c r="CE197">
        <v>0.19500000000000001</v>
      </c>
      <c r="CF197">
        <v>8.0039999999999996</v>
      </c>
      <c r="CG197">
        <v>-0.98899999999999999</v>
      </c>
      <c r="CH197">
        <v>33</v>
      </c>
      <c r="CI197">
        <v>-3</v>
      </c>
      <c r="CJ197">
        <v>0.17</v>
      </c>
      <c r="CK197">
        <v>0.06</v>
      </c>
      <c r="CL197">
        <v>32.63101833333333</v>
      </c>
      <c r="CM197">
        <v>-1.3338055015281329</v>
      </c>
      <c r="CN197">
        <v>0.49993942816160819</v>
      </c>
      <c r="CO197">
        <v>-1</v>
      </c>
      <c r="CP197">
        <v>499.99644999999998</v>
      </c>
      <c r="CQ197">
        <v>-0.10637288135553789</v>
      </c>
      <c r="CR197">
        <v>5.449691887314953E-2</v>
      </c>
      <c r="CS197">
        <v>-1</v>
      </c>
      <c r="CT197">
        <v>0</v>
      </c>
      <c r="CU197">
        <v>0</v>
      </c>
      <c r="CV197" t="s">
        <v>333</v>
      </c>
      <c r="CW197">
        <v>3.16744</v>
      </c>
      <c r="CX197">
        <v>2.6627900000000002</v>
      </c>
      <c r="CY197">
        <v>7.1481599999999998E-3</v>
      </c>
      <c r="CZ197">
        <v>9.6054E-3</v>
      </c>
      <c r="DA197">
        <v>2.1571199999999998E-3</v>
      </c>
      <c r="DB197">
        <v>-1.8771400000000001E-2</v>
      </c>
      <c r="DC197">
        <v>21426.799999999999</v>
      </c>
      <c r="DD197">
        <v>21760.5</v>
      </c>
      <c r="DE197">
        <v>23108.1</v>
      </c>
      <c r="DF197">
        <v>22323.9</v>
      </c>
      <c r="DG197">
        <v>29735.9</v>
      </c>
      <c r="DH197">
        <v>27123.4</v>
      </c>
      <c r="DI197">
        <v>40613.4</v>
      </c>
      <c r="DJ197">
        <v>36998.5</v>
      </c>
      <c r="DK197">
        <v>2.0926999999999998</v>
      </c>
      <c r="DL197">
        <v>1.80182</v>
      </c>
      <c r="DM197">
        <v>2.95669E-2</v>
      </c>
      <c r="DN197">
        <v>0</v>
      </c>
      <c r="DO197">
        <v>26.869499999999999</v>
      </c>
      <c r="DP197">
        <v>999.9</v>
      </c>
      <c r="DQ197">
        <v>75.2</v>
      </c>
      <c r="DR197">
        <v>30.3</v>
      </c>
      <c r="DS197">
        <v>32.506999999999998</v>
      </c>
      <c r="DT197">
        <v>30.395600000000002</v>
      </c>
      <c r="DU197">
        <v>10.2484</v>
      </c>
      <c r="DV197">
        <v>1</v>
      </c>
      <c r="DW197">
        <v>0.18445300000000001</v>
      </c>
      <c r="DX197">
        <v>-0.39255600000000002</v>
      </c>
      <c r="DY197">
        <v>20.367999999999999</v>
      </c>
      <c r="DZ197">
        <v>5.2137000000000002</v>
      </c>
      <c r="EA197">
        <v>11.8482</v>
      </c>
      <c r="EB197">
        <v>4.968</v>
      </c>
      <c r="EC197">
        <v>3.2922400000000001</v>
      </c>
      <c r="ED197">
        <v>894.7</v>
      </c>
      <c r="EE197">
        <v>0</v>
      </c>
      <c r="EF197">
        <v>9480.2999999999993</v>
      </c>
      <c r="EG197">
        <v>111.8</v>
      </c>
      <c r="EH197">
        <v>4.9715800000000003</v>
      </c>
      <c r="EI197">
        <v>1.8717999999999999</v>
      </c>
      <c r="EJ197">
        <v>1.8689499999999999</v>
      </c>
      <c r="EK197">
        <v>1.8713599999999999</v>
      </c>
      <c r="EL197">
        <v>1.86917</v>
      </c>
      <c r="EM197">
        <v>1.86809</v>
      </c>
      <c r="EN197">
        <v>1.86995</v>
      </c>
      <c r="EO197">
        <v>1.8717699999999999</v>
      </c>
      <c r="EP197">
        <v>0</v>
      </c>
      <c r="EQ197">
        <v>0</v>
      </c>
      <c r="ER197">
        <v>0</v>
      </c>
      <c r="ES197">
        <v>0</v>
      </c>
      <c r="ET197" t="s">
        <v>334</v>
      </c>
      <c r="EU197" t="s">
        <v>335</v>
      </c>
      <c r="EV197" t="s">
        <v>336</v>
      </c>
      <c r="EW197" t="s">
        <v>336</v>
      </c>
      <c r="EX197" t="s">
        <v>336</v>
      </c>
      <c r="EY197" t="s">
        <v>336</v>
      </c>
      <c r="EZ197">
        <v>0</v>
      </c>
      <c r="FA197">
        <v>100</v>
      </c>
      <c r="FB197">
        <v>100</v>
      </c>
      <c r="FC197">
        <v>8.0039999999999996</v>
      </c>
      <c r="FD197">
        <v>-0.98929999999999996</v>
      </c>
      <c r="FE197">
        <v>7.9765199999999972</v>
      </c>
      <c r="FF197">
        <v>0</v>
      </c>
      <c r="FG197">
        <v>0</v>
      </c>
      <c r="FH197">
        <v>0</v>
      </c>
      <c r="FI197">
        <v>-0.98927100000000023</v>
      </c>
      <c r="FJ197">
        <v>0</v>
      </c>
      <c r="FK197">
        <v>0</v>
      </c>
      <c r="FL197">
        <v>0</v>
      </c>
      <c r="FM197">
        <v>-1</v>
      </c>
      <c r="FN197">
        <v>-1</v>
      </c>
      <c r="FO197">
        <v>-1</v>
      </c>
      <c r="FP197">
        <v>-1</v>
      </c>
      <c r="FQ197">
        <v>0.7</v>
      </c>
      <c r="FR197">
        <v>181.2</v>
      </c>
      <c r="FS197">
        <v>0.142822</v>
      </c>
      <c r="FT197">
        <v>4.99756</v>
      </c>
      <c r="FU197">
        <v>1.5979000000000001</v>
      </c>
      <c r="FV197">
        <v>2.1533199999999999</v>
      </c>
      <c r="FW197">
        <v>1.5478499999999999</v>
      </c>
      <c r="FX197">
        <v>2.4523899999999998</v>
      </c>
      <c r="FY197">
        <v>34.5777</v>
      </c>
      <c r="FZ197">
        <v>15.410399999999999</v>
      </c>
      <c r="GA197">
        <v>3</v>
      </c>
      <c r="GB197">
        <v>499.17399999999998</v>
      </c>
      <c r="GC197">
        <v>405.19799999999998</v>
      </c>
      <c r="GD197">
        <v>28.059100000000001</v>
      </c>
      <c r="GE197">
        <v>29.587700000000002</v>
      </c>
      <c r="GF197">
        <v>30.0001</v>
      </c>
      <c r="GG197">
        <v>29.890999999999998</v>
      </c>
      <c r="GH197">
        <v>29.945399999999999</v>
      </c>
      <c r="GI197">
        <v>-1</v>
      </c>
      <c r="GJ197">
        <v>0</v>
      </c>
      <c r="GK197">
        <v>100</v>
      </c>
      <c r="GL197">
        <v>28.0609</v>
      </c>
      <c r="GM197">
        <v>432.1</v>
      </c>
      <c r="GN197">
        <v>68.912800000000004</v>
      </c>
      <c r="GO197">
        <v>102.229</v>
      </c>
      <c r="GP197">
        <v>96.540800000000004</v>
      </c>
    </row>
    <row r="198" spans="1:198" x14ac:dyDescent="0.35">
      <c r="A198">
        <v>182</v>
      </c>
      <c r="B198">
        <v>1775491900</v>
      </c>
      <c r="C198">
        <v>10861.5</v>
      </c>
      <c r="D198" t="s">
        <v>877</v>
      </c>
      <c r="E198" t="s">
        <v>878</v>
      </c>
      <c r="F198">
        <v>60</v>
      </c>
      <c r="G198">
        <v>1775491892</v>
      </c>
      <c r="H198">
        <f t="shared" si="60"/>
        <v>2.1351200223712441E-3</v>
      </c>
      <c r="I198">
        <f t="shared" si="61"/>
        <v>2.1351200223712441</v>
      </c>
      <c r="J198">
        <f t="shared" si="62"/>
        <v>0.25924467476685314</v>
      </c>
      <c r="K198">
        <f t="shared" si="63"/>
        <v>32.761238709677421</v>
      </c>
      <c r="L198">
        <f t="shared" si="64"/>
        <v>23.72346613919451</v>
      </c>
      <c r="M198">
        <f t="shared" si="65"/>
        <v>2.3795305563845961</v>
      </c>
      <c r="N198">
        <f t="shared" si="66"/>
        <v>3.2860446326556119</v>
      </c>
      <c r="O198">
        <f t="shared" si="67"/>
        <v>5.7213298347456906E-2</v>
      </c>
      <c r="P198">
        <f t="shared" si="68"/>
        <v>2.3936437657719978</v>
      </c>
      <c r="Q198">
        <f t="shared" si="69"/>
        <v>5.6464297782770421E-2</v>
      </c>
      <c r="R198">
        <f t="shared" si="70"/>
        <v>3.5356663869896138E-2</v>
      </c>
      <c r="S198">
        <f t="shared" si="71"/>
        <v>0</v>
      </c>
      <c r="T198">
        <f t="shared" si="72"/>
        <v>26.627321460119777</v>
      </c>
      <c r="U198">
        <f t="shared" si="73"/>
        <v>27.346674193548392</v>
      </c>
      <c r="V198">
        <f t="shared" si="74"/>
        <v>3.6526859604298827</v>
      </c>
      <c r="W198">
        <f t="shared" si="75"/>
        <v>-1.9889471594998602</v>
      </c>
      <c r="X198">
        <f t="shared" si="76"/>
        <v>-7.2436580612602997E-2</v>
      </c>
      <c r="Y198">
        <f t="shared" si="77"/>
        <v>3.6419560100740869</v>
      </c>
      <c r="Z198">
        <f t="shared" si="78"/>
        <v>3.7251225410424857</v>
      </c>
      <c r="AA198">
        <f t="shared" si="79"/>
        <v>-94.158792986571868</v>
      </c>
      <c r="AB198">
        <f t="shared" si="80"/>
        <v>-6.4793641930012527</v>
      </c>
      <c r="AC198">
        <f t="shared" si="81"/>
        <v>-0.58606213053689893</v>
      </c>
      <c r="AD198">
        <f t="shared" si="82"/>
        <v>-101.22421931011002</v>
      </c>
      <c r="AE198">
        <v>12</v>
      </c>
      <c r="AF198">
        <v>2</v>
      </c>
      <c r="AG198">
        <f t="shared" si="83"/>
        <v>1</v>
      </c>
      <c r="AH198">
        <f t="shared" si="84"/>
        <v>0</v>
      </c>
      <c r="AI198">
        <f t="shared" si="85"/>
        <v>25572.640039184771</v>
      </c>
      <c r="AJ198">
        <f t="shared" si="86"/>
        <v>0</v>
      </c>
      <c r="AK198">
        <f t="shared" si="87"/>
        <v>0</v>
      </c>
      <c r="AL198">
        <f t="shared" si="88"/>
        <v>0</v>
      </c>
      <c r="AM198">
        <f t="shared" si="89"/>
        <v>0</v>
      </c>
      <c r="AN198">
        <v>3</v>
      </c>
      <c r="AO198">
        <v>0.5</v>
      </c>
      <c r="AP198" t="s">
        <v>331</v>
      </c>
      <c r="AQ198">
        <v>2</v>
      </c>
      <c r="AR198">
        <v>1775491892</v>
      </c>
      <c r="AS198">
        <v>32.761238709677421</v>
      </c>
      <c r="AT198">
        <v>32.958761290322578</v>
      </c>
      <c r="AU198">
        <v>-0.72217890322580658</v>
      </c>
      <c r="AV198">
        <v>-2.0042167741935479</v>
      </c>
      <c r="AW198">
        <v>24.782238709677419</v>
      </c>
      <c r="AX198">
        <v>0.267092</v>
      </c>
      <c r="AY198">
        <v>499.98412903225812</v>
      </c>
      <c r="AZ198">
        <v>100.2611935483871</v>
      </c>
      <c r="BA198">
        <v>4.1626554838709667E-2</v>
      </c>
      <c r="BB198">
        <v>27.296464516129031</v>
      </c>
      <c r="BC198">
        <v>27.346674193548392</v>
      </c>
      <c r="BD198">
        <v>999.90000000000032</v>
      </c>
      <c r="BE198">
        <v>0</v>
      </c>
      <c r="BF198">
        <v>0</v>
      </c>
      <c r="BG198">
        <v>5001.4032258064517</v>
      </c>
      <c r="BH198">
        <v>0.3676158709677419</v>
      </c>
      <c r="BI198">
        <v>0.23331922580645159</v>
      </c>
      <c r="BJ198">
        <v>-0.17286639483870969</v>
      </c>
      <c r="BK198">
        <v>32.76223548387096</v>
      </c>
      <c r="BL198">
        <v>32.892838709677413</v>
      </c>
      <c r="BM198">
        <v>1.28203870967742</v>
      </c>
      <c r="BN198">
        <v>32.958761290322578</v>
      </c>
      <c r="BO198">
        <v>-2.0042167741935479</v>
      </c>
      <c r="BP198">
        <v>-7.2406519354838716E-2</v>
      </c>
      <c r="BQ198">
        <v>-0.20094525806451621</v>
      </c>
      <c r="BR198">
        <v>-99.900000000000034</v>
      </c>
      <c r="BS198">
        <v>-99.900000000000034</v>
      </c>
      <c r="BT198">
        <v>0</v>
      </c>
      <c r="BU198">
        <v>0</v>
      </c>
      <c r="BV198">
        <v>0</v>
      </c>
      <c r="BW198">
        <v>25</v>
      </c>
      <c r="BX198">
        <v>-1</v>
      </c>
      <c r="BY198">
        <v>1775491921</v>
      </c>
      <c r="BZ198" t="s">
        <v>879</v>
      </c>
      <c r="CA198">
        <v>1775491921</v>
      </c>
      <c r="CB198">
        <v>1775480969.5</v>
      </c>
      <c r="CC198">
        <v>183</v>
      </c>
      <c r="CD198">
        <v>-2.4E-2</v>
      </c>
      <c r="CE198">
        <v>0.19500000000000001</v>
      </c>
      <c r="CF198">
        <v>7.9790000000000001</v>
      </c>
      <c r="CG198">
        <v>-0.98899999999999999</v>
      </c>
      <c r="CH198">
        <v>33</v>
      </c>
      <c r="CI198">
        <v>-3</v>
      </c>
      <c r="CJ198">
        <v>0.33</v>
      </c>
      <c r="CK198">
        <v>0.06</v>
      </c>
      <c r="CL198">
        <v>33.247108196721307</v>
      </c>
      <c r="CM198">
        <v>-1.5540000000000009</v>
      </c>
      <c r="CN198">
        <v>0.31444048476206748</v>
      </c>
      <c r="CO198">
        <v>-1</v>
      </c>
      <c r="CP198">
        <v>499.98603278688529</v>
      </c>
      <c r="CQ198">
        <v>1.087678477026446E-2</v>
      </c>
      <c r="CR198">
        <v>4.856024387990443E-2</v>
      </c>
      <c r="CS198">
        <v>-1</v>
      </c>
      <c r="CT198">
        <v>0</v>
      </c>
      <c r="CU198">
        <v>0</v>
      </c>
      <c r="CV198" t="s">
        <v>333</v>
      </c>
      <c r="CW198">
        <v>3.16743</v>
      </c>
      <c r="CX198">
        <v>2.66289</v>
      </c>
      <c r="CY198">
        <v>7.3366899999999999E-3</v>
      </c>
      <c r="CZ198">
        <v>9.7811300000000007E-3</v>
      </c>
      <c r="DA198">
        <v>2.1867499999999999E-3</v>
      </c>
      <c r="DB198">
        <v>-1.8611300000000001E-2</v>
      </c>
      <c r="DC198">
        <v>21422.7</v>
      </c>
      <c r="DD198">
        <v>21756.5</v>
      </c>
      <c r="DE198">
        <v>23108</v>
      </c>
      <c r="DF198">
        <v>22323.7</v>
      </c>
      <c r="DG198">
        <v>29734.6</v>
      </c>
      <c r="DH198">
        <v>27118.9</v>
      </c>
      <c r="DI198">
        <v>40612.9</v>
      </c>
      <c r="DJ198">
        <v>36998.1</v>
      </c>
      <c r="DK198">
        <v>2.0925600000000002</v>
      </c>
      <c r="DL198">
        <v>1.8024800000000001</v>
      </c>
      <c r="DM198">
        <v>2.9340399999999999E-2</v>
      </c>
      <c r="DN198">
        <v>0</v>
      </c>
      <c r="DO198">
        <v>26.8627</v>
      </c>
      <c r="DP198">
        <v>999.9</v>
      </c>
      <c r="DQ198">
        <v>75.2</v>
      </c>
      <c r="DR198">
        <v>30.3</v>
      </c>
      <c r="DS198">
        <v>32.511499999999998</v>
      </c>
      <c r="DT198">
        <v>30.425599999999999</v>
      </c>
      <c r="DU198">
        <v>9.8998399999999993</v>
      </c>
      <c r="DV198">
        <v>1</v>
      </c>
      <c r="DW198">
        <v>0.18379899999999999</v>
      </c>
      <c r="DX198">
        <v>-0.42306100000000002</v>
      </c>
      <c r="DY198">
        <v>20.367799999999999</v>
      </c>
      <c r="DZ198">
        <v>5.2126200000000003</v>
      </c>
      <c r="EA198">
        <v>11.8482</v>
      </c>
      <c r="EB198">
        <v>4.9678000000000004</v>
      </c>
      <c r="EC198">
        <v>3.2921</v>
      </c>
      <c r="ED198">
        <v>894.7</v>
      </c>
      <c r="EE198">
        <v>0</v>
      </c>
      <c r="EF198">
        <v>9513</v>
      </c>
      <c r="EG198">
        <v>111.8</v>
      </c>
      <c r="EH198">
        <v>4.9715999999999996</v>
      </c>
      <c r="EI198">
        <v>1.8717999999999999</v>
      </c>
      <c r="EJ198">
        <v>1.86897</v>
      </c>
      <c r="EK198">
        <v>1.8713900000000001</v>
      </c>
      <c r="EL198">
        <v>1.86917</v>
      </c>
      <c r="EM198">
        <v>1.86812</v>
      </c>
      <c r="EN198">
        <v>1.86995</v>
      </c>
      <c r="EO198">
        <v>1.8717299999999999</v>
      </c>
      <c r="EP198">
        <v>0</v>
      </c>
      <c r="EQ198">
        <v>0</v>
      </c>
      <c r="ER198">
        <v>0</v>
      </c>
      <c r="ES198">
        <v>0</v>
      </c>
      <c r="ET198" t="s">
        <v>334</v>
      </c>
      <c r="EU198" t="s">
        <v>335</v>
      </c>
      <c r="EV198" t="s">
        <v>336</v>
      </c>
      <c r="EW198" t="s">
        <v>336</v>
      </c>
      <c r="EX198" t="s">
        <v>336</v>
      </c>
      <c r="EY198" t="s">
        <v>336</v>
      </c>
      <c r="EZ198">
        <v>0</v>
      </c>
      <c r="FA198">
        <v>100</v>
      </c>
      <c r="FB198">
        <v>100</v>
      </c>
      <c r="FC198">
        <v>7.9790000000000001</v>
      </c>
      <c r="FD198">
        <v>-0.98929999999999996</v>
      </c>
      <c r="FE198">
        <v>8.00366</v>
      </c>
      <c r="FF198">
        <v>0</v>
      </c>
      <c r="FG198">
        <v>0</v>
      </c>
      <c r="FH198">
        <v>0</v>
      </c>
      <c r="FI198">
        <v>-0.98927100000000023</v>
      </c>
      <c r="FJ198">
        <v>0</v>
      </c>
      <c r="FK198">
        <v>0</v>
      </c>
      <c r="FL198">
        <v>0</v>
      </c>
      <c r="FM198">
        <v>-1</v>
      </c>
      <c r="FN198">
        <v>-1</v>
      </c>
      <c r="FO198">
        <v>-1</v>
      </c>
      <c r="FP198">
        <v>-1</v>
      </c>
      <c r="FQ198">
        <v>0.7</v>
      </c>
      <c r="FR198">
        <v>182.2</v>
      </c>
      <c r="FS198">
        <v>0.142822</v>
      </c>
      <c r="FT198">
        <v>4.99756</v>
      </c>
      <c r="FU198">
        <v>1.5979000000000001</v>
      </c>
      <c r="FV198">
        <v>2.1533199999999999</v>
      </c>
      <c r="FW198">
        <v>1.5478499999999999</v>
      </c>
      <c r="FX198">
        <v>2.35229</v>
      </c>
      <c r="FY198">
        <v>34.5777</v>
      </c>
      <c r="FZ198">
        <v>15.4016</v>
      </c>
      <c r="GA198">
        <v>3</v>
      </c>
      <c r="GB198">
        <v>499.03300000000002</v>
      </c>
      <c r="GC198">
        <v>405.50900000000001</v>
      </c>
      <c r="GD198">
        <v>28.083300000000001</v>
      </c>
      <c r="GE198">
        <v>29.5791</v>
      </c>
      <c r="GF198">
        <v>30.0001</v>
      </c>
      <c r="GG198">
        <v>29.883400000000002</v>
      </c>
      <c r="GH198">
        <v>29.935300000000002</v>
      </c>
      <c r="GI198">
        <v>-1</v>
      </c>
      <c r="GJ198">
        <v>0</v>
      </c>
      <c r="GK198">
        <v>100</v>
      </c>
      <c r="GL198">
        <v>28.0855</v>
      </c>
      <c r="GM198">
        <v>432.1</v>
      </c>
      <c r="GN198">
        <v>68.912800000000004</v>
      </c>
      <c r="GO198">
        <v>102.22799999999999</v>
      </c>
      <c r="GP198">
        <v>96.5398</v>
      </c>
    </row>
    <row r="199" spans="1:198" x14ac:dyDescent="0.35">
      <c r="A199">
        <v>183</v>
      </c>
      <c r="B199">
        <v>1775491960</v>
      </c>
      <c r="C199">
        <v>10921.5</v>
      </c>
      <c r="D199" t="s">
        <v>880</v>
      </c>
      <c r="E199" t="s">
        <v>881</v>
      </c>
      <c r="F199">
        <v>60</v>
      </c>
      <c r="G199">
        <v>1775491952</v>
      </c>
      <c r="H199">
        <f t="shared" si="60"/>
        <v>2.1038027867707888E-3</v>
      </c>
      <c r="I199">
        <f t="shared" si="61"/>
        <v>2.1038027867707889</v>
      </c>
      <c r="J199">
        <f t="shared" si="62"/>
        <v>0.60366335252692616</v>
      </c>
      <c r="K199">
        <f t="shared" si="63"/>
        <v>33.531164516129039</v>
      </c>
      <c r="L199">
        <f t="shared" si="64"/>
        <v>14.73664028728977</v>
      </c>
      <c r="M199">
        <f t="shared" si="65"/>
        <v>1.4781005933081814</v>
      </c>
      <c r="N199">
        <f t="shared" si="66"/>
        <v>3.3632112339982787</v>
      </c>
      <c r="O199">
        <f t="shared" si="67"/>
        <v>5.6336055751956736E-2</v>
      </c>
      <c r="P199">
        <f t="shared" si="68"/>
        <v>2.3939391359891991</v>
      </c>
      <c r="Q199">
        <f t="shared" si="69"/>
        <v>5.5609778845150962E-2</v>
      </c>
      <c r="R199">
        <f t="shared" si="70"/>
        <v>3.4820584745161913E-2</v>
      </c>
      <c r="S199">
        <f t="shared" si="71"/>
        <v>0</v>
      </c>
      <c r="T199">
        <f t="shared" si="72"/>
        <v>26.639499179460099</v>
      </c>
      <c r="U199">
        <f t="shared" si="73"/>
        <v>27.351619354838711</v>
      </c>
      <c r="V199">
        <f t="shared" si="74"/>
        <v>3.6537442463817191</v>
      </c>
      <c r="W199">
        <f t="shared" si="75"/>
        <v>-2.0059751340954333</v>
      </c>
      <c r="X199">
        <f t="shared" si="76"/>
        <v>-7.3066524332533717E-2</v>
      </c>
      <c r="Y199">
        <f t="shared" si="77"/>
        <v>3.6424441704499024</v>
      </c>
      <c r="Z199">
        <f t="shared" si="78"/>
        <v>3.7268107707142528</v>
      </c>
      <c r="AA199">
        <f t="shared" si="79"/>
        <v>-92.777702896591791</v>
      </c>
      <c r="AB199">
        <f t="shared" si="80"/>
        <v>-6.8232189785726582</v>
      </c>
      <c r="AC199">
        <f t="shared" si="81"/>
        <v>-0.61711013332018161</v>
      </c>
      <c r="AD199">
        <f t="shared" si="82"/>
        <v>-100.21803200848463</v>
      </c>
      <c r="AE199">
        <v>12</v>
      </c>
      <c r="AF199">
        <v>2</v>
      </c>
      <c r="AG199">
        <f t="shared" si="83"/>
        <v>1</v>
      </c>
      <c r="AH199">
        <f t="shared" si="84"/>
        <v>0</v>
      </c>
      <c r="AI199">
        <f t="shared" si="85"/>
        <v>25577.012454388179</v>
      </c>
      <c r="AJ199">
        <f t="shared" si="86"/>
        <v>0</v>
      </c>
      <c r="AK199">
        <f t="shared" si="87"/>
        <v>0</v>
      </c>
      <c r="AL199">
        <f t="shared" si="88"/>
        <v>0</v>
      </c>
      <c r="AM199">
        <f t="shared" si="89"/>
        <v>0</v>
      </c>
      <c r="AN199">
        <v>3</v>
      </c>
      <c r="AO199">
        <v>0.5</v>
      </c>
      <c r="AP199" t="s">
        <v>331</v>
      </c>
      <c r="AQ199">
        <v>2</v>
      </c>
      <c r="AR199">
        <v>1775491952</v>
      </c>
      <c r="AS199">
        <v>33.531164516129039</v>
      </c>
      <c r="AT199">
        <v>33.935677419354839</v>
      </c>
      <c r="AU199">
        <v>-0.728472129032258</v>
      </c>
      <c r="AV199">
        <v>-1.9916393548387099</v>
      </c>
      <c r="AW199">
        <v>25.54416451612904</v>
      </c>
      <c r="AX199">
        <v>0.26079887096774201</v>
      </c>
      <c r="AY199">
        <v>500.01345161290322</v>
      </c>
      <c r="AZ199">
        <v>100.2592903225807</v>
      </c>
      <c r="BA199">
        <v>4.1766396774193547E-2</v>
      </c>
      <c r="BB199">
        <v>27.298751612903221</v>
      </c>
      <c r="BC199">
        <v>27.351619354838711</v>
      </c>
      <c r="BD199">
        <v>999.90000000000032</v>
      </c>
      <c r="BE199">
        <v>0</v>
      </c>
      <c r="BF199">
        <v>0</v>
      </c>
      <c r="BG199">
        <v>5002.2580645161288</v>
      </c>
      <c r="BH199">
        <v>0.3727632258064516</v>
      </c>
      <c r="BI199">
        <v>0.22961599999999999</v>
      </c>
      <c r="BJ199">
        <v>-0.41229677419354838</v>
      </c>
      <c r="BK199">
        <v>33.498974193548378</v>
      </c>
      <c r="BL199">
        <v>33.868232258064523</v>
      </c>
      <c r="BM199">
        <v>1.2631677419354841</v>
      </c>
      <c r="BN199">
        <v>33.935677419354839</v>
      </c>
      <c r="BO199">
        <v>-1.9916393548387099</v>
      </c>
      <c r="BP199">
        <v>-7.303612258064518E-2</v>
      </c>
      <c r="BQ199">
        <v>-0.19968038709677419</v>
      </c>
      <c r="BR199">
        <v>-99.900000000000034</v>
      </c>
      <c r="BS199">
        <v>-99.900000000000034</v>
      </c>
      <c r="BT199">
        <v>0</v>
      </c>
      <c r="BU199">
        <v>0</v>
      </c>
      <c r="BV199">
        <v>0</v>
      </c>
      <c r="BW199">
        <v>25</v>
      </c>
      <c r="BX199">
        <v>-1</v>
      </c>
      <c r="BY199">
        <v>1775491983</v>
      </c>
      <c r="BZ199" t="s">
        <v>882</v>
      </c>
      <c r="CA199">
        <v>1775491983</v>
      </c>
      <c r="CB199">
        <v>1775480969.5</v>
      </c>
      <c r="CC199">
        <v>184</v>
      </c>
      <c r="CD199">
        <v>8.0000000000000002E-3</v>
      </c>
      <c r="CE199">
        <v>0.19500000000000001</v>
      </c>
      <c r="CF199">
        <v>7.9870000000000001</v>
      </c>
      <c r="CG199">
        <v>-0.98899999999999999</v>
      </c>
      <c r="CH199">
        <v>34</v>
      </c>
      <c r="CI199">
        <v>-3</v>
      </c>
      <c r="CJ199">
        <v>0.21</v>
      </c>
      <c r="CK199">
        <v>0.06</v>
      </c>
      <c r="CL199">
        <v>33.914122950819667</v>
      </c>
      <c r="CM199">
        <v>0.93614151242729071</v>
      </c>
      <c r="CN199">
        <v>0.437719718838603</v>
      </c>
      <c r="CO199">
        <v>-1</v>
      </c>
      <c r="CP199">
        <v>500.04347540983611</v>
      </c>
      <c r="CQ199">
        <v>-0.38733791644544341</v>
      </c>
      <c r="CR199">
        <v>0.15315508122005311</v>
      </c>
      <c r="CS199">
        <v>-1</v>
      </c>
      <c r="CT199">
        <v>0</v>
      </c>
      <c r="CU199">
        <v>0</v>
      </c>
      <c r="CV199" t="s">
        <v>333</v>
      </c>
      <c r="CW199">
        <v>3.1673499999999999</v>
      </c>
      <c r="CX199">
        <v>2.6632099999999999</v>
      </c>
      <c r="CY199">
        <v>7.6135100000000004E-3</v>
      </c>
      <c r="CZ199">
        <v>1.0232E-2</v>
      </c>
      <c r="DA199">
        <v>2.1172700000000001E-3</v>
      </c>
      <c r="DB199">
        <v>-1.8471899999999999E-2</v>
      </c>
      <c r="DC199">
        <v>21417.3</v>
      </c>
      <c r="DD199">
        <v>21746.9</v>
      </c>
      <c r="DE199">
        <v>23108.6</v>
      </c>
      <c r="DF199">
        <v>22324</v>
      </c>
      <c r="DG199">
        <v>29737.599999999999</v>
      </c>
      <c r="DH199">
        <v>27115.5</v>
      </c>
      <c r="DI199">
        <v>40614.1</v>
      </c>
      <c r="DJ199">
        <v>36998.400000000001</v>
      </c>
      <c r="DK199">
        <v>2.0921799999999999</v>
      </c>
      <c r="DL199">
        <v>1.8025800000000001</v>
      </c>
      <c r="DM199">
        <v>3.02762E-2</v>
      </c>
      <c r="DN199">
        <v>0</v>
      </c>
      <c r="DO199">
        <v>26.851299999999998</v>
      </c>
      <c r="DP199">
        <v>999.9</v>
      </c>
      <c r="DQ199">
        <v>75.2</v>
      </c>
      <c r="DR199">
        <v>30.3</v>
      </c>
      <c r="DS199">
        <v>32.509300000000003</v>
      </c>
      <c r="DT199">
        <v>30.6356</v>
      </c>
      <c r="DU199">
        <v>10.3005</v>
      </c>
      <c r="DV199">
        <v>1</v>
      </c>
      <c r="DW199">
        <v>0.183173</v>
      </c>
      <c r="DX199">
        <v>-0.43424200000000002</v>
      </c>
      <c r="DY199">
        <v>20.367699999999999</v>
      </c>
      <c r="DZ199">
        <v>5.2125000000000004</v>
      </c>
      <c r="EA199">
        <v>11.8482</v>
      </c>
      <c r="EB199">
        <v>4.9678399999999998</v>
      </c>
      <c r="EC199">
        <v>3.2920600000000002</v>
      </c>
      <c r="ED199">
        <v>894.7</v>
      </c>
      <c r="EE199">
        <v>0</v>
      </c>
      <c r="EF199">
        <v>9539.7000000000007</v>
      </c>
      <c r="EG199">
        <v>111.9</v>
      </c>
      <c r="EH199">
        <v>4.97159</v>
      </c>
      <c r="EI199">
        <v>1.8717999999999999</v>
      </c>
      <c r="EJ199">
        <v>1.8690100000000001</v>
      </c>
      <c r="EK199">
        <v>1.87138</v>
      </c>
      <c r="EL199">
        <v>1.86914</v>
      </c>
      <c r="EM199">
        <v>1.8681300000000001</v>
      </c>
      <c r="EN199">
        <v>1.8699600000000001</v>
      </c>
      <c r="EO199">
        <v>1.8717299999999999</v>
      </c>
      <c r="EP199">
        <v>0</v>
      </c>
      <c r="EQ199">
        <v>0</v>
      </c>
      <c r="ER199">
        <v>0</v>
      </c>
      <c r="ES199">
        <v>0</v>
      </c>
      <c r="ET199" t="s">
        <v>334</v>
      </c>
      <c r="EU199" t="s">
        <v>335</v>
      </c>
      <c r="EV199" t="s">
        <v>336</v>
      </c>
      <c r="EW199" t="s">
        <v>336</v>
      </c>
      <c r="EX199" t="s">
        <v>336</v>
      </c>
      <c r="EY199" t="s">
        <v>336</v>
      </c>
      <c r="EZ199">
        <v>0</v>
      </c>
      <c r="FA199">
        <v>100</v>
      </c>
      <c r="FB199">
        <v>100</v>
      </c>
      <c r="FC199">
        <v>7.9870000000000001</v>
      </c>
      <c r="FD199">
        <v>-0.98929999999999996</v>
      </c>
      <c r="FE199">
        <v>7.9792200000000051</v>
      </c>
      <c r="FF199">
        <v>0</v>
      </c>
      <c r="FG199">
        <v>0</v>
      </c>
      <c r="FH199">
        <v>0</v>
      </c>
      <c r="FI199">
        <v>-0.98927100000000023</v>
      </c>
      <c r="FJ199">
        <v>0</v>
      </c>
      <c r="FK199">
        <v>0</v>
      </c>
      <c r="FL199">
        <v>0</v>
      </c>
      <c r="FM199">
        <v>-1</v>
      </c>
      <c r="FN199">
        <v>-1</v>
      </c>
      <c r="FO199">
        <v>-1</v>
      </c>
      <c r="FP199">
        <v>-1</v>
      </c>
      <c r="FQ199">
        <v>0.7</v>
      </c>
      <c r="FR199">
        <v>183.2</v>
      </c>
      <c r="FS199">
        <v>0.142822</v>
      </c>
      <c r="FT199">
        <v>4.99756</v>
      </c>
      <c r="FU199">
        <v>1.5979000000000001</v>
      </c>
      <c r="FV199">
        <v>2.1533199999999999</v>
      </c>
      <c r="FW199">
        <v>1.5478499999999999</v>
      </c>
      <c r="FX199">
        <v>2.4108900000000002</v>
      </c>
      <c r="FY199">
        <v>34.554900000000004</v>
      </c>
      <c r="FZ199">
        <v>15.4016</v>
      </c>
      <c r="GA199">
        <v>3</v>
      </c>
      <c r="GB199">
        <v>498.75299999999999</v>
      </c>
      <c r="GC199">
        <v>405.517</v>
      </c>
      <c r="GD199">
        <v>28.107099999999999</v>
      </c>
      <c r="GE199">
        <v>29.5715</v>
      </c>
      <c r="GF199">
        <v>30.0001</v>
      </c>
      <c r="GG199">
        <v>29.875699999999998</v>
      </c>
      <c r="GH199">
        <v>29.927800000000001</v>
      </c>
      <c r="GI199">
        <v>-1</v>
      </c>
      <c r="GJ199">
        <v>0</v>
      </c>
      <c r="GK199">
        <v>100</v>
      </c>
      <c r="GL199">
        <v>28.107199999999999</v>
      </c>
      <c r="GM199">
        <v>432.1</v>
      </c>
      <c r="GN199">
        <v>68.912800000000004</v>
      </c>
      <c r="GO199">
        <v>102.23</v>
      </c>
      <c r="GP199">
        <v>96.540800000000004</v>
      </c>
    </row>
    <row r="200" spans="1:198" x14ac:dyDescent="0.35">
      <c r="A200">
        <v>184</v>
      </c>
      <c r="B200">
        <v>1775492020</v>
      </c>
      <c r="C200">
        <v>10981.5</v>
      </c>
      <c r="D200" t="s">
        <v>883</v>
      </c>
      <c r="E200" t="s">
        <v>884</v>
      </c>
      <c r="F200">
        <v>60</v>
      </c>
      <c r="G200">
        <v>1775492012</v>
      </c>
      <c r="H200">
        <f t="shared" si="60"/>
        <v>2.0803327347596835E-3</v>
      </c>
      <c r="I200">
        <f t="shared" si="61"/>
        <v>2.0803327347596836</v>
      </c>
      <c r="J200">
        <f t="shared" si="62"/>
        <v>0.65329994618979925</v>
      </c>
      <c r="K200">
        <f t="shared" si="63"/>
        <v>33.327199999999998</v>
      </c>
      <c r="L200">
        <f t="shared" si="64"/>
        <v>12.953214594569296</v>
      </c>
      <c r="M200">
        <f t="shared" si="65"/>
        <v>1.2991796134089195</v>
      </c>
      <c r="N200">
        <f t="shared" si="66"/>
        <v>3.342646606824121</v>
      </c>
      <c r="O200">
        <f t="shared" si="67"/>
        <v>5.5694339860537428E-2</v>
      </c>
      <c r="P200">
        <f t="shared" si="68"/>
        <v>2.3933002911157684</v>
      </c>
      <c r="Q200">
        <f t="shared" si="69"/>
        <v>5.4984215210948942E-2</v>
      </c>
      <c r="R200">
        <f t="shared" si="70"/>
        <v>3.4428181966425497E-2</v>
      </c>
      <c r="S200">
        <f t="shared" si="71"/>
        <v>0</v>
      </c>
      <c r="T200">
        <f t="shared" si="72"/>
        <v>26.646297241199385</v>
      </c>
      <c r="U200">
        <f t="shared" si="73"/>
        <v>27.351674193548391</v>
      </c>
      <c r="V200">
        <f t="shared" si="74"/>
        <v>3.6537559836033533</v>
      </c>
      <c r="W200">
        <f t="shared" si="75"/>
        <v>-2.0121206392241953</v>
      </c>
      <c r="X200">
        <f t="shared" si="76"/>
        <v>-7.3288666820603685E-2</v>
      </c>
      <c r="Y200">
        <f t="shared" si="77"/>
        <v>3.6423594784486322</v>
      </c>
      <c r="Z200">
        <f t="shared" si="78"/>
        <v>3.7270446504239572</v>
      </c>
      <c r="AA200">
        <f t="shared" si="79"/>
        <v>-91.742673602902045</v>
      </c>
      <c r="AB200">
        <f t="shared" si="80"/>
        <v>-6.8796686706949011</v>
      </c>
      <c r="AC200">
        <f t="shared" si="81"/>
        <v>-0.62238061961236368</v>
      </c>
      <c r="AD200">
        <f t="shared" si="82"/>
        <v>-99.2447228932093</v>
      </c>
      <c r="AE200">
        <v>12</v>
      </c>
      <c r="AF200">
        <v>2</v>
      </c>
      <c r="AG200">
        <f t="shared" si="83"/>
        <v>1</v>
      </c>
      <c r="AH200">
        <f t="shared" si="84"/>
        <v>0</v>
      </c>
      <c r="AI200">
        <f t="shared" si="85"/>
        <v>25567.343520385897</v>
      </c>
      <c r="AJ200">
        <f t="shared" si="86"/>
        <v>0</v>
      </c>
      <c r="AK200">
        <f t="shared" si="87"/>
        <v>0</v>
      </c>
      <c r="AL200">
        <f t="shared" si="88"/>
        <v>0</v>
      </c>
      <c r="AM200">
        <f t="shared" si="89"/>
        <v>0</v>
      </c>
      <c r="AN200">
        <v>3</v>
      </c>
      <c r="AO200">
        <v>0.5</v>
      </c>
      <c r="AP200" t="s">
        <v>331</v>
      </c>
      <c r="AQ200">
        <v>2</v>
      </c>
      <c r="AR200">
        <v>1775492012</v>
      </c>
      <c r="AS200">
        <v>33.327199999999998</v>
      </c>
      <c r="AT200">
        <v>33.760780645161297</v>
      </c>
      <c r="AU200">
        <v>-0.73071022580645162</v>
      </c>
      <c r="AV200">
        <v>-1.979826774193548</v>
      </c>
      <c r="AW200">
        <v>25.308199999999999</v>
      </c>
      <c r="AX200">
        <v>0.25856077419354839</v>
      </c>
      <c r="AY200">
        <v>499.99806451612892</v>
      </c>
      <c r="AZ200">
        <v>100.259</v>
      </c>
      <c r="BA200">
        <v>3.8853009677419351E-2</v>
      </c>
      <c r="BB200">
        <v>27.29835483870967</v>
      </c>
      <c r="BC200">
        <v>27.351674193548391</v>
      </c>
      <c r="BD200">
        <v>999.90000000000032</v>
      </c>
      <c r="BE200">
        <v>0</v>
      </c>
      <c r="BF200">
        <v>0</v>
      </c>
      <c r="BG200">
        <v>5000.6290322580644</v>
      </c>
      <c r="BH200">
        <v>0.33503516129032263</v>
      </c>
      <c r="BI200">
        <v>0.22961599999999999</v>
      </c>
      <c r="BJ200">
        <v>-0.46562367741935479</v>
      </c>
      <c r="BK200">
        <v>33.270851612903229</v>
      </c>
      <c r="BL200">
        <v>33.694070967741943</v>
      </c>
      <c r="BM200">
        <v>1.249115483870967</v>
      </c>
      <c r="BN200">
        <v>33.760780645161297</v>
      </c>
      <c r="BO200">
        <v>-1.979826774193548</v>
      </c>
      <c r="BP200">
        <v>-7.3260283870967752E-2</v>
      </c>
      <c r="BQ200">
        <v>-0.19849545161290319</v>
      </c>
      <c r="BR200">
        <v>-99.900000000000034</v>
      </c>
      <c r="BS200">
        <v>-99.900000000000034</v>
      </c>
      <c r="BT200">
        <v>0</v>
      </c>
      <c r="BU200">
        <v>0</v>
      </c>
      <c r="BV200">
        <v>0</v>
      </c>
      <c r="BW200">
        <v>25</v>
      </c>
      <c r="BX200">
        <v>-1</v>
      </c>
      <c r="BY200">
        <v>1775492040</v>
      </c>
      <c r="BZ200" t="s">
        <v>885</v>
      </c>
      <c r="CA200">
        <v>1775492040</v>
      </c>
      <c r="CB200">
        <v>1775480969.5</v>
      </c>
      <c r="CC200">
        <v>185</v>
      </c>
      <c r="CD200">
        <v>3.2000000000000001E-2</v>
      </c>
      <c r="CE200">
        <v>0.19500000000000001</v>
      </c>
      <c r="CF200">
        <v>8.0190000000000001</v>
      </c>
      <c r="CG200">
        <v>-0.98899999999999999</v>
      </c>
      <c r="CH200">
        <v>36</v>
      </c>
      <c r="CI200">
        <v>-3</v>
      </c>
      <c r="CJ200">
        <v>0.24</v>
      </c>
      <c r="CK200">
        <v>0.06</v>
      </c>
      <c r="CL200">
        <v>33.757956666666672</v>
      </c>
      <c r="CM200">
        <v>4.6260850236195888E-2</v>
      </c>
      <c r="CN200">
        <v>7.3583982330093625E-2</v>
      </c>
      <c r="CO200">
        <v>-1</v>
      </c>
      <c r="CP200">
        <v>500.1049000000001</v>
      </c>
      <c r="CQ200">
        <v>-1.1442711864403821</v>
      </c>
      <c r="CR200">
        <v>0.36501660692814258</v>
      </c>
      <c r="CS200">
        <v>-1</v>
      </c>
      <c r="CT200">
        <v>0</v>
      </c>
      <c r="CU200">
        <v>0</v>
      </c>
      <c r="CV200" t="s">
        <v>333</v>
      </c>
      <c r="CW200">
        <v>3.16751</v>
      </c>
      <c r="CX200">
        <v>2.66004</v>
      </c>
      <c r="CY200">
        <v>7.5713400000000002E-3</v>
      </c>
      <c r="CZ200">
        <v>1.01505E-2</v>
      </c>
      <c r="DA200">
        <v>2.1324099999999999E-3</v>
      </c>
      <c r="DB200">
        <v>-1.8358599999999999E-2</v>
      </c>
      <c r="DC200">
        <v>21418.3</v>
      </c>
      <c r="DD200">
        <v>21748.7</v>
      </c>
      <c r="DE200">
        <v>23108.6</v>
      </c>
      <c r="DF200">
        <v>22324</v>
      </c>
      <c r="DG200">
        <v>29737</v>
      </c>
      <c r="DH200">
        <v>27112.799999999999</v>
      </c>
      <c r="DI200">
        <v>40613.9</v>
      </c>
      <c r="DJ200">
        <v>36998.9</v>
      </c>
      <c r="DK200">
        <v>2.0925799999999999</v>
      </c>
      <c r="DL200">
        <v>1.80206</v>
      </c>
      <c r="DM200">
        <v>3.0603999999999999E-2</v>
      </c>
      <c r="DN200">
        <v>0</v>
      </c>
      <c r="DO200">
        <v>26.846699999999998</v>
      </c>
      <c r="DP200">
        <v>999.9</v>
      </c>
      <c r="DQ200">
        <v>75.3</v>
      </c>
      <c r="DR200">
        <v>30.3</v>
      </c>
      <c r="DS200">
        <v>32.555999999999997</v>
      </c>
      <c r="DT200">
        <v>30.4556</v>
      </c>
      <c r="DU200">
        <v>9.3950300000000002</v>
      </c>
      <c r="DV200">
        <v>1</v>
      </c>
      <c r="DW200">
        <v>0.182447</v>
      </c>
      <c r="DX200">
        <v>-0.45338099999999998</v>
      </c>
      <c r="DY200">
        <v>20.367799999999999</v>
      </c>
      <c r="DZ200">
        <v>5.21286</v>
      </c>
      <c r="EA200">
        <v>11.8482</v>
      </c>
      <c r="EB200">
        <v>4.9677199999999999</v>
      </c>
      <c r="EC200">
        <v>3.2921</v>
      </c>
      <c r="ED200">
        <v>894.7</v>
      </c>
      <c r="EE200">
        <v>0</v>
      </c>
      <c r="EF200">
        <v>9572.2000000000007</v>
      </c>
      <c r="EG200">
        <v>111.9</v>
      </c>
      <c r="EH200">
        <v>4.97159</v>
      </c>
      <c r="EI200">
        <v>1.8717999999999999</v>
      </c>
      <c r="EJ200">
        <v>1.86894</v>
      </c>
      <c r="EK200">
        <v>1.8713900000000001</v>
      </c>
      <c r="EL200">
        <v>1.8691500000000001</v>
      </c>
      <c r="EM200">
        <v>1.8681000000000001</v>
      </c>
      <c r="EN200">
        <v>1.8699399999999999</v>
      </c>
      <c r="EO200">
        <v>1.8717600000000001</v>
      </c>
      <c r="EP200">
        <v>0</v>
      </c>
      <c r="EQ200">
        <v>0</v>
      </c>
      <c r="ER200">
        <v>0</v>
      </c>
      <c r="ES200">
        <v>0</v>
      </c>
      <c r="ET200" t="s">
        <v>334</v>
      </c>
      <c r="EU200" t="s">
        <v>335</v>
      </c>
      <c r="EV200" t="s">
        <v>336</v>
      </c>
      <c r="EW200" t="s">
        <v>336</v>
      </c>
      <c r="EX200" t="s">
        <v>336</v>
      </c>
      <c r="EY200" t="s">
        <v>336</v>
      </c>
      <c r="EZ200">
        <v>0</v>
      </c>
      <c r="FA200">
        <v>100</v>
      </c>
      <c r="FB200">
        <v>100</v>
      </c>
      <c r="FC200">
        <v>8.0190000000000001</v>
      </c>
      <c r="FD200">
        <v>-0.98929999999999996</v>
      </c>
      <c r="FE200">
        <v>7.9869550000000018</v>
      </c>
      <c r="FF200">
        <v>0</v>
      </c>
      <c r="FG200">
        <v>0</v>
      </c>
      <c r="FH200">
        <v>0</v>
      </c>
      <c r="FI200">
        <v>-0.98927100000000023</v>
      </c>
      <c r="FJ200">
        <v>0</v>
      </c>
      <c r="FK200">
        <v>0</v>
      </c>
      <c r="FL200">
        <v>0</v>
      </c>
      <c r="FM200">
        <v>-1</v>
      </c>
      <c r="FN200">
        <v>-1</v>
      </c>
      <c r="FO200">
        <v>-1</v>
      </c>
      <c r="FP200">
        <v>-1</v>
      </c>
      <c r="FQ200">
        <v>0.6</v>
      </c>
      <c r="FR200">
        <v>184.2</v>
      </c>
      <c r="FS200">
        <v>0.142822</v>
      </c>
      <c r="FT200">
        <v>4.99756</v>
      </c>
      <c r="FU200">
        <v>1.5979000000000001</v>
      </c>
      <c r="FV200">
        <v>2.1533199999999999</v>
      </c>
      <c r="FW200">
        <v>1.5478499999999999</v>
      </c>
      <c r="FX200">
        <v>2.4401899999999999</v>
      </c>
      <c r="FY200">
        <v>34.5321</v>
      </c>
      <c r="FZ200">
        <v>15.392899999999999</v>
      </c>
      <c r="GA200">
        <v>3</v>
      </c>
      <c r="GB200">
        <v>498.90699999999998</v>
      </c>
      <c r="GC200">
        <v>405.15300000000002</v>
      </c>
      <c r="GD200">
        <v>28.126999999999999</v>
      </c>
      <c r="GE200">
        <v>29.5623</v>
      </c>
      <c r="GF200">
        <v>30</v>
      </c>
      <c r="GG200">
        <v>29.865600000000001</v>
      </c>
      <c r="GH200">
        <v>29.9176</v>
      </c>
      <c r="GI200">
        <v>-1</v>
      </c>
      <c r="GJ200">
        <v>0</v>
      </c>
      <c r="GK200">
        <v>100</v>
      </c>
      <c r="GL200">
        <v>28.1267</v>
      </c>
      <c r="GM200">
        <v>432.1</v>
      </c>
      <c r="GN200">
        <v>68.912800000000004</v>
      </c>
      <c r="GO200">
        <v>102.23</v>
      </c>
      <c r="GP200">
        <v>96.541600000000003</v>
      </c>
    </row>
    <row r="201" spans="1:198" x14ac:dyDescent="0.35">
      <c r="A201">
        <v>185</v>
      </c>
      <c r="B201">
        <v>1775492080</v>
      </c>
      <c r="C201">
        <v>11041.5</v>
      </c>
      <c r="D201" t="s">
        <v>886</v>
      </c>
      <c r="E201" t="s">
        <v>887</v>
      </c>
      <c r="F201">
        <v>60</v>
      </c>
      <c r="G201">
        <v>1775492072</v>
      </c>
      <c r="H201">
        <f t="shared" si="60"/>
        <v>2.0799438321080876E-3</v>
      </c>
      <c r="I201">
        <f t="shared" si="61"/>
        <v>2.0799438321080874</v>
      </c>
      <c r="J201">
        <f t="shared" si="62"/>
        <v>0.92474166718113737</v>
      </c>
      <c r="K201">
        <f t="shared" si="63"/>
        <v>34.095658064516122</v>
      </c>
      <c r="L201">
        <f t="shared" si="64"/>
        <v>6.0270563340989396</v>
      </c>
      <c r="M201">
        <f t="shared" si="65"/>
        <v>0.6044931820277194</v>
      </c>
      <c r="N201">
        <f t="shared" si="66"/>
        <v>3.419678147048506</v>
      </c>
      <c r="O201">
        <f t="shared" si="67"/>
        <v>5.57013307657898E-2</v>
      </c>
      <c r="P201">
        <f t="shared" si="68"/>
        <v>2.3926802561219653</v>
      </c>
      <c r="Q201">
        <f t="shared" si="69"/>
        <v>5.4990847523375554E-2</v>
      </c>
      <c r="R201">
        <f t="shared" si="70"/>
        <v>3.4432358712910838E-2</v>
      </c>
      <c r="S201">
        <f t="shared" si="71"/>
        <v>0</v>
      </c>
      <c r="T201">
        <f t="shared" si="72"/>
        <v>26.652728994877133</v>
      </c>
      <c r="U201">
        <f t="shared" si="73"/>
        <v>27.358251612903231</v>
      </c>
      <c r="V201">
        <f t="shared" si="74"/>
        <v>3.6551639984669193</v>
      </c>
      <c r="W201">
        <f t="shared" si="75"/>
        <v>-1.9378258034881961</v>
      </c>
      <c r="X201">
        <f t="shared" si="76"/>
        <v>-7.0609311913154379E-2</v>
      </c>
      <c r="Y201">
        <f t="shared" si="77"/>
        <v>3.6437388637334496</v>
      </c>
      <c r="Z201">
        <f t="shared" si="78"/>
        <v>3.7257733103800739</v>
      </c>
      <c r="AA201">
        <f t="shared" si="79"/>
        <v>-91.725522995966671</v>
      </c>
      <c r="AB201">
        <f t="shared" si="80"/>
        <v>-6.8928663162620447</v>
      </c>
      <c r="AC201">
        <f t="shared" si="81"/>
        <v>-0.62377677897220585</v>
      </c>
      <c r="AD201">
        <f t="shared" si="82"/>
        <v>-99.242166091200914</v>
      </c>
      <c r="AE201">
        <v>12</v>
      </c>
      <c r="AF201">
        <v>2</v>
      </c>
      <c r="AG201">
        <f t="shared" si="83"/>
        <v>1</v>
      </c>
      <c r="AH201">
        <f t="shared" si="84"/>
        <v>0</v>
      </c>
      <c r="AI201">
        <f t="shared" si="85"/>
        <v>25557.415796805333</v>
      </c>
      <c r="AJ201">
        <f t="shared" si="86"/>
        <v>0</v>
      </c>
      <c r="AK201">
        <f t="shared" si="87"/>
        <v>0</v>
      </c>
      <c r="AL201">
        <f t="shared" si="88"/>
        <v>0</v>
      </c>
      <c r="AM201">
        <f t="shared" si="89"/>
        <v>0</v>
      </c>
      <c r="AN201">
        <v>3</v>
      </c>
      <c r="AO201">
        <v>0.5</v>
      </c>
      <c r="AP201" t="s">
        <v>331</v>
      </c>
      <c r="AQ201">
        <v>2</v>
      </c>
      <c r="AR201">
        <v>1775492072</v>
      </c>
      <c r="AS201">
        <v>34.095658064516122</v>
      </c>
      <c r="AT201">
        <v>34.693054838709678</v>
      </c>
      <c r="AU201">
        <v>-0.70400512903225809</v>
      </c>
      <c r="AV201">
        <v>-1.952853225806451</v>
      </c>
      <c r="AW201">
        <v>26.059658064516121</v>
      </c>
      <c r="AX201">
        <v>0.28526583870967742</v>
      </c>
      <c r="AY201">
        <v>499.9987096774193</v>
      </c>
      <c r="AZ201">
        <v>100.25774193548381</v>
      </c>
      <c r="BA201">
        <v>3.8845406451612913E-2</v>
      </c>
      <c r="BB201">
        <v>27.30481612903225</v>
      </c>
      <c r="BC201">
        <v>27.358251612903231</v>
      </c>
      <c r="BD201">
        <v>999.90000000000032</v>
      </c>
      <c r="BE201">
        <v>0</v>
      </c>
      <c r="BF201">
        <v>0</v>
      </c>
      <c r="BG201">
        <v>4999.0967741935483</v>
      </c>
      <c r="BH201">
        <v>0.37803309677419361</v>
      </c>
      <c r="BI201">
        <v>0.22961599999999999</v>
      </c>
      <c r="BJ201">
        <v>-0.6148597741935482</v>
      </c>
      <c r="BK201">
        <v>34.054229032258057</v>
      </c>
      <c r="BL201">
        <v>34.625448387096768</v>
      </c>
      <c r="BM201">
        <v>1.2488470967741929</v>
      </c>
      <c r="BN201">
        <v>34.693054838709678</v>
      </c>
      <c r="BO201">
        <v>-1.952853225806451</v>
      </c>
      <c r="BP201">
        <v>-7.0581964516129039E-2</v>
      </c>
      <c r="BQ201">
        <v>-0.1957887419354839</v>
      </c>
      <c r="BR201">
        <v>-99.900000000000034</v>
      </c>
      <c r="BS201">
        <v>-99.900000000000034</v>
      </c>
      <c r="BT201">
        <v>0</v>
      </c>
      <c r="BU201">
        <v>0</v>
      </c>
      <c r="BV201">
        <v>0</v>
      </c>
      <c r="BW201">
        <v>25</v>
      </c>
      <c r="BX201">
        <v>-1</v>
      </c>
      <c r="BY201">
        <v>1775492098</v>
      </c>
      <c r="BZ201" t="s">
        <v>888</v>
      </c>
      <c r="CA201">
        <v>1775492098</v>
      </c>
      <c r="CB201">
        <v>1775480969.5</v>
      </c>
      <c r="CC201">
        <v>186</v>
      </c>
      <c r="CD201">
        <v>1.7999999999999999E-2</v>
      </c>
      <c r="CE201">
        <v>0.19500000000000001</v>
      </c>
      <c r="CF201">
        <v>8.0359999999999996</v>
      </c>
      <c r="CG201">
        <v>-0.98899999999999999</v>
      </c>
      <c r="CH201">
        <v>36</v>
      </c>
      <c r="CI201">
        <v>-3</v>
      </c>
      <c r="CJ201">
        <v>0.25</v>
      </c>
      <c r="CK201">
        <v>0.06</v>
      </c>
      <c r="CL201">
        <v>34.428134999999997</v>
      </c>
      <c r="CM201">
        <v>1.909370047235406</v>
      </c>
      <c r="CN201">
        <v>0.37026100155836011</v>
      </c>
      <c r="CO201">
        <v>-1</v>
      </c>
      <c r="CP201">
        <v>499.99646666666672</v>
      </c>
      <c r="CQ201">
        <v>5.67090858582203E-2</v>
      </c>
      <c r="CR201">
        <v>5.3899123884862551E-2</v>
      </c>
      <c r="CS201">
        <v>-1</v>
      </c>
      <c r="CT201">
        <v>0</v>
      </c>
      <c r="CU201">
        <v>0</v>
      </c>
      <c r="CV201" t="s">
        <v>333</v>
      </c>
      <c r="CW201">
        <v>3.1674199999999999</v>
      </c>
      <c r="CX201">
        <v>2.66025</v>
      </c>
      <c r="CY201">
        <v>7.8235700000000002E-3</v>
      </c>
      <c r="CZ201">
        <v>1.0487099999999999E-2</v>
      </c>
      <c r="DA201">
        <v>2.2865699999999999E-3</v>
      </c>
      <c r="DB201">
        <v>-1.8146900000000001E-2</v>
      </c>
      <c r="DC201">
        <v>21412.7</v>
      </c>
      <c r="DD201">
        <v>21741.200000000001</v>
      </c>
      <c r="DE201">
        <v>23108.5</v>
      </c>
      <c r="DF201">
        <v>22323.8</v>
      </c>
      <c r="DG201">
        <v>29732.2</v>
      </c>
      <c r="DH201">
        <v>27106.799999999999</v>
      </c>
      <c r="DI201">
        <v>40613.599999999999</v>
      </c>
      <c r="DJ201">
        <v>36998.400000000001</v>
      </c>
      <c r="DK201">
        <v>2.0927600000000002</v>
      </c>
      <c r="DL201">
        <v>1.80318</v>
      </c>
      <c r="DM201">
        <v>3.0583099999999998E-2</v>
      </c>
      <c r="DN201">
        <v>0</v>
      </c>
      <c r="DO201">
        <v>26.8581</v>
      </c>
      <c r="DP201">
        <v>999.9</v>
      </c>
      <c r="DQ201">
        <v>75.3</v>
      </c>
      <c r="DR201">
        <v>30.3</v>
      </c>
      <c r="DS201">
        <v>32.557299999999998</v>
      </c>
      <c r="DT201">
        <v>30.785599999999999</v>
      </c>
      <c r="DU201">
        <v>9.5993600000000008</v>
      </c>
      <c r="DV201">
        <v>1</v>
      </c>
      <c r="DW201">
        <v>0.18195500000000001</v>
      </c>
      <c r="DX201">
        <v>-0.34679500000000002</v>
      </c>
      <c r="DY201">
        <v>20.368300000000001</v>
      </c>
      <c r="DZ201">
        <v>5.2110599999999998</v>
      </c>
      <c r="EA201">
        <v>11.8482</v>
      </c>
      <c r="EB201">
        <v>4.9678800000000001</v>
      </c>
      <c r="EC201">
        <v>3.2921999999999998</v>
      </c>
      <c r="ED201">
        <v>894.7</v>
      </c>
      <c r="EE201">
        <v>0</v>
      </c>
      <c r="EF201">
        <v>9605</v>
      </c>
      <c r="EG201">
        <v>111.9</v>
      </c>
      <c r="EH201">
        <v>4.9716300000000002</v>
      </c>
      <c r="EI201">
        <v>1.8717999999999999</v>
      </c>
      <c r="EJ201">
        <v>1.8689899999999999</v>
      </c>
      <c r="EK201">
        <v>1.8714</v>
      </c>
      <c r="EL201">
        <v>1.8691500000000001</v>
      </c>
      <c r="EM201">
        <v>1.86809</v>
      </c>
      <c r="EN201">
        <v>1.8699399999999999</v>
      </c>
      <c r="EO201">
        <v>1.8717600000000001</v>
      </c>
      <c r="EP201">
        <v>0</v>
      </c>
      <c r="EQ201">
        <v>0</v>
      </c>
      <c r="ER201">
        <v>0</v>
      </c>
      <c r="ES201">
        <v>0</v>
      </c>
      <c r="ET201" t="s">
        <v>334</v>
      </c>
      <c r="EU201" t="s">
        <v>335</v>
      </c>
      <c r="EV201" t="s">
        <v>336</v>
      </c>
      <c r="EW201" t="s">
        <v>336</v>
      </c>
      <c r="EX201" t="s">
        <v>336</v>
      </c>
      <c r="EY201" t="s">
        <v>336</v>
      </c>
      <c r="EZ201">
        <v>0</v>
      </c>
      <c r="FA201">
        <v>100</v>
      </c>
      <c r="FB201">
        <v>100</v>
      </c>
      <c r="FC201">
        <v>8.0359999999999996</v>
      </c>
      <c r="FD201">
        <v>-0.98929999999999996</v>
      </c>
      <c r="FE201">
        <v>8.0185450000000031</v>
      </c>
      <c r="FF201">
        <v>0</v>
      </c>
      <c r="FG201">
        <v>0</v>
      </c>
      <c r="FH201">
        <v>0</v>
      </c>
      <c r="FI201">
        <v>-0.98927100000000023</v>
      </c>
      <c r="FJ201">
        <v>0</v>
      </c>
      <c r="FK201">
        <v>0</v>
      </c>
      <c r="FL201">
        <v>0</v>
      </c>
      <c r="FM201">
        <v>-1</v>
      </c>
      <c r="FN201">
        <v>-1</v>
      </c>
      <c r="FO201">
        <v>-1</v>
      </c>
      <c r="FP201">
        <v>-1</v>
      </c>
      <c r="FQ201">
        <v>0.7</v>
      </c>
      <c r="FR201">
        <v>185.2</v>
      </c>
      <c r="FS201">
        <v>0.142822</v>
      </c>
      <c r="FT201">
        <v>4.99756</v>
      </c>
      <c r="FU201">
        <v>1.5979000000000001</v>
      </c>
      <c r="FV201">
        <v>2.1533199999999999</v>
      </c>
      <c r="FW201">
        <v>1.5478499999999999</v>
      </c>
      <c r="FX201">
        <v>2.36206</v>
      </c>
      <c r="FY201">
        <v>34.5321</v>
      </c>
      <c r="FZ201">
        <v>15.3841</v>
      </c>
      <c r="GA201">
        <v>3</v>
      </c>
      <c r="GB201">
        <v>498.952</v>
      </c>
      <c r="GC201">
        <v>405.745</v>
      </c>
      <c r="GD201">
        <v>28.045300000000001</v>
      </c>
      <c r="GE201">
        <v>29.557200000000002</v>
      </c>
      <c r="GF201">
        <v>30.0001</v>
      </c>
      <c r="GG201">
        <v>29.858000000000001</v>
      </c>
      <c r="GH201">
        <v>29.9102</v>
      </c>
      <c r="GI201">
        <v>-1</v>
      </c>
      <c r="GJ201">
        <v>0</v>
      </c>
      <c r="GK201">
        <v>100</v>
      </c>
      <c r="GL201">
        <v>28.043399999999998</v>
      </c>
      <c r="GM201">
        <v>432.1</v>
      </c>
      <c r="GN201">
        <v>68.912800000000004</v>
      </c>
      <c r="GO201">
        <v>102.229</v>
      </c>
      <c r="GP201">
        <v>96.540499999999994</v>
      </c>
    </row>
    <row r="202" spans="1:198" x14ac:dyDescent="0.35">
      <c r="A202">
        <v>186</v>
      </c>
      <c r="B202">
        <v>1775492140</v>
      </c>
      <c r="C202">
        <v>11101.5</v>
      </c>
      <c r="D202" t="s">
        <v>889</v>
      </c>
      <c r="E202" t="s">
        <v>890</v>
      </c>
      <c r="F202">
        <v>60</v>
      </c>
      <c r="G202">
        <v>1775492132</v>
      </c>
      <c r="H202">
        <f t="shared" si="60"/>
        <v>2.0629449780083268E-3</v>
      </c>
      <c r="I202">
        <f t="shared" si="61"/>
        <v>2.0629449780083267</v>
      </c>
      <c r="J202">
        <f t="shared" si="62"/>
        <v>0.17261143360223896</v>
      </c>
      <c r="K202">
        <f t="shared" si="63"/>
        <v>36.060290322580641</v>
      </c>
      <c r="L202">
        <f t="shared" si="64"/>
        <v>29.040023402599832</v>
      </c>
      <c r="M202">
        <f t="shared" si="65"/>
        <v>2.9126111887803416</v>
      </c>
      <c r="N202">
        <f t="shared" si="66"/>
        <v>3.6167190228508215</v>
      </c>
      <c r="O202">
        <f t="shared" si="67"/>
        <v>5.5243376188268564E-2</v>
      </c>
      <c r="P202">
        <f t="shared" si="68"/>
        <v>2.3945936723879941</v>
      </c>
      <c r="Q202">
        <f t="shared" si="69"/>
        <v>5.4544999368303378E-2</v>
      </c>
      <c r="R202">
        <f t="shared" si="70"/>
        <v>3.4152635358194898E-2</v>
      </c>
      <c r="S202">
        <f t="shared" si="71"/>
        <v>0</v>
      </c>
      <c r="T202">
        <f t="shared" si="72"/>
        <v>26.651851295629456</v>
      </c>
      <c r="U202">
        <f t="shared" si="73"/>
        <v>27.353829032258059</v>
      </c>
      <c r="V202">
        <f t="shared" si="74"/>
        <v>3.6542172134228368</v>
      </c>
      <c r="W202">
        <f t="shared" si="75"/>
        <v>-1.9585929875548382</v>
      </c>
      <c r="X202">
        <f t="shared" si="76"/>
        <v>-7.13380937820835E-2</v>
      </c>
      <c r="Y202">
        <f t="shared" si="77"/>
        <v>3.6423133461303747</v>
      </c>
      <c r="Z202">
        <f t="shared" si="78"/>
        <v>3.7255553072049201</v>
      </c>
      <c r="AA202">
        <f t="shared" si="79"/>
        <v>-90.975873530167206</v>
      </c>
      <c r="AB202">
        <f t="shared" si="80"/>
        <v>-7.1894721784237614</v>
      </c>
      <c r="AC202">
        <f t="shared" si="81"/>
        <v>-0.6500625002926308</v>
      </c>
      <c r="AD202">
        <f t="shared" si="82"/>
        <v>-98.815408208883596</v>
      </c>
      <c r="AE202">
        <v>12</v>
      </c>
      <c r="AF202">
        <v>2</v>
      </c>
      <c r="AG202">
        <f t="shared" si="83"/>
        <v>1</v>
      </c>
      <c r="AH202">
        <f t="shared" si="84"/>
        <v>0</v>
      </c>
      <c r="AI202">
        <f t="shared" si="85"/>
        <v>25587.089765283836</v>
      </c>
      <c r="AJ202">
        <f t="shared" si="86"/>
        <v>0</v>
      </c>
      <c r="AK202">
        <f t="shared" si="87"/>
        <v>0</v>
      </c>
      <c r="AL202">
        <f t="shared" si="88"/>
        <v>0</v>
      </c>
      <c r="AM202">
        <f t="shared" si="89"/>
        <v>0</v>
      </c>
      <c r="AN202">
        <v>3</v>
      </c>
      <c r="AO202">
        <v>0.5</v>
      </c>
      <c r="AP202" t="s">
        <v>331</v>
      </c>
      <c r="AQ202">
        <v>2</v>
      </c>
      <c r="AR202">
        <v>1775492132</v>
      </c>
      <c r="AS202">
        <v>36.060290322580641</v>
      </c>
      <c r="AT202">
        <v>36.208496774193549</v>
      </c>
      <c r="AU202">
        <v>-0.71127238709677409</v>
      </c>
      <c r="AV202">
        <v>-1.949964516129032</v>
      </c>
      <c r="AW202">
        <v>28.029290322580639</v>
      </c>
      <c r="AX202">
        <v>0.27799861290322581</v>
      </c>
      <c r="AY202">
        <v>499.98193548387093</v>
      </c>
      <c r="AZ202">
        <v>100.2574838709678</v>
      </c>
      <c r="BA202">
        <v>3.896384193548387E-2</v>
      </c>
      <c r="BB202">
        <v>27.298138709677421</v>
      </c>
      <c r="BC202">
        <v>27.353829032258059</v>
      </c>
      <c r="BD202">
        <v>999.90000000000032</v>
      </c>
      <c r="BE202">
        <v>0</v>
      </c>
      <c r="BF202">
        <v>0</v>
      </c>
      <c r="BG202">
        <v>5004.0322580645161</v>
      </c>
      <c r="BH202">
        <v>0.36524180645161292</v>
      </c>
      <c r="BI202">
        <v>0.23331922580645159</v>
      </c>
      <c r="BJ202">
        <v>-0.14316150387096779</v>
      </c>
      <c r="BK202">
        <v>36.039706451612901</v>
      </c>
      <c r="BL202">
        <v>36.138032258064513</v>
      </c>
      <c r="BM202">
        <v>1.238690967741936</v>
      </c>
      <c r="BN202">
        <v>36.208496774193549</v>
      </c>
      <c r="BO202">
        <v>-1.949964516129032</v>
      </c>
      <c r="BP202">
        <v>-7.1310412903225803E-2</v>
      </c>
      <c r="BQ202">
        <v>-0.19549858064516129</v>
      </c>
      <c r="BR202">
        <v>-99.900000000000034</v>
      </c>
      <c r="BS202">
        <v>-99.900000000000034</v>
      </c>
      <c r="BT202">
        <v>0</v>
      </c>
      <c r="BU202">
        <v>0</v>
      </c>
      <c r="BV202">
        <v>0</v>
      </c>
      <c r="BW202">
        <v>25</v>
      </c>
      <c r="BX202">
        <v>-1</v>
      </c>
      <c r="BY202">
        <v>1775492160</v>
      </c>
      <c r="BZ202" t="s">
        <v>891</v>
      </c>
      <c r="CA202">
        <v>1775492160</v>
      </c>
      <c r="CB202">
        <v>1775480969.5</v>
      </c>
      <c r="CC202">
        <v>187</v>
      </c>
      <c r="CD202">
        <v>-5.0000000000000001E-3</v>
      </c>
      <c r="CE202">
        <v>0.19500000000000001</v>
      </c>
      <c r="CF202">
        <v>8.0310000000000006</v>
      </c>
      <c r="CG202">
        <v>-0.98899999999999999</v>
      </c>
      <c r="CH202">
        <v>36</v>
      </c>
      <c r="CI202">
        <v>-3</v>
      </c>
      <c r="CJ202">
        <v>0.43</v>
      </c>
      <c r="CK202">
        <v>0.06</v>
      </c>
      <c r="CL202">
        <v>36.395539344262289</v>
      </c>
      <c r="CM202">
        <v>-1.866678371232189</v>
      </c>
      <c r="CN202">
        <v>0.39609628084334608</v>
      </c>
      <c r="CO202">
        <v>-1</v>
      </c>
      <c r="CP202">
        <v>499.9911475409836</v>
      </c>
      <c r="CQ202">
        <v>-6.8376520359032134E-2</v>
      </c>
      <c r="CR202">
        <v>5.0287317459099243E-2</v>
      </c>
      <c r="CS202">
        <v>-1</v>
      </c>
      <c r="CT202">
        <v>0</v>
      </c>
      <c r="CU202">
        <v>0</v>
      </c>
      <c r="CV202" t="s">
        <v>333</v>
      </c>
      <c r="CW202">
        <v>3.1674099999999998</v>
      </c>
      <c r="CX202">
        <v>2.66038</v>
      </c>
      <c r="CY202">
        <v>8.2477799999999997E-3</v>
      </c>
      <c r="CZ202">
        <v>1.0637600000000001E-2</v>
      </c>
      <c r="DA202">
        <v>2.2229699999999999E-3</v>
      </c>
      <c r="DB202">
        <v>-1.8080599999999999E-2</v>
      </c>
      <c r="DC202">
        <v>21403.599999999999</v>
      </c>
      <c r="DD202">
        <v>21737.4</v>
      </c>
      <c r="DE202">
        <v>23108.5</v>
      </c>
      <c r="DF202">
        <v>22323.3</v>
      </c>
      <c r="DG202">
        <v>29734.2</v>
      </c>
      <c r="DH202">
        <v>27104.7</v>
      </c>
      <c r="DI202">
        <v>40613.800000000003</v>
      </c>
      <c r="DJ202">
        <v>36997.800000000003</v>
      </c>
      <c r="DK202">
        <v>2.0925400000000001</v>
      </c>
      <c r="DL202">
        <v>1.8029599999999999</v>
      </c>
      <c r="DM202">
        <v>2.9730800000000002E-2</v>
      </c>
      <c r="DN202">
        <v>0</v>
      </c>
      <c r="DO202">
        <v>26.864899999999999</v>
      </c>
      <c r="DP202">
        <v>999.9</v>
      </c>
      <c r="DQ202">
        <v>75.3</v>
      </c>
      <c r="DR202">
        <v>30.3</v>
      </c>
      <c r="DS202">
        <v>32.557499999999997</v>
      </c>
      <c r="DT202">
        <v>29.9756</v>
      </c>
      <c r="DU202">
        <v>9.7355800000000006</v>
      </c>
      <c r="DV202">
        <v>1</v>
      </c>
      <c r="DW202">
        <v>0.181949</v>
      </c>
      <c r="DX202">
        <v>-0.39839200000000002</v>
      </c>
      <c r="DY202">
        <v>20.367599999999999</v>
      </c>
      <c r="DZ202">
        <v>5.21082</v>
      </c>
      <c r="EA202">
        <v>11.8482</v>
      </c>
      <c r="EB202">
        <v>4.9677199999999999</v>
      </c>
      <c r="EC202">
        <v>3.2921800000000001</v>
      </c>
      <c r="ED202">
        <v>894.7</v>
      </c>
      <c r="EE202">
        <v>0</v>
      </c>
      <c r="EF202">
        <v>9637.7000000000007</v>
      </c>
      <c r="EG202">
        <v>111.9</v>
      </c>
      <c r="EH202">
        <v>4.9716100000000001</v>
      </c>
      <c r="EI202">
        <v>1.8717999999999999</v>
      </c>
      <c r="EJ202">
        <v>1.86896</v>
      </c>
      <c r="EK202">
        <v>1.8713900000000001</v>
      </c>
      <c r="EL202">
        <v>1.8691599999999999</v>
      </c>
      <c r="EM202">
        <v>1.8681099999999999</v>
      </c>
      <c r="EN202">
        <v>1.86995</v>
      </c>
      <c r="EO202">
        <v>1.8717200000000001</v>
      </c>
      <c r="EP202">
        <v>0</v>
      </c>
      <c r="EQ202">
        <v>0</v>
      </c>
      <c r="ER202">
        <v>0</v>
      </c>
      <c r="ES202">
        <v>0</v>
      </c>
      <c r="ET202" t="s">
        <v>334</v>
      </c>
      <c r="EU202" t="s">
        <v>335</v>
      </c>
      <c r="EV202" t="s">
        <v>336</v>
      </c>
      <c r="EW202" t="s">
        <v>336</v>
      </c>
      <c r="EX202" t="s">
        <v>336</v>
      </c>
      <c r="EY202" t="s">
        <v>336</v>
      </c>
      <c r="EZ202">
        <v>0</v>
      </c>
      <c r="FA202">
        <v>100</v>
      </c>
      <c r="FB202">
        <v>100</v>
      </c>
      <c r="FC202">
        <v>8.0310000000000006</v>
      </c>
      <c r="FD202">
        <v>-0.98929999999999996</v>
      </c>
      <c r="FE202">
        <v>8.0360499999999924</v>
      </c>
      <c r="FF202">
        <v>0</v>
      </c>
      <c r="FG202">
        <v>0</v>
      </c>
      <c r="FH202">
        <v>0</v>
      </c>
      <c r="FI202">
        <v>-0.98927100000000023</v>
      </c>
      <c r="FJ202">
        <v>0</v>
      </c>
      <c r="FK202">
        <v>0</v>
      </c>
      <c r="FL202">
        <v>0</v>
      </c>
      <c r="FM202">
        <v>-1</v>
      </c>
      <c r="FN202">
        <v>-1</v>
      </c>
      <c r="FO202">
        <v>-1</v>
      </c>
      <c r="FP202">
        <v>-1</v>
      </c>
      <c r="FQ202">
        <v>0.7</v>
      </c>
      <c r="FR202">
        <v>186.2</v>
      </c>
      <c r="FS202">
        <v>0.142822</v>
      </c>
      <c r="FT202">
        <v>4.99756</v>
      </c>
      <c r="FU202">
        <v>1.5979000000000001</v>
      </c>
      <c r="FV202">
        <v>2.1533199999999999</v>
      </c>
      <c r="FW202">
        <v>1.5478499999999999</v>
      </c>
      <c r="FX202">
        <v>2.4536099999999998</v>
      </c>
      <c r="FY202">
        <v>34.5321</v>
      </c>
      <c r="FZ202">
        <v>15.3841</v>
      </c>
      <c r="GA202">
        <v>3</v>
      </c>
      <c r="GB202">
        <v>498.79</v>
      </c>
      <c r="GC202">
        <v>405.601</v>
      </c>
      <c r="GD202">
        <v>28.0717</v>
      </c>
      <c r="GE202">
        <v>29.554600000000001</v>
      </c>
      <c r="GF202">
        <v>30.0001</v>
      </c>
      <c r="GG202">
        <v>29.8535</v>
      </c>
      <c r="GH202">
        <v>29.907499999999999</v>
      </c>
      <c r="GI202">
        <v>-1</v>
      </c>
      <c r="GJ202">
        <v>0</v>
      </c>
      <c r="GK202">
        <v>100</v>
      </c>
      <c r="GL202">
        <v>28.073699999999999</v>
      </c>
      <c r="GM202">
        <v>432.1</v>
      </c>
      <c r="GN202">
        <v>68.912800000000004</v>
      </c>
      <c r="GO202">
        <v>102.23</v>
      </c>
      <c r="GP202">
        <v>96.538700000000006</v>
      </c>
    </row>
    <row r="203" spans="1:198" x14ac:dyDescent="0.35">
      <c r="A203">
        <v>187</v>
      </c>
      <c r="B203">
        <v>1775492200</v>
      </c>
      <c r="C203">
        <v>11161.5</v>
      </c>
      <c r="D203" t="s">
        <v>892</v>
      </c>
      <c r="E203" t="s">
        <v>893</v>
      </c>
      <c r="F203">
        <v>60</v>
      </c>
      <c r="G203">
        <v>1775492192</v>
      </c>
      <c r="H203">
        <f t="shared" si="60"/>
        <v>2.0684177178314118E-3</v>
      </c>
      <c r="I203">
        <f t="shared" si="61"/>
        <v>2.0684177178314118</v>
      </c>
      <c r="J203">
        <f t="shared" si="62"/>
        <v>0.62947459922143589</v>
      </c>
      <c r="K203">
        <f t="shared" si="63"/>
        <v>34.980412903225798</v>
      </c>
      <c r="L203">
        <f t="shared" si="64"/>
        <v>15.068273303189466</v>
      </c>
      <c r="M203">
        <f t="shared" si="65"/>
        <v>1.5112644281309937</v>
      </c>
      <c r="N203">
        <f t="shared" si="66"/>
        <v>3.5083418410515446</v>
      </c>
      <c r="O203">
        <f t="shared" si="67"/>
        <v>5.5340795383591559E-2</v>
      </c>
      <c r="P203">
        <f t="shared" si="68"/>
        <v>2.3936640664885864</v>
      </c>
      <c r="Q203">
        <f t="shared" si="69"/>
        <v>5.4639701676428322E-2</v>
      </c>
      <c r="R203">
        <f t="shared" si="70"/>
        <v>3.421206397488092E-2</v>
      </c>
      <c r="S203">
        <f t="shared" si="71"/>
        <v>0</v>
      </c>
      <c r="T203">
        <f t="shared" si="72"/>
        <v>26.648079198662209</v>
      </c>
      <c r="U203">
        <f t="shared" si="73"/>
        <v>27.354958064516129</v>
      </c>
      <c r="V203">
        <f t="shared" si="74"/>
        <v>3.6544588960399196</v>
      </c>
      <c r="W203">
        <f t="shared" si="75"/>
        <v>-2.0452248143400835</v>
      </c>
      <c r="X203">
        <f t="shared" si="76"/>
        <v>-7.4485526243324746E-2</v>
      </c>
      <c r="Y203">
        <f t="shared" si="77"/>
        <v>3.6419236516724154</v>
      </c>
      <c r="Z203">
        <f t="shared" si="78"/>
        <v>3.7289444222832442</v>
      </c>
      <c r="AA203">
        <f t="shared" si="79"/>
        <v>-91.217221356365258</v>
      </c>
      <c r="AB203">
        <f t="shared" si="80"/>
        <v>-7.5679948639770052</v>
      </c>
      <c r="AC203">
        <f t="shared" si="81"/>
        <v>-0.68455138660003712</v>
      </c>
      <c r="AD203">
        <f t="shared" si="82"/>
        <v>-99.469767606942298</v>
      </c>
      <c r="AE203">
        <v>12</v>
      </c>
      <c r="AF203">
        <v>2</v>
      </c>
      <c r="AG203">
        <f t="shared" si="83"/>
        <v>1</v>
      </c>
      <c r="AH203">
        <f t="shared" si="84"/>
        <v>0</v>
      </c>
      <c r="AI203">
        <f t="shared" si="85"/>
        <v>25573.177298339429</v>
      </c>
      <c r="AJ203">
        <f t="shared" si="86"/>
        <v>0</v>
      </c>
      <c r="AK203">
        <f t="shared" si="87"/>
        <v>0</v>
      </c>
      <c r="AL203">
        <f t="shared" si="88"/>
        <v>0</v>
      </c>
      <c r="AM203">
        <f t="shared" si="89"/>
        <v>0</v>
      </c>
      <c r="AN203">
        <v>3</v>
      </c>
      <c r="AO203">
        <v>0.5</v>
      </c>
      <c r="AP203" t="s">
        <v>331</v>
      </c>
      <c r="AQ203">
        <v>2</v>
      </c>
      <c r="AR203">
        <v>1775492192</v>
      </c>
      <c r="AS203">
        <v>34.980412903225798</v>
      </c>
      <c r="AT203">
        <v>35.401503225806451</v>
      </c>
      <c r="AU203">
        <v>-0.74266835483870974</v>
      </c>
      <c r="AV203">
        <v>-1.9846203225806449</v>
      </c>
      <c r="AW203">
        <v>26.963412903225809</v>
      </c>
      <c r="AX203">
        <v>0.2466026451612903</v>
      </c>
      <c r="AY203">
        <v>500.00819354838711</v>
      </c>
      <c r="AZ203">
        <v>100.2557741935484</v>
      </c>
      <c r="BA203">
        <v>3.8692048387096778E-2</v>
      </c>
      <c r="BB203">
        <v>27.296312903225811</v>
      </c>
      <c r="BC203">
        <v>27.354958064516129</v>
      </c>
      <c r="BD203">
        <v>999.90000000000032</v>
      </c>
      <c r="BE203">
        <v>0</v>
      </c>
      <c r="BF203">
        <v>0</v>
      </c>
      <c r="BG203">
        <v>5001.7258064516127</v>
      </c>
      <c r="BH203">
        <v>0.37208777419354838</v>
      </c>
      <c r="BI203">
        <v>0.23331922580645159</v>
      </c>
      <c r="BJ203">
        <v>-0.40743967741935477</v>
      </c>
      <c r="BK203">
        <v>34.968090322580643</v>
      </c>
      <c r="BL203">
        <v>35.331380645161289</v>
      </c>
      <c r="BM203">
        <v>1.241951612903226</v>
      </c>
      <c r="BN203">
        <v>35.401503225806451</v>
      </c>
      <c r="BO203">
        <v>-1.9846203225806449</v>
      </c>
      <c r="BP203">
        <v>-7.4456790322580638E-2</v>
      </c>
      <c r="BQ203">
        <v>-0.1989696774193549</v>
      </c>
      <c r="BR203">
        <v>-99.900000000000034</v>
      </c>
      <c r="BS203">
        <v>-99.900000000000034</v>
      </c>
      <c r="BT203">
        <v>0</v>
      </c>
      <c r="BU203">
        <v>0</v>
      </c>
      <c r="BV203">
        <v>0</v>
      </c>
      <c r="BW203">
        <v>25</v>
      </c>
      <c r="BX203">
        <v>-1</v>
      </c>
      <c r="BY203">
        <v>1775492217</v>
      </c>
      <c r="BZ203" t="s">
        <v>894</v>
      </c>
      <c r="CA203">
        <v>1775492217</v>
      </c>
      <c r="CB203">
        <v>1775480969.5</v>
      </c>
      <c r="CC203">
        <v>188</v>
      </c>
      <c r="CD203">
        <v>-1.2999999999999999E-2</v>
      </c>
      <c r="CE203">
        <v>0.19500000000000001</v>
      </c>
      <c r="CF203">
        <v>8.0169999999999995</v>
      </c>
      <c r="CG203">
        <v>-0.98899999999999999</v>
      </c>
      <c r="CH203">
        <v>36</v>
      </c>
      <c r="CI203">
        <v>-3</v>
      </c>
      <c r="CJ203">
        <v>0.19</v>
      </c>
      <c r="CK203">
        <v>0.06</v>
      </c>
      <c r="CL203">
        <v>35.376060000000003</v>
      </c>
      <c r="CM203">
        <v>0.20455482078359311</v>
      </c>
      <c r="CN203">
        <v>5.3576285798849203E-2</v>
      </c>
      <c r="CO203">
        <v>-1</v>
      </c>
      <c r="CP203">
        <v>500.00308333333328</v>
      </c>
      <c r="CQ203">
        <v>8.3706585163240241E-2</v>
      </c>
      <c r="CR203">
        <v>5.7372551993285212E-2</v>
      </c>
      <c r="CS203">
        <v>-1</v>
      </c>
      <c r="CT203">
        <v>0</v>
      </c>
      <c r="CU203">
        <v>0</v>
      </c>
      <c r="CV203" t="s">
        <v>333</v>
      </c>
      <c r="CW203">
        <v>3.1674799999999999</v>
      </c>
      <c r="CX203">
        <v>2.6597599999999999</v>
      </c>
      <c r="CY203">
        <v>8.0519200000000006E-3</v>
      </c>
      <c r="CZ203">
        <v>1.0578000000000001E-2</v>
      </c>
      <c r="DA203">
        <v>2.01659E-3</v>
      </c>
      <c r="DB203">
        <v>-1.8453899999999999E-2</v>
      </c>
      <c r="DC203">
        <v>21408.2</v>
      </c>
      <c r="DD203">
        <v>21739</v>
      </c>
      <c r="DE203">
        <v>23108.799999999999</v>
      </c>
      <c r="DF203">
        <v>22323.599999999999</v>
      </c>
      <c r="DG203">
        <v>29740.7</v>
      </c>
      <c r="DH203">
        <v>27114.7</v>
      </c>
      <c r="DI203">
        <v>40614.199999999997</v>
      </c>
      <c r="DJ203">
        <v>36998</v>
      </c>
      <c r="DK203">
        <v>2.0928399999999998</v>
      </c>
      <c r="DL203">
        <v>1.8024800000000001</v>
      </c>
      <c r="DM203">
        <v>3.0589100000000001E-2</v>
      </c>
      <c r="DN203">
        <v>0</v>
      </c>
      <c r="DO203">
        <v>26.860399999999998</v>
      </c>
      <c r="DP203">
        <v>999.9</v>
      </c>
      <c r="DQ203">
        <v>75.3</v>
      </c>
      <c r="DR203">
        <v>30.3</v>
      </c>
      <c r="DS203">
        <v>32.554499999999997</v>
      </c>
      <c r="DT203">
        <v>30.335599999999999</v>
      </c>
      <c r="DU203">
        <v>9.3549699999999998</v>
      </c>
      <c r="DV203">
        <v>1</v>
      </c>
      <c r="DW203">
        <v>0.181648</v>
      </c>
      <c r="DX203">
        <v>-0.45324799999999998</v>
      </c>
      <c r="DY203">
        <v>20.3675</v>
      </c>
      <c r="DZ203">
        <v>5.2127400000000002</v>
      </c>
      <c r="EA203">
        <v>11.8482</v>
      </c>
      <c r="EB203">
        <v>4.9678000000000004</v>
      </c>
      <c r="EC203">
        <v>3.29216</v>
      </c>
      <c r="ED203">
        <v>894.7</v>
      </c>
      <c r="EE203">
        <v>0</v>
      </c>
      <c r="EF203">
        <v>9664.4</v>
      </c>
      <c r="EG203">
        <v>111.9</v>
      </c>
      <c r="EH203">
        <v>4.9716199999999997</v>
      </c>
      <c r="EI203">
        <v>1.8717999999999999</v>
      </c>
      <c r="EJ203">
        <v>1.86896</v>
      </c>
      <c r="EK203">
        <v>1.87138</v>
      </c>
      <c r="EL203">
        <v>1.86917</v>
      </c>
      <c r="EM203">
        <v>1.8681000000000001</v>
      </c>
      <c r="EN203">
        <v>1.8699399999999999</v>
      </c>
      <c r="EO203">
        <v>1.8717299999999999</v>
      </c>
      <c r="EP203">
        <v>0</v>
      </c>
      <c r="EQ203">
        <v>0</v>
      </c>
      <c r="ER203">
        <v>0</v>
      </c>
      <c r="ES203">
        <v>0</v>
      </c>
      <c r="ET203" t="s">
        <v>334</v>
      </c>
      <c r="EU203" t="s">
        <v>335</v>
      </c>
      <c r="EV203" t="s">
        <v>336</v>
      </c>
      <c r="EW203" t="s">
        <v>336</v>
      </c>
      <c r="EX203" t="s">
        <v>336</v>
      </c>
      <c r="EY203" t="s">
        <v>336</v>
      </c>
      <c r="EZ203">
        <v>0</v>
      </c>
      <c r="FA203">
        <v>100</v>
      </c>
      <c r="FB203">
        <v>100</v>
      </c>
      <c r="FC203">
        <v>8.0169999999999995</v>
      </c>
      <c r="FD203">
        <v>-0.98929999999999996</v>
      </c>
      <c r="FE203">
        <v>8.0306350000000037</v>
      </c>
      <c r="FF203">
        <v>0</v>
      </c>
      <c r="FG203">
        <v>0</v>
      </c>
      <c r="FH203">
        <v>0</v>
      </c>
      <c r="FI203">
        <v>-0.98927100000000023</v>
      </c>
      <c r="FJ203">
        <v>0</v>
      </c>
      <c r="FK203">
        <v>0</v>
      </c>
      <c r="FL203">
        <v>0</v>
      </c>
      <c r="FM203">
        <v>-1</v>
      </c>
      <c r="FN203">
        <v>-1</v>
      </c>
      <c r="FO203">
        <v>-1</v>
      </c>
      <c r="FP203">
        <v>-1</v>
      </c>
      <c r="FQ203">
        <v>0.7</v>
      </c>
      <c r="FR203">
        <v>187.2</v>
      </c>
      <c r="FS203">
        <v>0.142822</v>
      </c>
      <c r="FT203">
        <v>4.99756</v>
      </c>
      <c r="FU203">
        <v>1.5979000000000001</v>
      </c>
      <c r="FV203">
        <v>2.1533199999999999</v>
      </c>
      <c r="FW203">
        <v>1.5478499999999999</v>
      </c>
      <c r="FX203">
        <v>2.3803700000000001</v>
      </c>
      <c r="FY203">
        <v>34.5092</v>
      </c>
      <c r="FZ203">
        <v>15.375400000000001</v>
      </c>
      <c r="GA203">
        <v>3</v>
      </c>
      <c r="GB203">
        <v>498.92</v>
      </c>
      <c r="GC203">
        <v>405.27699999999999</v>
      </c>
      <c r="GD203">
        <v>28.1188</v>
      </c>
      <c r="GE203">
        <v>29.549600000000002</v>
      </c>
      <c r="GF203">
        <v>30.0001</v>
      </c>
      <c r="GG203">
        <v>29.847799999999999</v>
      </c>
      <c r="GH203">
        <v>29.9</v>
      </c>
      <c r="GI203">
        <v>-1</v>
      </c>
      <c r="GJ203">
        <v>0</v>
      </c>
      <c r="GK203">
        <v>100</v>
      </c>
      <c r="GL203">
        <v>28.120200000000001</v>
      </c>
      <c r="GM203">
        <v>432.1</v>
      </c>
      <c r="GN203">
        <v>68.912800000000004</v>
      </c>
      <c r="GO203">
        <v>102.23099999999999</v>
      </c>
      <c r="GP203">
        <v>96.539500000000004</v>
      </c>
    </row>
    <row r="204" spans="1:198" x14ac:dyDescent="0.35">
      <c r="A204">
        <v>188</v>
      </c>
      <c r="B204">
        <v>1775492260</v>
      </c>
      <c r="C204">
        <v>11221.5</v>
      </c>
      <c r="D204" t="s">
        <v>895</v>
      </c>
      <c r="E204" t="s">
        <v>896</v>
      </c>
      <c r="F204">
        <v>60</v>
      </c>
      <c r="G204">
        <v>1775492252</v>
      </c>
      <c r="H204">
        <f t="shared" si="60"/>
        <v>2.0833570962479589E-3</v>
      </c>
      <c r="I204">
        <f t="shared" si="61"/>
        <v>2.0833570962479588</v>
      </c>
      <c r="J204">
        <f t="shared" si="62"/>
        <v>1.043606060195466</v>
      </c>
      <c r="K204">
        <f t="shared" si="63"/>
        <v>35.095893548387103</v>
      </c>
      <c r="L204">
        <f t="shared" si="64"/>
        <v>3.6246137166273491</v>
      </c>
      <c r="M204">
        <f t="shared" si="65"/>
        <v>0.36353170931295209</v>
      </c>
      <c r="N204">
        <f t="shared" si="66"/>
        <v>3.519953067821568</v>
      </c>
      <c r="O204">
        <f t="shared" si="67"/>
        <v>5.5716793872167193E-2</v>
      </c>
      <c r="P204">
        <f t="shared" si="68"/>
        <v>2.3951960682984419</v>
      </c>
      <c r="Q204">
        <f t="shared" si="69"/>
        <v>5.5006655227780553E-2</v>
      </c>
      <c r="R204">
        <f t="shared" si="70"/>
        <v>3.4442208508216887E-2</v>
      </c>
      <c r="S204">
        <f t="shared" si="71"/>
        <v>0</v>
      </c>
      <c r="T204">
        <f t="shared" si="72"/>
        <v>26.647895386179336</v>
      </c>
      <c r="U204">
        <f t="shared" si="73"/>
        <v>27.360199999999999</v>
      </c>
      <c r="V204">
        <f t="shared" si="74"/>
        <v>3.6555811766582562</v>
      </c>
      <c r="W204">
        <f t="shared" si="75"/>
        <v>-2.0661351029072494</v>
      </c>
      <c r="X204">
        <f t="shared" si="76"/>
        <v>-7.5265201518858071E-2</v>
      </c>
      <c r="Y204">
        <f t="shared" si="77"/>
        <v>3.6428015483088569</v>
      </c>
      <c r="Z204">
        <f t="shared" si="78"/>
        <v>3.7308463781771142</v>
      </c>
      <c r="AA204">
        <f t="shared" si="79"/>
        <v>-91.876047944534989</v>
      </c>
      <c r="AB204">
        <f t="shared" si="80"/>
        <v>-7.7186302817549937</v>
      </c>
      <c r="AC204">
        <f t="shared" si="81"/>
        <v>-0.69776291983893413</v>
      </c>
      <c r="AD204">
        <f t="shared" si="82"/>
        <v>-100.29244114612892</v>
      </c>
      <c r="AE204">
        <v>12</v>
      </c>
      <c r="AF204">
        <v>2</v>
      </c>
      <c r="AG204">
        <f t="shared" si="83"/>
        <v>1</v>
      </c>
      <c r="AH204">
        <f t="shared" si="84"/>
        <v>0</v>
      </c>
      <c r="AI204">
        <f t="shared" si="85"/>
        <v>25596.079880563822</v>
      </c>
      <c r="AJ204">
        <f t="shared" si="86"/>
        <v>0</v>
      </c>
      <c r="AK204">
        <f t="shared" si="87"/>
        <v>0</v>
      </c>
      <c r="AL204">
        <f t="shared" si="88"/>
        <v>0</v>
      </c>
      <c r="AM204">
        <f t="shared" si="89"/>
        <v>0</v>
      </c>
      <c r="AN204">
        <v>3</v>
      </c>
      <c r="AO204">
        <v>0.5</v>
      </c>
      <c r="AP204" t="s">
        <v>331</v>
      </c>
      <c r="AQ204">
        <v>2</v>
      </c>
      <c r="AR204">
        <v>1775492252</v>
      </c>
      <c r="AS204">
        <v>35.095893548387103</v>
      </c>
      <c r="AT204">
        <v>35.76592258064516</v>
      </c>
      <c r="AU204">
        <v>-0.7504360000000001</v>
      </c>
      <c r="AV204">
        <v>-2.0013790322580638</v>
      </c>
      <c r="AW204">
        <v>27.118893548387099</v>
      </c>
      <c r="AX204">
        <v>0.23883499999999999</v>
      </c>
      <c r="AY204">
        <v>500.00370967741941</v>
      </c>
      <c r="AZ204">
        <v>100.2568709677419</v>
      </c>
      <c r="BA204">
        <v>3.8426058064516121E-2</v>
      </c>
      <c r="BB204">
        <v>27.30042580645161</v>
      </c>
      <c r="BC204">
        <v>27.360199999999999</v>
      </c>
      <c r="BD204">
        <v>999.90000000000032</v>
      </c>
      <c r="BE204">
        <v>0</v>
      </c>
      <c r="BF204">
        <v>0</v>
      </c>
      <c r="BG204">
        <v>5005.6129032258068</v>
      </c>
      <c r="BH204">
        <v>0.35623980645161291</v>
      </c>
      <c r="BI204">
        <v>0.23331922580645159</v>
      </c>
      <c r="BJ204">
        <v>-0.62964129032258076</v>
      </c>
      <c r="BK204">
        <v>35.109941935483867</v>
      </c>
      <c r="BL204">
        <v>35.694483870967751</v>
      </c>
      <c r="BM204">
        <v>1.250942258064516</v>
      </c>
      <c r="BN204">
        <v>35.76592258064516</v>
      </c>
      <c r="BO204">
        <v>-2.0013790322580638</v>
      </c>
      <c r="BP204">
        <v>-7.5236332258064503E-2</v>
      </c>
      <c r="BQ204">
        <v>-0.2006518387096774</v>
      </c>
      <c r="BR204">
        <v>-99.900000000000034</v>
      </c>
      <c r="BS204">
        <v>-99.900000000000034</v>
      </c>
      <c r="BT204">
        <v>0</v>
      </c>
      <c r="BU204">
        <v>0</v>
      </c>
      <c r="BV204">
        <v>0</v>
      </c>
      <c r="BW204">
        <v>25</v>
      </c>
      <c r="BX204">
        <v>-0.98924741935483884</v>
      </c>
      <c r="BY204">
        <v>1775492277</v>
      </c>
      <c r="BZ204" t="s">
        <v>897</v>
      </c>
      <c r="CA204">
        <v>1775492277</v>
      </c>
      <c r="CB204">
        <v>1775480969.5</v>
      </c>
      <c r="CC204">
        <v>189</v>
      </c>
      <c r="CD204">
        <v>-0.04</v>
      </c>
      <c r="CE204">
        <v>0.19500000000000001</v>
      </c>
      <c r="CF204">
        <v>7.9770000000000003</v>
      </c>
      <c r="CG204">
        <v>-0.98899999999999999</v>
      </c>
      <c r="CH204">
        <v>36</v>
      </c>
      <c r="CI204">
        <v>-3</v>
      </c>
      <c r="CJ204">
        <v>0.15</v>
      </c>
      <c r="CK204">
        <v>0.06</v>
      </c>
      <c r="CL204">
        <v>35.506377049180323</v>
      </c>
      <c r="CM204">
        <v>1.9132442094129469</v>
      </c>
      <c r="CN204">
        <v>0.28966725817196981</v>
      </c>
      <c r="CO204">
        <v>-1</v>
      </c>
      <c r="CP204">
        <v>499.99608196721317</v>
      </c>
      <c r="CQ204">
        <v>2.792173453197901E-2</v>
      </c>
      <c r="CR204">
        <v>4.8821285025487007E-2</v>
      </c>
      <c r="CS204">
        <v>-1</v>
      </c>
      <c r="CT204">
        <v>0</v>
      </c>
      <c r="CU204">
        <v>0</v>
      </c>
      <c r="CV204" t="s">
        <v>333</v>
      </c>
      <c r="CW204">
        <v>3.1673800000000001</v>
      </c>
      <c r="CX204">
        <v>2.6597200000000001</v>
      </c>
      <c r="CY204">
        <v>8.1464399999999996E-3</v>
      </c>
      <c r="CZ204">
        <v>1.0721100000000001E-2</v>
      </c>
      <c r="DA204">
        <v>1.9361000000000001E-3</v>
      </c>
      <c r="DB204">
        <v>-1.8640799999999999E-2</v>
      </c>
      <c r="DC204">
        <v>21406.7</v>
      </c>
      <c r="DD204">
        <v>21736.1</v>
      </c>
      <c r="DE204">
        <v>23109.4</v>
      </c>
      <c r="DF204">
        <v>22323.8</v>
      </c>
      <c r="DG204">
        <v>29743.8</v>
      </c>
      <c r="DH204">
        <v>27120</v>
      </c>
      <c r="DI204">
        <v>40615.199999999997</v>
      </c>
      <c r="DJ204">
        <v>36998.5</v>
      </c>
      <c r="DK204">
        <v>2.093</v>
      </c>
      <c r="DL204">
        <v>1.8030600000000001</v>
      </c>
      <c r="DM204">
        <v>3.00437E-2</v>
      </c>
      <c r="DN204">
        <v>0</v>
      </c>
      <c r="DO204">
        <v>26.874099999999999</v>
      </c>
      <c r="DP204">
        <v>999.9</v>
      </c>
      <c r="DQ204">
        <v>75.3</v>
      </c>
      <c r="DR204">
        <v>30.3</v>
      </c>
      <c r="DS204">
        <v>32.554400000000001</v>
      </c>
      <c r="DT204">
        <v>30.095600000000001</v>
      </c>
      <c r="DU204">
        <v>9.8197100000000006</v>
      </c>
      <c r="DV204">
        <v>1</v>
      </c>
      <c r="DW204">
        <v>0.180557</v>
      </c>
      <c r="DX204">
        <v>-0.43237500000000001</v>
      </c>
      <c r="DY204">
        <v>20.367799999999999</v>
      </c>
      <c r="DZ204">
        <v>5.2122599999999997</v>
      </c>
      <c r="EA204">
        <v>11.8482</v>
      </c>
      <c r="EB204">
        <v>4.9676799999999997</v>
      </c>
      <c r="EC204">
        <v>3.2921200000000002</v>
      </c>
      <c r="ED204">
        <v>894.7</v>
      </c>
      <c r="EE204">
        <v>0</v>
      </c>
      <c r="EF204">
        <v>9698</v>
      </c>
      <c r="EG204">
        <v>111.9</v>
      </c>
      <c r="EH204">
        <v>4.9716300000000002</v>
      </c>
      <c r="EI204">
        <v>1.8717999999999999</v>
      </c>
      <c r="EJ204">
        <v>1.8689899999999999</v>
      </c>
      <c r="EK204">
        <v>1.87137</v>
      </c>
      <c r="EL204">
        <v>1.8691599999999999</v>
      </c>
      <c r="EM204">
        <v>1.8681099999999999</v>
      </c>
      <c r="EN204">
        <v>1.86995</v>
      </c>
      <c r="EO204">
        <v>1.87175</v>
      </c>
      <c r="EP204">
        <v>0</v>
      </c>
      <c r="EQ204">
        <v>0</v>
      </c>
      <c r="ER204">
        <v>0</v>
      </c>
      <c r="ES204">
        <v>0</v>
      </c>
      <c r="ET204" t="s">
        <v>334</v>
      </c>
      <c r="EU204" t="s">
        <v>335</v>
      </c>
      <c r="EV204" t="s">
        <v>336</v>
      </c>
      <c r="EW204" t="s">
        <v>336</v>
      </c>
      <c r="EX204" t="s">
        <v>336</v>
      </c>
      <c r="EY204" t="s">
        <v>336</v>
      </c>
      <c r="EZ204">
        <v>0</v>
      </c>
      <c r="FA204">
        <v>100</v>
      </c>
      <c r="FB204">
        <v>100</v>
      </c>
      <c r="FC204">
        <v>7.9770000000000003</v>
      </c>
      <c r="FD204">
        <v>-0.98929999999999996</v>
      </c>
      <c r="FE204">
        <v>8.0173850000000044</v>
      </c>
      <c r="FF204">
        <v>0</v>
      </c>
      <c r="FG204">
        <v>0</v>
      </c>
      <c r="FH204">
        <v>0</v>
      </c>
      <c r="FI204">
        <v>-0.98927100000000023</v>
      </c>
      <c r="FJ204">
        <v>0</v>
      </c>
      <c r="FK204">
        <v>0</v>
      </c>
      <c r="FL204">
        <v>0</v>
      </c>
      <c r="FM204">
        <v>-1</v>
      </c>
      <c r="FN204">
        <v>-1</v>
      </c>
      <c r="FO204">
        <v>-1</v>
      </c>
      <c r="FP204">
        <v>-1</v>
      </c>
      <c r="FQ204">
        <v>0.7</v>
      </c>
      <c r="FR204">
        <v>188.2</v>
      </c>
      <c r="FS204">
        <v>0.14160200000000001</v>
      </c>
      <c r="FT204">
        <v>4.99756</v>
      </c>
      <c r="FU204">
        <v>1.5979000000000001</v>
      </c>
      <c r="FV204">
        <v>2.1520999999999999</v>
      </c>
      <c r="FW204">
        <v>1.5478499999999999</v>
      </c>
      <c r="FX204">
        <v>2.4365199999999998</v>
      </c>
      <c r="FY204">
        <v>34.5092</v>
      </c>
      <c r="FZ204">
        <v>15.375400000000001</v>
      </c>
      <c r="GA204">
        <v>3</v>
      </c>
      <c r="GB204">
        <v>498.95400000000001</v>
      </c>
      <c r="GC204">
        <v>405.55</v>
      </c>
      <c r="GD204">
        <v>28.084199999999999</v>
      </c>
      <c r="GE204">
        <v>29.541899999999998</v>
      </c>
      <c r="GF204">
        <v>30</v>
      </c>
      <c r="GG204">
        <v>29.840199999999999</v>
      </c>
      <c r="GH204">
        <v>29.890999999999998</v>
      </c>
      <c r="GI204">
        <v>-1</v>
      </c>
      <c r="GJ204">
        <v>0</v>
      </c>
      <c r="GK204">
        <v>100</v>
      </c>
      <c r="GL204">
        <v>28.0838</v>
      </c>
      <c r="GM204">
        <v>432.1</v>
      </c>
      <c r="GN204">
        <v>68.912800000000004</v>
      </c>
      <c r="GO204">
        <v>102.23399999999999</v>
      </c>
      <c r="GP204">
        <v>96.540800000000004</v>
      </c>
    </row>
    <row r="205" spans="1:198" x14ac:dyDescent="0.35">
      <c r="A205">
        <v>189</v>
      </c>
      <c r="B205">
        <v>1775492320</v>
      </c>
      <c r="C205">
        <v>11281.5</v>
      </c>
      <c r="D205" t="s">
        <v>898</v>
      </c>
      <c r="E205" t="s">
        <v>899</v>
      </c>
      <c r="F205">
        <v>60</v>
      </c>
      <c r="G205">
        <v>1775492312</v>
      </c>
      <c r="H205">
        <f t="shared" si="60"/>
        <v>2.1101894648982134E-3</v>
      </c>
      <c r="I205">
        <f t="shared" si="61"/>
        <v>2.1101894648982134</v>
      </c>
      <c r="J205">
        <f t="shared" si="62"/>
        <v>1.0242646828383535</v>
      </c>
      <c r="K205">
        <f t="shared" si="63"/>
        <v>35.491083870967749</v>
      </c>
      <c r="L205">
        <f t="shared" si="64"/>
        <v>4.9157721174189568</v>
      </c>
      <c r="M205">
        <f t="shared" si="65"/>
        <v>0.49303055166531495</v>
      </c>
      <c r="N205">
        <f t="shared" si="66"/>
        <v>3.5596012675401796</v>
      </c>
      <c r="O205">
        <f t="shared" si="67"/>
        <v>5.6456120549493227E-2</v>
      </c>
      <c r="P205">
        <f t="shared" si="68"/>
        <v>2.3946745475614537</v>
      </c>
      <c r="Q205">
        <f t="shared" si="69"/>
        <v>5.5726987104813878E-2</v>
      </c>
      <c r="R205">
        <f t="shared" si="70"/>
        <v>3.4894092081422461E-2</v>
      </c>
      <c r="S205">
        <f t="shared" si="71"/>
        <v>0</v>
      </c>
      <c r="T205">
        <f t="shared" si="72"/>
        <v>26.642548025866457</v>
      </c>
      <c r="U205">
        <f t="shared" si="73"/>
        <v>27.360419354838719</v>
      </c>
      <c r="V205">
        <f t="shared" si="74"/>
        <v>3.6556281463418654</v>
      </c>
      <c r="W205">
        <f t="shared" si="75"/>
        <v>-2.0425324108605163</v>
      </c>
      <c r="X205">
        <f t="shared" si="76"/>
        <v>-7.4419299899339833E-2</v>
      </c>
      <c r="Y205">
        <f t="shared" si="77"/>
        <v>3.6434819591424294</v>
      </c>
      <c r="Z205">
        <f t="shared" si="78"/>
        <v>3.7300474462412052</v>
      </c>
      <c r="AA205">
        <f t="shared" si="79"/>
        <v>-93.059355402011207</v>
      </c>
      <c r="AB205">
        <f t="shared" si="80"/>
        <v>-7.3338091451800027</v>
      </c>
      <c r="AC205">
        <f t="shared" si="81"/>
        <v>-0.66313081830692799</v>
      </c>
      <c r="AD205">
        <f t="shared" si="82"/>
        <v>-101.05629536549813</v>
      </c>
      <c r="AE205">
        <v>12</v>
      </c>
      <c r="AF205">
        <v>2</v>
      </c>
      <c r="AG205">
        <f t="shared" si="83"/>
        <v>1</v>
      </c>
      <c r="AH205">
        <f t="shared" si="84"/>
        <v>0</v>
      </c>
      <c r="AI205">
        <f t="shared" si="85"/>
        <v>25587.867288161819</v>
      </c>
      <c r="AJ205">
        <f t="shared" si="86"/>
        <v>0</v>
      </c>
      <c r="AK205">
        <f t="shared" si="87"/>
        <v>0</v>
      </c>
      <c r="AL205">
        <f t="shared" si="88"/>
        <v>0</v>
      </c>
      <c r="AM205">
        <f t="shared" si="89"/>
        <v>0</v>
      </c>
      <c r="AN205">
        <v>3</v>
      </c>
      <c r="AO205">
        <v>0.5</v>
      </c>
      <c r="AP205" t="s">
        <v>331</v>
      </c>
      <c r="AQ205">
        <v>2</v>
      </c>
      <c r="AR205">
        <v>1775492312</v>
      </c>
      <c r="AS205">
        <v>35.491083870967749</v>
      </c>
      <c r="AT205">
        <v>36.150599999999997</v>
      </c>
      <c r="AU205">
        <v>-0.74199929032258072</v>
      </c>
      <c r="AV205">
        <v>-2.0090938709677419</v>
      </c>
      <c r="AW205">
        <v>27.484083870967751</v>
      </c>
      <c r="AX205">
        <v>0.2472716129032258</v>
      </c>
      <c r="AY205">
        <v>499.98364516129033</v>
      </c>
      <c r="AZ205">
        <v>100.25712903225801</v>
      </c>
      <c r="BA205">
        <v>3.851931935483871E-2</v>
      </c>
      <c r="BB205">
        <v>27.303612903225801</v>
      </c>
      <c r="BC205">
        <v>27.360419354838719</v>
      </c>
      <c r="BD205">
        <v>999.90000000000032</v>
      </c>
      <c r="BE205">
        <v>0</v>
      </c>
      <c r="BF205">
        <v>0</v>
      </c>
      <c r="BG205">
        <v>5004.2580645161288</v>
      </c>
      <c r="BH205">
        <v>0.38333525806451613</v>
      </c>
      <c r="BI205">
        <v>0.23331922580645159</v>
      </c>
      <c r="BJ205">
        <v>-0.68934054838709669</v>
      </c>
      <c r="BK205">
        <v>35.43496774193548</v>
      </c>
      <c r="BL205">
        <v>36.078106451612911</v>
      </c>
      <c r="BM205">
        <v>1.267094193548387</v>
      </c>
      <c r="BN205">
        <v>36.150599999999997</v>
      </c>
      <c r="BO205">
        <v>-2.0090938709677419</v>
      </c>
      <c r="BP205">
        <v>-7.439072903225806E-2</v>
      </c>
      <c r="BQ205">
        <v>-0.20142603225806449</v>
      </c>
      <c r="BR205">
        <v>-99.900000000000034</v>
      </c>
      <c r="BS205">
        <v>-99.900000000000034</v>
      </c>
      <c r="BT205">
        <v>0</v>
      </c>
      <c r="BU205">
        <v>0</v>
      </c>
      <c r="BV205">
        <v>0</v>
      </c>
      <c r="BW205">
        <v>25</v>
      </c>
      <c r="BX205">
        <v>-1</v>
      </c>
      <c r="BY205">
        <v>1775492340</v>
      </c>
      <c r="BZ205" t="s">
        <v>900</v>
      </c>
      <c r="CA205">
        <v>1775492340</v>
      </c>
      <c r="CB205">
        <v>1775480969.5</v>
      </c>
      <c r="CC205">
        <v>190</v>
      </c>
      <c r="CD205">
        <v>0.03</v>
      </c>
      <c r="CE205">
        <v>0.19500000000000001</v>
      </c>
      <c r="CF205">
        <v>8.0069999999999997</v>
      </c>
      <c r="CG205">
        <v>-0.98899999999999999</v>
      </c>
      <c r="CH205">
        <v>37</v>
      </c>
      <c r="CI205">
        <v>-3</v>
      </c>
      <c r="CJ205">
        <v>0.25</v>
      </c>
      <c r="CK205">
        <v>0.06</v>
      </c>
      <c r="CL205">
        <v>35.891983333333343</v>
      </c>
      <c r="CM205">
        <v>1.8769046957488731</v>
      </c>
      <c r="CN205">
        <v>0.30496852087096138</v>
      </c>
      <c r="CO205">
        <v>-1</v>
      </c>
      <c r="CP205">
        <v>499.99628333333328</v>
      </c>
      <c r="CQ205">
        <v>-0.1123478744101874</v>
      </c>
      <c r="CR205">
        <v>5.4081448349277708E-2</v>
      </c>
      <c r="CS205">
        <v>-1</v>
      </c>
      <c r="CT205">
        <v>0</v>
      </c>
      <c r="CU205">
        <v>0</v>
      </c>
      <c r="CV205" t="s">
        <v>333</v>
      </c>
      <c r="CW205">
        <v>3.16744</v>
      </c>
      <c r="CX205">
        <v>2.65978</v>
      </c>
      <c r="CY205">
        <v>8.2568599999999995E-3</v>
      </c>
      <c r="CZ205">
        <v>1.0813E-2</v>
      </c>
      <c r="DA205">
        <v>2.0657800000000001E-3</v>
      </c>
      <c r="DB205">
        <v>-1.8678699999999999E-2</v>
      </c>
      <c r="DC205">
        <v>21404.6</v>
      </c>
      <c r="DD205">
        <v>21734.400000000001</v>
      </c>
      <c r="DE205">
        <v>23109.599999999999</v>
      </c>
      <c r="DF205">
        <v>22324.1</v>
      </c>
      <c r="DG205">
        <v>29740.2</v>
      </c>
      <c r="DH205">
        <v>27121.5</v>
      </c>
      <c r="DI205">
        <v>40615.5</v>
      </c>
      <c r="DJ205">
        <v>36999.199999999997</v>
      </c>
      <c r="DK205">
        <v>2.0931799999999998</v>
      </c>
      <c r="DL205">
        <v>1.8028999999999999</v>
      </c>
      <c r="DM205">
        <v>2.91258E-2</v>
      </c>
      <c r="DN205">
        <v>0</v>
      </c>
      <c r="DO205">
        <v>26.885400000000001</v>
      </c>
      <c r="DP205">
        <v>999.9</v>
      </c>
      <c r="DQ205">
        <v>75.3</v>
      </c>
      <c r="DR205">
        <v>30.3</v>
      </c>
      <c r="DS205">
        <v>32.554900000000004</v>
      </c>
      <c r="DT205">
        <v>30.785599999999999</v>
      </c>
      <c r="DU205">
        <v>9.3910300000000007</v>
      </c>
      <c r="DV205">
        <v>1</v>
      </c>
      <c r="DW205">
        <v>0.17968700000000001</v>
      </c>
      <c r="DX205">
        <v>-0.36222900000000002</v>
      </c>
      <c r="DY205">
        <v>20.367999999999999</v>
      </c>
      <c r="DZ205">
        <v>5.2127400000000002</v>
      </c>
      <c r="EA205">
        <v>11.8482</v>
      </c>
      <c r="EB205">
        <v>4.9678399999999998</v>
      </c>
      <c r="EC205">
        <v>3.2921200000000002</v>
      </c>
      <c r="ED205">
        <v>894.7</v>
      </c>
      <c r="EE205">
        <v>0</v>
      </c>
      <c r="EF205">
        <v>9730.7000000000007</v>
      </c>
      <c r="EG205">
        <v>112</v>
      </c>
      <c r="EH205">
        <v>4.9716300000000002</v>
      </c>
      <c r="EI205">
        <v>1.8717999999999999</v>
      </c>
      <c r="EJ205">
        <v>1.86896</v>
      </c>
      <c r="EK205">
        <v>1.87141</v>
      </c>
      <c r="EL205">
        <v>1.86913</v>
      </c>
      <c r="EM205">
        <v>1.86809</v>
      </c>
      <c r="EN205">
        <v>1.8699600000000001</v>
      </c>
      <c r="EO205">
        <v>1.87168</v>
      </c>
      <c r="EP205">
        <v>0</v>
      </c>
      <c r="EQ205">
        <v>0</v>
      </c>
      <c r="ER205">
        <v>0</v>
      </c>
      <c r="ES205">
        <v>0</v>
      </c>
      <c r="ET205" t="s">
        <v>334</v>
      </c>
      <c r="EU205" t="s">
        <v>335</v>
      </c>
      <c r="EV205" t="s">
        <v>336</v>
      </c>
      <c r="EW205" t="s">
        <v>336</v>
      </c>
      <c r="EX205" t="s">
        <v>336</v>
      </c>
      <c r="EY205" t="s">
        <v>336</v>
      </c>
      <c r="EZ205">
        <v>0</v>
      </c>
      <c r="FA205">
        <v>100</v>
      </c>
      <c r="FB205">
        <v>100</v>
      </c>
      <c r="FC205">
        <v>8.0069999999999997</v>
      </c>
      <c r="FD205">
        <v>-0.98929999999999996</v>
      </c>
      <c r="FE205">
        <v>7.9771700000000081</v>
      </c>
      <c r="FF205">
        <v>0</v>
      </c>
      <c r="FG205">
        <v>0</v>
      </c>
      <c r="FH205">
        <v>0</v>
      </c>
      <c r="FI205">
        <v>-0.98927100000000023</v>
      </c>
      <c r="FJ205">
        <v>0</v>
      </c>
      <c r="FK205">
        <v>0</v>
      </c>
      <c r="FL205">
        <v>0</v>
      </c>
      <c r="FM205">
        <v>-1</v>
      </c>
      <c r="FN205">
        <v>-1</v>
      </c>
      <c r="FO205">
        <v>-1</v>
      </c>
      <c r="FP205">
        <v>-1</v>
      </c>
      <c r="FQ205">
        <v>0.7</v>
      </c>
      <c r="FR205">
        <v>189.2</v>
      </c>
      <c r="FS205">
        <v>0.142822</v>
      </c>
      <c r="FT205">
        <v>4.99756</v>
      </c>
      <c r="FU205">
        <v>1.5979000000000001</v>
      </c>
      <c r="FV205">
        <v>2.1520999999999999</v>
      </c>
      <c r="FW205">
        <v>1.5478499999999999</v>
      </c>
      <c r="FX205">
        <v>2.323</v>
      </c>
      <c r="FY205">
        <v>34.486400000000003</v>
      </c>
      <c r="FZ205">
        <v>15.357900000000001</v>
      </c>
      <c r="GA205">
        <v>3</v>
      </c>
      <c r="GB205">
        <v>499</v>
      </c>
      <c r="GC205">
        <v>405.41699999999997</v>
      </c>
      <c r="GD205">
        <v>28.040199999999999</v>
      </c>
      <c r="GE205">
        <v>29.534300000000002</v>
      </c>
      <c r="GF205">
        <v>30</v>
      </c>
      <c r="GG205">
        <v>29.832599999999999</v>
      </c>
      <c r="GH205">
        <v>29.884899999999998</v>
      </c>
      <c r="GI205">
        <v>-1</v>
      </c>
      <c r="GJ205">
        <v>0</v>
      </c>
      <c r="GK205">
        <v>100</v>
      </c>
      <c r="GL205">
        <v>28.0379</v>
      </c>
      <c r="GM205">
        <v>432.1</v>
      </c>
      <c r="GN205">
        <v>68.912800000000004</v>
      </c>
      <c r="GO205">
        <v>102.23399999999999</v>
      </c>
      <c r="GP205">
        <v>96.542199999999994</v>
      </c>
    </row>
    <row r="206" spans="1:198" x14ac:dyDescent="0.35">
      <c r="A206">
        <v>190</v>
      </c>
      <c r="B206">
        <v>1775492380</v>
      </c>
      <c r="C206">
        <v>11341.5</v>
      </c>
      <c r="D206" t="s">
        <v>901</v>
      </c>
      <c r="E206" t="s">
        <v>902</v>
      </c>
      <c r="F206">
        <v>60</v>
      </c>
      <c r="G206">
        <v>1775492372</v>
      </c>
      <c r="H206">
        <f t="shared" si="60"/>
        <v>2.1153112114764127E-3</v>
      </c>
      <c r="I206">
        <f t="shared" si="61"/>
        <v>2.1153112114764125</v>
      </c>
      <c r="J206">
        <f t="shared" si="62"/>
        <v>0.99861672153288816</v>
      </c>
      <c r="K206">
        <f t="shared" si="63"/>
        <v>36.710080645161291</v>
      </c>
      <c r="L206">
        <f t="shared" si="64"/>
        <v>6.8391255722574735</v>
      </c>
      <c r="M206">
        <f t="shared" si="65"/>
        <v>0.68593455125350866</v>
      </c>
      <c r="N206">
        <f t="shared" si="66"/>
        <v>3.6818614350294956</v>
      </c>
      <c r="O206">
        <f t="shared" si="67"/>
        <v>5.658584594669612E-2</v>
      </c>
      <c r="P206">
        <f t="shared" si="68"/>
        <v>2.3922909058546944</v>
      </c>
      <c r="Q206">
        <f t="shared" si="69"/>
        <v>5.585266165865152E-2</v>
      </c>
      <c r="R206">
        <f t="shared" si="70"/>
        <v>3.4972995709863487E-2</v>
      </c>
      <c r="S206">
        <f t="shared" si="71"/>
        <v>0</v>
      </c>
      <c r="T206">
        <f t="shared" si="72"/>
        <v>26.631975376549327</v>
      </c>
      <c r="U206">
        <f t="shared" si="73"/>
        <v>27.359070967741939</v>
      </c>
      <c r="V206">
        <f t="shared" si="74"/>
        <v>3.6553394292659336</v>
      </c>
      <c r="W206">
        <f t="shared" si="75"/>
        <v>-2.0696834853247235</v>
      </c>
      <c r="X206">
        <f t="shared" si="76"/>
        <v>-7.5371618745202679E-2</v>
      </c>
      <c r="Y206">
        <f t="shared" si="77"/>
        <v>3.6416978383231982</v>
      </c>
      <c r="Z206">
        <f t="shared" si="78"/>
        <v>3.7307110480111363</v>
      </c>
      <c r="AA206">
        <f t="shared" si="79"/>
        <v>-93.285224426109806</v>
      </c>
      <c r="AB206">
        <f t="shared" si="80"/>
        <v>-8.2305695634887641</v>
      </c>
      <c r="AC206">
        <f t="shared" si="81"/>
        <v>-0.74492226249220084</v>
      </c>
      <c r="AD206">
        <f t="shared" si="82"/>
        <v>-102.26071625209076</v>
      </c>
      <c r="AE206">
        <v>12</v>
      </c>
      <c r="AF206">
        <v>2</v>
      </c>
      <c r="AG206">
        <f t="shared" si="83"/>
        <v>1</v>
      </c>
      <c r="AH206">
        <f t="shared" si="84"/>
        <v>0</v>
      </c>
      <c r="AI206">
        <f t="shared" si="85"/>
        <v>25552.336387216066</v>
      </c>
      <c r="AJ206">
        <f t="shared" si="86"/>
        <v>0</v>
      </c>
      <c r="AK206">
        <f t="shared" si="87"/>
        <v>0</v>
      </c>
      <c r="AL206">
        <f t="shared" si="88"/>
        <v>0</v>
      </c>
      <c r="AM206">
        <f t="shared" si="89"/>
        <v>0</v>
      </c>
      <c r="AN206">
        <v>3</v>
      </c>
      <c r="AO206">
        <v>0.5</v>
      </c>
      <c r="AP206" t="s">
        <v>331</v>
      </c>
      <c r="AQ206">
        <v>2</v>
      </c>
      <c r="AR206">
        <v>1775492372</v>
      </c>
      <c r="AS206">
        <v>36.710080645161291</v>
      </c>
      <c r="AT206">
        <v>37.355861290322579</v>
      </c>
      <c r="AU206">
        <v>-0.75149438709677441</v>
      </c>
      <c r="AV206">
        <v>-2.0216716129032259</v>
      </c>
      <c r="AW206">
        <v>28.637080645161291</v>
      </c>
      <c r="AX206">
        <v>0.2377766129032258</v>
      </c>
      <c r="AY206">
        <v>499.9855483870968</v>
      </c>
      <c r="AZ206">
        <v>100.25706451612901</v>
      </c>
      <c r="BA206">
        <v>3.8586441935483877E-2</v>
      </c>
      <c r="BB206">
        <v>27.295254838709671</v>
      </c>
      <c r="BC206">
        <v>27.359070967741939</v>
      </c>
      <c r="BD206">
        <v>999.90000000000032</v>
      </c>
      <c r="BE206">
        <v>0</v>
      </c>
      <c r="BF206">
        <v>0</v>
      </c>
      <c r="BG206">
        <v>4998.1290322580644</v>
      </c>
      <c r="BH206">
        <v>0.35380461290322579</v>
      </c>
      <c r="BI206">
        <v>0.23331922580645159</v>
      </c>
      <c r="BJ206">
        <v>-0.71147687096774204</v>
      </c>
      <c r="BK206">
        <v>36.616877419354843</v>
      </c>
      <c r="BL206">
        <v>37.280500000000004</v>
      </c>
      <c r="BM206">
        <v>1.270177096774193</v>
      </c>
      <c r="BN206">
        <v>37.355861290322579</v>
      </c>
      <c r="BO206">
        <v>-2.0216716129032259</v>
      </c>
      <c r="BP206">
        <v>-7.5342683870967736E-2</v>
      </c>
      <c r="BQ206">
        <v>-0.2026870322580645</v>
      </c>
      <c r="BR206">
        <v>-99.900000000000034</v>
      </c>
      <c r="BS206">
        <v>-99.900000000000034</v>
      </c>
      <c r="BT206">
        <v>0</v>
      </c>
      <c r="BU206">
        <v>0</v>
      </c>
      <c r="BV206">
        <v>0</v>
      </c>
      <c r="BW206">
        <v>25</v>
      </c>
      <c r="BX206">
        <v>-1</v>
      </c>
      <c r="BY206">
        <v>1775492402.5</v>
      </c>
      <c r="BZ206" t="s">
        <v>903</v>
      </c>
      <c r="CA206">
        <v>1775492402.5</v>
      </c>
      <c r="CB206">
        <v>1775480969.5</v>
      </c>
      <c r="CC206">
        <v>191</v>
      </c>
      <c r="CD206">
        <v>6.6000000000000003E-2</v>
      </c>
      <c r="CE206">
        <v>0.19500000000000001</v>
      </c>
      <c r="CF206">
        <v>8.0730000000000004</v>
      </c>
      <c r="CG206">
        <v>-0.98899999999999999</v>
      </c>
      <c r="CH206">
        <v>41</v>
      </c>
      <c r="CI206">
        <v>-3</v>
      </c>
      <c r="CJ206">
        <v>0.59</v>
      </c>
      <c r="CK206">
        <v>0.06</v>
      </c>
      <c r="CL206">
        <v>37.184126666666657</v>
      </c>
      <c r="CM206">
        <v>1.52549841622675</v>
      </c>
      <c r="CN206">
        <v>0.26338261133862911</v>
      </c>
      <c r="CO206">
        <v>-1</v>
      </c>
      <c r="CP206">
        <v>499.99488333333329</v>
      </c>
      <c r="CQ206">
        <v>-6.6661850514497481E-2</v>
      </c>
      <c r="CR206">
        <v>5.193428272559588E-2</v>
      </c>
      <c r="CS206">
        <v>-1</v>
      </c>
      <c r="CT206">
        <v>0</v>
      </c>
      <c r="CU206">
        <v>0</v>
      </c>
      <c r="CV206" t="s">
        <v>333</v>
      </c>
      <c r="CW206">
        <v>3.1673499999999999</v>
      </c>
      <c r="CX206">
        <v>2.65991</v>
      </c>
      <c r="CY206">
        <v>8.6145900000000001E-3</v>
      </c>
      <c r="CZ206">
        <v>1.14132E-2</v>
      </c>
      <c r="DA206">
        <v>1.9567600000000001E-3</v>
      </c>
      <c r="DB206">
        <v>-1.8881100000000001E-2</v>
      </c>
      <c r="DC206">
        <v>21397.1</v>
      </c>
      <c r="DD206">
        <v>21722.1</v>
      </c>
      <c r="DE206">
        <v>23109.9</v>
      </c>
      <c r="DF206">
        <v>22325</v>
      </c>
      <c r="DG206">
        <v>29744</v>
      </c>
      <c r="DH206">
        <v>27127.8</v>
      </c>
      <c r="DI206">
        <v>40616.199999999997</v>
      </c>
      <c r="DJ206">
        <v>37000.5</v>
      </c>
      <c r="DK206">
        <v>2.0928200000000001</v>
      </c>
      <c r="DL206">
        <v>1.8033999999999999</v>
      </c>
      <c r="DM206">
        <v>2.9575799999999999E-2</v>
      </c>
      <c r="DN206">
        <v>0</v>
      </c>
      <c r="DO206">
        <v>26.876300000000001</v>
      </c>
      <c r="DP206">
        <v>999.9</v>
      </c>
      <c r="DQ206">
        <v>75.3</v>
      </c>
      <c r="DR206">
        <v>30.3</v>
      </c>
      <c r="DS206">
        <v>32.556199999999997</v>
      </c>
      <c r="DT206">
        <v>30.365600000000001</v>
      </c>
      <c r="DU206">
        <v>9.8317300000000003</v>
      </c>
      <c r="DV206">
        <v>1</v>
      </c>
      <c r="DW206">
        <v>0.179091</v>
      </c>
      <c r="DX206">
        <v>-0.44202200000000003</v>
      </c>
      <c r="DY206">
        <v>20.3673</v>
      </c>
      <c r="DZ206">
        <v>5.2125000000000004</v>
      </c>
      <c r="EA206">
        <v>11.8482</v>
      </c>
      <c r="EB206">
        <v>4.9677600000000002</v>
      </c>
      <c r="EC206">
        <v>3.29216</v>
      </c>
      <c r="ED206">
        <v>894.7</v>
      </c>
      <c r="EE206">
        <v>0</v>
      </c>
      <c r="EF206">
        <v>9757.4</v>
      </c>
      <c r="EG206">
        <v>112</v>
      </c>
      <c r="EH206">
        <v>4.9716300000000002</v>
      </c>
      <c r="EI206">
        <v>1.87181</v>
      </c>
      <c r="EJ206">
        <v>1.86894</v>
      </c>
      <c r="EK206">
        <v>1.8713500000000001</v>
      </c>
      <c r="EL206">
        <v>1.86911</v>
      </c>
      <c r="EM206">
        <v>1.86809</v>
      </c>
      <c r="EN206">
        <v>1.8699600000000001</v>
      </c>
      <c r="EO206">
        <v>1.8717200000000001</v>
      </c>
      <c r="EP206">
        <v>0</v>
      </c>
      <c r="EQ206">
        <v>0</v>
      </c>
      <c r="ER206">
        <v>0</v>
      </c>
      <c r="ES206">
        <v>0</v>
      </c>
      <c r="ET206" t="s">
        <v>334</v>
      </c>
      <c r="EU206" t="s">
        <v>335</v>
      </c>
      <c r="EV206" t="s">
        <v>336</v>
      </c>
      <c r="EW206" t="s">
        <v>336</v>
      </c>
      <c r="EX206" t="s">
        <v>336</v>
      </c>
      <c r="EY206" t="s">
        <v>336</v>
      </c>
      <c r="EZ206">
        <v>0</v>
      </c>
      <c r="FA206">
        <v>100</v>
      </c>
      <c r="FB206">
        <v>100</v>
      </c>
      <c r="FC206">
        <v>8.0730000000000004</v>
      </c>
      <c r="FD206">
        <v>-0.98929999999999996</v>
      </c>
      <c r="FE206">
        <v>8.0073199999999929</v>
      </c>
      <c r="FF206">
        <v>0</v>
      </c>
      <c r="FG206">
        <v>0</v>
      </c>
      <c r="FH206">
        <v>0</v>
      </c>
      <c r="FI206">
        <v>-0.98927100000000023</v>
      </c>
      <c r="FJ206">
        <v>0</v>
      </c>
      <c r="FK206">
        <v>0</v>
      </c>
      <c r="FL206">
        <v>0</v>
      </c>
      <c r="FM206">
        <v>-1</v>
      </c>
      <c r="FN206">
        <v>-1</v>
      </c>
      <c r="FO206">
        <v>-1</v>
      </c>
      <c r="FP206">
        <v>-1</v>
      </c>
      <c r="FQ206">
        <v>0.7</v>
      </c>
      <c r="FR206">
        <v>190.2</v>
      </c>
      <c r="FS206">
        <v>0.142822</v>
      </c>
      <c r="FT206">
        <v>4.99756</v>
      </c>
      <c r="FU206">
        <v>1.5979000000000001</v>
      </c>
      <c r="FV206">
        <v>2.1533199999999999</v>
      </c>
      <c r="FW206">
        <v>1.5478499999999999</v>
      </c>
      <c r="FX206">
        <v>2.4548299999999998</v>
      </c>
      <c r="FY206">
        <v>34.5092</v>
      </c>
      <c r="FZ206">
        <v>15.357900000000001</v>
      </c>
      <c r="GA206">
        <v>3</v>
      </c>
      <c r="GB206">
        <v>498.74400000000003</v>
      </c>
      <c r="GC206">
        <v>405.654</v>
      </c>
      <c r="GD206">
        <v>28.096499999999999</v>
      </c>
      <c r="GE206">
        <v>29.527200000000001</v>
      </c>
      <c r="GF206">
        <v>30.0001</v>
      </c>
      <c r="GG206">
        <v>29.826599999999999</v>
      </c>
      <c r="GH206">
        <v>29.877300000000002</v>
      </c>
      <c r="GI206">
        <v>-1</v>
      </c>
      <c r="GJ206">
        <v>0</v>
      </c>
      <c r="GK206">
        <v>100</v>
      </c>
      <c r="GL206">
        <v>28.097799999999999</v>
      </c>
      <c r="GM206">
        <v>432.1</v>
      </c>
      <c r="GN206">
        <v>68.912800000000004</v>
      </c>
      <c r="GO206">
        <v>102.236</v>
      </c>
      <c r="GP206">
        <v>96.545900000000003</v>
      </c>
    </row>
    <row r="207" spans="1:198" x14ac:dyDescent="0.35">
      <c r="A207">
        <v>191</v>
      </c>
      <c r="B207">
        <v>1775492440</v>
      </c>
      <c r="C207">
        <v>11401.5</v>
      </c>
      <c r="D207" t="s">
        <v>904</v>
      </c>
      <c r="E207" t="s">
        <v>905</v>
      </c>
      <c r="F207">
        <v>60</v>
      </c>
      <c r="G207">
        <v>1775492432.25</v>
      </c>
      <c r="H207">
        <f t="shared" si="60"/>
        <v>2.1539683224653496E-3</v>
      </c>
      <c r="I207">
        <f t="shared" si="61"/>
        <v>2.1539683224653494</v>
      </c>
      <c r="J207">
        <f t="shared" si="62"/>
        <v>3.7199946368033567E-2</v>
      </c>
      <c r="K207">
        <f t="shared" si="63"/>
        <v>37.896393333333329</v>
      </c>
      <c r="L207">
        <f t="shared" si="64"/>
        <v>34.657734939616219</v>
      </c>
      <c r="M207">
        <f t="shared" si="65"/>
        <v>3.4761288100774403</v>
      </c>
      <c r="N207">
        <f t="shared" si="66"/>
        <v>3.800962321788862</v>
      </c>
      <c r="O207">
        <f t="shared" si="67"/>
        <v>5.7633661477693068E-2</v>
      </c>
      <c r="P207">
        <f t="shared" si="68"/>
        <v>2.3929494504883611</v>
      </c>
      <c r="Q207">
        <f t="shared" si="69"/>
        <v>5.6873475687030384E-2</v>
      </c>
      <c r="R207">
        <f t="shared" si="70"/>
        <v>3.5613386571982722E-2</v>
      </c>
      <c r="S207">
        <f t="shared" si="71"/>
        <v>0</v>
      </c>
      <c r="T207">
        <f t="shared" si="72"/>
        <v>26.626566614500472</v>
      </c>
      <c r="U207">
        <f t="shared" si="73"/>
        <v>27.360289999999999</v>
      </c>
      <c r="V207">
        <f t="shared" si="74"/>
        <v>3.6556004479794302</v>
      </c>
      <c r="W207">
        <f t="shared" si="75"/>
        <v>-2.0645679735218176</v>
      </c>
      <c r="X207">
        <f t="shared" si="76"/>
        <v>-7.5214141377728097E-2</v>
      </c>
      <c r="Y207">
        <f t="shared" si="77"/>
        <v>3.6430934869838643</v>
      </c>
      <c r="Z207">
        <f t="shared" si="78"/>
        <v>3.7308145893571583</v>
      </c>
      <c r="AA207">
        <f t="shared" si="79"/>
        <v>-94.990003020721915</v>
      </c>
      <c r="AB207">
        <f t="shared" si="80"/>
        <v>-7.5465783813528251</v>
      </c>
      <c r="AC207">
        <f t="shared" si="81"/>
        <v>-0.68285491824414346</v>
      </c>
      <c r="AD207">
        <f t="shared" si="82"/>
        <v>-103.21943632031889</v>
      </c>
      <c r="AE207">
        <v>12</v>
      </c>
      <c r="AF207">
        <v>2</v>
      </c>
      <c r="AG207">
        <f t="shared" si="83"/>
        <v>1</v>
      </c>
      <c r="AH207">
        <f t="shared" si="84"/>
        <v>0</v>
      </c>
      <c r="AI207">
        <f t="shared" si="85"/>
        <v>25561.668327239455</v>
      </c>
      <c r="AJ207">
        <f t="shared" si="86"/>
        <v>0</v>
      </c>
      <c r="AK207">
        <f t="shared" si="87"/>
        <v>0</v>
      </c>
      <c r="AL207">
        <f t="shared" si="88"/>
        <v>0</v>
      </c>
      <c r="AM207">
        <f t="shared" si="89"/>
        <v>0</v>
      </c>
      <c r="AN207">
        <v>3</v>
      </c>
      <c r="AO207">
        <v>0.5</v>
      </c>
      <c r="AP207" t="s">
        <v>331</v>
      </c>
      <c r="AQ207">
        <v>2</v>
      </c>
      <c r="AR207">
        <v>1775492432.25</v>
      </c>
      <c r="AS207">
        <v>37.896393333333329</v>
      </c>
      <c r="AT207">
        <v>37.967686666666673</v>
      </c>
      <c r="AU207">
        <v>-0.74990080000000015</v>
      </c>
      <c r="AV207">
        <v>-2.0431926666666671</v>
      </c>
      <c r="AW207">
        <v>29.911393333333329</v>
      </c>
      <c r="AX207">
        <v>0.23937019999999989</v>
      </c>
      <c r="AY207">
        <v>500.02253333333329</v>
      </c>
      <c r="AZ207">
        <v>100.2602</v>
      </c>
      <c r="BA207">
        <v>3.8588023333333332E-2</v>
      </c>
      <c r="BB207">
        <v>27.301793333333329</v>
      </c>
      <c r="BC207">
        <v>27.360289999999999</v>
      </c>
      <c r="BD207">
        <v>999.9000000000002</v>
      </c>
      <c r="BE207">
        <v>0</v>
      </c>
      <c r="BF207">
        <v>0</v>
      </c>
      <c r="BG207">
        <v>4999.666666666667</v>
      </c>
      <c r="BH207">
        <v>0.34369323333333329</v>
      </c>
      <c r="BI207">
        <v>0.22961599999999999</v>
      </c>
      <c r="BJ207">
        <v>1.6942091333333329E-2</v>
      </c>
      <c r="BK207">
        <v>37.956149999999987</v>
      </c>
      <c r="BL207">
        <v>37.890256666666673</v>
      </c>
      <c r="BM207">
        <v>1.2932913333333329</v>
      </c>
      <c r="BN207">
        <v>37.967686666666673</v>
      </c>
      <c r="BO207">
        <v>-2.0431926666666671</v>
      </c>
      <c r="BP207">
        <v>-7.5185260000000004E-2</v>
      </c>
      <c r="BQ207">
        <v>-0.20485120000000001</v>
      </c>
      <c r="BR207">
        <v>-99.900000000000034</v>
      </c>
      <c r="BS207">
        <v>-99.900000000000034</v>
      </c>
      <c r="BT207">
        <v>0</v>
      </c>
      <c r="BU207">
        <v>0</v>
      </c>
      <c r="BV207">
        <v>0</v>
      </c>
      <c r="BW207">
        <v>25</v>
      </c>
      <c r="BX207">
        <v>-0.98888900000000013</v>
      </c>
      <c r="BY207">
        <v>1775492462.5</v>
      </c>
      <c r="BZ207" t="s">
        <v>906</v>
      </c>
      <c r="CA207">
        <v>1775492462.5</v>
      </c>
      <c r="CB207">
        <v>1775480969.5</v>
      </c>
      <c r="CC207">
        <v>192</v>
      </c>
      <c r="CD207">
        <v>-8.8999999999999996E-2</v>
      </c>
      <c r="CE207">
        <v>0.19500000000000001</v>
      </c>
      <c r="CF207">
        <v>7.9850000000000003</v>
      </c>
      <c r="CG207">
        <v>-0.98899999999999999</v>
      </c>
      <c r="CH207">
        <v>38</v>
      </c>
      <c r="CI207">
        <v>-3</v>
      </c>
      <c r="CJ207">
        <v>0.26</v>
      </c>
      <c r="CK207">
        <v>0.06</v>
      </c>
      <c r="CL207">
        <v>38.275718032786891</v>
      </c>
      <c r="CM207">
        <v>-2.390277525119028</v>
      </c>
      <c r="CN207">
        <v>0.37823130511186132</v>
      </c>
      <c r="CO207">
        <v>-1</v>
      </c>
      <c r="CP207">
        <v>500.1488032786886</v>
      </c>
      <c r="CQ207">
        <v>-1.5198244315179641</v>
      </c>
      <c r="CR207">
        <v>0.55594842370971487</v>
      </c>
      <c r="CS207">
        <v>-1</v>
      </c>
      <c r="CT207">
        <v>0</v>
      </c>
      <c r="CU207">
        <v>0</v>
      </c>
      <c r="CV207" t="s">
        <v>333</v>
      </c>
      <c r="CW207">
        <v>3.1673100000000001</v>
      </c>
      <c r="CX207">
        <v>2.6598099999999998</v>
      </c>
      <c r="CY207">
        <v>8.7945000000000002E-3</v>
      </c>
      <c r="CZ207">
        <v>1.11763E-2</v>
      </c>
      <c r="DA207">
        <v>1.9659500000000002E-3</v>
      </c>
      <c r="DB207">
        <v>-1.90829E-2</v>
      </c>
      <c r="DC207">
        <v>21393.5</v>
      </c>
      <c r="DD207">
        <v>21727.200000000001</v>
      </c>
      <c r="DE207">
        <v>23110.1</v>
      </c>
      <c r="DF207">
        <v>22324.9</v>
      </c>
      <c r="DG207">
        <v>29743.8</v>
      </c>
      <c r="DH207">
        <v>27133</v>
      </c>
      <c r="DI207">
        <v>40616.300000000003</v>
      </c>
      <c r="DJ207">
        <v>37000.400000000001</v>
      </c>
      <c r="DK207">
        <v>2.09294</v>
      </c>
      <c r="DL207">
        <v>1.8043400000000001</v>
      </c>
      <c r="DM207">
        <v>3.0258299999999998E-2</v>
      </c>
      <c r="DN207">
        <v>0</v>
      </c>
      <c r="DO207">
        <v>26.864899999999999</v>
      </c>
      <c r="DP207">
        <v>999.9</v>
      </c>
      <c r="DQ207">
        <v>75.3</v>
      </c>
      <c r="DR207">
        <v>30.3</v>
      </c>
      <c r="DS207">
        <v>32.551200000000001</v>
      </c>
      <c r="DT207">
        <v>30.6356</v>
      </c>
      <c r="DU207">
        <v>9.6033600000000003</v>
      </c>
      <c r="DV207">
        <v>1</v>
      </c>
      <c r="DW207">
        <v>0.17823</v>
      </c>
      <c r="DX207">
        <v>-0.40225300000000003</v>
      </c>
      <c r="DY207">
        <v>20.367799999999999</v>
      </c>
      <c r="DZ207">
        <v>5.2119</v>
      </c>
      <c r="EA207">
        <v>11.8482</v>
      </c>
      <c r="EB207">
        <v>4.9677199999999999</v>
      </c>
      <c r="EC207">
        <v>3.2921</v>
      </c>
      <c r="ED207">
        <v>894.7</v>
      </c>
      <c r="EE207">
        <v>0</v>
      </c>
      <c r="EF207">
        <v>9790</v>
      </c>
      <c r="EG207">
        <v>112</v>
      </c>
      <c r="EH207">
        <v>4.9716500000000003</v>
      </c>
      <c r="EI207">
        <v>1.8717999999999999</v>
      </c>
      <c r="EJ207">
        <v>1.8690100000000001</v>
      </c>
      <c r="EK207">
        <v>1.8713900000000001</v>
      </c>
      <c r="EL207">
        <v>1.8691599999999999</v>
      </c>
      <c r="EM207">
        <v>1.8681300000000001</v>
      </c>
      <c r="EN207">
        <v>1.8699600000000001</v>
      </c>
      <c r="EO207">
        <v>1.87175</v>
      </c>
      <c r="EP207">
        <v>0</v>
      </c>
      <c r="EQ207">
        <v>0</v>
      </c>
      <c r="ER207">
        <v>0</v>
      </c>
      <c r="ES207">
        <v>0</v>
      </c>
      <c r="ET207" t="s">
        <v>334</v>
      </c>
      <c r="EU207" t="s">
        <v>335</v>
      </c>
      <c r="EV207" t="s">
        <v>336</v>
      </c>
      <c r="EW207" t="s">
        <v>336</v>
      </c>
      <c r="EX207" t="s">
        <v>336</v>
      </c>
      <c r="EY207" t="s">
        <v>336</v>
      </c>
      <c r="EZ207">
        <v>0</v>
      </c>
      <c r="FA207">
        <v>100</v>
      </c>
      <c r="FB207">
        <v>100</v>
      </c>
      <c r="FC207">
        <v>7.9850000000000003</v>
      </c>
      <c r="FD207">
        <v>-0.98929999999999996</v>
      </c>
      <c r="FE207">
        <v>8.073223809523796</v>
      </c>
      <c r="FF207">
        <v>0</v>
      </c>
      <c r="FG207">
        <v>0</v>
      </c>
      <c r="FH207">
        <v>0</v>
      </c>
      <c r="FI207">
        <v>-0.98927100000000023</v>
      </c>
      <c r="FJ207">
        <v>0</v>
      </c>
      <c r="FK207">
        <v>0</v>
      </c>
      <c r="FL207">
        <v>0</v>
      </c>
      <c r="FM207">
        <v>-1</v>
      </c>
      <c r="FN207">
        <v>-1</v>
      </c>
      <c r="FO207">
        <v>-1</v>
      </c>
      <c r="FP207">
        <v>-1</v>
      </c>
      <c r="FQ207">
        <v>0.6</v>
      </c>
      <c r="FR207">
        <v>191.2</v>
      </c>
      <c r="FS207">
        <v>0.14160200000000001</v>
      </c>
      <c r="FT207">
        <v>4.99756</v>
      </c>
      <c r="FU207">
        <v>1.5979000000000001</v>
      </c>
      <c r="FV207">
        <v>2.1520999999999999</v>
      </c>
      <c r="FW207">
        <v>1.5478499999999999</v>
      </c>
      <c r="FX207">
        <v>2.3840300000000001</v>
      </c>
      <c r="FY207">
        <v>34.5092</v>
      </c>
      <c r="FZ207">
        <v>15.3491</v>
      </c>
      <c r="GA207">
        <v>3</v>
      </c>
      <c r="GB207">
        <v>498.755</v>
      </c>
      <c r="GC207">
        <v>406.142</v>
      </c>
      <c r="GD207">
        <v>28.074999999999999</v>
      </c>
      <c r="GE207">
        <v>29.519600000000001</v>
      </c>
      <c r="GF207">
        <v>30</v>
      </c>
      <c r="GG207">
        <v>29.818999999999999</v>
      </c>
      <c r="GH207">
        <v>29.869800000000001</v>
      </c>
      <c r="GI207">
        <v>-1</v>
      </c>
      <c r="GJ207">
        <v>0</v>
      </c>
      <c r="GK207">
        <v>100</v>
      </c>
      <c r="GL207">
        <v>28.073399999999999</v>
      </c>
      <c r="GM207">
        <v>432.1</v>
      </c>
      <c r="GN207">
        <v>68.912800000000004</v>
      </c>
      <c r="GO207">
        <v>102.236</v>
      </c>
      <c r="GP207">
        <v>96.545500000000004</v>
      </c>
    </row>
    <row r="208" spans="1:198" x14ac:dyDescent="0.35">
      <c r="A208">
        <v>192</v>
      </c>
      <c r="B208">
        <v>1775492500.0999999</v>
      </c>
      <c r="C208">
        <v>11461.599999904631</v>
      </c>
      <c r="D208" t="s">
        <v>907</v>
      </c>
      <c r="E208" t="s">
        <v>908</v>
      </c>
      <c r="F208">
        <v>60</v>
      </c>
      <c r="G208">
        <v>1775492492.4741931</v>
      </c>
      <c r="H208">
        <f t="shared" si="60"/>
        <v>2.1472162845482391E-3</v>
      </c>
      <c r="I208">
        <f t="shared" si="61"/>
        <v>2.147216284548239</v>
      </c>
      <c r="J208">
        <f t="shared" si="62"/>
        <v>0.69629079851586506</v>
      </c>
      <c r="K208">
        <f t="shared" si="63"/>
        <v>37.435641935483872</v>
      </c>
      <c r="L208">
        <f t="shared" si="64"/>
        <v>16.203996813882668</v>
      </c>
      <c r="M208">
        <f t="shared" si="65"/>
        <v>1.6252248043766355</v>
      </c>
      <c r="N208">
        <f t="shared" si="66"/>
        <v>3.7547115406234304</v>
      </c>
      <c r="O208">
        <f t="shared" si="67"/>
        <v>5.7459809550063967E-2</v>
      </c>
      <c r="P208">
        <f t="shared" si="68"/>
        <v>2.3938288056325678</v>
      </c>
      <c r="Q208">
        <f t="shared" si="69"/>
        <v>5.6704444261122387E-2</v>
      </c>
      <c r="R208">
        <f t="shared" si="70"/>
        <v>3.5507316889863923E-2</v>
      </c>
      <c r="S208">
        <f t="shared" si="71"/>
        <v>0</v>
      </c>
      <c r="T208">
        <f t="shared" si="72"/>
        <v>26.627457795997092</v>
      </c>
      <c r="U208">
        <f t="shared" si="73"/>
        <v>27.362312903225799</v>
      </c>
      <c r="V208">
        <f t="shared" si="74"/>
        <v>3.6560336271266447</v>
      </c>
      <c r="W208">
        <f t="shared" si="75"/>
        <v>-2.0342896494691507</v>
      </c>
      <c r="X208">
        <f t="shared" si="76"/>
        <v>-7.410477062770203E-2</v>
      </c>
      <c r="Y208">
        <f t="shared" si="77"/>
        <v>3.6427836442583144</v>
      </c>
      <c r="Z208">
        <f t="shared" si="78"/>
        <v>3.7301383977543465</v>
      </c>
      <c r="AA208">
        <f t="shared" si="79"/>
        <v>-94.692238148577346</v>
      </c>
      <c r="AB208">
        <f t="shared" si="80"/>
        <v>-7.9977313213362553</v>
      </c>
      <c r="AC208">
        <f t="shared" si="81"/>
        <v>-0.72341388596460288</v>
      </c>
      <c r="AD208">
        <f t="shared" si="82"/>
        <v>-103.41338335587821</v>
      </c>
      <c r="AE208">
        <v>12</v>
      </c>
      <c r="AF208">
        <v>2</v>
      </c>
      <c r="AG208">
        <f t="shared" si="83"/>
        <v>1</v>
      </c>
      <c r="AH208">
        <f t="shared" si="84"/>
        <v>0</v>
      </c>
      <c r="AI208">
        <f t="shared" si="85"/>
        <v>25575.207006203309</v>
      </c>
      <c r="AJ208">
        <f t="shared" si="86"/>
        <v>0</v>
      </c>
      <c r="AK208">
        <f t="shared" si="87"/>
        <v>0</v>
      </c>
      <c r="AL208">
        <f t="shared" si="88"/>
        <v>0</v>
      </c>
      <c r="AM208">
        <f t="shared" si="89"/>
        <v>0</v>
      </c>
      <c r="AN208">
        <v>3</v>
      </c>
      <c r="AO208">
        <v>0.5</v>
      </c>
      <c r="AP208" t="s">
        <v>331</v>
      </c>
      <c r="AQ208">
        <v>2</v>
      </c>
      <c r="AR208">
        <v>1775492492.4741931</v>
      </c>
      <c r="AS208">
        <v>37.435641935483872</v>
      </c>
      <c r="AT208">
        <v>37.901661290322579</v>
      </c>
      <c r="AU208">
        <v>-0.73884761290322598</v>
      </c>
      <c r="AV208">
        <v>-2.0281719354838712</v>
      </c>
      <c r="AW208">
        <v>29.41964193548387</v>
      </c>
      <c r="AX208">
        <v>0.25042335483870959</v>
      </c>
      <c r="AY208">
        <v>499.9834516129032</v>
      </c>
      <c r="AZ208">
        <v>100.25909677419359</v>
      </c>
      <c r="BA208">
        <v>3.867685806451613E-2</v>
      </c>
      <c r="BB208">
        <v>27.300341935483861</v>
      </c>
      <c r="BC208">
        <v>27.362312903225799</v>
      </c>
      <c r="BD208">
        <v>999.90000000000032</v>
      </c>
      <c r="BE208">
        <v>0</v>
      </c>
      <c r="BF208">
        <v>0</v>
      </c>
      <c r="BG208">
        <v>5001.9838709677406</v>
      </c>
      <c r="BH208">
        <v>0.38065229032258069</v>
      </c>
      <c r="BI208">
        <v>0.22961599999999999</v>
      </c>
      <c r="BJ208">
        <v>-0.49741951612903218</v>
      </c>
      <c r="BK208">
        <v>37.376622580645147</v>
      </c>
      <c r="BL208">
        <v>37.824945161290323</v>
      </c>
      <c r="BM208">
        <v>1.289324193548387</v>
      </c>
      <c r="BN208">
        <v>37.901661290322579</v>
      </c>
      <c r="BO208">
        <v>-2.0281719354838712</v>
      </c>
      <c r="BP208">
        <v>-7.4076193548387112E-2</v>
      </c>
      <c r="BQ208">
        <v>-0.2033427741935484</v>
      </c>
      <c r="BR208">
        <v>-99.900000000000034</v>
      </c>
      <c r="BS208">
        <v>-99.900000000000034</v>
      </c>
      <c r="BT208">
        <v>0</v>
      </c>
      <c r="BU208">
        <v>0</v>
      </c>
      <c r="BV208">
        <v>0</v>
      </c>
      <c r="BW208">
        <v>25</v>
      </c>
      <c r="BX208">
        <v>-1</v>
      </c>
      <c r="BY208">
        <v>1775492518.0999999</v>
      </c>
      <c r="BZ208" t="s">
        <v>909</v>
      </c>
      <c r="CA208">
        <v>1775492518.0999999</v>
      </c>
      <c r="CB208">
        <v>1775480969.5</v>
      </c>
      <c r="CC208">
        <v>193</v>
      </c>
      <c r="CD208">
        <v>3.2000000000000001E-2</v>
      </c>
      <c r="CE208">
        <v>0.19500000000000001</v>
      </c>
      <c r="CF208">
        <v>8.016</v>
      </c>
      <c r="CG208">
        <v>-0.98899999999999999</v>
      </c>
      <c r="CH208">
        <v>38</v>
      </c>
      <c r="CI208">
        <v>-3</v>
      </c>
      <c r="CJ208">
        <v>0.21</v>
      </c>
      <c r="CK208">
        <v>0.06</v>
      </c>
      <c r="CL208">
        <v>37.780604918032793</v>
      </c>
      <c r="CM208">
        <v>1.375804759386527</v>
      </c>
      <c r="CN208">
        <v>0.34025768028393749</v>
      </c>
      <c r="CO208">
        <v>-1</v>
      </c>
      <c r="CP208">
        <v>500.14549180327867</v>
      </c>
      <c r="CQ208">
        <v>-1.8693664727658099</v>
      </c>
      <c r="CR208">
        <v>0.5788582777075223</v>
      </c>
      <c r="CS208">
        <v>-1</v>
      </c>
      <c r="CT208">
        <v>0</v>
      </c>
      <c r="CU208">
        <v>0</v>
      </c>
      <c r="CV208" t="s">
        <v>333</v>
      </c>
      <c r="CW208">
        <v>3.1674799999999999</v>
      </c>
      <c r="CX208">
        <v>2.6599900000000001</v>
      </c>
      <c r="CY208">
        <v>8.7689399999999994E-3</v>
      </c>
      <c r="CZ208">
        <v>1.12514E-2</v>
      </c>
      <c r="DA208">
        <v>2.0445099999999998E-3</v>
      </c>
      <c r="DB208">
        <v>-1.8919999999999999E-2</v>
      </c>
      <c r="DC208">
        <v>21394.5</v>
      </c>
      <c r="DD208">
        <v>21725.8</v>
      </c>
      <c r="DE208">
        <v>23110.6</v>
      </c>
      <c r="DF208">
        <v>22325.200000000001</v>
      </c>
      <c r="DG208">
        <v>29742</v>
      </c>
      <c r="DH208">
        <v>27128.9</v>
      </c>
      <c r="DI208">
        <v>40617</v>
      </c>
      <c r="DJ208">
        <v>37000.6</v>
      </c>
      <c r="DK208">
        <v>2.09314</v>
      </c>
      <c r="DL208">
        <v>1.8038400000000001</v>
      </c>
      <c r="DM208">
        <v>2.9504300000000001E-2</v>
      </c>
      <c r="DN208">
        <v>0</v>
      </c>
      <c r="DO208">
        <v>26.878599999999999</v>
      </c>
      <c r="DP208">
        <v>999.9</v>
      </c>
      <c r="DQ208">
        <v>75.3</v>
      </c>
      <c r="DR208">
        <v>30.3</v>
      </c>
      <c r="DS208">
        <v>32.5563</v>
      </c>
      <c r="DT208">
        <v>30.5838</v>
      </c>
      <c r="DU208">
        <v>9.7476000000000003</v>
      </c>
      <c r="DV208">
        <v>1</v>
      </c>
      <c r="DW208">
        <v>0.178004</v>
      </c>
      <c r="DX208">
        <v>-0.41506799999999999</v>
      </c>
      <c r="DY208">
        <v>20.3675</v>
      </c>
      <c r="DZ208">
        <v>5.2119</v>
      </c>
      <c r="EA208">
        <v>11.8482</v>
      </c>
      <c r="EB208">
        <v>4.9677600000000002</v>
      </c>
      <c r="EC208">
        <v>3.2921399999999998</v>
      </c>
      <c r="ED208">
        <v>894.7</v>
      </c>
      <c r="EE208">
        <v>0</v>
      </c>
      <c r="EF208">
        <v>9822.1</v>
      </c>
      <c r="EG208">
        <v>112</v>
      </c>
      <c r="EH208">
        <v>4.9716199999999997</v>
      </c>
      <c r="EI208">
        <v>1.8717999999999999</v>
      </c>
      <c r="EJ208">
        <v>1.86904</v>
      </c>
      <c r="EK208">
        <v>1.8713900000000001</v>
      </c>
      <c r="EL208">
        <v>1.8691599999999999</v>
      </c>
      <c r="EM208">
        <v>1.86812</v>
      </c>
      <c r="EN208">
        <v>1.8699600000000001</v>
      </c>
      <c r="EO208">
        <v>1.8717699999999999</v>
      </c>
      <c r="EP208">
        <v>0</v>
      </c>
      <c r="EQ208">
        <v>0</v>
      </c>
      <c r="ER208">
        <v>0</v>
      </c>
      <c r="ES208">
        <v>0</v>
      </c>
      <c r="ET208" t="s">
        <v>334</v>
      </c>
      <c r="EU208" t="s">
        <v>335</v>
      </c>
      <c r="EV208" t="s">
        <v>336</v>
      </c>
      <c r="EW208" t="s">
        <v>336</v>
      </c>
      <c r="EX208" t="s">
        <v>336</v>
      </c>
      <c r="EY208" t="s">
        <v>336</v>
      </c>
      <c r="EZ208">
        <v>0</v>
      </c>
      <c r="FA208">
        <v>100</v>
      </c>
      <c r="FB208">
        <v>100</v>
      </c>
      <c r="FC208">
        <v>8.016</v>
      </c>
      <c r="FD208">
        <v>-0.98929999999999996</v>
      </c>
      <c r="FE208">
        <v>7.9845904761904691</v>
      </c>
      <c r="FF208">
        <v>0</v>
      </c>
      <c r="FG208">
        <v>0</v>
      </c>
      <c r="FH208">
        <v>0</v>
      </c>
      <c r="FI208">
        <v>-0.98927100000000023</v>
      </c>
      <c r="FJ208">
        <v>0</v>
      </c>
      <c r="FK208">
        <v>0</v>
      </c>
      <c r="FL208">
        <v>0</v>
      </c>
      <c r="FM208">
        <v>-1</v>
      </c>
      <c r="FN208">
        <v>-1</v>
      </c>
      <c r="FO208">
        <v>-1</v>
      </c>
      <c r="FP208">
        <v>-1</v>
      </c>
      <c r="FQ208">
        <v>0.6</v>
      </c>
      <c r="FR208">
        <v>192.2</v>
      </c>
      <c r="FS208">
        <v>0.142822</v>
      </c>
      <c r="FT208">
        <v>4.99756</v>
      </c>
      <c r="FU208">
        <v>1.5979000000000001</v>
      </c>
      <c r="FV208">
        <v>2.1520999999999999</v>
      </c>
      <c r="FW208">
        <v>1.5478499999999999</v>
      </c>
      <c r="FX208">
        <v>2.36816</v>
      </c>
      <c r="FY208">
        <v>34.5092</v>
      </c>
      <c r="FZ208">
        <v>15.357900000000001</v>
      </c>
      <c r="GA208">
        <v>3</v>
      </c>
      <c r="GB208">
        <v>498.83800000000002</v>
      </c>
      <c r="GC208">
        <v>405.822</v>
      </c>
      <c r="GD208">
        <v>28.0397</v>
      </c>
      <c r="GE208">
        <v>29.515000000000001</v>
      </c>
      <c r="GF208">
        <v>30.0001</v>
      </c>
      <c r="GG208">
        <v>29.814900000000002</v>
      </c>
      <c r="GH208">
        <v>29.864699999999999</v>
      </c>
      <c r="GI208">
        <v>-1</v>
      </c>
      <c r="GJ208">
        <v>0</v>
      </c>
      <c r="GK208">
        <v>100</v>
      </c>
      <c r="GL208">
        <v>28.06</v>
      </c>
      <c r="GM208">
        <v>432.1</v>
      </c>
      <c r="GN208">
        <v>68.912800000000004</v>
      </c>
      <c r="GO208">
        <v>102.238</v>
      </c>
      <c r="GP208">
        <v>96.546400000000006</v>
      </c>
    </row>
    <row r="209" spans="1:198" x14ac:dyDescent="0.35">
      <c r="A209">
        <v>193</v>
      </c>
      <c r="B209">
        <v>1775492560.0999999</v>
      </c>
      <c r="C209">
        <v>11521.599999904631</v>
      </c>
      <c r="D209" t="s">
        <v>910</v>
      </c>
      <c r="E209" t="s">
        <v>911</v>
      </c>
      <c r="F209">
        <v>60</v>
      </c>
      <c r="G209">
        <v>1775492552.099999</v>
      </c>
      <c r="H209">
        <f t="shared" ref="H209:H272" si="90">(I209)/1000</f>
        <v>2.1352308691720478E-3</v>
      </c>
      <c r="I209">
        <f t="shared" ref="I209:I255" si="91">1000*AY209*AG209*(AU209-AV209)/(100*AN209*(1000-AG209*AU209))</f>
        <v>2.1352308691720476</v>
      </c>
      <c r="J209">
        <f t="shared" ref="J209:J255" si="92">AY209*AG209*(AT209-AS209*(1000-AG209*AV209)/(1000-AG209*AU209))/(100*AN209)</f>
        <v>0.4890179737859135</v>
      </c>
      <c r="K209">
        <f t="shared" ref="K209:K272" si="93">AS209 - IF(AG209&gt;1, J209*AN209*100/(AI209), 0)</f>
        <v>37.417335483870957</v>
      </c>
      <c r="L209">
        <f t="shared" ref="L209:L272" si="94">((R209-H209/2)*K209-J209)/(R209+H209/2)</f>
        <v>21.771551643464832</v>
      </c>
      <c r="M209">
        <f t="shared" ref="M209:M272" si="95">L209*(AZ209+BA209)/1000</f>
        <v>2.1836946934604056</v>
      </c>
      <c r="N209">
        <f t="shared" ref="N209:N255" si="96">(AS209 - IF(AG209&gt;1, J209*AN209*100/(AI209), 0))*(AZ209+BA209)/1000</f>
        <v>3.7529726074477128</v>
      </c>
      <c r="O209">
        <f t="shared" ref="O209:O272" si="97">2/((1/Q209-1/P209)+SIGN(Q209)*SQRT((1/Q209-1/P209)*(1/Q209-1/P209) + 4*AO209/((AO209+1)*(AO209+1))*(2*1/Q209*1/P209-1/P209*1/P209)))</f>
        <v>5.7111419380759934E-2</v>
      </c>
      <c r="P209">
        <f t="shared" ref="P209:P255" si="98">IF(LEFT(AP209,1)&lt;&gt;"0",IF(LEFT(AP209,1)="1",3,AQ209),$D$5+$E$5*(BG209*AZ209/($K$5*1000))+$F$5*(BG209*AZ209/($K$5*1000))*MAX(MIN(AN209,$J$5),$I$5)*MAX(MIN(AN209,$J$5),$I$5)+$G$5*MAX(MIN(AN209,$J$5),$I$5)*(BG209*AZ209/($K$5*1000))+$H$5*(BG209*AZ209/($K$5*1000))*(BG209*AZ209/($K$5*1000)))</f>
        <v>2.3937340125500919</v>
      </c>
      <c r="Q209">
        <f t="shared" ref="Q209:Q255" si="99">H209*(1000-(1000*0.61365*EXP(17.502*U209/(240.97+U209))/(AZ209+BA209)+AU209)/2)/(1000*0.61365*EXP(17.502*U209/(240.97+U209))/(AZ209+BA209)-AU209)</f>
        <v>5.6365092889484027E-2</v>
      </c>
      <c r="R209">
        <f t="shared" ref="R209:R255" si="100">1/((AO209+1)/(O209/1.6)+1/(P209/1.37)) + AO209/((AO209+1)/(O209/1.6) + AO209/(P209/1.37))</f>
        <v>3.529442493081849E-2</v>
      </c>
      <c r="S209">
        <f t="shared" ref="S209:S255" si="101">(AJ209*AM209)</f>
        <v>0</v>
      </c>
      <c r="T209">
        <f t="shared" ref="T209:T272" si="102">(BB209+(S209+2*0.95*0.0000000567*(((BB209+$B$7)+273)^4-(BB209+273)^4)-44100*H209)/(1.84*29.3*P209+8*0.95*0.0000000567*(BB209+273)^3))</f>
        <v>26.624802016566854</v>
      </c>
      <c r="U209">
        <f t="shared" ref="U209:U272" si="103">($C$7*BC209+$D$7*BD209+$E$7*T209)</f>
        <v>27.357164516129028</v>
      </c>
      <c r="V209">
        <f t="shared" ref="V209:V272" si="104">0.61365*EXP(17.502*U209/(240.97+U209))</f>
        <v>3.6549312531978071</v>
      </c>
      <c r="W209">
        <f t="shared" ref="W209:W272" si="105">(X209/Y209*100)</f>
        <v>-2.1115498713882466</v>
      </c>
      <c r="X209">
        <f t="shared" ref="X209:X255" si="106">AU209*(AZ209+BA209)/1000</f>
        <v>-7.689042246815192E-2</v>
      </c>
      <c r="Y209">
        <f t="shared" ref="Y209:Y255" si="107">0.61365*EXP(17.502*BB209/(240.97+BB209))</f>
        <v>3.6414210959459843</v>
      </c>
      <c r="Z209">
        <f t="shared" ref="Z209:Z255" si="108">(V209-AU209*(AZ209+BA209)/1000)</f>
        <v>3.7318216756659588</v>
      </c>
      <c r="AA209">
        <f t="shared" ref="AA209:AA255" si="109">(-H209*44100)</f>
        <v>-94.163681330487307</v>
      </c>
      <c r="AB209">
        <f t="shared" ref="AB209:AB255" si="110">2*29.3*P209*0.92*(BB209-U209)</f>
        <v>-8.1568550339661332</v>
      </c>
      <c r="AC209">
        <f t="shared" ref="AC209:AC255" si="111">2*0.95*0.0000000567*(((BB209+$B$7)+273)^4-(U209+273)^4)</f>
        <v>-0.73779372655910702</v>
      </c>
      <c r="AD209">
        <f t="shared" ref="AD209:AD272" si="112">S209+AC209+AA209+AB209</f>
        <v>-103.05833009101255</v>
      </c>
      <c r="AE209">
        <v>12</v>
      </c>
      <c r="AF209">
        <v>2</v>
      </c>
      <c r="AG209">
        <f t="shared" ref="AG209:AG255" si="113">IF(AE209*$H$13&gt;=AI209,1,(AI209/(AI209-AE209*$H$13)))</f>
        <v>1</v>
      </c>
      <c r="AH209">
        <f t="shared" ref="AH209:AH272" si="114">(AG209-1)*100</f>
        <v>0</v>
      </c>
      <c r="AI209">
        <f t="shared" ref="AI209:AI255" si="115">MAX(0,($B$13+$C$13*BG209)/(1+$D$13*BG209)*AZ209/(BB209+273)*$E$13)</f>
        <v>25574.195001210926</v>
      </c>
      <c r="AJ209">
        <f t="shared" ref="AJ209:AJ255" si="116">$B$11*BH209+$C$11*BI209+$D$11*BT209</f>
        <v>0</v>
      </c>
      <c r="AK209">
        <f t="shared" ref="AK209:AK272" si="117">AJ209*AL209</f>
        <v>0</v>
      </c>
      <c r="AL209">
        <f t="shared" ref="AL209:AL255" si="118">($B$11*$D$9+$C$11*$D$9+$D$11*(BU209*$E$9+BV209*$G$9))/($B$11+$C$11+$D$11)</f>
        <v>0</v>
      </c>
      <c r="AM209">
        <f t="shared" ref="AM209:AM255" si="119">($B$11*$K$9+$C$11*$K$9+$D$11*(BU209*$L$9+BV209*$N$9))/($B$11+$C$11+$D$11)</f>
        <v>0</v>
      </c>
      <c r="AN209">
        <v>3</v>
      </c>
      <c r="AO209">
        <v>0.5</v>
      </c>
      <c r="AP209" t="s">
        <v>331</v>
      </c>
      <c r="AQ209">
        <v>2</v>
      </c>
      <c r="AR209">
        <v>1775492552.099999</v>
      </c>
      <c r="AS209">
        <v>37.417335483870957</v>
      </c>
      <c r="AT209">
        <v>37.758664516129024</v>
      </c>
      <c r="AU209">
        <v>-0.76660158064516148</v>
      </c>
      <c r="AV209">
        <v>-2.048652580645161</v>
      </c>
      <c r="AW209">
        <v>29.41033548387097</v>
      </c>
      <c r="AX209">
        <v>0.22266938709677411</v>
      </c>
      <c r="AY209">
        <v>500.02716129032262</v>
      </c>
      <c r="AZ209">
        <v>100.26196774193551</v>
      </c>
      <c r="BA209">
        <v>3.8402632258064499E-2</v>
      </c>
      <c r="BB209">
        <v>27.293958064516129</v>
      </c>
      <c r="BC209">
        <v>27.357164516129028</v>
      </c>
      <c r="BD209">
        <v>999.90000000000032</v>
      </c>
      <c r="BE209">
        <v>0</v>
      </c>
      <c r="BF209">
        <v>0</v>
      </c>
      <c r="BG209">
        <v>5001.5967741935483</v>
      </c>
      <c r="BH209">
        <v>0.38182451612903218</v>
      </c>
      <c r="BI209">
        <v>0.23328219354838711</v>
      </c>
      <c r="BJ209">
        <v>-0.33218706774193552</v>
      </c>
      <c r="BK209">
        <v>37.397806451612908</v>
      </c>
      <c r="BL209">
        <v>37.68147096774193</v>
      </c>
      <c r="BM209">
        <v>1.28205129032258</v>
      </c>
      <c r="BN209">
        <v>37.758664516129024</v>
      </c>
      <c r="BO209">
        <v>-2.048652580645161</v>
      </c>
      <c r="BP209">
        <v>-7.6860967741935488E-2</v>
      </c>
      <c r="BQ209">
        <v>-0.20540193548387101</v>
      </c>
      <c r="BR209">
        <v>-99.900000000000034</v>
      </c>
      <c r="BS209">
        <v>-99.900000000000034</v>
      </c>
      <c r="BT209">
        <v>0</v>
      </c>
      <c r="BU209">
        <v>0</v>
      </c>
      <c r="BV209">
        <v>0</v>
      </c>
      <c r="BW209">
        <v>25</v>
      </c>
      <c r="BX209">
        <v>-0.98064519354838742</v>
      </c>
      <c r="BY209">
        <v>1775492577.5999999</v>
      </c>
      <c r="BZ209" t="s">
        <v>912</v>
      </c>
      <c r="CA209">
        <v>1775492577.5999999</v>
      </c>
      <c r="CB209">
        <v>1775480969.5</v>
      </c>
      <c r="CC209">
        <v>194</v>
      </c>
      <c r="CD209">
        <v>-8.9999999999999993E-3</v>
      </c>
      <c r="CE209">
        <v>0.19500000000000001</v>
      </c>
      <c r="CF209">
        <v>8.0069999999999997</v>
      </c>
      <c r="CG209">
        <v>-0.98899999999999999</v>
      </c>
      <c r="CH209">
        <v>38</v>
      </c>
      <c r="CI209">
        <v>-3</v>
      </c>
      <c r="CJ209">
        <v>0.42</v>
      </c>
      <c r="CK209">
        <v>0.06</v>
      </c>
      <c r="CL209">
        <v>37.853753333333337</v>
      </c>
      <c r="CM209">
        <v>-0.93264840233387192</v>
      </c>
      <c r="CN209">
        <v>0.20905395114393069</v>
      </c>
      <c r="CO209">
        <v>-1</v>
      </c>
      <c r="CP209">
        <v>500.0139666666667</v>
      </c>
      <c r="CQ209">
        <v>6.3204223395420478E-2</v>
      </c>
      <c r="CR209">
        <v>5.8450824535578469E-2</v>
      </c>
      <c r="CS209">
        <v>-1</v>
      </c>
      <c r="CT209">
        <v>0</v>
      </c>
      <c r="CU209">
        <v>0</v>
      </c>
      <c r="CV209" t="s">
        <v>333</v>
      </c>
      <c r="CW209">
        <v>3.1674699999999998</v>
      </c>
      <c r="CX209">
        <v>2.6597400000000002</v>
      </c>
      <c r="CY209">
        <v>8.7142000000000001E-3</v>
      </c>
      <c r="CZ209">
        <v>1.10542E-2</v>
      </c>
      <c r="DA209">
        <v>1.8187399999999999E-3</v>
      </c>
      <c r="DB209">
        <v>-1.9176599999999999E-2</v>
      </c>
      <c r="DC209">
        <v>21395.599999999999</v>
      </c>
      <c r="DD209">
        <v>21730.3</v>
      </c>
      <c r="DE209">
        <v>23110.5</v>
      </c>
      <c r="DF209">
        <v>22325.3</v>
      </c>
      <c r="DG209">
        <v>29748.5</v>
      </c>
      <c r="DH209">
        <v>27136.1</v>
      </c>
      <c r="DI209">
        <v>40616.800000000003</v>
      </c>
      <c r="DJ209">
        <v>37001.199999999997</v>
      </c>
      <c r="DK209">
        <v>2.0934599999999999</v>
      </c>
      <c r="DL209">
        <v>1.8045</v>
      </c>
      <c r="DM209">
        <v>2.9146700000000001E-2</v>
      </c>
      <c r="DN209">
        <v>0</v>
      </c>
      <c r="DO209">
        <v>26.8809</v>
      </c>
      <c r="DP209">
        <v>999.9</v>
      </c>
      <c r="DQ209">
        <v>75.3</v>
      </c>
      <c r="DR209">
        <v>30.3</v>
      </c>
      <c r="DS209">
        <v>32.554499999999997</v>
      </c>
      <c r="DT209">
        <v>30.823799999999999</v>
      </c>
      <c r="DU209">
        <v>9.4992000000000001</v>
      </c>
      <c r="DV209">
        <v>1</v>
      </c>
      <c r="DW209">
        <v>0.177539</v>
      </c>
      <c r="DX209">
        <v>-0.45749899999999999</v>
      </c>
      <c r="DY209">
        <v>20.3673</v>
      </c>
      <c r="DZ209">
        <v>5.2105800000000002</v>
      </c>
      <c r="EA209">
        <v>11.8482</v>
      </c>
      <c r="EB209">
        <v>4.9677600000000002</v>
      </c>
      <c r="EC209">
        <v>3.2921800000000001</v>
      </c>
      <c r="ED209">
        <v>894.7</v>
      </c>
      <c r="EE209">
        <v>0</v>
      </c>
      <c r="EF209">
        <v>9854.6</v>
      </c>
      <c r="EG209">
        <v>112</v>
      </c>
      <c r="EH209">
        <v>4.9716500000000003</v>
      </c>
      <c r="EI209">
        <v>1.8717999999999999</v>
      </c>
      <c r="EJ209">
        <v>1.8690199999999999</v>
      </c>
      <c r="EK209">
        <v>1.8714299999999999</v>
      </c>
      <c r="EL209">
        <v>1.86913</v>
      </c>
      <c r="EM209">
        <v>1.8681300000000001</v>
      </c>
      <c r="EN209">
        <v>1.8699600000000001</v>
      </c>
      <c r="EO209">
        <v>1.87178</v>
      </c>
      <c r="EP209">
        <v>0</v>
      </c>
      <c r="EQ209">
        <v>0</v>
      </c>
      <c r="ER209">
        <v>0</v>
      </c>
      <c r="ES209">
        <v>0</v>
      </c>
      <c r="ET209" t="s">
        <v>334</v>
      </c>
      <c r="EU209" t="s">
        <v>335</v>
      </c>
      <c r="EV209" t="s">
        <v>336</v>
      </c>
      <c r="EW209" t="s">
        <v>336</v>
      </c>
      <c r="EX209" t="s">
        <v>336</v>
      </c>
      <c r="EY209" t="s">
        <v>336</v>
      </c>
      <c r="EZ209">
        <v>0</v>
      </c>
      <c r="FA209">
        <v>100</v>
      </c>
      <c r="FB209">
        <v>100</v>
      </c>
      <c r="FC209">
        <v>8.0069999999999997</v>
      </c>
      <c r="FD209">
        <v>-0.98929999999999996</v>
      </c>
      <c r="FE209">
        <v>8.01614</v>
      </c>
      <c r="FF209">
        <v>0</v>
      </c>
      <c r="FG209">
        <v>0</v>
      </c>
      <c r="FH209">
        <v>0</v>
      </c>
      <c r="FI209">
        <v>-0.98927100000000023</v>
      </c>
      <c r="FJ209">
        <v>0</v>
      </c>
      <c r="FK209">
        <v>0</v>
      </c>
      <c r="FL209">
        <v>0</v>
      </c>
      <c r="FM209">
        <v>-1</v>
      </c>
      <c r="FN209">
        <v>-1</v>
      </c>
      <c r="FO209">
        <v>-1</v>
      </c>
      <c r="FP209">
        <v>-1</v>
      </c>
      <c r="FQ209">
        <v>0.7</v>
      </c>
      <c r="FR209">
        <v>193.2</v>
      </c>
      <c r="FS209">
        <v>0.142822</v>
      </c>
      <c r="FT209">
        <v>4.99756</v>
      </c>
      <c r="FU209">
        <v>1.5979000000000001</v>
      </c>
      <c r="FV209">
        <v>2.1508799999999999</v>
      </c>
      <c r="FW209">
        <v>1.5478499999999999</v>
      </c>
      <c r="FX209">
        <v>2.3803700000000001</v>
      </c>
      <c r="FY209">
        <v>34.486400000000003</v>
      </c>
      <c r="FZ209">
        <v>15.3491</v>
      </c>
      <c r="GA209">
        <v>3</v>
      </c>
      <c r="GB209">
        <v>498.98500000000001</v>
      </c>
      <c r="GC209">
        <v>406.16699999999997</v>
      </c>
      <c r="GD209">
        <v>28.105</v>
      </c>
      <c r="GE209">
        <v>29.511399999999998</v>
      </c>
      <c r="GF209">
        <v>30</v>
      </c>
      <c r="GG209">
        <v>29.809799999999999</v>
      </c>
      <c r="GH209">
        <v>29.8597</v>
      </c>
      <c r="GI209">
        <v>-1</v>
      </c>
      <c r="GJ209">
        <v>0</v>
      </c>
      <c r="GK209">
        <v>100</v>
      </c>
      <c r="GL209">
        <v>28.107700000000001</v>
      </c>
      <c r="GM209">
        <v>432.1</v>
      </c>
      <c r="GN209">
        <v>68.912800000000004</v>
      </c>
      <c r="GO209">
        <v>102.238</v>
      </c>
      <c r="GP209">
        <v>96.547399999999996</v>
      </c>
    </row>
    <row r="210" spans="1:198" x14ac:dyDescent="0.35">
      <c r="A210">
        <v>194</v>
      </c>
      <c r="B210">
        <v>1775492620.0999999</v>
      </c>
      <c r="C210">
        <v>11581.599999904631</v>
      </c>
      <c r="D210" t="s">
        <v>913</v>
      </c>
      <c r="E210" t="s">
        <v>914</v>
      </c>
      <c r="F210">
        <v>60</v>
      </c>
      <c r="G210">
        <v>1775492612.349999</v>
      </c>
      <c r="H210">
        <f t="shared" si="90"/>
        <v>2.1715934749885566E-3</v>
      </c>
      <c r="I210">
        <f t="shared" si="91"/>
        <v>2.1715934749885566</v>
      </c>
      <c r="J210">
        <f t="shared" si="92"/>
        <v>1.5936532214871819</v>
      </c>
      <c r="K210">
        <f t="shared" si="93"/>
        <v>37.704273333333333</v>
      </c>
      <c r="L210">
        <f t="shared" si="94"/>
        <v>-7.6096684672077579</v>
      </c>
      <c r="M210">
        <f t="shared" si="95"/>
        <v>-0.76325234253836904</v>
      </c>
      <c r="N210">
        <f t="shared" si="96"/>
        <v>3.7817514743757545</v>
      </c>
      <c r="O210">
        <f t="shared" si="97"/>
        <v>5.8087402404363858E-2</v>
      </c>
      <c r="P210">
        <f t="shared" si="98"/>
        <v>2.3912237491151349</v>
      </c>
      <c r="Q210">
        <f t="shared" si="99"/>
        <v>5.7314737087558604E-2</v>
      </c>
      <c r="R210">
        <f t="shared" si="100"/>
        <v>3.5890275280522618E-2</v>
      </c>
      <c r="S210">
        <f t="shared" si="101"/>
        <v>0</v>
      </c>
      <c r="T210">
        <f t="shared" si="102"/>
        <v>26.622241903494139</v>
      </c>
      <c r="U210">
        <f t="shared" si="103"/>
        <v>27.36425333333333</v>
      </c>
      <c r="V210">
        <f t="shared" si="104"/>
        <v>3.6564491877941712</v>
      </c>
      <c r="W210">
        <f t="shared" si="105"/>
        <v>-2.0857335397103696</v>
      </c>
      <c r="X210">
        <f t="shared" si="106"/>
        <v>-7.5992570113256025E-2</v>
      </c>
      <c r="Y210">
        <f t="shared" si="107"/>
        <v>3.6434457550032282</v>
      </c>
      <c r="Z210">
        <f t="shared" si="108"/>
        <v>3.7324417579074272</v>
      </c>
      <c r="AA210">
        <f t="shared" si="109"/>
        <v>-95.767272246995347</v>
      </c>
      <c r="AB210">
        <f t="shared" si="110"/>
        <v>-7.8393609660951729</v>
      </c>
      <c r="AC210">
        <f t="shared" si="111"/>
        <v>-0.70987928294685676</v>
      </c>
      <c r="AD210">
        <f t="shared" si="112"/>
        <v>-104.31651249603738</v>
      </c>
      <c r="AE210">
        <v>12</v>
      </c>
      <c r="AF210">
        <v>2</v>
      </c>
      <c r="AG210">
        <f t="shared" si="113"/>
        <v>1</v>
      </c>
      <c r="AH210">
        <f t="shared" si="114"/>
        <v>0</v>
      </c>
      <c r="AI210">
        <f t="shared" si="115"/>
        <v>25535.227123759647</v>
      </c>
      <c r="AJ210">
        <f t="shared" si="116"/>
        <v>0</v>
      </c>
      <c r="AK210">
        <f t="shared" si="117"/>
        <v>0</v>
      </c>
      <c r="AL210">
        <f t="shared" si="118"/>
        <v>0</v>
      </c>
      <c r="AM210">
        <f t="shared" si="119"/>
        <v>0</v>
      </c>
      <c r="AN210">
        <v>3</v>
      </c>
      <c r="AO210">
        <v>0.5</v>
      </c>
      <c r="AP210" t="s">
        <v>331</v>
      </c>
      <c r="AQ210">
        <v>2</v>
      </c>
      <c r="AR210">
        <v>1775492612.349999</v>
      </c>
      <c r="AS210">
        <v>37.704273333333333</v>
      </c>
      <c r="AT210">
        <v>38.70964</v>
      </c>
      <c r="AU210">
        <v>-0.75765016666666662</v>
      </c>
      <c r="AV210">
        <v>-2.061655333333333</v>
      </c>
      <c r="AW210">
        <v>29.685273333333331</v>
      </c>
      <c r="AX210">
        <v>0.23162083333333339</v>
      </c>
      <c r="AY210">
        <v>499.97626666666662</v>
      </c>
      <c r="AZ210">
        <v>100.2617666666667</v>
      </c>
      <c r="BA210">
        <v>3.857438333333333E-2</v>
      </c>
      <c r="BB210">
        <v>27.30344333333333</v>
      </c>
      <c r="BC210">
        <v>27.36425333333333</v>
      </c>
      <c r="BD210">
        <v>999.9000000000002</v>
      </c>
      <c r="BE210">
        <v>0</v>
      </c>
      <c r="BF210">
        <v>0</v>
      </c>
      <c r="BG210">
        <v>4995.1499999999996</v>
      </c>
      <c r="BH210">
        <v>0.36264256666666672</v>
      </c>
      <c r="BI210">
        <v>0.22961599999999999</v>
      </c>
      <c r="BJ210">
        <v>-1.0172290333333329</v>
      </c>
      <c r="BK210">
        <v>37.663876666666667</v>
      </c>
      <c r="BL210">
        <v>38.629993333333339</v>
      </c>
      <c r="BM210">
        <v>1.3040039999999999</v>
      </c>
      <c r="BN210">
        <v>38.70964</v>
      </c>
      <c r="BO210">
        <v>-2.061655333333333</v>
      </c>
      <c r="BP210">
        <v>-7.5963326666666664E-2</v>
      </c>
      <c r="BQ210">
        <v>-0.20670513333333329</v>
      </c>
      <c r="BR210">
        <v>-99.900000000000034</v>
      </c>
      <c r="BS210">
        <v>-99.900000000000034</v>
      </c>
      <c r="BT210">
        <v>0</v>
      </c>
      <c r="BU210">
        <v>0</v>
      </c>
      <c r="BV210">
        <v>0</v>
      </c>
      <c r="BW210">
        <v>25</v>
      </c>
      <c r="BX210">
        <v>-1</v>
      </c>
      <c r="BY210">
        <v>1775492643.0999999</v>
      </c>
      <c r="BZ210" t="s">
        <v>915</v>
      </c>
      <c r="CA210">
        <v>1775492643.0999999</v>
      </c>
      <c r="CB210">
        <v>1775480969.5</v>
      </c>
      <c r="CC210">
        <v>195</v>
      </c>
      <c r="CD210">
        <v>1.2E-2</v>
      </c>
      <c r="CE210">
        <v>0.19500000000000001</v>
      </c>
      <c r="CF210">
        <v>8.0190000000000001</v>
      </c>
      <c r="CG210">
        <v>-0.98899999999999999</v>
      </c>
      <c r="CH210">
        <v>38</v>
      </c>
      <c r="CI210">
        <v>-3</v>
      </c>
      <c r="CJ210">
        <v>0.2</v>
      </c>
      <c r="CK210">
        <v>0.06</v>
      </c>
      <c r="CL210">
        <v>38.332931666666681</v>
      </c>
      <c r="CM210">
        <v>2.5157691580994812</v>
      </c>
      <c r="CN210">
        <v>0.52411427204750782</v>
      </c>
      <c r="CO210">
        <v>-1</v>
      </c>
      <c r="CP210">
        <v>499.98778333333331</v>
      </c>
      <c r="CQ210">
        <v>5.9153098083814672E-2</v>
      </c>
      <c r="CR210">
        <v>5.8743820005932049E-2</v>
      </c>
      <c r="CS210">
        <v>-1</v>
      </c>
      <c r="CT210">
        <v>0</v>
      </c>
      <c r="CU210">
        <v>0</v>
      </c>
      <c r="CV210" t="s">
        <v>333</v>
      </c>
      <c r="CW210">
        <v>3.16737</v>
      </c>
      <c r="CX210">
        <v>2.6599599999999999</v>
      </c>
      <c r="CY210">
        <v>9.0266300000000008E-3</v>
      </c>
      <c r="CZ210">
        <v>1.1623400000000001E-2</v>
      </c>
      <c r="DA210">
        <v>1.8404999999999999E-3</v>
      </c>
      <c r="DB210">
        <v>-1.93072E-2</v>
      </c>
      <c r="DC210">
        <v>21388.9</v>
      </c>
      <c r="DD210">
        <v>21718.3</v>
      </c>
      <c r="DE210">
        <v>23110.5</v>
      </c>
      <c r="DF210">
        <v>22325.8</v>
      </c>
      <c r="DG210">
        <v>29748.2</v>
      </c>
      <c r="DH210">
        <v>27140.1</v>
      </c>
      <c r="DI210">
        <v>40617.1</v>
      </c>
      <c r="DJ210">
        <v>37001.9</v>
      </c>
      <c r="DK210">
        <v>2.0933999999999999</v>
      </c>
      <c r="DL210">
        <v>1.8043</v>
      </c>
      <c r="DM210">
        <v>2.8759199999999999E-2</v>
      </c>
      <c r="DN210">
        <v>0</v>
      </c>
      <c r="DO210">
        <v>26.8949</v>
      </c>
      <c r="DP210">
        <v>999.9</v>
      </c>
      <c r="DQ210">
        <v>75.3</v>
      </c>
      <c r="DR210">
        <v>30.3</v>
      </c>
      <c r="DS210">
        <v>32.554499999999997</v>
      </c>
      <c r="DT210">
        <v>30.703800000000001</v>
      </c>
      <c r="DU210">
        <v>9.3910300000000007</v>
      </c>
      <c r="DV210">
        <v>1</v>
      </c>
      <c r="DW210">
        <v>0.17693300000000001</v>
      </c>
      <c r="DX210">
        <v>-0.38034899999999999</v>
      </c>
      <c r="DY210">
        <v>20.367599999999999</v>
      </c>
      <c r="DZ210">
        <v>5.2110599999999998</v>
      </c>
      <c r="EA210">
        <v>11.8482</v>
      </c>
      <c r="EB210">
        <v>4.9677600000000002</v>
      </c>
      <c r="EC210">
        <v>3.2920600000000002</v>
      </c>
      <c r="ED210">
        <v>894.7</v>
      </c>
      <c r="EE210">
        <v>0</v>
      </c>
      <c r="EF210">
        <v>9881.7999999999993</v>
      </c>
      <c r="EG210">
        <v>112</v>
      </c>
      <c r="EH210">
        <v>4.9716100000000001</v>
      </c>
      <c r="EI210">
        <v>1.8717999999999999</v>
      </c>
      <c r="EJ210">
        <v>1.8690199999999999</v>
      </c>
      <c r="EK210">
        <v>1.87141</v>
      </c>
      <c r="EL210">
        <v>1.86914</v>
      </c>
      <c r="EM210">
        <v>1.86812</v>
      </c>
      <c r="EN210">
        <v>1.8699600000000001</v>
      </c>
      <c r="EO210">
        <v>1.8717600000000001</v>
      </c>
      <c r="EP210">
        <v>0</v>
      </c>
      <c r="EQ210">
        <v>0</v>
      </c>
      <c r="ER210">
        <v>0</v>
      </c>
      <c r="ES210">
        <v>0</v>
      </c>
      <c r="ET210" t="s">
        <v>334</v>
      </c>
      <c r="EU210" t="s">
        <v>335</v>
      </c>
      <c r="EV210" t="s">
        <v>336</v>
      </c>
      <c r="EW210" t="s">
        <v>336</v>
      </c>
      <c r="EX210" t="s">
        <v>336</v>
      </c>
      <c r="EY210" t="s">
        <v>336</v>
      </c>
      <c r="EZ210">
        <v>0</v>
      </c>
      <c r="FA210">
        <v>100</v>
      </c>
      <c r="FB210">
        <v>100</v>
      </c>
      <c r="FC210">
        <v>8.0190000000000001</v>
      </c>
      <c r="FD210">
        <v>-0.98929999999999996</v>
      </c>
      <c r="FE210">
        <v>8.0071285714285736</v>
      </c>
      <c r="FF210">
        <v>0</v>
      </c>
      <c r="FG210">
        <v>0</v>
      </c>
      <c r="FH210">
        <v>0</v>
      </c>
      <c r="FI210">
        <v>-0.98927100000000023</v>
      </c>
      <c r="FJ210">
        <v>0</v>
      </c>
      <c r="FK210">
        <v>0</v>
      </c>
      <c r="FL210">
        <v>0</v>
      </c>
      <c r="FM210">
        <v>-1</v>
      </c>
      <c r="FN210">
        <v>-1</v>
      </c>
      <c r="FO210">
        <v>-1</v>
      </c>
      <c r="FP210">
        <v>-1</v>
      </c>
      <c r="FQ210">
        <v>0.7</v>
      </c>
      <c r="FR210">
        <v>194.2</v>
      </c>
      <c r="FS210">
        <v>0.142822</v>
      </c>
      <c r="FT210">
        <v>4.99756</v>
      </c>
      <c r="FU210">
        <v>1.5979000000000001</v>
      </c>
      <c r="FV210">
        <v>2.1533199999999999</v>
      </c>
      <c r="FW210">
        <v>1.5478499999999999</v>
      </c>
      <c r="FX210">
        <v>2.34009</v>
      </c>
      <c r="FY210">
        <v>34.486400000000003</v>
      </c>
      <c r="FZ210">
        <v>15.340400000000001</v>
      </c>
      <c r="GA210">
        <v>3</v>
      </c>
      <c r="GB210">
        <v>498.89600000000002</v>
      </c>
      <c r="GC210">
        <v>406.01900000000001</v>
      </c>
      <c r="GD210">
        <v>28.0609</v>
      </c>
      <c r="GE210">
        <v>29.5063</v>
      </c>
      <c r="GF210">
        <v>30</v>
      </c>
      <c r="GG210">
        <v>29.802800000000001</v>
      </c>
      <c r="GH210">
        <v>29.854700000000001</v>
      </c>
      <c r="GI210">
        <v>-1</v>
      </c>
      <c r="GJ210">
        <v>0</v>
      </c>
      <c r="GK210">
        <v>100</v>
      </c>
      <c r="GL210">
        <v>28.058800000000002</v>
      </c>
      <c r="GM210">
        <v>432.1</v>
      </c>
      <c r="GN210">
        <v>68.912800000000004</v>
      </c>
      <c r="GO210">
        <v>102.238</v>
      </c>
      <c r="GP210">
        <v>96.549499999999995</v>
      </c>
    </row>
    <row r="211" spans="1:198" x14ac:dyDescent="0.35">
      <c r="A211">
        <v>195</v>
      </c>
      <c r="B211">
        <v>1775492680.0999999</v>
      </c>
      <c r="C211">
        <v>11641.599999904631</v>
      </c>
      <c r="D211" t="s">
        <v>916</v>
      </c>
      <c r="E211" t="s">
        <v>917</v>
      </c>
      <c r="F211">
        <v>60</v>
      </c>
      <c r="G211">
        <v>1775492672.099999</v>
      </c>
      <c r="H211">
        <f t="shared" si="90"/>
        <v>2.1401222042487238E-3</v>
      </c>
      <c r="I211">
        <f t="shared" si="91"/>
        <v>2.1401222042487236</v>
      </c>
      <c r="J211">
        <f t="shared" si="92"/>
        <v>0.46854731914944781</v>
      </c>
      <c r="K211">
        <f t="shared" si="93"/>
        <v>37.942380645161293</v>
      </c>
      <c r="L211">
        <f t="shared" si="94"/>
        <v>22.844548109045455</v>
      </c>
      <c r="M211">
        <f t="shared" si="95"/>
        <v>2.2913649441130026</v>
      </c>
      <c r="N211">
        <f t="shared" si="96"/>
        <v>3.805715065647977</v>
      </c>
      <c r="O211">
        <f t="shared" si="97"/>
        <v>5.7190693639249356E-2</v>
      </c>
      <c r="P211">
        <f t="shared" si="98"/>
        <v>2.3906868545014248</v>
      </c>
      <c r="Q211">
        <f t="shared" si="99"/>
        <v>5.6441368044802133E-2</v>
      </c>
      <c r="R211">
        <f t="shared" si="100"/>
        <v>3.5342360954826485E-2</v>
      </c>
      <c r="S211">
        <f t="shared" si="101"/>
        <v>0</v>
      </c>
      <c r="T211">
        <f t="shared" si="102"/>
        <v>26.623873113522208</v>
      </c>
      <c r="U211">
        <f t="shared" si="103"/>
        <v>27.359380645161291</v>
      </c>
      <c r="V211">
        <f t="shared" si="104"/>
        <v>3.655405735733408</v>
      </c>
      <c r="W211">
        <f t="shared" si="105"/>
        <v>-2.1978880518076891</v>
      </c>
      <c r="X211">
        <f t="shared" si="106"/>
        <v>-8.0040865342329043E-2</v>
      </c>
      <c r="Y211">
        <f t="shared" si="107"/>
        <v>3.6417171145954468</v>
      </c>
      <c r="Z211">
        <f t="shared" si="108"/>
        <v>3.7354466010757372</v>
      </c>
      <c r="AA211">
        <f t="shared" si="109"/>
        <v>-94.379389207368718</v>
      </c>
      <c r="AB211">
        <f t="shared" si="110"/>
        <v>-8.2533228201691724</v>
      </c>
      <c r="AC211">
        <f t="shared" si="111"/>
        <v>-0.74748427319397115</v>
      </c>
      <c r="AD211">
        <f t="shared" si="112"/>
        <v>-103.38019630073187</v>
      </c>
      <c r="AE211">
        <v>13</v>
      </c>
      <c r="AF211">
        <v>3</v>
      </c>
      <c r="AG211">
        <f t="shared" si="113"/>
        <v>1</v>
      </c>
      <c r="AH211">
        <f t="shared" si="114"/>
        <v>0</v>
      </c>
      <c r="AI211">
        <f t="shared" si="115"/>
        <v>25527.666386549121</v>
      </c>
      <c r="AJ211">
        <f t="shared" si="116"/>
        <v>0</v>
      </c>
      <c r="AK211">
        <f t="shared" si="117"/>
        <v>0</v>
      </c>
      <c r="AL211">
        <f t="shared" si="118"/>
        <v>0</v>
      </c>
      <c r="AM211">
        <f t="shared" si="119"/>
        <v>0</v>
      </c>
      <c r="AN211">
        <v>3</v>
      </c>
      <c r="AO211">
        <v>0.5</v>
      </c>
      <c r="AP211" t="s">
        <v>331</v>
      </c>
      <c r="AQ211">
        <v>2</v>
      </c>
      <c r="AR211">
        <v>1775492672.099999</v>
      </c>
      <c r="AS211">
        <v>37.942380645161293</v>
      </c>
      <c r="AT211">
        <v>38.272238709677417</v>
      </c>
      <c r="AU211">
        <v>-0.79799483870967736</v>
      </c>
      <c r="AV211">
        <v>-2.083127419354839</v>
      </c>
      <c r="AW211">
        <v>29.94238064516129</v>
      </c>
      <c r="AX211">
        <v>0.1912761612903226</v>
      </c>
      <c r="AY211">
        <v>499.98654838709678</v>
      </c>
      <c r="AZ211">
        <v>100.26393548387099</v>
      </c>
      <c r="BA211">
        <v>3.8549519354838697E-2</v>
      </c>
      <c r="BB211">
        <v>27.295345161290321</v>
      </c>
      <c r="BC211">
        <v>27.359380645161291</v>
      </c>
      <c r="BD211">
        <v>999.90000000000032</v>
      </c>
      <c r="BE211">
        <v>0</v>
      </c>
      <c r="BF211">
        <v>0</v>
      </c>
      <c r="BG211">
        <v>4993.6612903225796</v>
      </c>
      <c r="BH211">
        <v>0.34582435483870971</v>
      </c>
      <c r="BI211">
        <v>0.23324516129032249</v>
      </c>
      <c r="BJ211">
        <v>-0.31072025483870969</v>
      </c>
      <c r="BK211">
        <v>37.931258064516143</v>
      </c>
      <c r="BL211">
        <v>38.192683870967748</v>
      </c>
      <c r="BM211">
        <v>1.285134516129032</v>
      </c>
      <c r="BN211">
        <v>38.272238709677417</v>
      </c>
      <c r="BO211">
        <v>-2.083127419354839</v>
      </c>
      <c r="BP211">
        <v>-8.0010106451612897E-2</v>
      </c>
      <c r="BQ211">
        <v>-0.20886264516129041</v>
      </c>
      <c r="BR211">
        <v>-99.900000000000034</v>
      </c>
      <c r="BS211">
        <v>-99.900000000000034</v>
      </c>
      <c r="BT211">
        <v>0</v>
      </c>
      <c r="BU211">
        <v>0</v>
      </c>
      <c r="BV211">
        <v>0</v>
      </c>
      <c r="BW211">
        <v>25</v>
      </c>
      <c r="BX211">
        <v>-1</v>
      </c>
      <c r="BY211">
        <v>1775492696.0999999</v>
      </c>
      <c r="BZ211" t="s">
        <v>918</v>
      </c>
      <c r="CA211">
        <v>1775492696.0999999</v>
      </c>
      <c r="CB211">
        <v>1775480969.5</v>
      </c>
      <c r="CC211">
        <v>196</v>
      </c>
      <c r="CD211">
        <v>-1.9E-2</v>
      </c>
      <c r="CE211">
        <v>0.19500000000000001</v>
      </c>
      <c r="CF211">
        <v>8</v>
      </c>
      <c r="CG211">
        <v>-0.98899999999999999</v>
      </c>
      <c r="CH211">
        <v>38</v>
      </c>
      <c r="CI211">
        <v>-3</v>
      </c>
      <c r="CJ211">
        <v>0.17</v>
      </c>
      <c r="CK211">
        <v>0.06</v>
      </c>
      <c r="CL211">
        <v>38.532709836065592</v>
      </c>
      <c r="CM211">
        <v>-1.729286938127941</v>
      </c>
      <c r="CN211">
        <v>0.297317372353604</v>
      </c>
      <c r="CO211">
        <v>-1</v>
      </c>
      <c r="CP211">
        <v>500.33111475409839</v>
      </c>
      <c r="CQ211">
        <v>-3.6529370703336168</v>
      </c>
      <c r="CR211">
        <v>1.03947661953947</v>
      </c>
      <c r="CS211">
        <v>-1</v>
      </c>
      <c r="CT211">
        <v>0</v>
      </c>
      <c r="CU211">
        <v>0</v>
      </c>
      <c r="CV211" t="s">
        <v>333</v>
      </c>
      <c r="CW211">
        <v>3.1674099999999998</v>
      </c>
      <c r="CX211">
        <v>2.65991</v>
      </c>
      <c r="CY211">
        <v>8.9112500000000008E-3</v>
      </c>
      <c r="CZ211">
        <v>1.14311E-2</v>
      </c>
      <c r="DA211">
        <v>1.55393E-3</v>
      </c>
      <c r="DB211">
        <v>-1.95309E-2</v>
      </c>
      <c r="DC211">
        <v>21391.9</v>
      </c>
      <c r="DD211">
        <v>21722.799999999999</v>
      </c>
      <c r="DE211">
        <v>23111.1</v>
      </c>
      <c r="DF211">
        <v>22326.1</v>
      </c>
      <c r="DG211">
        <v>29757.1</v>
      </c>
      <c r="DH211">
        <v>27146.400000000001</v>
      </c>
      <c r="DI211">
        <v>40617.800000000003</v>
      </c>
      <c r="DJ211">
        <v>37002.5</v>
      </c>
      <c r="DK211">
        <v>2.0930800000000001</v>
      </c>
      <c r="DL211">
        <v>1.8035399999999999</v>
      </c>
      <c r="DM211">
        <v>2.8708600000000001E-2</v>
      </c>
      <c r="DN211">
        <v>0</v>
      </c>
      <c r="DO211">
        <v>26.8856</v>
      </c>
      <c r="DP211">
        <v>999.9</v>
      </c>
      <c r="DQ211">
        <v>75.3</v>
      </c>
      <c r="DR211">
        <v>30.3</v>
      </c>
      <c r="DS211">
        <v>32.552399999999999</v>
      </c>
      <c r="DT211">
        <v>30.703800000000001</v>
      </c>
      <c r="DU211">
        <v>9.8197100000000006</v>
      </c>
      <c r="DV211">
        <v>1</v>
      </c>
      <c r="DW211">
        <v>0.17621300000000001</v>
      </c>
      <c r="DX211">
        <v>-0.44686500000000001</v>
      </c>
      <c r="DY211">
        <v>20.3673</v>
      </c>
      <c r="DZ211">
        <v>5.2121399999999998</v>
      </c>
      <c r="EA211">
        <v>11.8482</v>
      </c>
      <c r="EB211">
        <v>4.9678399999999998</v>
      </c>
      <c r="EC211">
        <v>3.2920400000000001</v>
      </c>
      <c r="ED211">
        <v>894.7</v>
      </c>
      <c r="EE211">
        <v>0</v>
      </c>
      <c r="EF211">
        <v>9914</v>
      </c>
      <c r="EG211">
        <v>112.1</v>
      </c>
      <c r="EH211">
        <v>4.9716100000000001</v>
      </c>
      <c r="EI211">
        <v>1.8717999999999999</v>
      </c>
      <c r="EJ211">
        <v>1.8689899999999999</v>
      </c>
      <c r="EK211">
        <v>1.8714500000000001</v>
      </c>
      <c r="EL211">
        <v>1.86913</v>
      </c>
      <c r="EM211">
        <v>1.8681099999999999</v>
      </c>
      <c r="EN211">
        <v>1.8699600000000001</v>
      </c>
      <c r="EO211">
        <v>1.8717900000000001</v>
      </c>
      <c r="EP211">
        <v>0</v>
      </c>
      <c r="EQ211">
        <v>0</v>
      </c>
      <c r="ER211">
        <v>0</v>
      </c>
      <c r="ES211">
        <v>0</v>
      </c>
      <c r="ET211" t="s">
        <v>334</v>
      </c>
      <c r="EU211" t="s">
        <v>335</v>
      </c>
      <c r="EV211" t="s">
        <v>336</v>
      </c>
      <c r="EW211" t="s">
        <v>336</v>
      </c>
      <c r="EX211" t="s">
        <v>336</v>
      </c>
      <c r="EY211" t="s">
        <v>336</v>
      </c>
      <c r="EZ211">
        <v>0</v>
      </c>
      <c r="FA211">
        <v>100</v>
      </c>
      <c r="FB211">
        <v>100</v>
      </c>
      <c r="FC211">
        <v>8</v>
      </c>
      <c r="FD211">
        <v>-0.98929999999999996</v>
      </c>
      <c r="FE211">
        <v>8.0191499999999962</v>
      </c>
      <c r="FF211">
        <v>0</v>
      </c>
      <c r="FG211">
        <v>0</v>
      </c>
      <c r="FH211">
        <v>0</v>
      </c>
      <c r="FI211">
        <v>-0.98927100000000023</v>
      </c>
      <c r="FJ211">
        <v>0</v>
      </c>
      <c r="FK211">
        <v>0</v>
      </c>
      <c r="FL211">
        <v>0</v>
      </c>
      <c r="FM211">
        <v>-1</v>
      </c>
      <c r="FN211">
        <v>-1</v>
      </c>
      <c r="FO211">
        <v>-1</v>
      </c>
      <c r="FP211">
        <v>-1</v>
      </c>
      <c r="FQ211">
        <v>0.6</v>
      </c>
      <c r="FR211">
        <v>195.2</v>
      </c>
      <c r="FS211">
        <v>0.142822</v>
      </c>
      <c r="FT211">
        <v>4.99756</v>
      </c>
      <c r="FU211">
        <v>1.5979000000000001</v>
      </c>
      <c r="FV211">
        <v>2.1520999999999999</v>
      </c>
      <c r="FW211">
        <v>1.5478499999999999</v>
      </c>
      <c r="FX211">
        <v>2.33521</v>
      </c>
      <c r="FY211">
        <v>34.486400000000003</v>
      </c>
      <c r="FZ211">
        <v>15.340400000000001</v>
      </c>
      <c r="GA211">
        <v>3</v>
      </c>
      <c r="GB211">
        <v>498.666</v>
      </c>
      <c r="GC211">
        <v>405.53899999999999</v>
      </c>
      <c r="GD211">
        <v>28.0823</v>
      </c>
      <c r="GE211">
        <v>29.501200000000001</v>
      </c>
      <c r="GF211">
        <v>29.9999</v>
      </c>
      <c r="GG211">
        <v>29.7972</v>
      </c>
      <c r="GH211">
        <v>29.8477</v>
      </c>
      <c r="GI211">
        <v>-1</v>
      </c>
      <c r="GJ211">
        <v>0</v>
      </c>
      <c r="GK211">
        <v>100</v>
      </c>
      <c r="GL211">
        <v>28.086300000000001</v>
      </c>
      <c r="GM211">
        <v>432.1</v>
      </c>
      <c r="GN211">
        <v>68.912800000000004</v>
      </c>
      <c r="GO211">
        <v>102.24</v>
      </c>
      <c r="GP211">
        <v>96.550799999999995</v>
      </c>
    </row>
    <row r="212" spans="1:198" x14ac:dyDescent="0.35">
      <c r="A212">
        <v>196</v>
      </c>
      <c r="B212">
        <v>1775492740.0999999</v>
      </c>
      <c r="C212">
        <v>11701.599999904631</v>
      </c>
      <c r="D212" t="s">
        <v>919</v>
      </c>
      <c r="E212" t="s">
        <v>920</v>
      </c>
      <c r="F212">
        <v>60</v>
      </c>
      <c r="G212">
        <v>1775492732.099999</v>
      </c>
      <c r="H212">
        <f t="shared" si="90"/>
        <v>2.1367300560447972E-3</v>
      </c>
      <c r="I212">
        <f t="shared" si="91"/>
        <v>2.1367300560447973</v>
      </c>
      <c r="J212">
        <f t="shared" si="92"/>
        <v>0.91611182920149681</v>
      </c>
      <c r="K212">
        <f t="shared" si="93"/>
        <v>38.178516129032261</v>
      </c>
      <c r="L212">
        <f t="shared" si="94"/>
        <v>10.740828452076569</v>
      </c>
      <c r="M212">
        <f t="shared" si="95"/>
        <v>1.0773367756877827</v>
      </c>
      <c r="N212">
        <f t="shared" si="96"/>
        <v>3.8294177819257116</v>
      </c>
      <c r="O212">
        <f t="shared" si="97"/>
        <v>5.7110497217091494E-2</v>
      </c>
      <c r="P212">
        <f t="shared" si="98"/>
        <v>2.39232245139097</v>
      </c>
      <c r="Q212">
        <f t="shared" si="99"/>
        <v>5.6363760520016383E-2</v>
      </c>
      <c r="R212">
        <f t="shared" si="100"/>
        <v>3.5293628149249905E-2</v>
      </c>
      <c r="S212">
        <f t="shared" si="101"/>
        <v>0</v>
      </c>
      <c r="T212">
        <f t="shared" si="102"/>
        <v>26.623953727870184</v>
      </c>
      <c r="U212">
        <f t="shared" si="103"/>
        <v>27.351387096774189</v>
      </c>
      <c r="V212">
        <f t="shared" si="104"/>
        <v>3.6536945361608004</v>
      </c>
      <c r="W212">
        <f t="shared" si="105"/>
        <v>-2.2253802818253203</v>
      </c>
      <c r="X212">
        <f t="shared" si="106"/>
        <v>-8.1035390450848302E-2</v>
      </c>
      <c r="Y212">
        <f t="shared" si="107"/>
        <v>3.6414176539921868</v>
      </c>
      <c r="Z212">
        <f t="shared" si="108"/>
        <v>3.7347299266116489</v>
      </c>
      <c r="AA212">
        <f t="shared" si="109"/>
        <v>-94.229795471575557</v>
      </c>
      <c r="AB212">
        <f t="shared" si="110"/>
        <v>-7.4089832435260536</v>
      </c>
      <c r="AC212">
        <f t="shared" si="111"/>
        <v>-0.67052416438875151</v>
      </c>
      <c r="AD212">
        <f t="shared" si="112"/>
        <v>-102.30930287949036</v>
      </c>
      <c r="AE212">
        <v>12</v>
      </c>
      <c r="AF212">
        <v>2</v>
      </c>
      <c r="AG212">
        <f t="shared" si="113"/>
        <v>1</v>
      </c>
      <c r="AH212">
        <f t="shared" si="114"/>
        <v>0</v>
      </c>
      <c r="AI212">
        <f t="shared" si="115"/>
        <v>25552.630984802676</v>
      </c>
      <c r="AJ212">
        <f t="shared" si="116"/>
        <v>0</v>
      </c>
      <c r="AK212">
        <f t="shared" si="117"/>
        <v>0</v>
      </c>
      <c r="AL212">
        <f t="shared" si="118"/>
        <v>0</v>
      </c>
      <c r="AM212">
        <f t="shared" si="119"/>
        <v>0</v>
      </c>
      <c r="AN212">
        <v>3</v>
      </c>
      <c r="AO212">
        <v>0.5</v>
      </c>
      <c r="AP212" t="s">
        <v>331</v>
      </c>
      <c r="AQ212">
        <v>2</v>
      </c>
      <c r="AR212">
        <v>1775492732.099999</v>
      </c>
      <c r="AS212">
        <v>38.178516129032261</v>
      </c>
      <c r="AT212">
        <v>38.777135483870957</v>
      </c>
      <c r="AU212">
        <v>-0.80790635483870976</v>
      </c>
      <c r="AV212">
        <v>-2.090992903225807</v>
      </c>
      <c r="AW212">
        <v>30.18651612903226</v>
      </c>
      <c r="AX212">
        <v>0.18136464516129031</v>
      </c>
      <c r="AY212">
        <v>499.99503225806438</v>
      </c>
      <c r="AZ212">
        <v>100.2645161290323</v>
      </c>
      <c r="BA212">
        <v>3.8433545161290321E-2</v>
      </c>
      <c r="BB212">
        <v>27.293941935483868</v>
      </c>
      <c r="BC212">
        <v>27.351387096774189</v>
      </c>
      <c r="BD212">
        <v>999.90000000000032</v>
      </c>
      <c r="BE212">
        <v>0</v>
      </c>
      <c r="BF212">
        <v>0</v>
      </c>
      <c r="BG212">
        <v>4997.8387096774204</v>
      </c>
      <c r="BH212">
        <v>0.35571738709677431</v>
      </c>
      <c r="BI212">
        <v>0.23331922580645159</v>
      </c>
      <c r="BJ212">
        <v>-0.59065351612903239</v>
      </c>
      <c r="BK212">
        <v>38.155658064516132</v>
      </c>
      <c r="BL212">
        <v>38.69622903225806</v>
      </c>
      <c r="BM212">
        <v>1.283085483870968</v>
      </c>
      <c r="BN212">
        <v>38.777135483870957</v>
      </c>
      <c r="BO212">
        <v>-2.090992903225807</v>
      </c>
      <c r="BP212">
        <v>-8.1004364516129024E-2</v>
      </c>
      <c r="BQ212">
        <v>-0.20965248387096769</v>
      </c>
      <c r="BR212">
        <v>-99.900000000000034</v>
      </c>
      <c r="BS212">
        <v>-99.900000000000034</v>
      </c>
      <c r="BT212">
        <v>0</v>
      </c>
      <c r="BU212">
        <v>0</v>
      </c>
      <c r="BV212">
        <v>0</v>
      </c>
      <c r="BW212">
        <v>25</v>
      </c>
      <c r="BX212">
        <v>-1</v>
      </c>
      <c r="BY212">
        <v>1775492760.5999999</v>
      </c>
      <c r="BZ212" t="s">
        <v>921</v>
      </c>
      <c r="CA212">
        <v>1775492760.5999999</v>
      </c>
      <c r="CB212">
        <v>1775480969.5</v>
      </c>
      <c r="CC212">
        <v>197</v>
      </c>
      <c r="CD212">
        <v>-8.0000000000000002E-3</v>
      </c>
      <c r="CE212">
        <v>0.19500000000000001</v>
      </c>
      <c r="CF212">
        <v>7.992</v>
      </c>
      <c r="CG212">
        <v>-0.98899999999999999</v>
      </c>
      <c r="CH212">
        <v>39</v>
      </c>
      <c r="CI212">
        <v>-3</v>
      </c>
      <c r="CJ212">
        <v>0.21</v>
      </c>
      <c r="CK212">
        <v>0.06</v>
      </c>
      <c r="CL212">
        <v>38.722153333333353</v>
      </c>
      <c r="CM212">
        <v>0.52991253125874871</v>
      </c>
      <c r="CN212">
        <v>9.1193620878266241E-2</v>
      </c>
      <c r="CO212">
        <v>-1</v>
      </c>
      <c r="CP212">
        <v>499.97916666666657</v>
      </c>
      <c r="CQ212">
        <v>0.1227007502091219</v>
      </c>
      <c r="CR212">
        <v>5.3989556603310472E-2</v>
      </c>
      <c r="CS212">
        <v>-1</v>
      </c>
      <c r="CT212">
        <v>0</v>
      </c>
      <c r="CU212">
        <v>0</v>
      </c>
      <c r="CV212" t="s">
        <v>333</v>
      </c>
      <c r="CW212">
        <v>3.1674500000000001</v>
      </c>
      <c r="CX212">
        <v>2.6595499999999999</v>
      </c>
      <c r="CY212">
        <v>9.0285499999999998E-3</v>
      </c>
      <c r="CZ212">
        <v>1.1524100000000001E-2</v>
      </c>
      <c r="DA212">
        <v>1.4871299999999999E-3</v>
      </c>
      <c r="DB212">
        <v>-1.9560600000000001E-2</v>
      </c>
      <c r="DC212">
        <v>21389.7</v>
      </c>
      <c r="DD212">
        <v>21721.4</v>
      </c>
      <c r="DE212">
        <v>23111.4</v>
      </c>
      <c r="DF212">
        <v>22326.799999999999</v>
      </c>
      <c r="DG212">
        <v>29759.7</v>
      </c>
      <c r="DH212">
        <v>27148</v>
      </c>
      <c r="DI212">
        <v>40618.5</v>
      </c>
      <c r="DJ212">
        <v>37003.599999999999</v>
      </c>
      <c r="DK212">
        <v>2.0935600000000001</v>
      </c>
      <c r="DL212">
        <v>1.80416</v>
      </c>
      <c r="DM212">
        <v>2.9212200000000001E-2</v>
      </c>
      <c r="DN212">
        <v>0</v>
      </c>
      <c r="DO212">
        <v>26.871500000000001</v>
      </c>
      <c r="DP212">
        <v>999.9</v>
      </c>
      <c r="DQ212">
        <v>75.3</v>
      </c>
      <c r="DR212">
        <v>30.3</v>
      </c>
      <c r="DS212">
        <v>32.553899999999999</v>
      </c>
      <c r="DT212">
        <v>30.823799999999999</v>
      </c>
      <c r="DU212">
        <v>9.4631399999999992</v>
      </c>
      <c r="DV212">
        <v>1</v>
      </c>
      <c r="DW212">
        <v>0.17521700000000001</v>
      </c>
      <c r="DX212">
        <v>-0.49342000000000003</v>
      </c>
      <c r="DY212">
        <v>20.3673</v>
      </c>
      <c r="DZ212">
        <v>5.2117800000000001</v>
      </c>
      <c r="EA212">
        <v>11.8482</v>
      </c>
      <c r="EB212">
        <v>4.9677600000000002</v>
      </c>
      <c r="EC212">
        <v>3.2920400000000001</v>
      </c>
      <c r="ED212">
        <v>894.7</v>
      </c>
      <c r="EE212">
        <v>0</v>
      </c>
      <c r="EF212">
        <v>9946.9</v>
      </c>
      <c r="EG212">
        <v>112.1</v>
      </c>
      <c r="EH212">
        <v>4.97159</v>
      </c>
      <c r="EI212">
        <v>1.8717999999999999</v>
      </c>
      <c r="EJ212">
        <v>1.86897</v>
      </c>
      <c r="EK212">
        <v>1.87137</v>
      </c>
      <c r="EL212">
        <v>1.86911</v>
      </c>
      <c r="EM212">
        <v>1.86812</v>
      </c>
      <c r="EN212">
        <v>1.86995</v>
      </c>
      <c r="EO212">
        <v>1.8717299999999999</v>
      </c>
      <c r="EP212">
        <v>0</v>
      </c>
      <c r="EQ212">
        <v>0</v>
      </c>
      <c r="ER212">
        <v>0</v>
      </c>
      <c r="ES212">
        <v>0</v>
      </c>
      <c r="ET212" t="s">
        <v>334</v>
      </c>
      <c r="EU212" t="s">
        <v>335</v>
      </c>
      <c r="EV212" t="s">
        <v>336</v>
      </c>
      <c r="EW212" t="s">
        <v>336</v>
      </c>
      <c r="EX212" t="s">
        <v>336</v>
      </c>
      <c r="EY212" t="s">
        <v>336</v>
      </c>
      <c r="EZ212">
        <v>0</v>
      </c>
      <c r="FA212">
        <v>100</v>
      </c>
      <c r="FB212">
        <v>100</v>
      </c>
      <c r="FC212">
        <v>7.992</v>
      </c>
      <c r="FD212">
        <v>-0.98929999999999996</v>
      </c>
      <c r="FE212">
        <v>7.9999700000000011</v>
      </c>
      <c r="FF212">
        <v>0</v>
      </c>
      <c r="FG212">
        <v>0</v>
      </c>
      <c r="FH212">
        <v>0</v>
      </c>
      <c r="FI212">
        <v>-0.98927100000000023</v>
      </c>
      <c r="FJ212">
        <v>0</v>
      </c>
      <c r="FK212">
        <v>0</v>
      </c>
      <c r="FL212">
        <v>0</v>
      </c>
      <c r="FM212">
        <v>-1</v>
      </c>
      <c r="FN212">
        <v>-1</v>
      </c>
      <c r="FO212">
        <v>-1</v>
      </c>
      <c r="FP212">
        <v>-1</v>
      </c>
      <c r="FQ212">
        <v>0.7</v>
      </c>
      <c r="FR212">
        <v>196.2</v>
      </c>
      <c r="FS212">
        <v>0.142822</v>
      </c>
      <c r="FT212">
        <v>4.99756</v>
      </c>
      <c r="FU212">
        <v>1.5979000000000001</v>
      </c>
      <c r="FV212">
        <v>2.1520999999999999</v>
      </c>
      <c r="FW212">
        <v>1.5478499999999999</v>
      </c>
      <c r="FX212">
        <v>2.4536099999999998</v>
      </c>
      <c r="FY212">
        <v>34.5092</v>
      </c>
      <c r="FZ212">
        <v>15.340400000000001</v>
      </c>
      <c r="GA212">
        <v>3</v>
      </c>
      <c r="GB212">
        <v>498.875</v>
      </c>
      <c r="GC212">
        <v>405.839</v>
      </c>
      <c r="GD212">
        <v>28.123200000000001</v>
      </c>
      <c r="GE212">
        <v>29.4907</v>
      </c>
      <c r="GF212">
        <v>30.0001</v>
      </c>
      <c r="GG212">
        <v>29.7881</v>
      </c>
      <c r="GH212">
        <v>29.839600000000001</v>
      </c>
      <c r="GI212">
        <v>-1</v>
      </c>
      <c r="GJ212">
        <v>0</v>
      </c>
      <c r="GK212">
        <v>100</v>
      </c>
      <c r="GL212">
        <v>28.128</v>
      </c>
      <c r="GM212">
        <v>432.1</v>
      </c>
      <c r="GN212">
        <v>68.912800000000004</v>
      </c>
      <c r="GO212">
        <v>102.242</v>
      </c>
      <c r="GP212">
        <v>96.553700000000006</v>
      </c>
    </row>
    <row r="213" spans="1:198" x14ac:dyDescent="0.35">
      <c r="A213">
        <v>197</v>
      </c>
      <c r="B213">
        <v>1775492800.0999999</v>
      </c>
      <c r="C213">
        <v>11761.599999904631</v>
      </c>
      <c r="D213" t="s">
        <v>922</v>
      </c>
      <c r="E213" t="s">
        <v>923</v>
      </c>
      <c r="F213">
        <v>60</v>
      </c>
      <c r="G213">
        <v>1775492792.349999</v>
      </c>
      <c r="H213">
        <f t="shared" si="90"/>
        <v>2.1372712366369818E-3</v>
      </c>
      <c r="I213">
        <f t="shared" si="91"/>
        <v>2.1372712366369817</v>
      </c>
      <c r="J213">
        <f t="shared" si="92"/>
        <v>0.77876233268294437</v>
      </c>
      <c r="K213">
        <f t="shared" si="93"/>
        <v>38.531756666666674</v>
      </c>
      <c r="L213">
        <f t="shared" si="94"/>
        <v>14.837949967276497</v>
      </c>
      <c r="M213">
        <f t="shared" si="95"/>
        <v>1.4882919761661699</v>
      </c>
      <c r="N213">
        <f t="shared" si="96"/>
        <v>3.8648535950760636</v>
      </c>
      <c r="O213">
        <f t="shared" si="97"/>
        <v>5.7079283589981433E-2</v>
      </c>
      <c r="P213">
        <f t="shared" si="98"/>
        <v>2.3940162893912711</v>
      </c>
      <c r="Q213">
        <f t="shared" si="99"/>
        <v>5.6333877507750499E-2</v>
      </c>
      <c r="R213">
        <f t="shared" si="100"/>
        <v>3.5274834168065365E-2</v>
      </c>
      <c r="S213">
        <f t="shared" si="101"/>
        <v>0</v>
      </c>
      <c r="T213">
        <f t="shared" si="102"/>
        <v>26.632294754118451</v>
      </c>
      <c r="U213">
        <f t="shared" si="103"/>
        <v>27.363336666666669</v>
      </c>
      <c r="V213">
        <f t="shared" si="104"/>
        <v>3.65625287019509</v>
      </c>
      <c r="W213">
        <f t="shared" si="105"/>
        <v>-2.2334313106115879</v>
      </c>
      <c r="X213">
        <f t="shared" si="106"/>
        <v>-8.1367039596687063E-2</v>
      </c>
      <c r="Y213">
        <f t="shared" si="107"/>
        <v>3.6431404543355335</v>
      </c>
      <c r="Z213">
        <f t="shared" si="108"/>
        <v>3.7376199097917771</v>
      </c>
      <c r="AA213">
        <f t="shared" si="109"/>
        <v>-94.253661535690895</v>
      </c>
      <c r="AB213">
        <f t="shared" si="110"/>
        <v>-7.9147699844832307</v>
      </c>
      <c r="AC213">
        <f t="shared" si="111"/>
        <v>-0.71586340559987249</v>
      </c>
      <c r="AD213">
        <f t="shared" si="112"/>
        <v>-102.884294925774</v>
      </c>
      <c r="AE213">
        <v>12</v>
      </c>
      <c r="AF213">
        <v>2</v>
      </c>
      <c r="AG213">
        <f t="shared" si="113"/>
        <v>1</v>
      </c>
      <c r="AH213">
        <f t="shared" si="114"/>
        <v>0</v>
      </c>
      <c r="AI213">
        <f t="shared" si="115"/>
        <v>25577.689977884842</v>
      </c>
      <c r="AJ213">
        <f t="shared" si="116"/>
        <v>0</v>
      </c>
      <c r="AK213">
        <f t="shared" si="117"/>
        <v>0</v>
      </c>
      <c r="AL213">
        <f t="shared" si="118"/>
        <v>0</v>
      </c>
      <c r="AM213">
        <f t="shared" si="119"/>
        <v>0</v>
      </c>
      <c r="AN213">
        <v>3</v>
      </c>
      <c r="AO213">
        <v>0.5</v>
      </c>
      <c r="AP213" t="s">
        <v>331</v>
      </c>
      <c r="AQ213">
        <v>2</v>
      </c>
      <c r="AR213">
        <v>1775492792.349999</v>
      </c>
      <c r="AS213">
        <v>38.531756666666674</v>
      </c>
      <c r="AT213">
        <v>39.048433333333342</v>
      </c>
      <c r="AU213">
        <v>-0.81121183333333324</v>
      </c>
      <c r="AV213">
        <v>-2.0946336666666658</v>
      </c>
      <c r="AW213">
        <v>30.530756666666669</v>
      </c>
      <c r="AX213">
        <v>0.17805916666666671</v>
      </c>
      <c r="AY213">
        <v>499.99266666666682</v>
      </c>
      <c r="AZ213">
        <v>100.2647666666666</v>
      </c>
      <c r="BA213">
        <v>3.8306159999999992E-2</v>
      </c>
      <c r="BB213">
        <v>27.302013333333331</v>
      </c>
      <c r="BC213">
        <v>27.363336666666669</v>
      </c>
      <c r="BD213">
        <v>999.9000000000002</v>
      </c>
      <c r="BE213">
        <v>0</v>
      </c>
      <c r="BF213">
        <v>0</v>
      </c>
      <c r="BG213">
        <v>5002.1833333333334</v>
      </c>
      <c r="BH213">
        <v>0.34241719999999998</v>
      </c>
      <c r="BI213">
        <v>0.22961599999999999</v>
      </c>
      <c r="BJ213">
        <v>-0.5254616666666666</v>
      </c>
      <c r="BK213">
        <v>38.491750000000003</v>
      </c>
      <c r="BL213">
        <v>38.966810000000002</v>
      </c>
      <c r="BM213">
        <v>1.2834216666666669</v>
      </c>
      <c r="BN213">
        <v>39.048433333333342</v>
      </c>
      <c r="BO213">
        <v>-2.0946336666666658</v>
      </c>
      <c r="BP213">
        <v>-8.1335923333333324E-2</v>
      </c>
      <c r="BQ213">
        <v>-0.21001800000000001</v>
      </c>
      <c r="BR213">
        <v>-99.900000000000034</v>
      </c>
      <c r="BS213">
        <v>-99.900000000000034</v>
      </c>
      <c r="BT213">
        <v>0</v>
      </c>
      <c r="BU213">
        <v>0</v>
      </c>
      <c r="BV213">
        <v>0</v>
      </c>
      <c r="BW213">
        <v>25</v>
      </c>
      <c r="BX213">
        <v>-0.98888900000000024</v>
      </c>
      <c r="BY213">
        <v>1775492815.5999999</v>
      </c>
      <c r="BZ213" t="s">
        <v>924</v>
      </c>
      <c r="CA213">
        <v>1775492815.5999999</v>
      </c>
      <c r="CB213">
        <v>1775480969.5</v>
      </c>
      <c r="CC213">
        <v>198</v>
      </c>
      <c r="CD213">
        <v>8.9999999999999993E-3</v>
      </c>
      <c r="CE213">
        <v>0.19500000000000001</v>
      </c>
      <c r="CF213">
        <v>8.0009999999999994</v>
      </c>
      <c r="CG213">
        <v>-0.98899999999999999</v>
      </c>
      <c r="CH213">
        <v>39</v>
      </c>
      <c r="CI213">
        <v>-3</v>
      </c>
      <c r="CJ213">
        <v>0.34</v>
      </c>
      <c r="CK213">
        <v>0.06</v>
      </c>
      <c r="CL213">
        <v>38.993869999999987</v>
      </c>
      <c r="CM213">
        <v>0.36968735759936427</v>
      </c>
      <c r="CN213">
        <v>9.3430919757148373E-2</v>
      </c>
      <c r="CO213">
        <v>-1</v>
      </c>
      <c r="CP213">
        <v>500.00071666666662</v>
      </c>
      <c r="CQ213">
        <v>-0.13728813559213601</v>
      </c>
      <c r="CR213">
        <v>8.5680820815135367E-2</v>
      </c>
      <c r="CS213">
        <v>-1</v>
      </c>
      <c r="CT213">
        <v>0</v>
      </c>
      <c r="CU213">
        <v>0</v>
      </c>
      <c r="CV213" t="s">
        <v>333</v>
      </c>
      <c r="CW213">
        <v>3.1675300000000002</v>
      </c>
      <c r="CX213">
        <v>2.6598299999999999</v>
      </c>
      <c r="CY213">
        <v>9.1059499999999998E-3</v>
      </c>
      <c r="CZ213">
        <v>1.1586300000000001E-2</v>
      </c>
      <c r="DA213">
        <v>1.4709199999999999E-3</v>
      </c>
      <c r="DB213">
        <v>-1.9663900000000002E-2</v>
      </c>
      <c r="DC213">
        <v>21388.799999999999</v>
      </c>
      <c r="DD213">
        <v>21720.7</v>
      </c>
      <c r="DE213">
        <v>23112.2</v>
      </c>
      <c r="DF213">
        <v>22327.4</v>
      </c>
      <c r="DG213">
        <v>29761</v>
      </c>
      <c r="DH213">
        <v>27151.4</v>
      </c>
      <c r="DI213">
        <v>40619.699999999997</v>
      </c>
      <c r="DJ213">
        <v>37004.6</v>
      </c>
      <c r="DK213">
        <v>2.0936599999999999</v>
      </c>
      <c r="DL213">
        <v>1.8038000000000001</v>
      </c>
      <c r="DM213">
        <v>3.0583099999999998E-2</v>
      </c>
      <c r="DN213">
        <v>0</v>
      </c>
      <c r="DO213">
        <v>26.8612</v>
      </c>
      <c r="DP213">
        <v>999.9</v>
      </c>
      <c r="DQ213">
        <v>75.3</v>
      </c>
      <c r="DR213">
        <v>30.3</v>
      </c>
      <c r="DS213">
        <v>32.551499999999997</v>
      </c>
      <c r="DT213">
        <v>30.373799999999999</v>
      </c>
      <c r="DU213">
        <v>9.4911899999999996</v>
      </c>
      <c r="DV213">
        <v>1</v>
      </c>
      <c r="DW213">
        <v>0.17422199999999999</v>
      </c>
      <c r="DX213">
        <v>-0.44751000000000002</v>
      </c>
      <c r="DY213">
        <v>20.367699999999999</v>
      </c>
      <c r="DZ213">
        <v>5.2116600000000002</v>
      </c>
      <c r="EA213">
        <v>11.8482</v>
      </c>
      <c r="EB213">
        <v>4.9676400000000003</v>
      </c>
      <c r="EC213">
        <v>3.2920600000000002</v>
      </c>
      <c r="ED213">
        <v>894.7</v>
      </c>
      <c r="EE213">
        <v>0</v>
      </c>
      <c r="EF213">
        <v>9973.6</v>
      </c>
      <c r="EG213">
        <v>112.1</v>
      </c>
      <c r="EH213">
        <v>4.9716199999999997</v>
      </c>
      <c r="EI213">
        <v>1.8717999999999999</v>
      </c>
      <c r="EJ213">
        <v>1.8689800000000001</v>
      </c>
      <c r="EK213">
        <v>1.87137</v>
      </c>
      <c r="EL213">
        <v>1.86913</v>
      </c>
      <c r="EM213">
        <v>1.86812</v>
      </c>
      <c r="EN213">
        <v>1.8699600000000001</v>
      </c>
      <c r="EO213">
        <v>1.8717600000000001</v>
      </c>
      <c r="EP213">
        <v>0</v>
      </c>
      <c r="EQ213">
        <v>0</v>
      </c>
      <c r="ER213">
        <v>0</v>
      </c>
      <c r="ES213">
        <v>0</v>
      </c>
      <c r="ET213" t="s">
        <v>334</v>
      </c>
      <c r="EU213" t="s">
        <v>335</v>
      </c>
      <c r="EV213" t="s">
        <v>336</v>
      </c>
      <c r="EW213" t="s">
        <v>336</v>
      </c>
      <c r="EX213" t="s">
        <v>336</v>
      </c>
      <c r="EY213" t="s">
        <v>336</v>
      </c>
      <c r="EZ213">
        <v>0</v>
      </c>
      <c r="FA213">
        <v>100</v>
      </c>
      <c r="FB213">
        <v>100</v>
      </c>
      <c r="FC213">
        <v>8.0009999999999994</v>
      </c>
      <c r="FD213">
        <v>-0.98929999999999996</v>
      </c>
      <c r="FE213">
        <v>7.9922142857142831</v>
      </c>
      <c r="FF213">
        <v>0</v>
      </c>
      <c r="FG213">
        <v>0</v>
      </c>
      <c r="FH213">
        <v>0</v>
      </c>
      <c r="FI213">
        <v>-0.98927100000000023</v>
      </c>
      <c r="FJ213">
        <v>0</v>
      </c>
      <c r="FK213">
        <v>0</v>
      </c>
      <c r="FL213">
        <v>0</v>
      </c>
      <c r="FM213">
        <v>-1</v>
      </c>
      <c r="FN213">
        <v>-1</v>
      </c>
      <c r="FO213">
        <v>-1</v>
      </c>
      <c r="FP213">
        <v>-1</v>
      </c>
      <c r="FQ213">
        <v>0.7</v>
      </c>
      <c r="FR213">
        <v>197.2</v>
      </c>
      <c r="FS213">
        <v>0.142822</v>
      </c>
      <c r="FT213">
        <v>4.99756</v>
      </c>
      <c r="FU213">
        <v>1.5979000000000001</v>
      </c>
      <c r="FV213">
        <v>2.1520999999999999</v>
      </c>
      <c r="FW213">
        <v>1.5478499999999999</v>
      </c>
      <c r="FX213">
        <v>2.4047900000000002</v>
      </c>
      <c r="FY213">
        <v>34.486400000000003</v>
      </c>
      <c r="FZ213">
        <v>15.3316</v>
      </c>
      <c r="GA213">
        <v>3</v>
      </c>
      <c r="GB213">
        <v>498.86200000000002</v>
      </c>
      <c r="GC213">
        <v>405.56700000000001</v>
      </c>
      <c r="GD213">
        <v>28.096399999999999</v>
      </c>
      <c r="GE213">
        <v>29.478400000000001</v>
      </c>
      <c r="GF213">
        <v>29.9999</v>
      </c>
      <c r="GG213">
        <v>29.779</v>
      </c>
      <c r="GH213">
        <v>29.829499999999999</v>
      </c>
      <c r="GI213">
        <v>-1</v>
      </c>
      <c r="GJ213">
        <v>0</v>
      </c>
      <c r="GK213">
        <v>100</v>
      </c>
      <c r="GL213">
        <v>28.097899999999999</v>
      </c>
      <c r="GM213">
        <v>432.1</v>
      </c>
      <c r="GN213">
        <v>68.912800000000004</v>
      </c>
      <c r="GO213">
        <v>102.245</v>
      </c>
      <c r="GP213">
        <v>96.556399999999996</v>
      </c>
    </row>
    <row r="214" spans="1:198" x14ac:dyDescent="0.35">
      <c r="A214">
        <v>198</v>
      </c>
      <c r="B214">
        <v>1775492860.0999999</v>
      </c>
      <c r="C214">
        <v>11821.599999904631</v>
      </c>
      <c r="D214" t="s">
        <v>925</v>
      </c>
      <c r="E214" t="s">
        <v>926</v>
      </c>
      <c r="F214">
        <v>60</v>
      </c>
      <c r="G214">
        <v>1775492852.349999</v>
      </c>
      <c r="H214">
        <f t="shared" si="90"/>
        <v>2.170959409669796E-3</v>
      </c>
      <c r="I214">
        <f t="shared" si="91"/>
        <v>2.1709594096697962</v>
      </c>
      <c r="J214">
        <f t="shared" si="92"/>
        <v>0.65217961295418614</v>
      </c>
      <c r="K214">
        <f t="shared" si="93"/>
        <v>38.441443333333339</v>
      </c>
      <c r="L214">
        <f t="shared" si="94"/>
        <v>18.520725763843874</v>
      </c>
      <c r="M214">
        <f t="shared" si="95"/>
        <v>1.8576866925569171</v>
      </c>
      <c r="N214">
        <f t="shared" si="96"/>
        <v>3.855796939795137</v>
      </c>
      <c r="O214">
        <f t="shared" si="97"/>
        <v>5.8009070972454294E-2</v>
      </c>
      <c r="P214">
        <f t="shared" si="98"/>
        <v>2.3924023296745185</v>
      </c>
      <c r="Q214">
        <f t="shared" si="99"/>
        <v>5.7238847424001052E-2</v>
      </c>
      <c r="R214">
        <f t="shared" si="100"/>
        <v>3.5842629110214561E-2</v>
      </c>
      <c r="S214">
        <f t="shared" si="101"/>
        <v>0</v>
      </c>
      <c r="T214">
        <f t="shared" si="102"/>
        <v>26.620603908210565</v>
      </c>
      <c r="U214">
        <f t="shared" si="103"/>
        <v>27.362349999999999</v>
      </c>
      <c r="V214">
        <f t="shared" si="104"/>
        <v>3.6560415713500527</v>
      </c>
      <c r="W214">
        <f t="shared" si="105"/>
        <v>-2.2085046972710622</v>
      </c>
      <c r="X214">
        <f t="shared" si="106"/>
        <v>-8.0455564815220371E-2</v>
      </c>
      <c r="Y214">
        <f t="shared" si="107"/>
        <v>3.6429881681771037</v>
      </c>
      <c r="Z214">
        <f t="shared" si="108"/>
        <v>3.7364971361652732</v>
      </c>
      <c r="AA214">
        <f t="shared" si="109"/>
        <v>-95.739309966438</v>
      </c>
      <c r="AB214">
        <f t="shared" si="110"/>
        <v>-7.8741798179631664</v>
      </c>
      <c r="AC214">
        <f t="shared" si="111"/>
        <v>-0.71266657347829043</v>
      </c>
      <c r="AD214">
        <f t="shared" si="112"/>
        <v>-104.32615635787946</v>
      </c>
      <c r="AE214">
        <v>12</v>
      </c>
      <c r="AF214">
        <v>2</v>
      </c>
      <c r="AG214">
        <f t="shared" si="113"/>
        <v>1</v>
      </c>
      <c r="AH214">
        <f t="shared" si="114"/>
        <v>0</v>
      </c>
      <c r="AI214">
        <f t="shared" si="115"/>
        <v>25553.210777715547</v>
      </c>
      <c r="AJ214">
        <f t="shared" si="116"/>
        <v>0</v>
      </c>
      <c r="AK214">
        <f t="shared" si="117"/>
        <v>0</v>
      </c>
      <c r="AL214">
        <f t="shared" si="118"/>
        <v>0</v>
      </c>
      <c r="AM214">
        <f t="shared" si="119"/>
        <v>0</v>
      </c>
      <c r="AN214">
        <v>3</v>
      </c>
      <c r="AO214">
        <v>0.5</v>
      </c>
      <c r="AP214" t="s">
        <v>331</v>
      </c>
      <c r="AQ214">
        <v>2</v>
      </c>
      <c r="AR214">
        <v>1775492852.349999</v>
      </c>
      <c r="AS214">
        <v>38.441443333333339</v>
      </c>
      <c r="AT214">
        <v>38.882803333333328</v>
      </c>
      <c r="AU214">
        <v>-0.80212419999999984</v>
      </c>
      <c r="AV214">
        <v>-2.1056836666666658</v>
      </c>
      <c r="AW214">
        <v>30.444443333333339</v>
      </c>
      <c r="AX214">
        <v>0.1871467</v>
      </c>
      <c r="AY214">
        <v>500.02339999999992</v>
      </c>
      <c r="AZ214">
        <v>100.2647333333334</v>
      </c>
      <c r="BA214">
        <v>3.8392809999999992E-2</v>
      </c>
      <c r="BB214">
        <v>27.301299999999991</v>
      </c>
      <c r="BC214">
        <v>27.362349999999999</v>
      </c>
      <c r="BD214">
        <v>999.9000000000002</v>
      </c>
      <c r="BE214">
        <v>0</v>
      </c>
      <c r="BF214">
        <v>0</v>
      </c>
      <c r="BG214">
        <v>4998.0333333333338</v>
      </c>
      <c r="BH214">
        <v>0.36668783333333338</v>
      </c>
      <c r="BI214">
        <v>0.23344266666666669</v>
      </c>
      <c r="BJ214">
        <v>-0.43724503333333331</v>
      </c>
      <c r="BK214">
        <v>38.414740000000002</v>
      </c>
      <c r="BL214">
        <v>38.801099999999998</v>
      </c>
      <c r="BM214">
        <v>1.3035583333333329</v>
      </c>
      <c r="BN214">
        <v>38.882803333333328</v>
      </c>
      <c r="BO214">
        <v>-2.1056836666666658</v>
      </c>
      <c r="BP214">
        <v>-8.0424800000000018E-2</v>
      </c>
      <c r="BQ214">
        <v>-0.21112586666666669</v>
      </c>
      <c r="BR214">
        <v>-99.900000000000034</v>
      </c>
      <c r="BS214">
        <v>-99.900000000000034</v>
      </c>
      <c r="BT214">
        <v>0</v>
      </c>
      <c r="BU214">
        <v>0</v>
      </c>
      <c r="BV214">
        <v>0</v>
      </c>
      <c r="BW214">
        <v>25</v>
      </c>
      <c r="BX214">
        <v>-1</v>
      </c>
      <c r="BY214">
        <v>1775492877.0999999</v>
      </c>
      <c r="BZ214" t="s">
        <v>927</v>
      </c>
      <c r="CA214">
        <v>1775492877.0999999</v>
      </c>
      <c r="CB214">
        <v>1775480969.5</v>
      </c>
      <c r="CC214">
        <v>199</v>
      </c>
      <c r="CD214">
        <v>-4.0000000000000001E-3</v>
      </c>
      <c r="CE214">
        <v>0.19500000000000001</v>
      </c>
      <c r="CF214">
        <v>7.9969999999999999</v>
      </c>
      <c r="CG214">
        <v>-0.98899999999999999</v>
      </c>
      <c r="CH214">
        <v>39</v>
      </c>
      <c r="CI214">
        <v>-3</v>
      </c>
      <c r="CJ214">
        <v>0.17</v>
      </c>
      <c r="CK214">
        <v>0.06</v>
      </c>
      <c r="CL214">
        <v>38.874316393442619</v>
      </c>
      <c r="CM214">
        <v>7.1347646747717403E-2</v>
      </c>
      <c r="CN214">
        <v>0.13768534593540971</v>
      </c>
      <c r="CO214">
        <v>-1</v>
      </c>
      <c r="CP214">
        <v>500.00463934426227</v>
      </c>
      <c r="CQ214">
        <v>4.4084611316271657E-2</v>
      </c>
      <c r="CR214">
        <v>5.0612974681670378E-2</v>
      </c>
      <c r="CS214">
        <v>-1</v>
      </c>
      <c r="CT214">
        <v>0</v>
      </c>
      <c r="CU214">
        <v>0</v>
      </c>
      <c r="CV214" t="s">
        <v>333</v>
      </c>
      <c r="CW214">
        <v>3.1674699999999998</v>
      </c>
      <c r="CX214">
        <v>2.6596899999999999</v>
      </c>
      <c r="CY214">
        <v>9.0481999999999993E-3</v>
      </c>
      <c r="CZ214">
        <v>1.1534000000000001E-2</v>
      </c>
      <c r="DA214">
        <v>1.5151400000000001E-3</v>
      </c>
      <c r="DB214">
        <v>-1.97769E-2</v>
      </c>
      <c r="DC214">
        <v>21390.1</v>
      </c>
      <c r="DD214">
        <v>21721.9</v>
      </c>
      <c r="DE214">
        <v>23112.2</v>
      </c>
      <c r="DF214">
        <v>22327.5</v>
      </c>
      <c r="DG214">
        <v>29759.7</v>
      </c>
      <c r="DH214">
        <v>27154.400000000001</v>
      </c>
      <c r="DI214">
        <v>40619.699999999997</v>
      </c>
      <c r="DJ214">
        <v>37004.6</v>
      </c>
      <c r="DK214">
        <v>2.0940599999999998</v>
      </c>
      <c r="DL214">
        <v>1.8039799999999999</v>
      </c>
      <c r="DM214">
        <v>3.0118200000000001E-2</v>
      </c>
      <c r="DN214">
        <v>0</v>
      </c>
      <c r="DO214">
        <v>26.866599999999998</v>
      </c>
      <c r="DP214">
        <v>999.9</v>
      </c>
      <c r="DQ214">
        <v>75.400000000000006</v>
      </c>
      <c r="DR214">
        <v>30.3</v>
      </c>
      <c r="DS214">
        <v>32.592100000000002</v>
      </c>
      <c r="DT214">
        <v>30.343800000000002</v>
      </c>
      <c r="DU214">
        <v>9.7556100000000008</v>
      </c>
      <c r="DV214">
        <v>1</v>
      </c>
      <c r="DW214">
        <v>0.17341300000000001</v>
      </c>
      <c r="DX214">
        <v>-0.43523499999999998</v>
      </c>
      <c r="DY214">
        <v>20.3674</v>
      </c>
      <c r="DZ214">
        <v>5.2120199999999999</v>
      </c>
      <c r="EA214">
        <v>11.8482</v>
      </c>
      <c r="EB214">
        <v>4.9677600000000002</v>
      </c>
      <c r="EC214">
        <v>3.29216</v>
      </c>
      <c r="ED214">
        <v>894.7</v>
      </c>
      <c r="EE214">
        <v>0</v>
      </c>
      <c r="EF214">
        <v>9999</v>
      </c>
      <c r="EG214">
        <v>112.1</v>
      </c>
      <c r="EH214">
        <v>4.9716199999999997</v>
      </c>
      <c r="EI214">
        <v>1.8717999999999999</v>
      </c>
      <c r="EJ214">
        <v>1.86896</v>
      </c>
      <c r="EK214">
        <v>1.87137</v>
      </c>
      <c r="EL214">
        <v>1.8691599999999999</v>
      </c>
      <c r="EM214">
        <v>1.8681099999999999</v>
      </c>
      <c r="EN214">
        <v>1.8699600000000001</v>
      </c>
      <c r="EO214">
        <v>1.8717299999999999</v>
      </c>
      <c r="EP214">
        <v>0</v>
      </c>
      <c r="EQ214">
        <v>0</v>
      </c>
      <c r="ER214">
        <v>0</v>
      </c>
      <c r="ES214">
        <v>0</v>
      </c>
      <c r="ET214" t="s">
        <v>334</v>
      </c>
      <c r="EU214" t="s">
        <v>335</v>
      </c>
      <c r="EV214" t="s">
        <v>336</v>
      </c>
      <c r="EW214" t="s">
        <v>336</v>
      </c>
      <c r="EX214" t="s">
        <v>336</v>
      </c>
      <c r="EY214" t="s">
        <v>336</v>
      </c>
      <c r="EZ214">
        <v>0</v>
      </c>
      <c r="FA214">
        <v>100</v>
      </c>
      <c r="FB214">
        <v>100</v>
      </c>
      <c r="FC214">
        <v>7.9969999999999999</v>
      </c>
      <c r="FD214">
        <v>-0.98929999999999996</v>
      </c>
      <c r="FE214">
        <v>8.001114285714273</v>
      </c>
      <c r="FF214">
        <v>0</v>
      </c>
      <c r="FG214">
        <v>0</v>
      </c>
      <c r="FH214">
        <v>0</v>
      </c>
      <c r="FI214">
        <v>-0.98927100000000023</v>
      </c>
      <c r="FJ214">
        <v>0</v>
      </c>
      <c r="FK214">
        <v>0</v>
      </c>
      <c r="FL214">
        <v>0</v>
      </c>
      <c r="FM214">
        <v>-1</v>
      </c>
      <c r="FN214">
        <v>-1</v>
      </c>
      <c r="FO214">
        <v>-1</v>
      </c>
      <c r="FP214">
        <v>-1</v>
      </c>
      <c r="FQ214">
        <v>0.7</v>
      </c>
      <c r="FR214">
        <v>198.2</v>
      </c>
      <c r="FS214">
        <v>0.14160200000000001</v>
      </c>
      <c r="FT214">
        <v>4.99756</v>
      </c>
      <c r="FU214">
        <v>1.5979000000000001</v>
      </c>
      <c r="FV214">
        <v>2.1520999999999999</v>
      </c>
      <c r="FW214">
        <v>1.5478499999999999</v>
      </c>
      <c r="FX214">
        <v>2.4548299999999998</v>
      </c>
      <c r="FY214">
        <v>34.486400000000003</v>
      </c>
      <c r="FZ214">
        <v>15.3316</v>
      </c>
      <c r="GA214">
        <v>3</v>
      </c>
      <c r="GB214">
        <v>499.01600000000002</v>
      </c>
      <c r="GC214">
        <v>405.61799999999999</v>
      </c>
      <c r="GD214">
        <v>28.098099999999999</v>
      </c>
      <c r="GE214">
        <v>29.468299999999999</v>
      </c>
      <c r="GF214">
        <v>30.0001</v>
      </c>
      <c r="GG214">
        <v>29.768899999999999</v>
      </c>
      <c r="GH214">
        <v>29.8216</v>
      </c>
      <c r="GI214">
        <v>-1</v>
      </c>
      <c r="GJ214">
        <v>0</v>
      </c>
      <c r="GK214">
        <v>100</v>
      </c>
      <c r="GL214">
        <v>28.096</v>
      </c>
      <c r="GM214">
        <v>432.1</v>
      </c>
      <c r="GN214">
        <v>68.912800000000004</v>
      </c>
      <c r="GO214">
        <v>102.245</v>
      </c>
      <c r="GP214">
        <v>96.5565</v>
      </c>
    </row>
    <row r="215" spans="1:198" x14ac:dyDescent="0.35">
      <c r="A215">
        <v>199</v>
      </c>
      <c r="B215">
        <v>1775492920.0999999</v>
      </c>
      <c r="C215">
        <v>11881.599999904631</v>
      </c>
      <c r="D215" t="s">
        <v>928</v>
      </c>
      <c r="E215" t="s">
        <v>929</v>
      </c>
      <c r="F215">
        <v>60</v>
      </c>
      <c r="G215">
        <v>1775492912.099999</v>
      </c>
      <c r="H215">
        <f t="shared" si="90"/>
        <v>2.1837251984865294E-3</v>
      </c>
      <c r="I215">
        <f t="shared" si="91"/>
        <v>2.1837251984865294</v>
      </c>
      <c r="J215">
        <f t="shared" si="92"/>
        <v>1.0742292027291453</v>
      </c>
      <c r="K215">
        <f t="shared" si="93"/>
        <v>38.57023548387096</v>
      </c>
      <c r="L215">
        <f t="shared" si="94"/>
        <v>7.3831036825886533</v>
      </c>
      <c r="M215">
        <f t="shared" si="95"/>
        <v>0.74054530528824158</v>
      </c>
      <c r="N215">
        <f t="shared" si="96"/>
        <v>3.8686991324260895</v>
      </c>
      <c r="O215">
        <f t="shared" si="97"/>
        <v>5.8353546905510222E-2</v>
      </c>
      <c r="P215">
        <f t="shared" si="98"/>
        <v>2.3948429216504614</v>
      </c>
      <c r="Q215">
        <f t="shared" si="99"/>
        <v>5.7574997602860896E-2</v>
      </c>
      <c r="R215">
        <f t="shared" si="100"/>
        <v>3.6053457632455696E-2</v>
      </c>
      <c r="S215">
        <f t="shared" si="101"/>
        <v>0</v>
      </c>
      <c r="T215">
        <f t="shared" si="102"/>
        <v>26.616644067999307</v>
      </c>
      <c r="U215">
        <f t="shared" si="103"/>
        <v>27.36157096774194</v>
      </c>
      <c r="V215">
        <f t="shared" si="104"/>
        <v>3.6558747458222118</v>
      </c>
      <c r="W215">
        <f t="shared" si="105"/>
        <v>-2.2136749825455508</v>
      </c>
      <c r="X215">
        <f t="shared" si="106"/>
        <v>-8.0641097513266743E-2</v>
      </c>
      <c r="Y215">
        <f t="shared" si="107"/>
        <v>3.642860769946267</v>
      </c>
      <c r="Z215">
        <f t="shared" si="108"/>
        <v>3.7365158433354786</v>
      </c>
      <c r="AA215">
        <f t="shared" si="109"/>
        <v>-96.302281253255941</v>
      </c>
      <c r="AB215">
        <f t="shared" si="110"/>
        <v>-7.8586811263549254</v>
      </c>
      <c r="AC215">
        <f t="shared" si="111"/>
        <v>-0.71053410330554967</v>
      </c>
      <c r="AD215">
        <f t="shared" si="112"/>
        <v>-104.87149648291641</v>
      </c>
      <c r="AE215">
        <v>12</v>
      </c>
      <c r="AF215">
        <v>2</v>
      </c>
      <c r="AG215">
        <f t="shared" si="113"/>
        <v>1</v>
      </c>
      <c r="AH215">
        <f t="shared" si="114"/>
        <v>0</v>
      </c>
      <c r="AI215">
        <f t="shared" si="115"/>
        <v>25590.38190250039</v>
      </c>
      <c r="AJ215">
        <f t="shared" si="116"/>
        <v>0</v>
      </c>
      <c r="AK215">
        <f t="shared" si="117"/>
        <v>0</v>
      </c>
      <c r="AL215">
        <f t="shared" si="118"/>
        <v>0</v>
      </c>
      <c r="AM215">
        <f t="shared" si="119"/>
        <v>0</v>
      </c>
      <c r="AN215">
        <v>3</v>
      </c>
      <c r="AO215">
        <v>0.5</v>
      </c>
      <c r="AP215" t="s">
        <v>331</v>
      </c>
      <c r="AQ215">
        <v>2</v>
      </c>
      <c r="AR215">
        <v>1775492912.099999</v>
      </c>
      <c r="AS215">
        <v>38.57023548387096</v>
      </c>
      <c r="AT215">
        <v>39.265270967741941</v>
      </c>
      <c r="AU215">
        <v>-0.80397725806451603</v>
      </c>
      <c r="AV215">
        <v>-2.115193870967742</v>
      </c>
      <c r="AW215">
        <v>30.580235483870961</v>
      </c>
      <c r="AX215">
        <v>0.18529370967741929</v>
      </c>
      <c r="AY215">
        <v>500.02741935483868</v>
      </c>
      <c r="AZ215">
        <v>100.2645161290323</v>
      </c>
      <c r="BA215">
        <v>3.8193561290322593E-2</v>
      </c>
      <c r="BB215">
        <v>27.300703225806451</v>
      </c>
      <c r="BC215">
        <v>27.36157096774194</v>
      </c>
      <c r="BD215">
        <v>999.90000000000032</v>
      </c>
      <c r="BE215">
        <v>0</v>
      </c>
      <c r="BF215">
        <v>0</v>
      </c>
      <c r="BG215">
        <v>5004.322580645161</v>
      </c>
      <c r="BH215">
        <v>0.37495329032258062</v>
      </c>
      <c r="BI215">
        <v>0.22961599999999999</v>
      </c>
      <c r="BJ215">
        <v>-0.68761735483870967</v>
      </c>
      <c r="BK215">
        <v>38.546674193548377</v>
      </c>
      <c r="BL215">
        <v>39.182380645161302</v>
      </c>
      <c r="BM215">
        <v>1.3112167741935481</v>
      </c>
      <c r="BN215">
        <v>39.265270967741941</v>
      </c>
      <c r="BO215">
        <v>-2.115193870967742</v>
      </c>
      <c r="BP215">
        <v>-8.0610358064516136E-2</v>
      </c>
      <c r="BQ215">
        <v>-0.2120787741935484</v>
      </c>
      <c r="BR215">
        <v>-99.900000000000034</v>
      </c>
      <c r="BS215">
        <v>-99.900000000000034</v>
      </c>
      <c r="BT215">
        <v>0</v>
      </c>
      <c r="BU215">
        <v>0</v>
      </c>
      <c r="BV215">
        <v>0</v>
      </c>
      <c r="BW215">
        <v>25</v>
      </c>
      <c r="BX215">
        <v>-1</v>
      </c>
      <c r="BY215">
        <v>1775492935.0999999</v>
      </c>
      <c r="BZ215" t="s">
        <v>930</v>
      </c>
      <c r="CA215">
        <v>1775492935.0999999</v>
      </c>
      <c r="CB215">
        <v>1775480969.5</v>
      </c>
      <c r="CC215">
        <v>200</v>
      </c>
      <c r="CD215">
        <v>-7.0000000000000001E-3</v>
      </c>
      <c r="CE215">
        <v>0.19500000000000001</v>
      </c>
      <c r="CF215">
        <v>7.99</v>
      </c>
      <c r="CG215">
        <v>-0.98899999999999999</v>
      </c>
      <c r="CH215">
        <v>39</v>
      </c>
      <c r="CI215">
        <v>-3</v>
      </c>
      <c r="CJ215">
        <v>0.34</v>
      </c>
      <c r="CK215">
        <v>0.06</v>
      </c>
      <c r="CL215">
        <v>39.110969999999988</v>
      </c>
      <c r="CM215">
        <v>1.450959044178975</v>
      </c>
      <c r="CN215">
        <v>0.2381470836129079</v>
      </c>
      <c r="CO215">
        <v>-1</v>
      </c>
      <c r="CP215">
        <v>500.0096166666666</v>
      </c>
      <c r="CQ215">
        <v>4.4245623786283404E-3</v>
      </c>
      <c r="CR215">
        <v>6.2657559178617817E-2</v>
      </c>
      <c r="CS215">
        <v>-1</v>
      </c>
      <c r="CT215">
        <v>0</v>
      </c>
      <c r="CU215">
        <v>0</v>
      </c>
      <c r="CV215" t="s">
        <v>333</v>
      </c>
      <c r="CW215">
        <v>3.1673300000000002</v>
      </c>
      <c r="CX215">
        <v>2.6596000000000002</v>
      </c>
      <c r="CY215">
        <v>9.1836299999999999E-3</v>
      </c>
      <c r="CZ215">
        <v>1.1677699999999999E-2</v>
      </c>
      <c r="DA215">
        <v>1.5285800000000001E-3</v>
      </c>
      <c r="DB215">
        <v>-1.9822200000000002E-2</v>
      </c>
      <c r="DC215">
        <v>21387.5</v>
      </c>
      <c r="DD215">
        <v>21719.3</v>
      </c>
      <c r="DE215">
        <v>23112.5</v>
      </c>
      <c r="DF215">
        <v>22328</v>
      </c>
      <c r="DG215">
        <v>29759.7</v>
      </c>
      <c r="DH215">
        <v>27156.3</v>
      </c>
      <c r="DI215">
        <v>40620.199999999997</v>
      </c>
      <c r="DJ215">
        <v>37005.599999999999</v>
      </c>
      <c r="DK215">
        <v>2.09382</v>
      </c>
      <c r="DL215">
        <v>1.8054399999999999</v>
      </c>
      <c r="DM215">
        <v>2.9793400000000001E-2</v>
      </c>
      <c r="DN215">
        <v>0</v>
      </c>
      <c r="DO215">
        <v>26.878599999999999</v>
      </c>
      <c r="DP215">
        <v>999.9</v>
      </c>
      <c r="DQ215">
        <v>75.400000000000006</v>
      </c>
      <c r="DR215">
        <v>30.3</v>
      </c>
      <c r="DS215">
        <v>32.594000000000001</v>
      </c>
      <c r="DT215">
        <v>30.523800000000001</v>
      </c>
      <c r="DU215">
        <v>9.7235600000000009</v>
      </c>
      <c r="DV215">
        <v>1</v>
      </c>
      <c r="DW215">
        <v>0.17269100000000001</v>
      </c>
      <c r="DX215">
        <v>-0.44064900000000001</v>
      </c>
      <c r="DY215">
        <v>20.3674</v>
      </c>
      <c r="DZ215">
        <v>5.2115400000000003</v>
      </c>
      <c r="EA215">
        <v>11.8482</v>
      </c>
      <c r="EB215">
        <v>4.9678399999999998</v>
      </c>
      <c r="EC215">
        <v>3.2920799999999999</v>
      </c>
      <c r="ED215">
        <v>894.7</v>
      </c>
      <c r="EE215">
        <v>0</v>
      </c>
      <c r="EF215">
        <v>9999</v>
      </c>
      <c r="EG215">
        <v>112.1</v>
      </c>
      <c r="EH215">
        <v>4.9716199999999997</v>
      </c>
      <c r="EI215">
        <v>1.8717999999999999</v>
      </c>
      <c r="EJ215">
        <v>1.8690199999999999</v>
      </c>
      <c r="EK215">
        <v>1.8714200000000001</v>
      </c>
      <c r="EL215">
        <v>1.8692</v>
      </c>
      <c r="EM215">
        <v>1.8681300000000001</v>
      </c>
      <c r="EN215">
        <v>1.8699600000000001</v>
      </c>
      <c r="EO215">
        <v>1.8717600000000001</v>
      </c>
      <c r="EP215">
        <v>0</v>
      </c>
      <c r="EQ215">
        <v>0</v>
      </c>
      <c r="ER215">
        <v>0</v>
      </c>
      <c r="ES215">
        <v>0</v>
      </c>
      <c r="ET215" t="s">
        <v>334</v>
      </c>
      <c r="EU215" t="s">
        <v>335</v>
      </c>
      <c r="EV215" t="s">
        <v>336</v>
      </c>
      <c r="EW215" t="s">
        <v>336</v>
      </c>
      <c r="EX215" t="s">
        <v>336</v>
      </c>
      <c r="EY215" t="s">
        <v>336</v>
      </c>
      <c r="EZ215">
        <v>0</v>
      </c>
      <c r="FA215">
        <v>100</v>
      </c>
      <c r="FB215">
        <v>100</v>
      </c>
      <c r="FC215">
        <v>7.99</v>
      </c>
      <c r="FD215">
        <v>-0.98929999999999996</v>
      </c>
      <c r="FE215">
        <v>7.9974150000000002</v>
      </c>
      <c r="FF215">
        <v>0</v>
      </c>
      <c r="FG215">
        <v>0</v>
      </c>
      <c r="FH215">
        <v>0</v>
      </c>
      <c r="FI215">
        <v>-0.98927100000000023</v>
      </c>
      <c r="FJ215">
        <v>0</v>
      </c>
      <c r="FK215">
        <v>0</v>
      </c>
      <c r="FL215">
        <v>0</v>
      </c>
      <c r="FM215">
        <v>-1</v>
      </c>
      <c r="FN215">
        <v>-1</v>
      </c>
      <c r="FO215">
        <v>-1</v>
      </c>
      <c r="FP215">
        <v>-1</v>
      </c>
      <c r="FQ215">
        <v>0.7</v>
      </c>
      <c r="FR215">
        <v>199.2</v>
      </c>
      <c r="FS215">
        <v>0.142822</v>
      </c>
      <c r="FT215">
        <v>4.99756</v>
      </c>
      <c r="FU215">
        <v>1.5979000000000001</v>
      </c>
      <c r="FV215">
        <v>2.1533199999999999</v>
      </c>
      <c r="FW215">
        <v>1.5478499999999999</v>
      </c>
      <c r="FX215">
        <v>2.4389599999999998</v>
      </c>
      <c r="FY215">
        <v>34.486400000000003</v>
      </c>
      <c r="FZ215">
        <v>15.322800000000001</v>
      </c>
      <c r="GA215">
        <v>3</v>
      </c>
      <c r="GB215">
        <v>498.80099999999999</v>
      </c>
      <c r="GC215">
        <v>406.39</v>
      </c>
      <c r="GD215">
        <v>28.090199999999999</v>
      </c>
      <c r="GE215">
        <v>29.459199999999999</v>
      </c>
      <c r="GF215">
        <v>30</v>
      </c>
      <c r="GG215">
        <v>29.7593</v>
      </c>
      <c r="GH215">
        <v>29.811900000000001</v>
      </c>
      <c r="GI215">
        <v>-1</v>
      </c>
      <c r="GJ215">
        <v>0</v>
      </c>
      <c r="GK215">
        <v>100</v>
      </c>
      <c r="GL215">
        <v>28.092099999999999</v>
      </c>
      <c r="GM215">
        <v>432.1</v>
      </c>
      <c r="GN215">
        <v>68.912800000000004</v>
      </c>
      <c r="GO215">
        <v>102.246</v>
      </c>
      <c r="GP215">
        <v>96.559100000000001</v>
      </c>
    </row>
    <row r="216" spans="1:198" x14ac:dyDescent="0.35">
      <c r="A216">
        <v>200</v>
      </c>
      <c r="B216">
        <v>1775492980.0999999</v>
      </c>
      <c r="C216">
        <v>11941.599999904631</v>
      </c>
      <c r="D216" t="s">
        <v>931</v>
      </c>
      <c r="E216" t="s">
        <v>932</v>
      </c>
      <c r="F216">
        <v>60</v>
      </c>
      <c r="G216">
        <v>1775492972.099999</v>
      </c>
      <c r="H216">
        <f t="shared" si="90"/>
        <v>2.1914031127989795E-3</v>
      </c>
      <c r="I216">
        <f t="shared" si="91"/>
        <v>2.1914031127989797</v>
      </c>
      <c r="J216">
        <f t="shared" si="92"/>
        <v>1.3360453693005681</v>
      </c>
      <c r="K216">
        <f t="shared" si="93"/>
        <v>39.231425806451611</v>
      </c>
      <c r="L216">
        <f t="shared" si="94"/>
        <v>1.1128918924625517</v>
      </c>
      <c r="M216">
        <f t="shared" si="95"/>
        <v>0.11162532216288062</v>
      </c>
      <c r="N216">
        <f t="shared" si="96"/>
        <v>3.9349918659791734</v>
      </c>
      <c r="O216">
        <f t="shared" si="97"/>
        <v>5.8608859067320489E-2</v>
      </c>
      <c r="P216">
        <f t="shared" si="98"/>
        <v>2.395126291286505</v>
      </c>
      <c r="Q216">
        <f t="shared" si="99"/>
        <v>5.7823623154038405E-2</v>
      </c>
      <c r="R216">
        <f t="shared" si="100"/>
        <v>3.6209438277703739E-2</v>
      </c>
      <c r="S216">
        <f t="shared" si="101"/>
        <v>0</v>
      </c>
      <c r="T216">
        <f t="shared" si="102"/>
        <v>26.617211841087901</v>
      </c>
      <c r="U216">
        <f t="shared" si="103"/>
        <v>27.365116129032259</v>
      </c>
      <c r="V216">
        <f t="shared" si="104"/>
        <v>3.6566339765406335</v>
      </c>
      <c r="W216">
        <f t="shared" si="105"/>
        <v>-2.1074321371126397</v>
      </c>
      <c r="X216">
        <f t="shared" si="106"/>
        <v>-7.6783851658728891E-2</v>
      </c>
      <c r="Y216">
        <f t="shared" si="107"/>
        <v>3.6434792042190867</v>
      </c>
      <c r="Z216">
        <f t="shared" si="108"/>
        <v>3.7334178281993622</v>
      </c>
      <c r="AA216">
        <f t="shared" si="109"/>
        <v>-96.640877274434999</v>
      </c>
      <c r="AB216">
        <f t="shared" si="110"/>
        <v>-7.9433346680791059</v>
      </c>
      <c r="AC216">
        <f t="shared" si="111"/>
        <v>-0.71812609644979741</v>
      </c>
      <c r="AD216">
        <f t="shared" si="112"/>
        <v>-105.3023380389639</v>
      </c>
      <c r="AE216">
        <v>12</v>
      </c>
      <c r="AF216">
        <v>2</v>
      </c>
      <c r="AG216">
        <f t="shared" si="113"/>
        <v>1</v>
      </c>
      <c r="AH216">
        <f t="shared" si="114"/>
        <v>0</v>
      </c>
      <c r="AI216">
        <f t="shared" si="115"/>
        <v>25594.480185681547</v>
      </c>
      <c r="AJ216">
        <f t="shared" si="116"/>
        <v>0</v>
      </c>
      <c r="AK216">
        <f t="shared" si="117"/>
        <v>0</v>
      </c>
      <c r="AL216">
        <f t="shared" si="118"/>
        <v>0</v>
      </c>
      <c r="AM216">
        <f t="shared" si="119"/>
        <v>0</v>
      </c>
      <c r="AN216">
        <v>3</v>
      </c>
      <c r="AO216">
        <v>0.5</v>
      </c>
      <c r="AP216" t="s">
        <v>331</v>
      </c>
      <c r="AQ216">
        <v>2</v>
      </c>
      <c r="AR216">
        <v>1775492972.099999</v>
      </c>
      <c r="AS216">
        <v>39.231425806451611</v>
      </c>
      <c r="AT216">
        <v>40.084577419354837</v>
      </c>
      <c r="AU216">
        <v>-0.76552635483870968</v>
      </c>
      <c r="AV216">
        <v>-2.0812841935483868</v>
      </c>
      <c r="AW216">
        <v>31.220425806451608</v>
      </c>
      <c r="AX216">
        <v>0.22374458064516131</v>
      </c>
      <c r="AY216">
        <v>500.03441935483869</v>
      </c>
      <c r="AZ216">
        <v>100.26361290322581</v>
      </c>
      <c r="BA216">
        <v>3.8422648387096768E-2</v>
      </c>
      <c r="BB216">
        <v>27.303599999999989</v>
      </c>
      <c r="BC216">
        <v>27.365116129032259</v>
      </c>
      <c r="BD216">
        <v>999.90000000000032</v>
      </c>
      <c r="BE216">
        <v>0</v>
      </c>
      <c r="BF216">
        <v>0</v>
      </c>
      <c r="BG216">
        <v>5005.0967741935483</v>
      </c>
      <c r="BH216">
        <v>0.360989064516129</v>
      </c>
      <c r="BI216">
        <v>0.22961599999999999</v>
      </c>
      <c r="BJ216">
        <v>-0.87379916129032253</v>
      </c>
      <c r="BK216">
        <v>39.180796774193553</v>
      </c>
      <c r="BL216">
        <v>40.001338709677427</v>
      </c>
      <c r="BM216">
        <v>1.3157567741935481</v>
      </c>
      <c r="BN216">
        <v>40.084577419354837</v>
      </c>
      <c r="BO216">
        <v>-2.0812841935483868</v>
      </c>
      <c r="BP216">
        <v>-7.67544E-2</v>
      </c>
      <c r="BQ216">
        <v>-0.20867693548387101</v>
      </c>
      <c r="BR216">
        <v>-99.900000000000034</v>
      </c>
      <c r="BS216">
        <v>-99.900000000000034</v>
      </c>
      <c r="BT216">
        <v>0</v>
      </c>
      <c r="BU216">
        <v>0</v>
      </c>
      <c r="BV216">
        <v>0</v>
      </c>
      <c r="BW216">
        <v>25</v>
      </c>
      <c r="BX216">
        <v>-1</v>
      </c>
      <c r="BY216">
        <v>1775492993.0999999</v>
      </c>
      <c r="BZ216" t="s">
        <v>933</v>
      </c>
      <c r="CA216">
        <v>1775492993.0999999</v>
      </c>
      <c r="CB216">
        <v>1775480969.5</v>
      </c>
      <c r="CC216">
        <v>201</v>
      </c>
      <c r="CD216">
        <v>2.1000000000000001E-2</v>
      </c>
      <c r="CE216">
        <v>0.19500000000000001</v>
      </c>
      <c r="CF216">
        <v>8.0109999999999992</v>
      </c>
      <c r="CG216">
        <v>-0.98899999999999999</v>
      </c>
      <c r="CH216">
        <v>40</v>
      </c>
      <c r="CI216">
        <v>-3</v>
      </c>
      <c r="CJ216">
        <v>0.17</v>
      </c>
      <c r="CK216">
        <v>0.06</v>
      </c>
      <c r="CL216">
        <v>39.643683606557367</v>
      </c>
      <c r="CM216">
        <v>3.3125654151241979</v>
      </c>
      <c r="CN216">
        <v>0.55375479368989078</v>
      </c>
      <c r="CO216">
        <v>-1</v>
      </c>
      <c r="CP216">
        <v>500.00683606557379</v>
      </c>
      <c r="CQ216">
        <v>0.11789952406154069</v>
      </c>
      <c r="CR216">
        <v>5.7836167800364512E-2</v>
      </c>
      <c r="CS216">
        <v>-1</v>
      </c>
      <c r="CT216">
        <v>0</v>
      </c>
      <c r="CU216">
        <v>0</v>
      </c>
      <c r="CV216" t="s">
        <v>333</v>
      </c>
      <c r="CW216">
        <v>3.16743</v>
      </c>
      <c r="CX216">
        <v>2.6595900000000001</v>
      </c>
      <c r="CY216">
        <v>9.3946900000000007E-3</v>
      </c>
      <c r="CZ216">
        <v>1.18385E-2</v>
      </c>
      <c r="DA216">
        <v>1.8418200000000001E-3</v>
      </c>
      <c r="DB216">
        <v>-1.9516100000000002E-2</v>
      </c>
      <c r="DC216">
        <v>21382.9</v>
      </c>
      <c r="DD216">
        <v>21715.8</v>
      </c>
      <c r="DE216">
        <v>23112.5</v>
      </c>
      <c r="DF216">
        <v>22328</v>
      </c>
      <c r="DG216">
        <v>29750</v>
      </c>
      <c r="DH216">
        <v>27148.400000000001</v>
      </c>
      <c r="DI216">
        <v>40619.699999999997</v>
      </c>
      <c r="DJ216">
        <v>37005.800000000003</v>
      </c>
      <c r="DK216">
        <v>2.0942400000000001</v>
      </c>
      <c r="DL216">
        <v>1.80606</v>
      </c>
      <c r="DM216">
        <v>2.9346299999999999E-2</v>
      </c>
      <c r="DN216">
        <v>0</v>
      </c>
      <c r="DO216">
        <v>26.878599999999999</v>
      </c>
      <c r="DP216">
        <v>999.9</v>
      </c>
      <c r="DQ216">
        <v>75.400000000000006</v>
      </c>
      <c r="DR216">
        <v>30.2</v>
      </c>
      <c r="DS216">
        <v>32.410899999999998</v>
      </c>
      <c r="DT216">
        <v>30.883800000000001</v>
      </c>
      <c r="DU216">
        <v>9.3629800000000003</v>
      </c>
      <c r="DV216">
        <v>1</v>
      </c>
      <c r="DW216">
        <v>0.172372</v>
      </c>
      <c r="DX216">
        <v>-0.40374700000000002</v>
      </c>
      <c r="DY216">
        <v>20.367599999999999</v>
      </c>
      <c r="DZ216">
        <v>5.2117800000000001</v>
      </c>
      <c r="EA216">
        <v>11.8482</v>
      </c>
      <c r="EB216">
        <v>4.9678000000000004</v>
      </c>
      <c r="EC216">
        <v>3.2921800000000001</v>
      </c>
      <c r="ED216">
        <v>894.7</v>
      </c>
      <c r="EE216">
        <v>0</v>
      </c>
      <c r="EF216">
        <v>9999</v>
      </c>
      <c r="EG216">
        <v>112.1</v>
      </c>
      <c r="EH216">
        <v>4.9716100000000001</v>
      </c>
      <c r="EI216">
        <v>1.8717999999999999</v>
      </c>
      <c r="EJ216">
        <v>1.8689800000000001</v>
      </c>
      <c r="EK216">
        <v>1.87141</v>
      </c>
      <c r="EL216">
        <v>1.8691899999999999</v>
      </c>
      <c r="EM216">
        <v>1.86812</v>
      </c>
      <c r="EN216">
        <v>1.8699600000000001</v>
      </c>
      <c r="EO216">
        <v>1.87178</v>
      </c>
      <c r="EP216">
        <v>0</v>
      </c>
      <c r="EQ216">
        <v>0</v>
      </c>
      <c r="ER216">
        <v>0</v>
      </c>
      <c r="ES216">
        <v>0</v>
      </c>
      <c r="ET216" t="s">
        <v>334</v>
      </c>
      <c r="EU216" t="s">
        <v>335</v>
      </c>
      <c r="EV216" t="s">
        <v>336</v>
      </c>
      <c r="EW216" t="s">
        <v>336</v>
      </c>
      <c r="EX216" t="s">
        <v>336</v>
      </c>
      <c r="EY216" t="s">
        <v>336</v>
      </c>
      <c r="EZ216">
        <v>0</v>
      </c>
      <c r="FA216">
        <v>100</v>
      </c>
      <c r="FB216">
        <v>100</v>
      </c>
      <c r="FC216">
        <v>8.0109999999999992</v>
      </c>
      <c r="FD216">
        <v>-0.98929999999999996</v>
      </c>
      <c r="FE216">
        <v>7.9903600000000061</v>
      </c>
      <c r="FF216">
        <v>0</v>
      </c>
      <c r="FG216">
        <v>0</v>
      </c>
      <c r="FH216">
        <v>0</v>
      </c>
      <c r="FI216">
        <v>-0.98927100000000023</v>
      </c>
      <c r="FJ216">
        <v>0</v>
      </c>
      <c r="FK216">
        <v>0</v>
      </c>
      <c r="FL216">
        <v>0</v>
      </c>
      <c r="FM216">
        <v>-1</v>
      </c>
      <c r="FN216">
        <v>-1</v>
      </c>
      <c r="FO216">
        <v>-1</v>
      </c>
      <c r="FP216">
        <v>-1</v>
      </c>
      <c r="FQ216">
        <v>0.8</v>
      </c>
      <c r="FR216">
        <v>200.2</v>
      </c>
      <c r="FS216">
        <v>0.14160200000000001</v>
      </c>
      <c r="FT216">
        <v>4.99756</v>
      </c>
      <c r="FU216">
        <v>1.5979000000000001</v>
      </c>
      <c r="FV216">
        <v>2.1520999999999999</v>
      </c>
      <c r="FW216">
        <v>1.5478499999999999</v>
      </c>
      <c r="FX216">
        <v>2.4352999999999998</v>
      </c>
      <c r="FY216">
        <v>34.486400000000003</v>
      </c>
      <c r="FZ216">
        <v>15.3141</v>
      </c>
      <c r="GA216">
        <v>3</v>
      </c>
      <c r="GB216">
        <v>499.00599999999997</v>
      </c>
      <c r="GC216">
        <v>406.71199999999999</v>
      </c>
      <c r="GD216">
        <v>28.084700000000002</v>
      </c>
      <c r="GE216">
        <v>29.4556</v>
      </c>
      <c r="GF216">
        <v>30.0001</v>
      </c>
      <c r="GG216">
        <v>29.754200000000001</v>
      </c>
      <c r="GH216">
        <v>29.806899999999999</v>
      </c>
      <c r="GI216">
        <v>-1</v>
      </c>
      <c r="GJ216">
        <v>0</v>
      </c>
      <c r="GK216">
        <v>100</v>
      </c>
      <c r="GL216">
        <v>28.081600000000002</v>
      </c>
      <c r="GM216">
        <v>432.1</v>
      </c>
      <c r="GN216">
        <v>68.912800000000004</v>
      </c>
      <c r="GO216">
        <v>102.246</v>
      </c>
      <c r="GP216">
        <v>96.559399999999997</v>
      </c>
    </row>
    <row r="217" spans="1:198" x14ac:dyDescent="0.35">
      <c r="A217">
        <v>201</v>
      </c>
      <c r="B217">
        <v>1775493040.0999999</v>
      </c>
      <c r="C217">
        <v>12001.599999904631</v>
      </c>
      <c r="D217" t="s">
        <v>934</v>
      </c>
      <c r="E217" t="s">
        <v>935</v>
      </c>
      <c r="F217">
        <v>60</v>
      </c>
      <c r="G217">
        <v>1775493032.099999</v>
      </c>
      <c r="H217">
        <f t="shared" si="90"/>
        <v>2.1874136304469889E-3</v>
      </c>
      <c r="I217">
        <f t="shared" si="91"/>
        <v>2.1874136304469891</v>
      </c>
      <c r="J217">
        <f t="shared" si="92"/>
        <v>0.79435897871900885</v>
      </c>
      <c r="K217">
        <f t="shared" si="93"/>
        <v>38.669070967741931</v>
      </c>
      <c r="L217">
        <f t="shared" si="94"/>
        <v>15.068061406662542</v>
      </c>
      <c r="M217">
        <f t="shared" si="95"/>
        <v>1.5113409390253205</v>
      </c>
      <c r="N217">
        <f t="shared" si="96"/>
        <v>3.8785447212063309</v>
      </c>
      <c r="O217">
        <f t="shared" si="97"/>
        <v>5.8509429118166055E-2</v>
      </c>
      <c r="P217">
        <f t="shared" si="98"/>
        <v>2.3915856990362911</v>
      </c>
      <c r="Q217">
        <f t="shared" si="99"/>
        <v>5.7725694224272914E-2</v>
      </c>
      <c r="R217">
        <f t="shared" si="100"/>
        <v>3.6148099699699635E-2</v>
      </c>
      <c r="S217">
        <f t="shared" si="101"/>
        <v>0</v>
      </c>
      <c r="T217">
        <f t="shared" si="102"/>
        <v>26.613077158207371</v>
      </c>
      <c r="U217">
        <f t="shared" si="103"/>
        <v>27.360229032258061</v>
      </c>
      <c r="V217">
        <f t="shared" si="104"/>
        <v>3.6555873932037857</v>
      </c>
      <c r="W217">
        <f t="shared" si="105"/>
        <v>-2.1233935716672696</v>
      </c>
      <c r="X217">
        <f t="shared" si="106"/>
        <v>-7.7345223747908379E-2</v>
      </c>
      <c r="Y217">
        <f t="shared" si="107"/>
        <v>3.6425288641698961</v>
      </c>
      <c r="Z217">
        <f t="shared" si="108"/>
        <v>3.7329326169516941</v>
      </c>
      <c r="AA217">
        <f t="shared" si="109"/>
        <v>-96.464941102712217</v>
      </c>
      <c r="AB217">
        <f t="shared" si="110"/>
        <v>-7.8754432580291027</v>
      </c>
      <c r="AC217">
        <f t="shared" si="111"/>
        <v>-0.713009094142803</v>
      </c>
      <c r="AD217">
        <f t="shared" si="112"/>
        <v>-105.05339345488413</v>
      </c>
      <c r="AE217">
        <v>12</v>
      </c>
      <c r="AF217">
        <v>2</v>
      </c>
      <c r="AG217">
        <f t="shared" si="113"/>
        <v>1</v>
      </c>
      <c r="AH217">
        <f t="shared" si="114"/>
        <v>0</v>
      </c>
      <c r="AI217">
        <f t="shared" si="115"/>
        <v>25541.056598788349</v>
      </c>
      <c r="AJ217">
        <f t="shared" si="116"/>
        <v>0</v>
      </c>
      <c r="AK217">
        <f t="shared" si="117"/>
        <v>0</v>
      </c>
      <c r="AL217">
        <f t="shared" si="118"/>
        <v>0</v>
      </c>
      <c r="AM217">
        <f t="shared" si="119"/>
        <v>0</v>
      </c>
      <c r="AN217">
        <v>3</v>
      </c>
      <c r="AO217">
        <v>0.5</v>
      </c>
      <c r="AP217" t="s">
        <v>331</v>
      </c>
      <c r="AQ217">
        <v>2</v>
      </c>
      <c r="AR217">
        <v>1775493032.099999</v>
      </c>
      <c r="AS217">
        <v>38.669070967741931</v>
      </c>
      <c r="AT217">
        <v>39.196461290322567</v>
      </c>
      <c r="AU217">
        <v>-0.77113148387096786</v>
      </c>
      <c r="AV217">
        <v>-2.0846509677419358</v>
      </c>
      <c r="AW217">
        <v>30.699070967741928</v>
      </c>
      <c r="AX217">
        <v>0.21813948387096771</v>
      </c>
      <c r="AY217">
        <v>499.97745161290322</v>
      </c>
      <c r="AZ217">
        <v>100.2627419354839</v>
      </c>
      <c r="BA217">
        <v>3.8212396774193559E-2</v>
      </c>
      <c r="BB217">
        <v>27.299148387096771</v>
      </c>
      <c r="BC217">
        <v>27.360229032258061</v>
      </c>
      <c r="BD217">
        <v>999.90000000000032</v>
      </c>
      <c r="BE217">
        <v>0</v>
      </c>
      <c r="BF217">
        <v>0</v>
      </c>
      <c r="BG217">
        <v>4996.0322580645161</v>
      </c>
      <c r="BH217">
        <v>0.35300593548387099</v>
      </c>
      <c r="BI217">
        <v>0.23331922580645159</v>
      </c>
      <c r="BJ217">
        <v>-0.48644818709677418</v>
      </c>
      <c r="BK217">
        <v>38.680177419354827</v>
      </c>
      <c r="BL217">
        <v>39.114916129032252</v>
      </c>
      <c r="BM217">
        <v>1.3135193548387101</v>
      </c>
      <c r="BN217">
        <v>39.196461290322567</v>
      </c>
      <c r="BO217">
        <v>-2.0846509677419358</v>
      </c>
      <c r="BP217">
        <v>-7.731571612903225E-2</v>
      </c>
      <c r="BQ217">
        <v>-0.20901264516129031</v>
      </c>
      <c r="BR217">
        <v>-99.900000000000034</v>
      </c>
      <c r="BS217">
        <v>-99.900000000000034</v>
      </c>
      <c r="BT217">
        <v>0</v>
      </c>
      <c r="BU217">
        <v>0</v>
      </c>
      <c r="BV217">
        <v>0</v>
      </c>
      <c r="BW217">
        <v>25</v>
      </c>
      <c r="BX217">
        <v>-1</v>
      </c>
      <c r="BY217">
        <v>1775493060.0999999</v>
      </c>
      <c r="BZ217" t="s">
        <v>936</v>
      </c>
      <c r="CA217">
        <v>1775493060.0999999</v>
      </c>
      <c r="CB217">
        <v>1775480969.5</v>
      </c>
      <c r="CC217">
        <v>202</v>
      </c>
      <c r="CD217">
        <v>-4.1000000000000002E-2</v>
      </c>
      <c r="CE217">
        <v>0.19500000000000001</v>
      </c>
      <c r="CF217">
        <v>7.97</v>
      </c>
      <c r="CG217">
        <v>-0.98899999999999999</v>
      </c>
      <c r="CH217">
        <v>39</v>
      </c>
      <c r="CI217">
        <v>-3</v>
      </c>
      <c r="CJ217">
        <v>0.36</v>
      </c>
      <c r="CK217">
        <v>0.06</v>
      </c>
      <c r="CL217">
        <v>39.156767213114748</v>
      </c>
      <c r="CM217">
        <v>0.52517990481223664</v>
      </c>
      <c r="CN217">
        <v>0.1640142943803552</v>
      </c>
      <c r="CO217">
        <v>-1</v>
      </c>
      <c r="CP217">
        <v>499.97990163934429</v>
      </c>
      <c r="CQ217">
        <v>-1.0959280804210761E-2</v>
      </c>
      <c r="CR217">
        <v>3.9777951268870133E-2</v>
      </c>
      <c r="CS217">
        <v>-1</v>
      </c>
      <c r="CT217">
        <v>0</v>
      </c>
      <c r="CU217">
        <v>0</v>
      </c>
      <c r="CV217" t="s">
        <v>333</v>
      </c>
      <c r="CW217">
        <v>3.1674500000000001</v>
      </c>
      <c r="CX217">
        <v>2.6597</v>
      </c>
      <c r="CY217">
        <v>9.1432600000000003E-3</v>
      </c>
      <c r="CZ217">
        <v>1.1528999999999999E-2</v>
      </c>
      <c r="DA217">
        <v>1.7201499999999999E-3</v>
      </c>
      <c r="DB217">
        <v>-1.9541900000000001E-2</v>
      </c>
      <c r="DC217">
        <v>21387.8</v>
      </c>
      <c r="DD217">
        <v>21722.1</v>
      </c>
      <c r="DE217">
        <v>23111.9</v>
      </c>
      <c r="DF217">
        <v>22327.4</v>
      </c>
      <c r="DG217">
        <v>29753.200000000001</v>
      </c>
      <c r="DH217">
        <v>27148.2</v>
      </c>
      <c r="DI217">
        <v>40619.1</v>
      </c>
      <c r="DJ217">
        <v>37004.5</v>
      </c>
      <c r="DK217">
        <v>2.0941800000000002</v>
      </c>
      <c r="DL217">
        <v>1.80426</v>
      </c>
      <c r="DM217">
        <v>2.895E-2</v>
      </c>
      <c r="DN217">
        <v>0</v>
      </c>
      <c r="DO217">
        <v>26.885300000000001</v>
      </c>
      <c r="DP217">
        <v>999.9</v>
      </c>
      <c r="DQ217">
        <v>75.3</v>
      </c>
      <c r="DR217">
        <v>30.2</v>
      </c>
      <c r="DS217">
        <v>32.365299999999998</v>
      </c>
      <c r="DT217">
        <v>30.8538</v>
      </c>
      <c r="DU217">
        <v>9.7435899999999993</v>
      </c>
      <c r="DV217">
        <v>1</v>
      </c>
      <c r="DW217">
        <v>0.17274600000000001</v>
      </c>
      <c r="DX217">
        <v>-0.43228800000000001</v>
      </c>
      <c r="DY217">
        <v>20.3675</v>
      </c>
      <c r="DZ217">
        <v>5.2102199999999996</v>
      </c>
      <c r="EA217">
        <v>11.8482</v>
      </c>
      <c r="EB217">
        <v>4.9677199999999999</v>
      </c>
      <c r="EC217">
        <v>3.2920600000000002</v>
      </c>
      <c r="ED217">
        <v>894.7</v>
      </c>
      <c r="EE217">
        <v>0</v>
      </c>
      <c r="EF217">
        <v>9999</v>
      </c>
      <c r="EG217">
        <v>112.2</v>
      </c>
      <c r="EH217">
        <v>4.97159</v>
      </c>
      <c r="EI217">
        <v>1.8717999999999999</v>
      </c>
      <c r="EJ217">
        <v>1.8690100000000001</v>
      </c>
      <c r="EK217">
        <v>1.87141</v>
      </c>
      <c r="EL217">
        <v>1.8691800000000001</v>
      </c>
      <c r="EM217">
        <v>1.86812</v>
      </c>
      <c r="EN217">
        <v>1.8699600000000001</v>
      </c>
      <c r="EO217">
        <v>1.8717900000000001</v>
      </c>
      <c r="EP217">
        <v>0</v>
      </c>
      <c r="EQ217">
        <v>0</v>
      </c>
      <c r="ER217">
        <v>0</v>
      </c>
      <c r="ES217">
        <v>0</v>
      </c>
      <c r="ET217" t="s">
        <v>334</v>
      </c>
      <c r="EU217" t="s">
        <v>335</v>
      </c>
      <c r="EV217" t="s">
        <v>336</v>
      </c>
      <c r="EW217" t="s">
        <v>336</v>
      </c>
      <c r="EX217" t="s">
        <v>336</v>
      </c>
      <c r="EY217" t="s">
        <v>336</v>
      </c>
      <c r="EZ217">
        <v>0</v>
      </c>
      <c r="FA217">
        <v>100</v>
      </c>
      <c r="FB217">
        <v>100</v>
      </c>
      <c r="FC217">
        <v>7.97</v>
      </c>
      <c r="FD217">
        <v>-0.98929999999999996</v>
      </c>
      <c r="FE217">
        <v>8.0109400000000051</v>
      </c>
      <c r="FF217">
        <v>0</v>
      </c>
      <c r="FG217">
        <v>0</v>
      </c>
      <c r="FH217">
        <v>0</v>
      </c>
      <c r="FI217">
        <v>-0.98927100000000023</v>
      </c>
      <c r="FJ217">
        <v>0</v>
      </c>
      <c r="FK217">
        <v>0</v>
      </c>
      <c r="FL217">
        <v>0</v>
      </c>
      <c r="FM217">
        <v>-1</v>
      </c>
      <c r="FN217">
        <v>-1</v>
      </c>
      <c r="FO217">
        <v>-1</v>
      </c>
      <c r="FP217">
        <v>-1</v>
      </c>
      <c r="FQ217">
        <v>0.8</v>
      </c>
      <c r="FR217">
        <v>201.2</v>
      </c>
      <c r="FS217">
        <v>0.14160200000000001</v>
      </c>
      <c r="FT217">
        <v>4.99756</v>
      </c>
      <c r="FU217">
        <v>1.5979000000000001</v>
      </c>
      <c r="FV217">
        <v>2.1533199999999999</v>
      </c>
      <c r="FW217">
        <v>1.5478499999999999</v>
      </c>
      <c r="FX217">
        <v>2.4475099999999999</v>
      </c>
      <c r="FY217">
        <v>34.486400000000003</v>
      </c>
      <c r="FZ217">
        <v>15.3141</v>
      </c>
      <c r="GA217">
        <v>3</v>
      </c>
      <c r="GB217">
        <v>498.95100000000002</v>
      </c>
      <c r="GC217">
        <v>405.673</v>
      </c>
      <c r="GD217">
        <v>28.058900000000001</v>
      </c>
      <c r="GE217">
        <v>29.4556</v>
      </c>
      <c r="GF217">
        <v>30.0001</v>
      </c>
      <c r="GG217">
        <v>29.7517</v>
      </c>
      <c r="GH217">
        <v>29.805800000000001</v>
      </c>
      <c r="GI217">
        <v>-1</v>
      </c>
      <c r="GJ217">
        <v>0</v>
      </c>
      <c r="GK217">
        <v>100</v>
      </c>
      <c r="GL217">
        <v>28.077999999999999</v>
      </c>
      <c r="GM217">
        <v>432.1</v>
      </c>
      <c r="GN217">
        <v>68.912800000000004</v>
      </c>
      <c r="GO217">
        <v>102.244</v>
      </c>
      <c r="GP217">
        <v>96.556399999999996</v>
      </c>
    </row>
    <row r="218" spans="1:198" x14ac:dyDescent="0.35">
      <c r="A218">
        <v>202</v>
      </c>
      <c r="B218">
        <v>1775493100.0999999</v>
      </c>
      <c r="C218">
        <v>12061.599999904631</v>
      </c>
      <c r="D218" t="s">
        <v>937</v>
      </c>
      <c r="E218" t="s">
        <v>938</v>
      </c>
      <c r="F218">
        <v>60</v>
      </c>
      <c r="G218">
        <v>1775493092.099999</v>
      </c>
      <c r="H218">
        <f t="shared" si="90"/>
        <v>2.1512332762041462E-3</v>
      </c>
      <c r="I218">
        <f t="shared" si="91"/>
        <v>2.1512332762041462</v>
      </c>
      <c r="J218">
        <f t="shared" si="92"/>
        <v>0.66592237766984863</v>
      </c>
      <c r="K218">
        <f t="shared" si="93"/>
        <v>38.75733870967742</v>
      </c>
      <c r="L218">
        <f t="shared" si="94"/>
        <v>18.289319320840089</v>
      </c>
      <c r="M218">
        <f t="shared" si="95"/>
        <v>1.8344224403170941</v>
      </c>
      <c r="N218">
        <f t="shared" si="96"/>
        <v>3.8873689396952846</v>
      </c>
      <c r="O218">
        <f t="shared" si="97"/>
        <v>5.7501730942822606E-2</v>
      </c>
      <c r="P218">
        <f t="shared" si="98"/>
        <v>2.3920818108192252</v>
      </c>
      <c r="Q218">
        <f t="shared" si="99"/>
        <v>5.674472626415205E-2</v>
      </c>
      <c r="R218">
        <f t="shared" si="100"/>
        <v>3.5532637446700467E-2</v>
      </c>
      <c r="S218">
        <f t="shared" si="101"/>
        <v>0</v>
      </c>
      <c r="T218">
        <f t="shared" si="102"/>
        <v>26.622145470088192</v>
      </c>
      <c r="U218">
        <f t="shared" si="103"/>
        <v>27.357835483870961</v>
      </c>
      <c r="V218">
        <f t="shared" si="104"/>
        <v>3.6550749045361965</v>
      </c>
      <c r="W218">
        <f t="shared" si="105"/>
        <v>-2.1856963023618925</v>
      </c>
      <c r="X218">
        <f t="shared" si="106"/>
        <v>-7.9603391988746747E-2</v>
      </c>
      <c r="Y218">
        <f t="shared" si="107"/>
        <v>3.6420152197140228</v>
      </c>
      <c r="Z218">
        <f t="shared" si="108"/>
        <v>3.7346782965249434</v>
      </c>
      <c r="AA218">
        <f t="shared" si="109"/>
        <v>-94.869387480602839</v>
      </c>
      <c r="AB218">
        <f t="shared" si="110"/>
        <v>-7.8787409687837391</v>
      </c>
      <c r="AC218">
        <f t="shared" si="111"/>
        <v>-0.7131426197038524</v>
      </c>
      <c r="AD218">
        <f t="shared" si="112"/>
        <v>-103.46127106909044</v>
      </c>
      <c r="AE218">
        <v>12</v>
      </c>
      <c r="AF218">
        <v>2</v>
      </c>
      <c r="AG218">
        <f t="shared" si="113"/>
        <v>1</v>
      </c>
      <c r="AH218">
        <f t="shared" si="114"/>
        <v>0</v>
      </c>
      <c r="AI218">
        <f t="shared" si="115"/>
        <v>25548.841727332048</v>
      </c>
      <c r="AJ218">
        <f t="shared" si="116"/>
        <v>0</v>
      </c>
      <c r="AK218">
        <f t="shared" si="117"/>
        <v>0</v>
      </c>
      <c r="AL218">
        <f t="shared" si="118"/>
        <v>0</v>
      </c>
      <c r="AM218">
        <f t="shared" si="119"/>
        <v>0</v>
      </c>
      <c r="AN218">
        <v>3</v>
      </c>
      <c r="AO218">
        <v>0.5</v>
      </c>
      <c r="AP218" t="s">
        <v>331</v>
      </c>
      <c r="AQ218">
        <v>2</v>
      </c>
      <c r="AR218">
        <v>1775493092.099999</v>
      </c>
      <c r="AS218">
        <v>38.75733870967742</v>
      </c>
      <c r="AT218">
        <v>39.206916129032251</v>
      </c>
      <c r="AU218">
        <v>-0.79365135483870941</v>
      </c>
      <c r="AV218">
        <v>-2.085410967741935</v>
      </c>
      <c r="AW218">
        <v>30.784338709677421</v>
      </c>
      <c r="AX218">
        <v>0.19561961290322591</v>
      </c>
      <c r="AY218">
        <v>500.00183870967737</v>
      </c>
      <c r="AZ218">
        <v>100.2618064516129</v>
      </c>
      <c r="BA218">
        <v>3.8396532258064518E-2</v>
      </c>
      <c r="BB218">
        <v>27.296741935483869</v>
      </c>
      <c r="BC218">
        <v>27.357835483870961</v>
      </c>
      <c r="BD218">
        <v>999.90000000000032</v>
      </c>
      <c r="BE218">
        <v>0</v>
      </c>
      <c r="BF218">
        <v>0</v>
      </c>
      <c r="BG218">
        <v>4997.3548387096771</v>
      </c>
      <c r="BH218">
        <v>0.39726864516129029</v>
      </c>
      <c r="BI218">
        <v>0.22961599999999999</v>
      </c>
      <c r="BJ218">
        <v>-0.45286599999999999</v>
      </c>
      <c r="BK218">
        <v>38.723306451612913</v>
      </c>
      <c r="BL218">
        <v>39.12532580645162</v>
      </c>
      <c r="BM218">
        <v>1.291759354838709</v>
      </c>
      <c r="BN218">
        <v>39.206916129032251</v>
      </c>
      <c r="BO218">
        <v>-2.085410967741935</v>
      </c>
      <c r="BP218">
        <v>-7.9572925806451617E-2</v>
      </c>
      <c r="BQ218">
        <v>-0.209086935483871</v>
      </c>
      <c r="BR218">
        <v>-99.900000000000034</v>
      </c>
      <c r="BS218">
        <v>-99.900000000000034</v>
      </c>
      <c r="BT218">
        <v>0</v>
      </c>
      <c r="BU218">
        <v>0</v>
      </c>
      <c r="BV218">
        <v>0</v>
      </c>
      <c r="BW218">
        <v>25</v>
      </c>
      <c r="BX218">
        <v>-1</v>
      </c>
      <c r="BY218">
        <v>1775493118.5999999</v>
      </c>
      <c r="BZ218" t="s">
        <v>939</v>
      </c>
      <c r="CA218">
        <v>1775493118.5999999</v>
      </c>
      <c r="CB218">
        <v>1775480969.5</v>
      </c>
      <c r="CC218">
        <v>203</v>
      </c>
      <c r="CD218">
        <v>3.0000000000000001E-3</v>
      </c>
      <c r="CE218">
        <v>0.19500000000000001</v>
      </c>
      <c r="CF218">
        <v>7.9729999999999999</v>
      </c>
      <c r="CG218">
        <v>-0.98899999999999999</v>
      </c>
      <c r="CH218">
        <v>38</v>
      </c>
      <c r="CI218">
        <v>-3</v>
      </c>
      <c r="CJ218">
        <v>0.22</v>
      </c>
      <c r="CK218">
        <v>0.06</v>
      </c>
      <c r="CL218">
        <v>39.260386666666669</v>
      </c>
      <c r="CM218">
        <v>-0.52755454292850801</v>
      </c>
      <c r="CN218">
        <v>0.14414922299093011</v>
      </c>
      <c r="CO218">
        <v>-1</v>
      </c>
      <c r="CP218">
        <v>500.00553333333329</v>
      </c>
      <c r="CQ218">
        <v>-6.9299249789963269E-2</v>
      </c>
      <c r="CR218">
        <v>5.6040897764236132E-2</v>
      </c>
      <c r="CS218">
        <v>-1</v>
      </c>
      <c r="CT218">
        <v>0</v>
      </c>
      <c r="CU218">
        <v>0</v>
      </c>
      <c r="CV218" t="s">
        <v>333</v>
      </c>
      <c r="CW218">
        <v>3.1673399999999998</v>
      </c>
      <c r="CX218">
        <v>2.6597499999999998</v>
      </c>
      <c r="CY218">
        <v>9.1427599999999998E-3</v>
      </c>
      <c r="CZ218">
        <v>1.15856E-2</v>
      </c>
      <c r="DA218">
        <v>1.6071900000000001E-3</v>
      </c>
      <c r="DB218">
        <v>-1.9553399999999999E-2</v>
      </c>
      <c r="DC218">
        <v>21387.9</v>
      </c>
      <c r="DD218">
        <v>21720.6</v>
      </c>
      <c r="DE218">
        <v>23111.9</v>
      </c>
      <c r="DF218">
        <v>22327.200000000001</v>
      </c>
      <c r="DG218">
        <v>29756.7</v>
      </c>
      <c r="DH218">
        <v>27148.400000000001</v>
      </c>
      <c r="DI218">
        <v>40619.199999999997</v>
      </c>
      <c r="DJ218">
        <v>37004.400000000001</v>
      </c>
      <c r="DK218">
        <v>2.0939000000000001</v>
      </c>
      <c r="DL218">
        <v>1.8041199999999999</v>
      </c>
      <c r="DM218">
        <v>2.9829100000000001E-2</v>
      </c>
      <c r="DN218">
        <v>0</v>
      </c>
      <c r="DO218">
        <v>26.878599999999999</v>
      </c>
      <c r="DP218">
        <v>999.9</v>
      </c>
      <c r="DQ218">
        <v>75.400000000000006</v>
      </c>
      <c r="DR218">
        <v>30.2</v>
      </c>
      <c r="DS218">
        <v>32.410699999999999</v>
      </c>
      <c r="DT218">
        <v>30.703800000000001</v>
      </c>
      <c r="DU218">
        <v>9.5753199999999996</v>
      </c>
      <c r="DV218">
        <v>1</v>
      </c>
      <c r="DW218">
        <v>0.173287</v>
      </c>
      <c r="DX218">
        <v>-0.45510699999999998</v>
      </c>
      <c r="DY218">
        <v>20.3673</v>
      </c>
      <c r="DZ218">
        <v>5.2105800000000002</v>
      </c>
      <c r="EA218">
        <v>11.8482</v>
      </c>
      <c r="EB218">
        <v>4.9677199999999999</v>
      </c>
      <c r="EC218">
        <v>3.2921999999999998</v>
      </c>
      <c r="ED218">
        <v>894.7</v>
      </c>
      <c r="EE218">
        <v>0</v>
      </c>
      <c r="EF218">
        <v>9999</v>
      </c>
      <c r="EG218">
        <v>112.2</v>
      </c>
      <c r="EH218">
        <v>4.9716399999999998</v>
      </c>
      <c r="EI218">
        <v>1.8717999999999999</v>
      </c>
      <c r="EJ218">
        <v>1.8689800000000001</v>
      </c>
      <c r="EK218">
        <v>1.8713900000000001</v>
      </c>
      <c r="EL218">
        <v>1.86917</v>
      </c>
      <c r="EM218">
        <v>1.8681300000000001</v>
      </c>
      <c r="EN218">
        <v>1.86995</v>
      </c>
      <c r="EO218">
        <v>1.87175</v>
      </c>
      <c r="EP218">
        <v>0</v>
      </c>
      <c r="EQ218">
        <v>0</v>
      </c>
      <c r="ER218">
        <v>0</v>
      </c>
      <c r="ES218">
        <v>0</v>
      </c>
      <c r="ET218" t="s">
        <v>334</v>
      </c>
      <c r="EU218" t="s">
        <v>335</v>
      </c>
      <c r="EV218" t="s">
        <v>336</v>
      </c>
      <c r="EW218" t="s">
        <v>336</v>
      </c>
      <c r="EX218" t="s">
        <v>336</v>
      </c>
      <c r="EY218" t="s">
        <v>336</v>
      </c>
      <c r="EZ218">
        <v>0</v>
      </c>
      <c r="FA218">
        <v>100</v>
      </c>
      <c r="FB218">
        <v>100</v>
      </c>
      <c r="FC218">
        <v>7.9729999999999999</v>
      </c>
      <c r="FD218">
        <v>-0.98929999999999996</v>
      </c>
      <c r="FE218">
        <v>7.9697100000000027</v>
      </c>
      <c r="FF218">
        <v>0</v>
      </c>
      <c r="FG218">
        <v>0</v>
      </c>
      <c r="FH218">
        <v>0</v>
      </c>
      <c r="FI218">
        <v>-0.98927100000000023</v>
      </c>
      <c r="FJ218">
        <v>0</v>
      </c>
      <c r="FK218">
        <v>0</v>
      </c>
      <c r="FL218">
        <v>0</v>
      </c>
      <c r="FM218">
        <v>-1</v>
      </c>
      <c r="FN218">
        <v>-1</v>
      </c>
      <c r="FO218">
        <v>-1</v>
      </c>
      <c r="FP218">
        <v>-1</v>
      </c>
      <c r="FQ218">
        <v>0.7</v>
      </c>
      <c r="FR218">
        <v>202.2</v>
      </c>
      <c r="FS218">
        <v>0.14160200000000001</v>
      </c>
      <c r="FT218">
        <v>4.99756</v>
      </c>
      <c r="FU218">
        <v>1.5979000000000001</v>
      </c>
      <c r="FV218">
        <v>2.1520999999999999</v>
      </c>
      <c r="FW218">
        <v>1.5478499999999999</v>
      </c>
      <c r="FX218">
        <v>2.4133300000000002</v>
      </c>
      <c r="FY218">
        <v>34.5092</v>
      </c>
      <c r="FZ218">
        <v>15.2966</v>
      </c>
      <c r="GA218">
        <v>3</v>
      </c>
      <c r="GB218">
        <v>498.79300000000001</v>
      </c>
      <c r="GC218">
        <v>405.584</v>
      </c>
      <c r="GD218">
        <v>28.115300000000001</v>
      </c>
      <c r="GE218">
        <v>29.458200000000001</v>
      </c>
      <c r="GF218">
        <v>30.0002</v>
      </c>
      <c r="GG218">
        <v>29.752199999999998</v>
      </c>
      <c r="GH218">
        <v>29.804400000000001</v>
      </c>
      <c r="GI218">
        <v>-1</v>
      </c>
      <c r="GJ218">
        <v>0</v>
      </c>
      <c r="GK218">
        <v>100</v>
      </c>
      <c r="GL218">
        <v>28.117100000000001</v>
      </c>
      <c r="GM218">
        <v>432.1</v>
      </c>
      <c r="GN218">
        <v>68.912800000000004</v>
      </c>
      <c r="GO218">
        <v>102.244</v>
      </c>
      <c r="GP218">
        <v>96.555899999999994</v>
      </c>
    </row>
    <row r="219" spans="1:198" x14ac:dyDescent="0.35">
      <c r="A219">
        <v>203</v>
      </c>
      <c r="B219">
        <v>1775493160.0999999</v>
      </c>
      <c r="C219">
        <v>12121.599999904631</v>
      </c>
      <c r="D219" t="s">
        <v>940</v>
      </c>
      <c r="E219" t="s">
        <v>941</v>
      </c>
      <c r="F219">
        <v>60</v>
      </c>
      <c r="G219">
        <v>1775493152.349999</v>
      </c>
      <c r="H219">
        <f t="shared" si="90"/>
        <v>2.1744048298436907E-3</v>
      </c>
      <c r="I219">
        <f t="shared" si="91"/>
        <v>2.1744048298436907</v>
      </c>
      <c r="J219">
        <f t="shared" si="92"/>
        <v>1.086430529401968</v>
      </c>
      <c r="K219">
        <f t="shared" si="93"/>
        <v>37.890120000000003</v>
      </c>
      <c r="L219">
        <f t="shared" si="94"/>
        <v>6.2836279048493262</v>
      </c>
      <c r="M219">
        <f t="shared" si="95"/>
        <v>0.63024255375402904</v>
      </c>
      <c r="N219">
        <f t="shared" si="96"/>
        <v>3.8003469257652078</v>
      </c>
      <c r="O219">
        <f t="shared" si="97"/>
        <v>5.8091534147209883E-2</v>
      </c>
      <c r="P219">
        <f t="shared" si="98"/>
        <v>2.3932338467583123</v>
      </c>
      <c r="Q219">
        <f t="shared" si="99"/>
        <v>5.7319399451872338E-2</v>
      </c>
      <c r="R219">
        <f t="shared" si="100"/>
        <v>3.5893142819678064E-2</v>
      </c>
      <c r="S219">
        <f t="shared" si="101"/>
        <v>0</v>
      </c>
      <c r="T219">
        <f t="shared" si="102"/>
        <v>26.620804775306983</v>
      </c>
      <c r="U219">
        <f t="shared" si="103"/>
        <v>27.36547333333333</v>
      </c>
      <c r="V219">
        <f t="shared" si="104"/>
        <v>3.6567104829412034</v>
      </c>
      <c r="W219">
        <f t="shared" si="105"/>
        <v>-2.203844727973522</v>
      </c>
      <c r="X219">
        <f t="shared" si="106"/>
        <v>-8.0290805589667197E-2</v>
      </c>
      <c r="Y219">
        <f t="shared" si="107"/>
        <v>3.6432151762114451</v>
      </c>
      <c r="Z219">
        <f t="shared" si="108"/>
        <v>3.7370012885308705</v>
      </c>
      <c r="AA219">
        <f t="shared" si="109"/>
        <v>-95.891252996106758</v>
      </c>
      <c r="AB219">
        <f t="shared" si="110"/>
        <v>-8.1427061007716883</v>
      </c>
      <c r="AC219">
        <f t="shared" si="111"/>
        <v>-0.7367293686507983</v>
      </c>
      <c r="AD219">
        <f t="shared" si="112"/>
        <v>-104.77068846552925</v>
      </c>
      <c r="AE219">
        <v>12</v>
      </c>
      <c r="AF219">
        <v>2</v>
      </c>
      <c r="AG219">
        <f t="shared" si="113"/>
        <v>1</v>
      </c>
      <c r="AH219">
        <f t="shared" si="114"/>
        <v>0</v>
      </c>
      <c r="AI219">
        <f t="shared" si="115"/>
        <v>25565.918951004573</v>
      </c>
      <c r="AJ219">
        <f t="shared" si="116"/>
        <v>0</v>
      </c>
      <c r="AK219">
        <f t="shared" si="117"/>
        <v>0</v>
      </c>
      <c r="AL219">
        <f t="shared" si="118"/>
        <v>0</v>
      </c>
      <c r="AM219">
        <f t="shared" si="119"/>
        <v>0</v>
      </c>
      <c r="AN219">
        <v>3</v>
      </c>
      <c r="AO219">
        <v>0.5</v>
      </c>
      <c r="AP219" t="s">
        <v>331</v>
      </c>
      <c r="AQ219">
        <v>2</v>
      </c>
      <c r="AR219">
        <v>1775493152.349999</v>
      </c>
      <c r="AS219">
        <v>37.890120000000003</v>
      </c>
      <c r="AT219">
        <v>38.591453333333327</v>
      </c>
      <c r="AU219">
        <v>-0.80051329999999998</v>
      </c>
      <c r="AV219">
        <v>-2.106278666666666</v>
      </c>
      <c r="AW219">
        <v>29.923120000000001</v>
      </c>
      <c r="AX219">
        <v>0.1887577</v>
      </c>
      <c r="AY219">
        <v>499.97009999999989</v>
      </c>
      <c r="AZ219">
        <v>100.26083333333339</v>
      </c>
      <c r="BA219">
        <v>3.8319210000000013E-2</v>
      </c>
      <c r="BB219">
        <v>27.302363333333329</v>
      </c>
      <c r="BC219">
        <v>27.36547333333333</v>
      </c>
      <c r="BD219">
        <v>999.9000000000002</v>
      </c>
      <c r="BE219">
        <v>0</v>
      </c>
      <c r="BF219">
        <v>0</v>
      </c>
      <c r="BG219">
        <v>5000.3666666666668</v>
      </c>
      <c r="BH219">
        <v>0.38191469999999988</v>
      </c>
      <c r="BI219">
        <v>0.23344266666666669</v>
      </c>
      <c r="BJ219">
        <v>-0.695747</v>
      </c>
      <c r="BK219">
        <v>37.865389999999998</v>
      </c>
      <c r="BL219">
        <v>38.510339999999999</v>
      </c>
      <c r="BM219">
        <v>1.3057650000000001</v>
      </c>
      <c r="BN219">
        <v>38.591453333333327</v>
      </c>
      <c r="BO219">
        <v>-2.106278666666666</v>
      </c>
      <c r="BP219">
        <v>-8.0260096666666642E-2</v>
      </c>
      <c r="BQ219">
        <v>-0.21117716666666669</v>
      </c>
      <c r="BR219">
        <v>-99.900000000000034</v>
      </c>
      <c r="BS219">
        <v>-99.900000000000034</v>
      </c>
      <c r="BT219">
        <v>0</v>
      </c>
      <c r="BU219">
        <v>0</v>
      </c>
      <c r="BV219">
        <v>0</v>
      </c>
      <c r="BW219">
        <v>25</v>
      </c>
      <c r="BX219">
        <v>-1</v>
      </c>
      <c r="BY219">
        <v>1775493178.5999999</v>
      </c>
      <c r="BZ219" t="s">
        <v>942</v>
      </c>
      <c r="CA219">
        <v>1775493178.5999999</v>
      </c>
      <c r="CB219">
        <v>1775480969.5</v>
      </c>
      <c r="CC219">
        <v>204</v>
      </c>
      <c r="CD219">
        <v>-5.0000000000000001E-3</v>
      </c>
      <c r="CE219">
        <v>0.19500000000000001</v>
      </c>
      <c r="CF219">
        <v>7.9669999999999996</v>
      </c>
      <c r="CG219">
        <v>-0.98899999999999999</v>
      </c>
      <c r="CH219">
        <v>39</v>
      </c>
      <c r="CI219">
        <v>-3</v>
      </c>
      <c r="CJ219">
        <v>0.31</v>
      </c>
      <c r="CK219">
        <v>0.06</v>
      </c>
      <c r="CL219">
        <v>38.465771666666669</v>
      </c>
      <c r="CM219">
        <v>0.69929191442074679</v>
      </c>
      <c r="CN219">
        <v>0.19485955291924689</v>
      </c>
      <c r="CO219">
        <v>-1</v>
      </c>
      <c r="CP219">
        <v>499.9905</v>
      </c>
      <c r="CQ219">
        <v>-8.4623506528595016E-2</v>
      </c>
      <c r="CR219">
        <v>5.7513331787798237E-2</v>
      </c>
      <c r="CS219">
        <v>-1</v>
      </c>
      <c r="CT219">
        <v>0</v>
      </c>
      <c r="CU219">
        <v>0</v>
      </c>
      <c r="CV219" t="s">
        <v>333</v>
      </c>
      <c r="CW219">
        <v>3.1674600000000002</v>
      </c>
      <c r="CX219">
        <v>2.6596799999999998</v>
      </c>
      <c r="CY219">
        <v>8.9887200000000004E-3</v>
      </c>
      <c r="CZ219">
        <v>1.1557400000000001E-2</v>
      </c>
      <c r="DA219">
        <v>1.5050899999999999E-3</v>
      </c>
      <c r="DB219">
        <v>-1.9787200000000001E-2</v>
      </c>
      <c r="DC219">
        <v>21391</v>
      </c>
      <c r="DD219">
        <v>21721.200000000001</v>
      </c>
      <c r="DE219">
        <v>23111.8</v>
      </c>
      <c r="DF219">
        <v>22327.200000000001</v>
      </c>
      <c r="DG219">
        <v>29759.4</v>
      </c>
      <c r="DH219">
        <v>27154.6</v>
      </c>
      <c r="DI219">
        <v>40618.800000000003</v>
      </c>
      <c r="DJ219">
        <v>37004.400000000001</v>
      </c>
      <c r="DK219">
        <v>2.0941200000000002</v>
      </c>
      <c r="DL219">
        <v>1.8044800000000001</v>
      </c>
      <c r="DM219">
        <v>2.9426799999999999E-2</v>
      </c>
      <c r="DN219">
        <v>0</v>
      </c>
      <c r="DO219">
        <v>26.883199999999999</v>
      </c>
      <c r="DP219">
        <v>999.9</v>
      </c>
      <c r="DQ219">
        <v>75.400000000000006</v>
      </c>
      <c r="DR219">
        <v>30.2</v>
      </c>
      <c r="DS219">
        <v>32.408000000000001</v>
      </c>
      <c r="DT219">
        <v>30.553799999999999</v>
      </c>
      <c r="DU219">
        <v>9.4751600000000007</v>
      </c>
      <c r="DV219">
        <v>1</v>
      </c>
      <c r="DW219">
        <v>0.17285800000000001</v>
      </c>
      <c r="DX219">
        <v>-0.40711999999999998</v>
      </c>
      <c r="DY219">
        <v>20.367599999999999</v>
      </c>
      <c r="DZ219">
        <v>5.2121399999999998</v>
      </c>
      <c r="EA219">
        <v>11.8482</v>
      </c>
      <c r="EB219">
        <v>4.9677600000000002</v>
      </c>
      <c r="EC219">
        <v>3.2920400000000001</v>
      </c>
      <c r="ED219">
        <v>894.7</v>
      </c>
      <c r="EE219">
        <v>0</v>
      </c>
      <c r="EF219">
        <v>9999</v>
      </c>
      <c r="EG219">
        <v>112.2</v>
      </c>
      <c r="EH219">
        <v>4.9716199999999997</v>
      </c>
      <c r="EI219">
        <v>1.87181</v>
      </c>
      <c r="EJ219">
        <v>1.8690100000000001</v>
      </c>
      <c r="EK219">
        <v>1.8714299999999999</v>
      </c>
      <c r="EL219">
        <v>1.8691800000000001</v>
      </c>
      <c r="EM219">
        <v>1.8681300000000001</v>
      </c>
      <c r="EN219">
        <v>1.86995</v>
      </c>
      <c r="EO219">
        <v>1.8717600000000001</v>
      </c>
      <c r="EP219">
        <v>0</v>
      </c>
      <c r="EQ219">
        <v>0</v>
      </c>
      <c r="ER219">
        <v>0</v>
      </c>
      <c r="ES219">
        <v>0</v>
      </c>
      <c r="ET219" t="s">
        <v>334</v>
      </c>
      <c r="EU219" t="s">
        <v>335</v>
      </c>
      <c r="EV219" t="s">
        <v>336</v>
      </c>
      <c r="EW219" t="s">
        <v>336</v>
      </c>
      <c r="EX219" t="s">
        <v>336</v>
      </c>
      <c r="EY219" t="s">
        <v>336</v>
      </c>
      <c r="EZ219">
        <v>0</v>
      </c>
      <c r="FA219">
        <v>100</v>
      </c>
      <c r="FB219">
        <v>100</v>
      </c>
      <c r="FC219">
        <v>7.9669999999999996</v>
      </c>
      <c r="FD219">
        <v>-0.98929999999999996</v>
      </c>
      <c r="FE219">
        <v>7.9725809523809454</v>
      </c>
      <c r="FF219">
        <v>0</v>
      </c>
      <c r="FG219">
        <v>0</v>
      </c>
      <c r="FH219">
        <v>0</v>
      </c>
      <c r="FI219">
        <v>-0.98927100000000023</v>
      </c>
      <c r="FJ219">
        <v>0</v>
      </c>
      <c r="FK219">
        <v>0</v>
      </c>
      <c r="FL219">
        <v>0</v>
      </c>
      <c r="FM219">
        <v>-1</v>
      </c>
      <c r="FN219">
        <v>-1</v>
      </c>
      <c r="FO219">
        <v>-1</v>
      </c>
      <c r="FP219">
        <v>-1</v>
      </c>
      <c r="FQ219">
        <v>0.7</v>
      </c>
      <c r="FR219">
        <v>203.2</v>
      </c>
      <c r="FS219">
        <v>0.142822</v>
      </c>
      <c r="FT219">
        <v>4.99756</v>
      </c>
      <c r="FU219">
        <v>1.5979000000000001</v>
      </c>
      <c r="FV219">
        <v>2.1520999999999999</v>
      </c>
      <c r="FW219">
        <v>1.5478499999999999</v>
      </c>
      <c r="FX219">
        <v>2.3718300000000001</v>
      </c>
      <c r="FY219">
        <v>34.5092</v>
      </c>
      <c r="FZ219">
        <v>15.287800000000001</v>
      </c>
      <c r="GA219">
        <v>3</v>
      </c>
      <c r="GB219">
        <v>498.916</v>
      </c>
      <c r="GC219">
        <v>405.774</v>
      </c>
      <c r="GD219">
        <v>28.078199999999999</v>
      </c>
      <c r="GE219">
        <v>29.458200000000001</v>
      </c>
      <c r="GF219">
        <v>30.0001</v>
      </c>
      <c r="GG219">
        <v>29.7517</v>
      </c>
      <c r="GH219">
        <v>29.8019</v>
      </c>
      <c r="GI219">
        <v>-1</v>
      </c>
      <c r="GJ219">
        <v>0</v>
      </c>
      <c r="GK219">
        <v>100</v>
      </c>
      <c r="GL219">
        <v>28.077999999999999</v>
      </c>
      <c r="GM219">
        <v>432.1</v>
      </c>
      <c r="GN219">
        <v>68.912800000000004</v>
      </c>
      <c r="GO219">
        <v>102.24299999999999</v>
      </c>
      <c r="GP219">
        <v>96.555899999999994</v>
      </c>
    </row>
    <row r="220" spans="1:198" x14ac:dyDescent="0.35">
      <c r="A220">
        <v>204</v>
      </c>
      <c r="B220">
        <v>1775493220.0999999</v>
      </c>
      <c r="C220">
        <v>12181.599999904631</v>
      </c>
      <c r="D220" t="s">
        <v>943</v>
      </c>
      <c r="E220" t="s">
        <v>944</v>
      </c>
      <c r="F220">
        <v>60</v>
      </c>
      <c r="G220">
        <v>1775493212.349999</v>
      </c>
      <c r="H220">
        <f t="shared" si="90"/>
        <v>2.1774510983959463E-3</v>
      </c>
      <c r="I220">
        <f t="shared" si="91"/>
        <v>2.1774510983959461</v>
      </c>
      <c r="J220">
        <f t="shared" si="92"/>
        <v>0.96581019825793857</v>
      </c>
      <c r="K220">
        <f t="shared" si="93"/>
        <v>38.274696666666671</v>
      </c>
      <c r="L220">
        <f t="shared" si="94"/>
        <v>9.9363181624762476</v>
      </c>
      <c r="M220">
        <f t="shared" si="95"/>
        <v>0.99659327781473239</v>
      </c>
      <c r="N220">
        <f t="shared" si="96"/>
        <v>3.8388772163563591</v>
      </c>
      <c r="O220">
        <f t="shared" si="97"/>
        <v>5.8158093290342709E-2</v>
      </c>
      <c r="P220">
        <f t="shared" si="98"/>
        <v>2.3918278526358927</v>
      </c>
      <c r="Q220">
        <f t="shared" si="99"/>
        <v>5.7383752537982557E-2</v>
      </c>
      <c r="R220">
        <f t="shared" si="100"/>
        <v>3.5933557797056453E-2</v>
      </c>
      <c r="S220">
        <f t="shared" si="101"/>
        <v>0</v>
      </c>
      <c r="T220">
        <f t="shared" si="102"/>
        <v>26.616190164621162</v>
      </c>
      <c r="U220">
        <f t="shared" si="103"/>
        <v>27.362020000000001</v>
      </c>
      <c r="V220">
        <f t="shared" si="104"/>
        <v>3.6559709028309024</v>
      </c>
      <c r="W220">
        <f t="shared" si="105"/>
        <v>-2.2532490441701207</v>
      </c>
      <c r="X220">
        <f t="shared" si="106"/>
        <v>-8.2074885827305682E-2</v>
      </c>
      <c r="Y220">
        <f t="shared" si="107"/>
        <v>3.6425128433831935</v>
      </c>
      <c r="Z220">
        <f t="shared" si="108"/>
        <v>3.7380457886582081</v>
      </c>
      <c r="AA220">
        <f t="shared" si="109"/>
        <v>-96.025593439261229</v>
      </c>
      <c r="AB220">
        <f t="shared" si="110"/>
        <v>-8.1168608224828116</v>
      </c>
      <c r="AC220">
        <f t="shared" si="111"/>
        <v>-0.73479791073464407</v>
      </c>
      <c r="AD220">
        <f t="shared" si="112"/>
        <v>-104.87725217247868</v>
      </c>
      <c r="AE220">
        <v>12</v>
      </c>
      <c r="AF220">
        <v>2</v>
      </c>
      <c r="AG220">
        <f t="shared" si="113"/>
        <v>1</v>
      </c>
      <c r="AH220">
        <f t="shared" si="114"/>
        <v>0</v>
      </c>
      <c r="AI220">
        <f t="shared" si="115"/>
        <v>25544.860651925828</v>
      </c>
      <c r="AJ220">
        <f t="shared" si="116"/>
        <v>0</v>
      </c>
      <c r="AK220">
        <f t="shared" si="117"/>
        <v>0</v>
      </c>
      <c r="AL220">
        <f t="shared" si="118"/>
        <v>0</v>
      </c>
      <c r="AM220">
        <f t="shared" si="119"/>
        <v>0</v>
      </c>
      <c r="AN220">
        <v>3</v>
      </c>
      <c r="AO220">
        <v>0.5</v>
      </c>
      <c r="AP220" t="s">
        <v>331</v>
      </c>
      <c r="AQ220">
        <v>2</v>
      </c>
      <c r="AR220">
        <v>1775493212.349999</v>
      </c>
      <c r="AS220">
        <v>38.274696666666671</v>
      </c>
      <c r="AT220">
        <v>38.904179999999997</v>
      </c>
      <c r="AU220">
        <v>-0.81830993333333335</v>
      </c>
      <c r="AV220">
        <v>-2.1258339999999998</v>
      </c>
      <c r="AW220">
        <v>30.25969666666667</v>
      </c>
      <c r="AX220">
        <v>0.17096106666666669</v>
      </c>
      <c r="AY220">
        <v>500.00600000000009</v>
      </c>
      <c r="AZ220">
        <v>100.2598333333334</v>
      </c>
      <c r="BA220">
        <v>3.8210823333333338E-2</v>
      </c>
      <c r="BB220">
        <v>27.299073333333329</v>
      </c>
      <c r="BC220">
        <v>27.362020000000001</v>
      </c>
      <c r="BD220">
        <v>999.9000000000002</v>
      </c>
      <c r="BE220">
        <v>0</v>
      </c>
      <c r="BF220">
        <v>0</v>
      </c>
      <c r="BG220">
        <v>4996.8</v>
      </c>
      <c r="BH220">
        <v>0.36487466666666668</v>
      </c>
      <c r="BI220">
        <v>0.23344266666666669</v>
      </c>
      <c r="BJ220">
        <v>-0.6772189666666667</v>
      </c>
      <c r="BK220">
        <v>38.195693333333338</v>
      </c>
      <c r="BL220">
        <v>38.821643333333327</v>
      </c>
      <c r="BM220">
        <v>1.307523666666667</v>
      </c>
      <c r="BN220">
        <v>38.904179999999997</v>
      </c>
      <c r="BO220">
        <v>-2.1258339999999998</v>
      </c>
      <c r="BP220">
        <v>-8.2043613333333348E-2</v>
      </c>
      <c r="BQ220">
        <v>-0.21313570000000001</v>
      </c>
      <c r="BR220">
        <v>-99.900000000000034</v>
      </c>
      <c r="BS220">
        <v>-99.900000000000034</v>
      </c>
      <c r="BT220">
        <v>0</v>
      </c>
      <c r="BU220">
        <v>0</v>
      </c>
      <c r="BV220">
        <v>0</v>
      </c>
      <c r="BW220">
        <v>25</v>
      </c>
      <c r="BX220">
        <v>-0.99444450000000018</v>
      </c>
      <c r="BY220">
        <v>1775493240.0999999</v>
      </c>
      <c r="BZ220" t="s">
        <v>945</v>
      </c>
      <c r="CA220">
        <v>1775493240.0999999</v>
      </c>
      <c r="CB220">
        <v>1775480969.5</v>
      </c>
      <c r="CC220">
        <v>205</v>
      </c>
      <c r="CD220">
        <v>4.8000000000000001E-2</v>
      </c>
      <c r="CE220">
        <v>0.19500000000000001</v>
      </c>
      <c r="CF220">
        <v>8.0150000000000006</v>
      </c>
      <c r="CG220">
        <v>-0.98899999999999999</v>
      </c>
      <c r="CH220">
        <v>40</v>
      </c>
      <c r="CI220">
        <v>-3</v>
      </c>
      <c r="CJ220">
        <v>0.27</v>
      </c>
      <c r="CK220">
        <v>0.06</v>
      </c>
      <c r="CL220">
        <v>38.779021666666672</v>
      </c>
      <c r="CM220">
        <v>0.88070764101139809</v>
      </c>
      <c r="CN220">
        <v>0.17002326124353931</v>
      </c>
      <c r="CO220">
        <v>-1</v>
      </c>
      <c r="CP220">
        <v>500.01249999999999</v>
      </c>
      <c r="CQ220">
        <v>-4.334537371381119E-2</v>
      </c>
      <c r="CR220">
        <v>5.1697678864719883E-2</v>
      </c>
      <c r="CS220">
        <v>-1</v>
      </c>
      <c r="CT220">
        <v>0</v>
      </c>
      <c r="CU220">
        <v>0</v>
      </c>
      <c r="CV220" t="s">
        <v>333</v>
      </c>
      <c r="CW220">
        <v>3.1673</v>
      </c>
      <c r="CX220">
        <v>2.65964</v>
      </c>
      <c r="CY220">
        <v>9.0795100000000007E-3</v>
      </c>
      <c r="CZ220">
        <v>1.1671300000000001E-2</v>
      </c>
      <c r="DA220">
        <v>1.3594900000000001E-3</v>
      </c>
      <c r="DB220">
        <v>-1.9986899999999998E-2</v>
      </c>
      <c r="DC220">
        <v>21389.3</v>
      </c>
      <c r="DD220">
        <v>21719.8</v>
      </c>
      <c r="DE220">
        <v>23112</v>
      </c>
      <c r="DF220">
        <v>22328.3</v>
      </c>
      <c r="DG220">
        <v>29764.2</v>
      </c>
      <c r="DH220">
        <v>27160.9</v>
      </c>
      <c r="DI220">
        <v>40619.5</v>
      </c>
      <c r="DJ220">
        <v>37005.9</v>
      </c>
      <c r="DK220">
        <v>2.0937800000000002</v>
      </c>
      <c r="DL220">
        <v>1.80538</v>
      </c>
      <c r="DM220">
        <v>2.9766600000000001E-2</v>
      </c>
      <c r="DN220">
        <v>0</v>
      </c>
      <c r="DO220">
        <v>26.878699999999998</v>
      </c>
      <c r="DP220">
        <v>999.9</v>
      </c>
      <c r="DQ220">
        <v>75.400000000000006</v>
      </c>
      <c r="DR220">
        <v>30.2</v>
      </c>
      <c r="DS220">
        <v>32.410499999999999</v>
      </c>
      <c r="DT220">
        <v>30.733799999999999</v>
      </c>
      <c r="DU220">
        <v>9.7515999999999998</v>
      </c>
      <c r="DV220">
        <v>1</v>
      </c>
      <c r="DW220">
        <v>0.17247799999999999</v>
      </c>
      <c r="DX220">
        <v>-0.434919</v>
      </c>
      <c r="DY220">
        <v>20.3674</v>
      </c>
      <c r="DZ220">
        <v>5.2117800000000001</v>
      </c>
      <c r="EA220">
        <v>11.8482</v>
      </c>
      <c r="EB220">
        <v>4.9678800000000001</v>
      </c>
      <c r="EC220">
        <v>3.2921</v>
      </c>
      <c r="ED220">
        <v>894.7</v>
      </c>
      <c r="EE220">
        <v>0</v>
      </c>
      <c r="EF220">
        <v>9999</v>
      </c>
      <c r="EG220">
        <v>112.2</v>
      </c>
      <c r="EH220">
        <v>4.9716199999999997</v>
      </c>
      <c r="EI220">
        <v>1.8717999999999999</v>
      </c>
      <c r="EJ220">
        <v>1.86897</v>
      </c>
      <c r="EK220">
        <v>1.87141</v>
      </c>
      <c r="EL220">
        <v>1.8691800000000001</v>
      </c>
      <c r="EM220">
        <v>1.8681300000000001</v>
      </c>
      <c r="EN220">
        <v>1.86995</v>
      </c>
      <c r="EO220">
        <v>1.87178</v>
      </c>
      <c r="EP220">
        <v>0</v>
      </c>
      <c r="EQ220">
        <v>0</v>
      </c>
      <c r="ER220">
        <v>0</v>
      </c>
      <c r="ES220">
        <v>0</v>
      </c>
      <c r="ET220" t="s">
        <v>334</v>
      </c>
      <c r="EU220" t="s">
        <v>335</v>
      </c>
      <c r="EV220" t="s">
        <v>336</v>
      </c>
      <c r="EW220" t="s">
        <v>336</v>
      </c>
      <c r="EX220" t="s">
        <v>336</v>
      </c>
      <c r="EY220" t="s">
        <v>336</v>
      </c>
      <c r="EZ220">
        <v>0</v>
      </c>
      <c r="FA220">
        <v>100</v>
      </c>
      <c r="FB220">
        <v>100</v>
      </c>
      <c r="FC220">
        <v>8.0150000000000006</v>
      </c>
      <c r="FD220">
        <v>-0.98929999999999996</v>
      </c>
      <c r="FE220">
        <v>7.9672571428571386</v>
      </c>
      <c r="FF220">
        <v>0</v>
      </c>
      <c r="FG220">
        <v>0</v>
      </c>
      <c r="FH220">
        <v>0</v>
      </c>
      <c r="FI220">
        <v>-0.98927100000000023</v>
      </c>
      <c r="FJ220">
        <v>0</v>
      </c>
      <c r="FK220">
        <v>0</v>
      </c>
      <c r="FL220">
        <v>0</v>
      </c>
      <c r="FM220">
        <v>-1</v>
      </c>
      <c r="FN220">
        <v>-1</v>
      </c>
      <c r="FO220">
        <v>-1</v>
      </c>
      <c r="FP220">
        <v>-1</v>
      </c>
      <c r="FQ220">
        <v>0.7</v>
      </c>
      <c r="FR220">
        <v>204.2</v>
      </c>
      <c r="FS220">
        <v>0.14160200000000001</v>
      </c>
      <c r="FT220">
        <v>4.99756</v>
      </c>
      <c r="FU220">
        <v>1.5979000000000001</v>
      </c>
      <c r="FV220">
        <v>2.1520999999999999</v>
      </c>
      <c r="FW220">
        <v>1.5478499999999999</v>
      </c>
      <c r="FX220">
        <v>2.4682599999999999</v>
      </c>
      <c r="FY220">
        <v>34.5092</v>
      </c>
      <c r="FZ220">
        <v>15.287800000000001</v>
      </c>
      <c r="GA220">
        <v>3</v>
      </c>
      <c r="GB220">
        <v>498.69900000000001</v>
      </c>
      <c r="GC220">
        <v>406.27199999999999</v>
      </c>
      <c r="GD220">
        <v>28.088200000000001</v>
      </c>
      <c r="GE220">
        <v>29.4556</v>
      </c>
      <c r="GF220">
        <v>30.0001</v>
      </c>
      <c r="GG220">
        <v>29.749199999999998</v>
      </c>
      <c r="GH220">
        <v>29.799399999999999</v>
      </c>
      <c r="GI220">
        <v>-1</v>
      </c>
      <c r="GJ220">
        <v>0</v>
      </c>
      <c r="GK220">
        <v>100</v>
      </c>
      <c r="GL220">
        <v>28.089099999999998</v>
      </c>
      <c r="GM220">
        <v>432.1</v>
      </c>
      <c r="GN220">
        <v>68.912800000000004</v>
      </c>
      <c r="GO220">
        <v>102.245</v>
      </c>
      <c r="GP220">
        <v>96.56</v>
      </c>
    </row>
    <row r="221" spans="1:198" x14ac:dyDescent="0.35">
      <c r="A221">
        <v>205</v>
      </c>
      <c r="B221">
        <v>1775493280.0999999</v>
      </c>
      <c r="C221">
        <v>12241.599999904631</v>
      </c>
      <c r="D221" t="s">
        <v>946</v>
      </c>
      <c r="E221" t="s">
        <v>947</v>
      </c>
      <c r="F221">
        <v>60</v>
      </c>
      <c r="G221">
        <v>1775493272.099999</v>
      </c>
      <c r="H221">
        <f t="shared" si="90"/>
        <v>2.1423048690064517E-3</v>
      </c>
      <c r="I221">
        <f t="shared" si="91"/>
        <v>2.1423048690064519</v>
      </c>
      <c r="J221">
        <f t="shared" si="92"/>
        <v>0.80591078279050576</v>
      </c>
      <c r="K221">
        <f t="shared" si="93"/>
        <v>38.491767741935483</v>
      </c>
      <c r="L221">
        <f t="shared" si="94"/>
        <v>14.094703072458412</v>
      </c>
      <c r="M221">
        <f t="shared" si="95"/>
        <v>1.4136548908247739</v>
      </c>
      <c r="N221">
        <f t="shared" si="96"/>
        <v>3.8606046147368329</v>
      </c>
      <c r="O221">
        <f t="shared" si="97"/>
        <v>5.7189309295101305E-2</v>
      </c>
      <c r="P221">
        <f t="shared" si="98"/>
        <v>2.393078987299821</v>
      </c>
      <c r="Q221">
        <f t="shared" si="99"/>
        <v>5.644075814015817E-2</v>
      </c>
      <c r="R221">
        <f t="shared" si="100"/>
        <v>3.5341911853191715E-2</v>
      </c>
      <c r="S221">
        <f t="shared" si="101"/>
        <v>0</v>
      </c>
      <c r="T221">
        <f t="shared" si="102"/>
        <v>26.625160046704444</v>
      </c>
      <c r="U221">
        <f t="shared" si="103"/>
        <v>27.356387096774188</v>
      </c>
      <c r="V221">
        <f t="shared" si="104"/>
        <v>3.6547648171840956</v>
      </c>
      <c r="W221">
        <f t="shared" si="105"/>
        <v>-2.3178080949046045</v>
      </c>
      <c r="X221">
        <f t="shared" si="106"/>
        <v>-8.4414716128291684E-2</v>
      </c>
      <c r="Y221">
        <f t="shared" si="107"/>
        <v>3.6420062693657131</v>
      </c>
      <c r="Z221">
        <f t="shared" si="108"/>
        <v>3.7391795333123872</v>
      </c>
      <c r="AA221">
        <f t="shared" si="109"/>
        <v>-94.475644723184516</v>
      </c>
      <c r="AB221">
        <f t="shared" si="110"/>
        <v>-7.7005710411097779</v>
      </c>
      <c r="AC221">
        <f t="shared" si="111"/>
        <v>-0.6967199782169764</v>
      </c>
      <c r="AD221">
        <f t="shared" si="112"/>
        <v>-102.87293574251127</v>
      </c>
      <c r="AE221">
        <v>13</v>
      </c>
      <c r="AF221">
        <v>3</v>
      </c>
      <c r="AG221">
        <f t="shared" si="113"/>
        <v>1</v>
      </c>
      <c r="AH221">
        <f t="shared" si="114"/>
        <v>0</v>
      </c>
      <c r="AI221">
        <f t="shared" si="115"/>
        <v>25564.136024390045</v>
      </c>
      <c r="AJ221">
        <f t="shared" si="116"/>
        <v>0</v>
      </c>
      <c r="AK221">
        <f t="shared" si="117"/>
        <v>0</v>
      </c>
      <c r="AL221">
        <f t="shared" si="118"/>
        <v>0</v>
      </c>
      <c r="AM221">
        <f t="shared" si="119"/>
        <v>0</v>
      </c>
      <c r="AN221">
        <v>3</v>
      </c>
      <c r="AO221">
        <v>0.5</v>
      </c>
      <c r="AP221" t="s">
        <v>331</v>
      </c>
      <c r="AQ221">
        <v>2</v>
      </c>
      <c r="AR221">
        <v>1775493272.099999</v>
      </c>
      <c r="AS221">
        <v>38.491767741935483</v>
      </c>
      <c r="AT221">
        <v>39.024822580645157</v>
      </c>
      <c r="AU221">
        <v>-0.84164838709677425</v>
      </c>
      <c r="AV221">
        <v>-2.1281896774193552</v>
      </c>
      <c r="AW221">
        <v>30.513767741935482</v>
      </c>
      <c r="AX221">
        <v>0.14762261290322581</v>
      </c>
      <c r="AY221">
        <v>499.97025806451609</v>
      </c>
      <c r="AZ221">
        <v>100.2585806451612</v>
      </c>
      <c r="BA221">
        <v>3.8309864516129027E-2</v>
      </c>
      <c r="BB221">
        <v>27.296700000000001</v>
      </c>
      <c r="BC221">
        <v>27.356387096774188</v>
      </c>
      <c r="BD221">
        <v>999.90000000000032</v>
      </c>
      <c r="BE221">
        <v>0</v>
      </c>
      <c r="BF221">
        <v>0</v>
      </c>
      <c r="BG221">
        <v>5000.0806451612907</v>
      </c>
      <c r="BH221">
        <v>0.35380574193548392</v>
      </c>
      <c r="BI221">
        <v>0.23331922580645159</v>
      </c>
      <c r="BJ221">
        <v>-0.49613461290322591</v>
      </c>
      <c r="BK221">
        <v>38.496293548387087</v>
      </c>
      <c r="BL221">
        <v>38.941954838709677</v>
      </c>
      <c r="BM221">
        <v>1.286541935483871</v>
      </c>
      <c r="BN221">
        <v>39.024822580645157</v>
      </c>
      <c r="BO221">
        <v>-2.1281896774193552</v>
      </c>
      <c r="BP221">
        <v>-8.4382474193548371E-2</v>
      </c>
      <c r="BQ221">
        <v>-0.21336929032258059</v>
      </c>
      <c r="BR221">
        <v>-99.900000000000034</v>
      </c>
      <c r="BS221">
        <v>-99.900000000000034</v>
      </c>
      <c r="BT221">
        <v>0</v>
      </c>
      <c r="BU221">
        <v>0</v>
      </c>
      <c r="BV221">
        <v>0</v>
      </c>
      <c r="BW221">
        <v>25</v>
      </c>
      <c r="BX221">
        <v>-1</v>
      </c>
      <c r="BY221">
        <v>1775493294.0999999</v>
      </c>
      <c r="BZ221" t="s">
        <v>948</v>
      </c>
      <c r="CA221">
        <v>1775493294.0999999</v>
      </c>
      <c r="CB221">
        <v>1775480969.5</v>
      </c>
      <c r="CC221">
        <v>206</v>
      </c>
      <c r="CD221">
        <v>-3.6999999999999998E-2</v>
      </c>
      <c r="CE221">
        <v>0.19500000000000001</v>
      </c>
      <c r="CF221">
        <v>7.9779999999999998</v>
      </c>
      <c r="CG221">
        <v>-0.98899999999999999</v>
      </c>
      <c r="CH221">
        <v>39</v>
      </c>
      <c r="CI221">
        <v>-3</v>
      </c>
      <c r="CJ221">
        <v>0.21</v>
      </c>
      <c r="CK221">
        <v>0.06</v>
      </c>
      <c r="CL221">
        <v>39.017663333333317</v>
      </c>
      <c r="CM221">
        <v>-0.13523356487908919</v>
      </c>
      <c r="CN221">
        <v>0.12940456582190371</v>
      </c>
      <c r="CO221">
        <v>-1</v>
      </c>
      <c r="CP221">
        <v>500.01578333333327</v>
      </c>
      <c r="CQ221">
        <v>-0.28836343428557543</v>
      </c>
      <c r="CR221">
        <v>8.0386170383274738E-2</v>
      </c>
      <c r="CS221">
        <v>-1</v>
      </c>
      <c r="CT221">
        <v>0</v>
      </c>
      <c r="CU221">
        <v>0</v>
      </c>
      <c r="CV221" t="s">
        <v>333</v>
      </c>
      <c r="CW221">
        <v>3.1675300000000002</v>
      </c>
      <c r="CX221">
        <v>2.65957</v>
      </c>
      <c r="CY221">
        <v>9.1142800000000006E-3</v>
      </c>
      <c r="CZ221">
        <v>1.15645E-2</v>
      </c>
      <c r="DA221">
        <v>1.20681E-3</v>
      </c>
      <c r="DB221">
        <v>-2.0009599999999999E-2</v>
      </c>
      <c r="DC221">
        <v>21388.7</v>
      </c>
      <c r="DD221">
        <v>21722.2</v>
      </c>
      <c r="DE221">
        <v>23112.2</v>
      </c>
      <c r="DF221">
        <v>22328.400000000001</v>
      </c>
      <c r="DG221">
        <v>29768.799999999999</v>
      </c>
      <c r="DH221">
        <v>27161.8</v>
      </c>
      <c r="DI221">
        <v>40619.5</v>
      </c>
      <c r="DJ221">
        <v>37006.300000000003</v>
      </c>
      <c r="DK221">
        <v>2.0939199999999998</v>
      </c>
      <c r="DL221">
        <v>1.80558</v>
      </c>
      <c r="DM221">
        <v>2.9727799999999999E-2</v>
      </c>
      <c r="DN221">
        <v>0</v>
      </c>
      <c r="DO221">
        <v>26.8718</v>
      </c>
      <c r="DP221">
        <v>999.9</v>
      </c>
      <c r="DQ221">
        <v>75.400000000000006</v>
      </c>
      <c r="DR221">
        <v>30.2</v>
      </c>
      <c r="DS221">
        <v>32.410200000000003</v>
      </c>
      <c r="DT221">
        <v>30.6738</v>
      </c>
      <c r="DU221">
        <v>9.3589699999999993</v>
      </c>
      <c r="DV221">
        <v>1</v>
      </c>
      <c r="DW221">
        <v>0.172039</v>
      </c>
      <c r="DX221">
        <v>-0.472495</v>
      </c>
      <c r="DY221">
        <v>20.367599999999999</v>
      </c>
      <c r="DZ221">
        <v>5.2109399999999999</v>
      </c>
      <c r="EA221">
        <v>11.8482</v>
      </c>
      <c r="EB221">
        <v>4.9677199999999999</v>
      </c>
      <c r="EC221">
        <v>3.2924000000000002</v>
      </c>
      <c r="ED221">
        <v>894.7</v>
      </c>
      <c r="EE221">
        <v>0</v>
      </c>
      <c r="EF221">
        <v>9999</v>
      </c>
      <c r="EG221">
        <v>112.2</v>
      </c>
      <c r="EH221">
        <v>4.9715999999999996</v>
      </c>
      <c r="EI221">
        <v>1.8717999999999999</v>
      </c>
      <c r="EJ221">
        <v>1.86897</v>
      </c>
      <c r="EK221">
        <v>1.87138</v>
      </c>
      <c r="EL221">
        <v>1.8691800000000001</v>
      </c>
      <c r="EM221">
        <v>1.8681300000000001</v>
      </c>
      <c r="EN221">
        <v>1.8699600000000001</v>
      </c>
      <c r="EO221">
        <v>1.8717900000000001</v>
      </c>
      <c r="EP221">
        <v>0</v>
      </c>
      <c r="EQ221">
        <v>0</v>
      </c>
      <c r="ER221">
        <v>0</v>
      </c>
      <c r="ES221">
        <v>0</v>
      </c>
      <c r="ET221" t="s">
        <v>334</v>
      </c>
      <c r="EU221" t="s">
        <v>335</v>
      </c>
      <c r="EV221" t="s">
        <v>336</v>
      </c>
      <c r="EW221" t="s">
        <v>336</v>
      </c>
      <c r="EX221" t="s">
        <v>336</v>
      </c>
      <c r="EY221" t="s">
        <v>336</v>
      </c>
      <c r="EZ221">
        <v>0</v>
      </c>
      <c r="FA221">
        <v>100</v>
      </c>
      <c r="FB221">
        <v>100</v>
      </c>
      <c r="FC221">
        <v>7.9779999999999998</v>
      </c>
      <c r="FD221">
        <v>-0.98929999999999996</v>
      </c>
      <c r="FE221">
        <v>8.0149199999999929</v>
      </c>
      <c r="FF221">
        <v>0</v>
      </c>
      <c r="FG221">
        <v>0</v>
      </c>
      <c r="FH221">
        <v>0</v>
      </c>
      <c r="FI221">
        <v>-0.98927100000000023</v>
      </c>
      <c r="FJ221">
        <v>0</v>
      </c>
      <c r="FK221">
        <v>0</v>
      </c>
      <c r="FL221">
        <v>0</v>
      </c>
      <c r="FM221">
        <v>-1</v>
      </c>
      <c r="FN221">
        <v>-1</v>
      </c>
      <c r="FO221">
        <v>-1</v>
      </c>
      <c r="FP221">
        <v>-1</v>
      </c>
      <c r="FQ221">
        <v>0.7</v>
      </c>
      <c r="FR221">
        <v>205.2</v>
      </c>
      <c r="FS221">
        <v>0.142822</v>
      </c>
      <c r="FT221">
        <v>4.99756</v>
      </c>
      <c r="FU221">
        <v>1.5979000000000001</v>
      </c>
      <c r="FV221">
        <v>2.1520999999999999</v>
      </c>
      <c r="FW221">
        <v>1.5478499999999999</v>
      </c>
      <c r="FX221">
        <v>2.4609399999999999</v>
      </c>
      <c r="FY221">
        <v>34.5092</v>
      </c>
      <c r="FZ221">
        <v>15.287800000000001</v>
      </c>
      <c r="GA221">
        <v>3</v>
      </c>
      <c r="GB221">
        <v>498.74599999999998</v>
      </c>
      <c r="GC221">
        <v>406.37</v>
      </c>
      <c r="GD221">
        <v>28.111699999999999</v>
      </c>
      <c r="GE221">
        <v>29.4527</v>
      </c>
      <c r="GF221">
        <v>30</v>
      </c>
      <c r="GG221">
        <v>29.744700000000002</v>
      </c>
      <c r="GH221">
        <v>29.796900000000001</v>
      </c>
      <c r="GI221">
        <v>-1</v>
      </c>
      <c r="GJ221">
        <v>0</v>
      </c>
      <c r="GK221">
        <v>100</v>
      </c>
      <c r="GL221">
        <v>28.113700000000001</v>
      </c>
      <c r="GM221">
        <v>432.1</v>
      </c>
      <c r="GN221">
        <v>68.912800000000004</v>
      </c>
      <c r="GO221">
        <v>102.245</v>
      </c>
      <c r="GP221">
        <v>96.5608</v>
      </c>
    </row>
    <row r="222" spans="1:198" x14ac:dyDescent="0.35">
      <c r="A222">
        <v>206</v>
      </c>
      <c r="B222">
        <v>1775493340.0999999</v>
      </c>
      <c r="C222">
        <v>12301.599999904631</v>
      </c>
      <c r="D222" t="s">
        <v>949</v>
      </c>
      <c r="E222" t="s">
        <v>950</v>
      </c>
      <c r="F222">
        <v>60</v>
      </c>
      <c r="G222">
        <v>1775493332.099999</v>
      </c>
      <c r="H222">
        <f t="shared" si="90"/>
        <v>2.1645167558110999E-3</v>
      </c>
      <c r="I222">
        <f t="shared" si="91"/>
        <v>2.1645167558110998</v>
      </c>
      <c r="J222">
        <f t="shared" si="92"/>
        <v>0.64058799348636775</v>
      </c>
      <c r="K222">
        <f t="shared" si="93"/>
        <v>38.192438709677418</v>
      </c>
      <c r="L222">
        <f t="shared" si="94"/>
        <v>18.53531861994648</v>
      </c>
      <c r="M222">
        <f t="shared" si="95"/>
        <v>1.8590037234498036</v>
      </c>
      <c r="N222">
        <f t="shared" si="96"/>
        <v>3.8305187639188119</v>
      </c>
      <c r="O222">
        <f t="shared" si="97"/>
        <v>5.7793752716407583E-2</v>
      </c>
      <c r="P222">
        <f t="shared" si="98"/>
        <v>2.3938339052414812</v>
      </c>
      <c r="Q222">
        <f t="shared" si="99"/>
        <v>5.7029646461036046E-2</v>
      </c>
      <c r="R222">
        <f t="shared" si="100"/>
        <v>3.571133924561351E-2</v>
      </c>
      <c r="S222">
        <f t="shared" si="101"/>
        <v>0</v>
      </c>
      <c r="T222">
        <f t="shared" si="102"/>
        <v>26.621601855504355</v>
      </c>
      <c r="U222">
        <f t="shared" si="103"/>
        <v>27.36049677419355</v>
      </c>
      <c r="V222">
        <f t="shared" si="104"/>
        <v>3.6556447240030092</v>
      </c>
      <c r="W222">
        <f t="shared" si="105"/>
        <v>-2.2837155345722033</v>
      </c>
      <c r="X222">
        <f t="shared" si="106"/>
        <v>-8.3188692984757062E-2</v>
      </c>
      <c r="Y222">
        <f t="shared" si="107"/>
        <v>3.64269068215365</v>
      </c>
      <c r="Z222">
        <f t="shared" si="108"/>
        <v>3.7388334169877662</v>
      </c>
      <c r="AA222">
        <f t="shared" si="109"/>
        <v>-95.455188931269504</v>
      </c>
      <c r="AB222">
        <f t="shared" si="110"/>
        <v>-7.8195673014159359</v>
      </c>
      <c r="AC222">
        <f t="shared" si="111"/>
        <v>-0.70728906406591174</v>
      </c>
      <c r="AD222">
        <f t="shared" si="112"/>
        <v>-103.98204529675135</v>
      </c>
      <c r="AE222">
        <v>12</v>
      </c>
      <c r="AF222">
        <v>2</v>
      </c>
      <c r="AG222">
        <f t="shared" si="113"/>
        <v>1</v>
      </c>
      <c r="AH222">
        <f t="shared" si="114"/>
        <v>0</v>
      </c>
      <c r="AI222">
        <f t="shared" si="115"/>
        <v>25575.401215916394</v>
      </c>
      <c r="AJ222">
        <f t="shared" si="116"/>
        <v>0</v>
      </c>
      <c r="AK222">
        <f t="shared" si="117"/>
        <v>0</v>
      </c>
      <c r="AL222">
        <f t="shared" si="118"/>
        <v>0</v>
      </c>
      <c r="AM222">
        <f t="shared" si="119"/>
        <v>0</v>
      </c>
      <c r="AN222">
        <v>3</v>
      </c>
      <c r="AO222">
        <v>0.5</v>
      </c>
      <c r="AP222" t="s">
        <v>331</v>
      </c>
      <c r="AQ222">
        <v>2</v>
      </c>
      <c r="AR222">
        <v>1775493332.099999</v>
      </c>
      <c r="AS222">
        <v>38.192438709677418</v>
      </c>
      <c r="AT222">
        <v>38.62638387096775</v>
      </c>
      <c r="AU222">
        <v>-0.8294383225806452</v>
      </c>
      <c r="AV222">
        <v>-2.1292</v>
      </c>
      <c r="AW222">
        <v>30.215438709677422</v>
      </c>
      <c r="AX222">
        <v>0.15983267741935481</v>
      </c>
      <c r="AY222">
        <v>500.00983870967741</v>
      </c>
      <c r="AZ222">
        <v>100.2570967741936</v>
      </c>
      <c r="BA222">
        <v>3.8115925806451623E-2</v>
      </c>
      <c r="BB222">
        <v>27.299906451612902</v>
      </c>
      <c r="BC222">
        <v>27.36049677419355</v>
      </c>
      <c r="BD222">
        <v>999.90000000000032</v>
      </c>
      <c r="BE222">
        <v>0</v>
      </c>
      <c r="BF222">
        <v>0</v>
      </c>
      <c r="BG222">
        <v>5002.0967741935483</v>
      </c>
      <c r="BH222">
        <v>0.34415987096774198</v>
      </c>
      <c r="BI222">
        <v>0.22961599999999999</v>
      </c>
      <c r="BJ222">
        <v>-0.43344912903225802</v>
      </c>
      <c r="BK222">
        <v>38.161299999999997</v>
      </c>
      <c r="BL222">
        <v>38.544322580645172</v>
      </c>
      <c r="BM222">
        <v>1.2997609677419351</v>
      </c>
      <c r="BN222">
        <v>38.62638387096775</v>
      </c>
      <c r="BO222">
        <v>-2.1292</v>
      </c>
      <c r="BP222">
        <v>-8.3156999999999995E-2</v>
      </c>
      <c r="BQ222">
        <v>-0.21346706451612901</v>
      </c>
      <c r="BR222">
        <v>-99.900000000000034</v>
      </c>
      <c r="BS222">
        <v>-99.900000000000034</v>
      </c>
      <c r="BT222">
        <v>0</v>
      </c>
      <c r="BU222">
        <v>0</v>
      </c>
      <c r="BV222">
        <v>0</v>
      </c>
      <c r="BW222">
        <v>25</v>
      </c>
      <c r="BX222">
        <v>-1</v>
      </c>
      <c r="BY222">
        <v>1775493358.5999999</v>
      </c>
      <c r="BZ222" t="s">
        <v>951</v>
      </c>
      <c r="CA222">
        <v>1775493358.5999999</v>
      </c>
      <c r="CB222">
        <v>1775480969.5</v>
      </c>
      <c r="CC222">
        <v>207</v>
      </c>
      <c r="CD222">
        <v>-1E-3</v>
      </c>
      <c r="CE222">
        <v>0.19500000000000001</v>
      </c>
      <c r="CF222">
        <v>7.9770000000000003</v>
      </c>
      <c r="CG222">
        <v>-0.98899999999999999</v>
      </c>
      <c r="CH222">
        <v>39</v>
      </c>
      <c r="CI222">
        <v>-3</v>
      </c>
      <c r="CJ222">
        <v>0.3</v>
      </c>
      <c r="CK222">
        <v>0.06</v>
      </c>
      <c r="CL222">
        <v>38.752783606557387</v>
      </c>
      <c r="CM222">
        <v>-0.89070269698574056</v>
      </c>
      <c r="CN222">
        <v>0.14398371513146349</v>
      </c>
      <c r="CO222">
        <v>-1</v>
      </c>
      <c r="CP222">
        <v>499.97439344262301</v>
      </c>
      <c r="CQ222">
        <v>0.2529011105240605</v>
      </c>
      <c r="CR222">
        <v>6.0748953627506062E-2</v>
      </c>
      <c r="CS222">
        <v>-1</v>
      </c>
      <c r="CT222">
        <v>0</v>
      </c>
      <c r="CU222">
        <v>0</v>
      </c>
      <c r="CV222" t="s">
        <v>333</v>
      </c>
      <c r="CW222">
        <v>3.1674199999999999</v>
      </c>
      <c r="CX222">
        <v>2.6593</v>
      </c>
      <c r="CY222">
        <v>9.0013300000000001E-3</v>
      </c>
      <c r="CZ222">
        <v>1.15151E-2</v>
      </c>
      <c r="DA222">
        <v>1.3247599999999999E-3</v>
      </c>
      <c r="DB222">
        <v>-1.9954199999999998E-2</v>
      </c>
      <c r="DC222">
        <v>21391.4</v>
      </c>
      <c r="DD222">
        <v>21723.7</v>
      </c>
      <c r="DE222">
        <v>23112.5</v>
      </c>
      <c r="DF222">
        <v>22328.7</v>
      </c>
      <c r="DG222">
        <v>29765.8</v>
      </c>
      <c r="DH222">
        <v>27160.799999999999</v>
      </c>
      <c r="DI222">
        <v>40620.199999999997</v>
      </c>
      <c r="DJ222">
        <v>37006.9</v>
      </c>
      <c r="DK222">
        <v>2.0942799999999999</v>
      </c>
      <c r="DL222">
        <v>1.8043</v>
      </c>
      <c r="DM222">
        <v>2.9030400000000001E-2</v>
      </c>
      <c r="DN222">
        <v>0</v>
      </c>
      <c r="DO222">
        <v>26.8781</v>
      </c>
      <c r="DP222">
        <v>999.9</v>
      </c>
      <c r="DQ222">
        <v>75.3</v>
      </c>
      <c r="DR222">
        <v>30.2</v>
      </c>
      <c r="DS222">
        <v>32.369500000000002</v>
      </c>
      <c r="DT222">
        <v>30.553799999999999</v>
      </c>
      <c r="DU222">
        <v>9.5953499999999998</v>
      </c>
      <c r="DV222">
        <v>1</v>
      </c>
      <c r="DW222">
        <v>0.171435</v>
      </c>
      <c r="DX222">
        <v>-0.45685399999999998</v>
      </c>
      <c r="DY222">
        <v>20.3674</v>
      </c>
      <c r="DZ222">
        <v>5.2112999999999996</v>
      </c>
      <c r="EA222">
        <v>11.8482</v>
      </c>
      <c r="EB222">
        <v>4.9676799999999997</v>
      </c>
      <c r="EC222">
        <v>3.2921</v>
      </c>
      <c r="ED222">
        <v>894.7</v>
      </c>
      <c r="EE222">
        <v>0</v>
      </c>
      <c r="EF222">
        <v>9999</v>
      </c>
      <c r="EG222">
        <v>112.2</v>
      </c>
      <c r="EH222">
        <v>4.9716100000000001</v>
      </c>
      <c r="EI222">
        <v>1.8717999999999999</v>
      </c>
      <c r="EJ222">
        <v>1.8689800000000001</v>
      </c>
      <c r="EK222">
        <v>1.87144</v>
      </c>
      <c r="EL222">
        <v>1.8691899999999999</v>
      </c>
      <c r="EM222">
        <v>1.8681300000000001</v>
      </c>
      <c r="EN222">
        <v>1.8699600000000001</v>
      </c>
      <c r="EO222">
        <v>1.87178</v>
      </c>
      <c r="EP222">
        <v>0</v>
      </c>
      <c r="EQ222">
        <v>0</v>
      </c>
      <c r="ER222">
        <v>0</v>
      </c>
      <c r="ES222">
        <v>0</v>
      </c>
      <c r="ET222" t="s">
        <v>334</v>
      </c>
      <c r="EU222" t="s">
        <v>335</v>
      </c>
      <c r="EV222" t="s">
        <v>336</v>
      </c>
      <c r="EW222" t="s">
        <v>336</v>
      </c>
      <c r="EX222" t="s">
        <v>336</v>
      </c>
      <c r="EY222" t="s">
        <v>336</v>
      </c>
      <c r="EZ222">
        <v>0</v>
      </c>
      <c r="FA222">
        <v>100</v>
      </c>
      <c r="FB222">
        <v>100</v>
      </c>
      <c r="FC222">
        <v>7.9770000000000003</v>
      </c>
      <c r="FD222">
        <v>-0.98929999999999996</v>
      </c>
      <c r="FE222">
        <v>7.9775050000000007</v>
      </c>
      <c r="FF222">
        <v>0</v>
      </c>
      <c r="FG222">
        <v>0</v>
      </c>
      <c r="FH222">
        <v>0</v>
      </c>
      <c r="FI222">
        <v>-0.98927100000000023</v>
      </c>
      <c r="FJ222">
        <v>0</v>
      </c>
      <c r="FK222">
        <v>0</v>
      </c>
      <c r="FL222">
        <v>0</v>
      </c>
      <c r="FM222">
        <v>-1</v>
      </c>
      <c r="FN222">
        <v>-1</v>
      </c>
      <c r="FO222">
        <v>-1</v>
      </c>
      <c r="FP222">
        <v>-1</v>
      </c>
      <c r="FQ222">
        <v>0.8</v>
      </c>
      <c r="FR222">
        <v>206.2</v>
      </c>
      <c r="FS222">
        <v>0.142822</v>
      </c>
      <c r="FT222">
        <v>4.99756</v>
      </c>
      <c r="FU222">
        <v>1.5979000000000001</v>
      </c>
      <c r="FV222">
        <v>2.1533199999999999</v>
      </c>
      <c r="FW222">
        <v>1.5478499999999999</v>
      </c>
      <c r="FX222">
        <v>2.4267599999999998</v>
      </c>
      <c r="FY222">
        <v>34.5321</v>
      </c>
      <c r="FZ222">
        <v>15.270300000000001</v>
      </c>
      <c r="GA222">
        <v>3</v>
      </c>
      <c r="GB222">
        <v>498.911</v>
      </c>
      <c r="GC222">
        <v>405.60399999999998</v>
      </c>
      <c r="GD222">
        <v>28.1022</v>
      </c>
      <c r="GE222">
        <v>29.445499999999999</v>
      </c>
      <c r="GF222">
        <v>30</v>
      </c>
      <c r="GG222">
        <v>29.739100000000001</v>
      </c>
      <c r="GH222">
        <v>29.791799999999999</v>
      </c>
      <c r="GI222">
        <v>-1</v>
      </c>
      <c r="GJ222">
        <v>0</v>
      </c>
      <c r="GK222">
        <v>100</v>
      </c>
      <c r="GL222">
        <v>28.105</v>
      </c>
      <c r="GM222">
        <v>432.1</v>
      </c>
      <c r="GN222">
        <v>68.912800000000004</v>
      </c>
      <c r="GO222">
        <v>102.246</v>
      </c>
      <c r="GP222">
        <v>96.562399999999997</v>
      </c>
    </row>
    <row r="223" spans="1:198" x14ac:dyDescent="0.35">
      <c r="A223">
        <v>207</v>
      </c>
      <c r="B223">
        <v>1775493400.0999999</v>
      </c>
      <c r="C223">
        <v>12361.599999904631</v>
      </c>
      <c r="D223" t="s">
        <v>952</v>
      </c>
      <c r="E223" t="s">
        <v>953</v>
      </c>
      <c r="F223">
        <v>60</v>
      </c>
      <c r="G223">
        <v>1775493392.349999</v>
      </c>
      <c r="H223">
        <f t="shared" si="90"/>
        <v>2.1981814005425345E-3</v>
      </c>
      <c r="I223">
        <f t="shared" si="91"/>
        <v>2.1981814005425346</v>
      </c>
      <c r="J223">
        <f t="shared" si="92"/>
        <v>0.63838229583166828</v>
      </c>
      <c r="K223">
        <f t="shared" si="93"/>
        <v>38.994</v>
      </c>
      <c r="L223">
        <f t="shared" si="94"/>
        <v>19.617942978286539</v>
      </c>
      <c r="M223">
        <f t="shared" si="95"/>
        <v>1.9675507765156739</v>
      </c>
      <c r="N223">
        <f t="shared" si="96"/>
        <v>3.91084198095438</v>
      </c>
      <c r="O223">
        <f t="shared" si="97"/>
        <v>5.8711587550624986E-2</v>
      </c>
      <c r="P223">
        <f t="shared" si="98"/>
        <v>2.3922862348672806</v>
      </c>
      <c r="Q223">
        <f t="shared" si="99"/>
        <v>5.7922694586244182E-2</v>
      </c>
      <c r="R223">
        <f t="shared" si="100"/>
        <v>3.6271679862231468E-2</v>
      </c>
      <c r="S223">
        <f t="shared" si="101"/>
        <v>0</v>
      </c>
      <c r="T223">
        <f t="shared" si="102"/>
        <v>26.61231137343659</v>
      </c>
      <c r="U223">
        <f t="shared" si="103"/>
        <v>27.36413666666666</v>
      </c>
      <c r="V223">
        <f t="shared" si="104"/>
        <v>3.6564242014070105</v>
      </c>
      <c r="W223">
        <f t="shared" si="105"/>
        <v>-2.2484147980529521</v>
      </c>
      <c r="X223">
        <f t="shared" si="106"/>
        <v>-8.1910797059245616E-2</v>
      </c>
      <c r="Y223">
        <f t="shared" si="107"/>
        <v>3.6430465201606692</v>
      </c>
      <c r="Z223">
        <f t="shared" si="108"/>
        <v>3.7383349984662559</v>
      </c>
      <c r="AA223">
        <f t="shared" si="109"/>
        <v>-96.939799763925777</v>
      </c>
      <c r="AB223">
        <f t="shared" si="110"/>
        <v>-8.0689767542994719</v>
      </c>
      <c r="AC223">
        <f t="shared" si="111"/>
        <v>-0.73033996975129467</v>
      </c>
      <c r="AD223">
        <f t="shared" si="112"/>
        <v>-105.73911648797655</v>
      </c>
      <c r="AE223">
        <v>12</v>
      </c>
      <c r="AF223">
        <v>2</v>
      </c>
      <c r="AG223">
        <f t="shared" si="113"/>
        <v>1</v>
      </c>
      <c r="AH223">
        <f t="shared" si="114"/>
        <v>0</v>
      </c>
      <c r="AI223">
        <f t="shared" si="115"/>
        <v>25551.794020363908</v>
      </c>
      <c r="AJ223">
        <f t="shared" si="116"/>
        <v>0</v>
      </c>
      <c r="AK223">
        <f t="shared" si="117"/>
        <v>0</v>
      </c>
      <c r="AL223">
        <f t="shared" si="118"/>
        <v>0</v>
      </c>
      <c r="AM223">
        <f t="shared" si="119"/>
        <v>0</v>
      </c>
      <c r="AN223">
        <v>3</v>
      </c>
      <c r="AO223">
        <v>0.5</v>
      </c>
      <c r="AP223" t="s">
        <v>331</v>
      </c>
      <c r="AQ223">
        <v>2</v>
      </c>
      <c r="AR223">
        <v>1775493392.349999</v>
      </c>
      <c r="AS223">
        <v>38.994</v>
      </c>
      <c r="AT223">
        <v>39.428473333333322</v>
      </c>
      <c r="AU223">
        <v>-0.81671150000000015</v>
      </c>
      <c r="AV223">
        <v>-2.1367413333333332</v>
      </c>
      <c r="AW223">
        <v>31.03</v>
      </c>
      <c r="AX223">
        <v>0.17255946666666669</v>
      </c>
      <c r="AY223">
        <v>499.98340000000002</v>
      </c>
      <c r="AZ223">
        <v>100.25539999999999</v>
      </c>
      <c r="BA223">
        <v>3.8029269999999997E-2</v>
      </c>
      <c r="BB223">
        <v>27.30157333333333</v>
      </c>
      <c r="BC223">
        <v>27.36413666666666</v>
      </c>
      <c r="BD223">
        <v>999.9000000000002</v>
      </c>
      <c r="BE223">
        <v>0</v>
      </c>
      <c r="BF223">
        <v>0</v>
      </c>
      <c r="BG223">
        <v>4998.2</v>
      </c>
      <c r="BH223">
        <v>0.35824676666666672</v>
      </c>
      <c r="BI223">
        <v>0.22961599999999999</v>
      </c>
      <c r="BJ223">
        <v>-0.42159026666666671</v>
      </c>
      <c r="BK223">
        <v>38.97505666666666</v>
      </c>
      <c r="BL223">
        <v>39.344403333333318</v>
      </c>
      <c r="BM223">
        <v>1.320030666666667</v>
      </c>
      <c r="BN223">
        <v>39.428473333333322</v>
      </c>
      <c r="BO223">
        <v>-2.1367413333333332</v>
      </c>
      <c r="BP223">
        <v>-8.187980333333332E-2</v>
      </c>
      <c r="BQ223">
        <v>-0.21422003333333331</v>
      </c>
      <c r="BR223">
        <v>-99.900000000000034</v>
      </c>
      <c r="BS223">
        <v>-99.900000000000034</v>
      </c>
      <c r="BT223">
        <v>0</v>
      </c>
      <c r="BU223">
        <v>0</v>
      </c>
      <c r="BV223">
        <v>0</v>
      </c>
      <c r="BW223">
        <v>25</v>
      </c>
      <c r="BX223">
        <v>-1</v>
      </c>
      <c r="BY223">
        <v>1775493419.0999999</v>
      </c>
      <c r="BZ223" t="s">
        <v>954</v>
      </c>
      <c r="CA223">
        <v>1775493419.0999999</v>
      </c>
      <c r="CB223">
        <v>1775480969.5</v>
      </c>
      <c r="CC223">
        <v>208</v>
      </c>
      <c r="CD223">
        <v>-1.2999999999999999E-2</v>
      </c>
      <c r="CE223">
        <v>0.19500000000000001</v>
      </c>
      <c r="CF223">
        <v>7.9640000000000004</v>
      </c>
      <c r="CG223">
        <v>-0.98899999999999999</v>
      </c>
      <c r="CH223">
        <v>39</v>
      </c>
      <c r="CI223">
        <v>-3</v>
      </c>
      <c r="CJ223">
        <v>0.21</v>
      </c>
      <c r="CK223">
        <v>0.06</v>
      </c>
      <c r="CL223">
        <v>39.579886666666667</v>
      </c>
      <c r="CM223">
        <v>-1.4213248124478679</v>
      </c>
      <c r="CN223">
        <v>0.2447166643737658</v>
      </c>
      <c r="CO223">
        <v>-1</v>
      </c>
      <c r="CP223">
        <v>500.00324999999992</v>
      </c>
      <c r="CQ223">
        <v>-0.18209391497550359</v>
      </c>
      <c r="CR223">
        <v>5.2383720435521759E-2</v>
      </c>
      <c r="CS223">
        <v>-1</v>
      </c>
      <c r="CT223">
        <v>0</v>
      </c>
      <c r="CU223">
        <v>0</v>
      </c>
      <c r="CV223" t="s">
        <v>333</v>
      </c>
      <c r="CW223">
        <v>3.16744</v>
      </c>
      <c r="CX223">
        <v>2.65924</v>
      </c>
      <c r="CY223">
        <v>9.2091599999999992E-3</v>
      </c>
      <c r="CZ223">
        <v>1.16483E-2</v>
      </c>
      <c r="DA223">
        <v>1.42421E-3</v>
      </c>
      <c r="DB223">
        <v>-2.0117400000000001E-2</v>
      </c>
      <c r="DC223">
        <v>21387</v>
      </c>
      <c r="DD223">
        <v>21721</v>
      </c>
      <c r="DE223">
        <v>23112.5</v>
      </c>
      <c r="DF223">
        <v>22329</v>
      </c>
      <c r="DG223">
        <v>29762.9</v>
      </c>
      <c r="DH223">
        <v>27165.4</v>
      </c>
      <c r="DI223">
        <v>40620.300000000003</v>
      </c>
      <c r="DJ223">
        <v>37007.300000000003</v>
      </c>
      <c r="DK223">
        <v>2.0944199999999999</v>
      </c>
      <c r="DL223">
        <v>1.8043</v>
      </c>
      <c r="DM223">
        <v>3.02762E-2</v>
      </c>
      <c r="DN223">
        <v>0</v>
      </c>
      <c r="DO223">
        <v>26.871200000000002</v>
      </c>
      <c r="DP223">
        <v>999.9</v>
      </c>
      <c r="DQ223">
        <v>75.3</v>
      </c>
      <c r="DR223">
        <v>30.3</v>
      </c>
      <c r="DS223">
        <v>32.5533</v>
      </c>
      <c r="DT223">
        <v>30.433800000000002</v>
      </c>
      <c r="DU223">
        <v>9.7596100000000003</v>
      </c>
      <c r="DV223">
        <v>1</v>
      </c>
      <c r="DW223">
        <v>0.17061000000000001</v>
      </c>
      <c r="DX223">
        <v>-0.42944199999999999</v>
      </c>
      <c r="DY223">
        <v>20.3674</v>
      </c>
      <c r="DZ223">
        <v>5.2120199999999999</v>
      </c>
      <c r="EA223">
        <v>11.8482</v>
      </c>
      <c r="EB223">
        <v>4.9678800000000001</v>
      </c>
      <c r="EC223">
        <v>3.2921800000000001</v>
      </c>
      <c r="ED223">
        <v>894.7</v>
      </c>
      <c r="EE223">
        <v>0</v>
      </c>
      <c r="EF223">
        <v>9999</v>
      </c>
      <c r="EG223">
        <v>112.3</v>
      </c>
      <c r="EH223">
        <v>4.9716300000000002</v>
      </c>
      <c r="EI223">
        <v>1.8717999999999999</v>
      </c>
      <c r="EJ223">
        <v>1.869</v>
      </c>
      <c r="EK223">
        <v>1.87144</v>
      </c>
      <c r="EL223">
        <v>1.8692</v>
      </c>
      <c r="EM223">
        <v>1.8681300000000001</v>
      </c>
      <c r="EN223">
        <v>1.8699600000000001</v>
      </c>
      <c r="EO223">
        <v>1.8717600000000001</v>
      </c>
      <c r="EP223">
        <v>0</v>
      </c>
      <c r="EQ223">
        <v>0</v>
      </c>
      <c r="ER223">
        <v>0</v>
      </c>
      <c r="ES223">
        <v>0</v>
      </c>
      <c r="ET223" t="s">
        <v>334</v>
      </c>
      <c r="EU223" t="s">
        <v>335</v>
      </c>
      <c r="EV223" t="s">
        <v>336</v>
      </c>
      <c r="EW223" t="s">
        <v>336</v>
      </c>
      <c r="EX223" t="s">
        <v>336</v>
      </c>
      <c r="EY223" t="s">
        <v>336</v>
      </c>
      <c r="EZ223">
        <v>0</v>
      </c>
      <c r="FA223">
        <v>100</v>
      </c>
      <c r="FB223">
        <v>100</v>
      </c>
      <c r="FC223">
        <v>7.9640000000000004</v>
      </c>
      <c r="FD223">
        <v>-0.98929999999999996</v>
      </c>
      <c r="FE223">
        <v>7.9768809523809487</v>
      </c>
      <c r="FF223">
        <v>0</v>
      </c>
      <c r="FG223">
        <v>0</v>
      </c>
      <c r="FH223">
        <v>0</v>
      </c>
      <c r="FI223">
        <v>-0.98927100000000023</v>
      </c>
      <c r="FJ223">
        <v>0</v>
      </c>
      <c r="FK223">
        <v>0</v>
      </c>
      <c r="FL223">
        <v>0</v>
      </c>
      <c r="FM223">
        <v>-1</v>
      </c>
      <c r="FN223">
        <v>-1</v>
      </c>
      <c r="FO223">
        <v>-1</v>
      </c>
      <c r="FP223">
        <v>-1</v>
      </c>
      <c r="FQ223">
        <v>0.7</v>
      </c>
      <c r="FR223">
        <v>207.2</v>
      </c>
      <c r="FS223">
        <v>0.14160200000000001</v>
      </c>
      <c r="FT223">
        <v>4.99756</v>
      </c>
      <c r="FU223">
        <v>1.5979000000000001</v>
      </c>
      <c r="FV223">
        <v>2.1533199999999999</v>
      </c>
      <c r="FW223">
        <v>1.5478499999999999</v>
      </c>
      <c r="FX223">
        <v>2.36816</v>
      </c>
      <c r="FY223">
        <v>34.5321</v>
      </c>
      <c r="FZ223">
        <v>15.2615</v>
      </c>
      <c r="GA223">
        <v>3</v>
      </c>
      <c r="GB223">
        <v>498.95299999999997</v>
      </c>
      <c r="GC223">
        <v>405.56900000000002</v>
      </c>
      <c r="GD223">
        <v>28.092400000000001</v>
      </c>
      <c r="GE223">
        <v>29.438500000000001</v>
      </c>
      <c r="GF223">
        <v>30.0002</v>
      </c>
      <c r="GG223">
        <v>29.734000000000002</v>
      </c>
      <c r="GH223">
        <v>29.7865</v>
      </c>
      <c r="GI223">
        <v>-1</v>
      </c>
      <c r="GJ223">
        <v>0</v>
      </c>
      <c r="GK223">
        <v>100</v>
      </c>
      <c r="GL223">
        <v>28.090599999999998</v>
      </c>
      <c r="GM223">
        <v>432.1</v>
      </c>
      <c r="GN223">
        <v>68.912800000000004</v>
      </c>
      <c r="GO223">
        <v>102.247</v>
      </c>
      <c r="GP223">
        <v>96.563400000000001</v>
      </c>
    </row>
    <row r="224" spans="1:198" x14ac:dyDescent="0.35">
      <c r="A224">
        <v>208</v>
      </c>
      <c r="B224">
        <v>1775493460.0999999</v>
      </c>
      <c r="C224">
        <v>12421.599999904631</v>
      </c>
      <c r="D224" t="s">
        <v>955</v>
      </c>
      <c r="E224" t="s">
        <v>956</v>
      </c>
      <c r="F224">
        <v>60</v>
      </c>
      <c r="G224">
        <v>1775493452.099999</v>
      </c>
      <c r="H224">
        <f t="shared" si="90"/>
        <v>2.1864969602179256E-3</v>
      </c>
      <c r="I224">
        <f t="shared" si="91"/>
        <v>2.1864969602179256</v>
      </c>
      <c r="J224">
        <f t="shared" si="92"/>
        <v>1.2463390070502602</v>
      </c>
      <c r="K224">
        <f t="shared" si="93"/>
        <v>38.526819354838707</v>
      </c>
      <c r="L224">
        <f t="shared" si="94"/>
        <v>2.712975296128938</v>
      </c>
      <c r="M224">
        <f t="shared" si="95"/>
        <v>0.272097175195747</v>
      </c>
      <c r="N224">
        <f t="shared" si="96"/>
        <v>3.864037660308361</v>
      </c>
      <c r="O224">
        <f t="shared" si="97"/>
        <v>5.8364160247838186E-2</v>
      </c>
      <c r="P224">
        <f t="shared" si="98"/>
        <v>2.3914889066330538</v>
      </c>
      <c r="Q224">
        <f t="shared" si="99"/>
        <v>5.7584253199815805E-2</v>
      </c>
      <c r="R224">
        <f t="shared" si="100"/>
        <v>3.605936150711439E-2</v>
      </c>
      <c r="S224">
        <f t="shared" si="101"/>
        <v>0</v>
      </c>
      <c r="T224">
        <f t="shared" si="102"/>
        <v>26.61315201156782</v>
      </c>
      <c r="U224">
        <f t="shared" si="103"/>
        <v>27.359074193548391</v>
      </c>
      <c r="V224">
        <f t="shared" si="104"/>
        <v>3.6553401199528937</v>
      </c>
      <c r="W224">
        <f t="shared" si="105"/>
        <v>-2.3365830112261667</v>
      </c>
      <c r="X224">
        <f t="shared" si="106"/>
        <v>-8.5109777455937508E-2</v>
      </c>
      <c r="Y224">
        <f t="shared" si="107"/>
        <v>3.6424889270796554</v>
      </c>
      <c r="Z224">
        <f t="shared" si="108"/>
        <v>3.7404498974088312</v>
      </c>
      <c r="AA224">
        <f t="shared" si="109"/>
        <v>-96.424515945610523</v>
      </c>
      <c r="AB224">
        <f t="shared" si="110"/>
        <v>-7.7503536033152853</v>
      </c>
      <c r="AC224">
        <f t="shared" si="111"/>
        <v>-0.70170770594742427</v>
      </c>
      <c r="AD224">
        <f t="shared" si="112"/>
        <v>-104.87657725487324</v>
      </c>
      <c r="AE224">
        <v>13</v>
      </c>
      <c r="AF224">
        <v>3</v>
      </c>
      <c r="AG224">
        <f t="shared" si="113"/>
        <v>1</v>
      </c>
      <c r="AH224">
        <f t="shared" si="114"/>
        <v>0</v>
      </c>
      <c r="AI224">
        <f t="shared" si="115"/>
        <v>25539.851493468344</v>
      </c>
      <c r="AJ224">
        <f t="shared" si="116"/>
        <v>0</v>
      </c>
      <c r="AK224">
        <f t="shared" si="117"/>
        <v>0</v>
      </c>
      <c r="AL224">
        <f t="shared" si="118"/>
        <v>0</v>
      </c>
      <c r="AM224">
        <f t="shared" si="119"/>
        <v>0</v>
      </c>
      <c r="AN224">
        <v>3</v>
      </c>
      <c r="AO224">
        <v>0.5</v>
      </c>
      <c r="AP224" t="s">
        <v>331</v>
      </c>
      <c r="AQ224">
        <v>2</v>
      </c>
      <c r="AR224">
        <v>1775493452.099999</v>
      </c>
      <c r="AS224">
        <v>38.526819354838707</v>
      </c>
      <c r="AT224">
        <v>39.32517096774194</v>
      </c>
      <c r="AU224">
        <v>-0.84859654838709675</v>
      </c>
      <c r="AV224">
        <v>-2.1616161290322582</v>
      </c>
      <c r="AW224">
        <v>30.52881935483871</v>
      </c>
      <c r="AX224">
        <v>0.14067441935483871</v>
      </c>
      <c r="AY224">
        <v>499.99690322580648</v>
      </c>
      <c r="AZ224">
        <v>100.25645161290321</v>
      </c>
      <c r="BA224">
        <v>3.8296954838709693E-2</v>
      </c>
      <c r="BB224">
        <v>27.29896129032258</v>
      </c>
      <c r="BC224">
        <v>27.359074193548391</v>
      </c>
      <c r="BD224">
        <v>999.90000000000032</v>
      </c>
      <c r="BE224">
        <v>0</v>
      </c>
      <c r="BF224">
        <v>0</v>
      </c>
      <c r="BG224">
        <v>4996.0967741935483</v>
      </c>
      <c r="BH224">
        <v>0.34486587096774202</v>
      </c>
      <c r="BI224">
        <v>0.22961599999999999</v>
      </c>
      <c r="BJ224">
        <v>-0.83278529032258053</v>
      </c>
      <c r="BK224">
        <v>38.459741935483869</v>
      </c>
      <c r="BL224">
        <v>39.240354838709678</v>
      </c>
      <c r="BM224">
        <v>1.31301870967742</v>
      </c>
      <c r="BN224">
        <v>39.32517096774194</v>
      </c>
      <c r="BO224">
        <v>-2.1616161290322582</v>
      </c>
      <c r="BP224">
        <v>-8.5077287096774215E-2</v>
      </c>
      <c r="BQ224">
        <v>-0.21671603225806449</v>
      </c>
      <c r="BR224">
        <v>-99.900000000000034</v>
      </c>
      <c r="BS224">
        <v>-99.900000000000034</v>
      </c>
      <c r="BT224">
        <v>0</v>
      </c>
      <c r="BU224">
        <v>0</v>
      </c>
      <c r="BV224">
        <v>0</v>
      </c>
      <c r="BW224">
        <v>25</v>
      </c>
      <c r="BX224">
        <v>-1</v>
      </c>
      <c r="BY224">
        <v>1775493477.0999999</v>
      </c>
      <c r="BZ224" t="s">
        <v>957</v>
      </c>
      <c r="CA224">
        <v>1775493477.0999999</v>
      </c>
      <c r="CB224">
        <v>1775480969.5</v>
      </c>
      <c r="CC224">
        <v>209</v>
      </c>
      <c r="CD224">
        <v>3.4000000000000002E-2</v>
      </c>
      <c r="CE224">
        <v>0.19500000000000001</v>
      </c>
      <c r="CF224">
        <v>7.9980000000000002</v>
      </c>
      <c r="CG224">
        <v>-0.98899999999999999</v>
      </c>
      <c r="CH224">
        <v>40</v>
      </c>
      <c r="CI224">
        <v>-3</v>
      </c>
      <c r="CJ224">
        <v>0.14000000000000001</v>
      </c>
      <c r="CK224">
        <v>0.06</v>
      </c>
      <c r="CL224">
        <v>39.031485245901642</v>
      </c>
      <c r="CM224">
        <v>1.8933715494448271</v>
      </c>
      <c r="CN224">
        <v>0.30496438052479841</v>
      </c>
      <c r="CO224">
        <v>-1</v>
      </c>
      <c r="CP224">
        <v>500.00200000000001</v>
      </c>
      <c r="CQ224">
        <v>-4.3208884188248323E-2</v>
      </c>
      <c r="CR224">
        <v>5.1310689775581189E-2</v>
      </c>
      <c r="CS224">
        <v>-1</v>
      </c>
      <c r="CT224">
        <v>0</v>
      </c>
      <c r="CU224">
        <v>0</v>
      </c>
      <c r="CV224" t="s">
        <v>333</v>
      </c>
      <c r="CW224">
        <v>3.16751</v>
      </c>
      <c r="CX224">
        <v>2.65977</v>
      </c>
      <c r="CY224">
        <v>9.1931800000000004E-3</v>
      </c>
      <c r="CZ224">
        <v>1.1769399999999999E-2</v>
      </c>
      <c r="DA224">
        <v>1.1262900000000001E-3</v>
      </c>
      <c r="DB224">
        <v>-2.0381199999999999E-2</v>
      </c>
      <c r="DC224">
        <v>21388</v>
      </c>
      <c r="DD224">
        <v>21719.1</v>
      </c>
      <c r="DE224">
        <v>23113.200000000001</v>
      </c>
      <c r="DF224">
        <v>22329.7</v>
      </c>
      <c r="DG224">
        <v>29772.6</v>
      </c>
      <c r="DH224">
        <v>27173.200000000001</v>
      </c>
      <c r="DI224">
        <v>40621.4</v>
      </c>
      <c r="DJ224">
        <v>37008.5</v>
      </c>
      <c r="DK224">
        <v>2.0941999999999998</v>
      </c>
      <c r="DL224">
        <v>1.8035600000000001</v>
      </c>
      <c r="DM224">
        <v>2.9113900000000002E-2</v>
      </c>
      <c r="DN224">
        <v>0</v>
      </c>
      <c r="DO224">
        <v>26.878599999999999</v>
      </c>
      <c r="DP224">
        <v>999.9</v>
      </c>
      <c r="DQ224">
        <v>75.400000000000006</v>
      </c>
      <c r="DR224">
        <v>30.2</v>
      </c>
      <c r="DS224">
        <v>32.407699999999998</v>
      </c>
      <c r="DT224">
        <v>30.523800000000001</v>
      </c>
      <c r="DU224">
        <v>9.5432699999999997</v>
      </c>
      <c r="DV224">
        <v>1</v>
      </c>
      <c r="DW224">
        <v>0.17017699999999999</v>
      </c>
      <c r="DX224">
        <v>-0.45262999999999998</v>
      </c>
      <c r="DY224">
        <v>20.367599999999999</v>
      </c>
      <c r="DZ224">
        <v>5.2115400000000003</v>
      </c>
      <c r="EA224">
        <v>11.8482</v>
      </c>
      <c r="EB224">
        <v>4.9678800000000001</v>
      </c>
      <c r="EC224">
        <v>3.2920799999999999</v>
      </c>
      <c r="ED224">
        <v>894.7</v>
      </c>
      <c r="EE224">
        <v>0</v>
      </c>
      <c r="EF224">
        <v>9999</v>
      </c>
      <c r="EG224">
        <v>112.3</v>
      </c>
      <c r="EH224">
        <v>4.9716100000000001</v>
      </c>
      <c r="EI224">
        <v>1.8717999999999999</v>
      </c>
      <c r="EJ224">
        <v>1.86897</v>
      </c>
      <c r="EK224">
        <v>1.87141</v>
      </c>
      <c r="EL224">
        <v>1.86914</v>
      </c>
      <c r="EM224">
        <v>1.8681300000000001</v>
      </c>
      <c r="EN224">
        <v>1.86995</v>
      </c>
      <c r="EO224">
        <v>1.8717999999999999</v>
      </c>
      <c r="EP224">
        <v>0</v>
      </c>
      <c r="EQ224">
        <v>0</v>
      </c>
      <c r="ER224">
        <v>0</v>
      </c>
      <c r="ES224">
        <v>0</v>
      </c>
      <c r="ET224" t="s">
        <v>334</v>
      </c>
      <c r="EU224" t="s">
        <v>335</v>
      </c>
      <c r="EV224" t="s">
        <v>336</v>
      </c>
      <c r="EW224" t="s">
        <v>336</v>
      </c>
      <c r="EX224" t="s">
        <v>336</v>
      </c>
      <c r="EY224" t="s">
        <v>336</v>
      </c>
      <c r="EZ224">
        <v>0</v>
      </c>
      <c r="FA224">
        <v>100</v>
      </c>
      <c r="FB224">
        <v>100</v>
      </c>
      <c r="FC224">
        <v>7.9980000000000002</v>
      </c>
      <c r="FD224">
        <v>-0.98929999999999996</v>
      </c>
      <c r="FE224">
        <v>7.9635699999999936</v>
      </c>
      <c r="FF224">
        <v>0</v>
      </c>
      <c r="FG224">
        <v>0</v>
      </c>
      <c r="FH224">
        <v>0</v>
      </c>
      <c r="FI224">
        <v>-0.98927100000000023</v>
      </c>
      <c r="FJ224">
        <v>0</v>
      </c>
      <c r="FK224">
        <v>0</v>
      </c>
      <c r="FL224">
        <v>0</v>
      </c>
      <c r="FM224">
        <v>-1</v>
      </c>
      <c r="FN224">
        <v>-1</v>
      </c>
      <c r="FO224">
        <v>-1</v>
      </c>
      <c r="FP224">
        <v>-1</v>
      </c>
      <c r="FQ224">
        <v>0.7</v>
      </c>
      <c r="FR224">
        <v>208.2</v>
      </c>
      <c r="FS224">
        <v>0.14160200000000001</v>
      </c>
      <c r="FT224">
        <v>4.99756</v>
      </c>
      <c r="FU224">
        <v>1.5979000000000001</v>
      </c>
      <c r="FV224">
        <v>2.1520999999999999</v>
      </c>
      <c r="FW224">
        <v>1.5478499999999999</v>
      </c>
      <c r="FX224">
        <v>2.35229</v>
      </c>
      <c r="FY224">
        <v>34.5321</v>
      </c>
      <c r="FZ224">
        <v>15.2615</v>
      </c>
      <c r="GA224">
        <v>3</v>
      </c>
      <c r="GB224">
        <v>498.786</v>
      </c>
      <c r="GC224">
        <v>405.10899999999998</v>
      </c>
      <c r="GD224">
        <v>28.097300000000001</v>
      </c>
      <c r="GE224">
        <v>29.4328</v>
      </c>
      <c r="GF224">
        <v>30.0002</v>
      </c>
      <c r="GG224">
        <v>29.728999999999999</v>
      </c>
      <c r="GH224">
        <v>29.780899999999999</v>
      </c>
      <c r="GI224">
        <v>-1</v>
      </c>
      <c r="GJ224">
        <v>0</v>
      </c>
      <c r="GK224">
        <v>100</v>
      </c>
      <c r="GL224">
        <v>28.097999999999999</v>
      </c>
      <c r="GM224">
        <v>432.1</v>
      </c>
      <c r="GN224">
        <v>68.912800000000004</v>
      </c>
      <c r="GO224">
        <v>102.249</v>
      </c>
      <c r="GP224">
        <v>96.566500000000005</v>
      </c>
    </row>
    <row r="225" spans="1:198" x14ac:dyDescent="0.35">
      <c r="A225">
        <v>209</v>
      </c>
      <c r="B225">
        <v>1775493520.0999999</v>
      </c>
      <c r="C225">
        <v>12481.599999904631</v>
      </c>
      <c r="D225" t="s">
        <v>958</v>
      </c>
      <c r="E225" t="s">
        <v>959</v>
      </c>
      <c r="F225">
        <v>60</v>
      </c>
      <c r="G225">
        <v>1775493512.099999</v>
      </c>
      <c r="H225">
        <f t="shared" si="90"/>
        <v>2.1742361752477317E-3</v>
      </c>
      <c r="I225">
        <f t="shared" si="91"/>
        <v>2.1742361752477315</v>
      </c>
      <c r="J225">
        <f t="shared" si="92"/>
        <v>0.56474921140119605</v>
      </c>
      <c r="K225">
        <f t="shared" si="93"/>
        <v>39.649083870967743</v>
      </c>
      <c r="L225">
        <f t="shared" si="94"/>
        <v>22.021958585757638</v>
      </c>
      <c r="M225">
        <f t="shared" si="95"/>
        <v>2.2086690211427</v>
      </c>
      <c r="N225">
        <f t="shared" si="96"/>
        <v>3.976562889330415</v>
      </c>
      <c r="O225">
        <f t="shared" si="97"/>
        <v>5.8008727506015961E-2</v>
      </c>
      <c r="P225">
        <f t="shared" si="98"/>
        <v>2.3904415749069572</v>
      </c>
      <c r="Q225">
        <f t="shared" si="99"/>
        <v>5.7237890300100923E-2</v>
      </c>
      <c r="R225">
        <f t="shared" si="100"/>
        <v>3.5842084680059665E-2</v>
      </c>
      <c r="S225">
        <f t="shared" si="101"/>
        <v>0</v>
      </c>
      <c r="T225">
        <f t="shared" si="102"/>
        <v>26.616358984212606</v>
      </c>
      <c r="U225">
        <f t="shared" si="103"/>
        <v>27.35944838709678</v>
      </c>
      <c r="V225">
        <f t="shared" si="104"/>
        <v>3.6554202404130978</v>
      </c>
      <c r="W225">
        <f t="shared" si="105"/>
        <v>-2.3763931911217751</v>
      </c>
      <c r="X225">
        <f t="shared" si="106"/>
        <v>-8.6558009841411251E-2</v>
      </c>
      <c r="Y225">
        <f t="shared" si="107"/>
        <v>3.642411119708334</v>
      </c>
      <c r="Z225">
        <f t="shared" si="108"/>
        <v>3.7419782502545091</v>
      </c>
      <c r="AA225">
        <f t="shared" si="109"/>
        <v>-95.883815328424973</v>
      </c>
      <c r="AB225">
        <f t="shared" si="110"/>
        <v>-7.8421594949047257</v>
      </c>
      <c r="AC225">
        <f t="shared" si="111"/>
        <v>-0.71033081878612425</v>
      </c>
      <c r="AD225">
        <f t="shared" si="112"/>
        <v>-104.43630564211581</v>
      </c>
      <c r="AE225">
        <v>12</v>
      </c>
      <c r="AF225">
        <v>2</v>
      </c>
      <c r="AG225">
        <f t="shared" si="113"/>
        <v>1</v>
      </c>
      <c r="AH225">
        <f t="shared" si="114"/>
        <v>0</v>
      </c>
      <c r="AI225">
        <f t="shared" si="115"/>
        <v>25523.972123720803</v>
      </c>
      <c r="AJ225">
        <f t="shared" si="116"/>
        <v>0</v>
      </c>
      <c r="AK225">
        <f t="shared" si="117"/>
        <v>0</v>
      </c>
      <c r="AL225">
        <f t="shared" si="118"/>
        <v>0</v>
      </c>
      <c r="AM225">
        <f t="shared" si="119"/>
        <v>0</v>
      </c>
      <c r="AN225">
        <v>3</v>
      </c>
      <c r="AO225">
        <v>0.5</v>
      </c>
      <c r="AP225" t="s">
        <v>331</v>
      </c>
      <c r="AQ225">
        <v>2</v>
      </c>
      <c r="AR225">
        <v>1775493512.099999</v>
      </c>
      <c r="AS225">
        <v>39.649083870967743</v>
      </c>
      <c r="AT225">
        <v>40.039645161290323</v>
      </c>
      <c r="AU225">
        <v>-0.86304325806451587</v>
      </c>
      <c r="AV225">
        <v>-2.168670322580645</v>
      </c>
      <c r="AW225">
        <v>31.686083870967749</v>
      </c>
      <c r="AX225">
        <v>0.12622770967741931</v>
      </c>
      <c r="AY225">
        <v>500.01551612903228</v>
      </c>
      <c r="AZ225">
        <v>100.2561290322581</v>
      </c>
      <c r="BA225">
        <v>3.7812241935483867E-2</v>
      </c>
      <c r="BB225">
        <v>27.298596774193541</v>
      </c>
      <c r="BC225">
        <v>27.35944838709678</v>
      </c>
      <c r="BD225">
        <v>999.90000000000032</v>
      </c>
      <c r="BE225">
        <v>0</v>
      </c>
      <c r="BF225">
        <v>0</v>
      </c>
      <c r="BG225">
        <v>4993.4193548387093</v>
      </c>
      <c r="BH225">
        <v>0.37522883870967749</v>
      </c>
      <c r="BI225">
        <v>0.22961599999999999</v>
      </c>
      <c r="BJ225">
        <v>-0.35595969354838719</v>
      </c>
      <c r="BK225">
        <v>39.649477419354838</v>
      </c>
      <c r="BL225">
        <v>39.953000000000003</v>
      </c>
      <c r="BM225">
        <v>1.305628387096774</v>
      </c>
      <c r="BN225">
        <v>40.039645161290323</v>
      </c>
      <c r="BO225">
        <v>-2.168670322580645</v>
      </c>
      <c r="BP225">
        <v>-8.6525445161290321E-2</v>
      </c>
      <c r="BQ225">
        <v>-0.21742267741935481</v>
      </c>
      <c r="BR225">
        <v>-99.900000000000034</v>
      </c>
      <c r="BS225">
        <v>-99.900000000000034</v>
      </c>
      <c r="BT225">
        <v>0</v>
      </c>
      <c r="BU225">
        <v>0</v>
      </c>
      <c r="BV225">
        <v>0</v>
      </c>
      <c r="BW225">
        <v>25</v>
      </c>
      <c r="BX225">
        <v>-1</v>
      </c>
      <c r="BY225">
        <v>1775493535.0999999</v>
      </c>
      <c r="BZ225" t="s">
        <v>960</v>
      </c>
      <c r="CA225">
        <v>1775493535.0999999</v>
      </c>
      <c r="CB225">
        <v>1775480969.5</v>
      </c>
      <c r="CC225">
        <v>210</v>
      </c>
      <c r="CD225">
        <v>-3.4000000000000002E-2</v>
      </c>
      <c r="CE225">
        <v>0.19500000000000001</v>
      </c>
      <c r="CF225">
        <v>7.9630000000000001</v>
      </c>
      <c r="CG225">
        <v>-0.98899999999999999</v>
      </c>
      <c r="CH225">
        <v>39</v>
      </c>
      <c r="CI225">
        <v>-3</v>
      </c>
      <c r="CJ225">
        <v>0.23</v>
      </c>
      <c r="CK225">
        <v>0.06</v>
      </c>
      <c r="CL225">
        <v>40.169948333333338</v>
      </c>
      <c r="CM225">
        <v>-1.571860294526185</v>
      </c>
      <c r="CN225">
        <v>0.29043355665376452</v>
      </c>
      <c r="CO225">
        <v>-1</v>
      </c>
      <c r="CP225">
        <v>500.01089999999999</v>
      </c>
      <c r="CQ225">
        <v>0.1059494303968932</v>
      </c>
      <c r="CR225">
        <v>5.7410422979338363E-2</v>
      </c>
      <c r="CS225">
        <v>-1</v>
      </c>
      <c r="CT225">
        <v>0</v>
      </c>
      <c r="CU225">
        <v>0</v>
      </c>
      <c r="CV225" t="s">
        <v>333</v>
      </c>
      <c r="CW225">
        <v>3.1675</v>
      </c>
      <c r="CX225">
        <v>2.6590799999999999</v>
      </c>
      <c r="CY225">
        <v>9.3893699999999993E-3</v>
      </c>
      <c r="CZ225">
        <v>1.1863500000000001E-2</v>
      </c>
      <c r="DA225">
        <v>1.0555899999999999E-3</v>
      </c>
      <c r="DB225">
        <v>-2.0449200000000001E-2</v>
      </c>
      <c r="DC225">
        <v>21383.8</v>
      </c>
      <c r="DD225">
        <v>21717.5</v>
      </c>
      <c r="DE225">
        <v>23113.200000000001</v>
      </c>
      <c r="DF225">
        <v>22330.2</v>
      </c>
      <c r="DG225">
        <v>29774.7</v>
      </c>
      <c r="DH225">
        <v>27175.5</v>
      </c>
      <c r="DI225">
        <v>40621.4</v>
      </c>
      <c r="DJ225">
        <v>37009.199999999997</v>
      </c>
      <c r="DK225">
        <v>2.0945200000000002</v>
      </c>
      <c r="DL225">
        <v>1.8047599999999999</v>
      </c>
      <c r="DM225">
        <v>3.0165899999999999E-2</v>
      </c>
      <c r="DN225">
        <v>0</v>
      </c>
      <c r="DO225">
        <v>26.8672</v>
      </c>
      <c r="DP225">
        <v>999.9</v>
      </c>
      <c r="DQ225">
        <v>75.400000000000006</v>
      </c>
      <c r="DR225">
        <v>30.2</v>
      </c>
      <c r="DS225">
        <v>32.411099999999998</v>
      </c>
      <c r="DT225">
        <v>30.793800000000001</v>
      </c>
      <c r="DU225">
        <v>9.3910300000000007</v>
      </c>
      <c r="DV225">
        <v>1</v>
      </c>
      <c r="DW225">
        <v>0.169539</v>
      </c>
      <c r="DX225">
        <v>-0.47895199999999999</v>
      </c>
      <c r="DY225">
        <v>20.3674</v>
      </c>
      <c r="DZ225">
        <v>5.2126200000000003</v>
      </c>
      <c r="EA225">
        <v>11.8482</v>
      </c>
      <c r="EB225">
        <v>4.9679200000000003</v>
      </c>
      <c r="EC225">
        <v>3.2922400000000001</v>
      </c>
      <c r="ED225">
        <v>894.7</v>
      </c>
      <c r="EE225">
        <v>0</v>
      </c>
      <c r="EF225">
        <v>9999</v>
      </c>
      <c r="EG225">
        <v>112.3</v>
      </c>
      <c r="EH225">
        <v>4.97159</v>
      </c>
      <c r="EI225">
        <v>1.8717999999999999</v>
      </c>
      <c r="EJ225">
        <v>1.86897</v>
      </c>
      <c r="EK225">
        <v>1.8714299999999999</v>
      </c>
      <c r="EL225">
        <v>1.8691800000000001</v>
      </c>
      <c r="EM225">
        <v>1.8681300000000001</v>
      </c>
      <c r="EN225">
        <v>1.86995</v>
      </c>
      <c r="EO225">
        <v>1.8717600000000001</v>
      </c>
      <c r="EP225">
        <v>0</v>
      </c>
      <c r="EQ225">
        <v>0</v>
      </c>
      <c r="ER225">
        <v>0</v>
      </c>
      <c r="ES225">
        <v>0</v>
      </c>
      <c r="ET225" t="s">
        <v>334</v>
      </c>
      <c r="EU225" t="s">
        <v>335</v>
      </c>
      <c r="EV225" t="s">
        <v>336</v>
      </c>
      <c r="EW225" t="s">
        <v>336</v>
      </c>
      <c r="EX225" t="s">
        <v>336</v>
      </c>
      <c r="EY225" t="s">
        <v>336</v>
      </c>
      <c r="EZ225">
        <v>0</v>
      </c>
      <c r="FA225">
        <v>100</v>
      </c>
      <c r="FB225">
        <v>100</v>
      </c>
      <c r="FC225">
        <v>7.9630000000000001</v>
      </c>
      <c r="FD225">
        <v>-0.98929999999999996</v>
      </c>
      <c r="FE225">
        <v>7.9976050000000036</v>
      </c>
      <c r="FF225">
        <v>0</v>
      </c>
      <c r="FG225">
        <v>0</v>
      </c>
      <c r="FH225">
        <v>0</v>
      </c>
      <c r="FI225">
        <v>-0.98927100000000023</v>
      </c>
      <c r="FJ225">
        <v>0</v>
      </c>
      <c r="FK225">
        <v>0</v>
      </c>
      <c r="FL225">
        <v>0</v>
      </c>
      <c r="FM225">
        <v>-1</v>
      </c>
      <c r="FN225">
        <v>-1</v>
      </c>
      <c r="FO225">
        <v>-1</v>
      </c>
      <c r="FP225">
        <v>-1</v>
      </c>
      <c r="FQ225">
        <v>0.7</v>
      </c>
      <c r="FR225">
        <v>209.2</v>
      </c>
      <c r="FS225">
        <v>0.14160200000000001</v>
      </c>
      <c r="FT225">
        <v>4.99756</v>
      </c>
      <c r="FU225">
        <v>1.5979000000000001</v>
      </c>
      <c r="FV225">
        <v>2.1520999999999999</v>
      </c>
      <c r="FW225">
        <v>1.5478499999999999</v>
      </c>
      <c r="FX225">
        <v>2.4548299999999998</v>
      </c>
      <c r="FY225">
        <v>34.5321</v>
      </c>
      <c r="FZ225">
        <v>15.2615</v>
      </c>
      <c r="GA225">
        <v>3</v>
      </c>
      <c r="GB225">
        <v>498.92599999999999</v>
      </c>
      <c r="GC225">
        <v>405.75099999999998</v>
      </c>
      <c r="GD225">
        <v>28.1221</v>
      </c>
      <c r="GE225">
        <v>29.4252</v>
      </c>
      <c r="GF225">
        <v>30</v>
      </c>
      <c r="GG225">
        <v>29.722999999999999</v>
      </c>
      <c r="GH225">
        <v>29.7743</v>
      </c>
      <c r="GI225">
        <v>-1</v>
      </c>
      <c r="GJ225">
        <v>0</v>
      </c>
      <c r="GK225">
        <v>100</v>
      </c>
      <c r="GL225">
        <v>28.121500000000001</v>
      </c>
      <c r="GM225">
        <v>432.1</v>
      </c>
      <c r="GN225">
        <v>68.912800000000004</v>
      </c>
      <c r="GO225">
        <v>102.249</v>
      </c>
      <c r="GP225">
        <v>96.5685</v>
      </c>
    </row>
    <row r="226" spans="1:198" x14ac:dyDescent="0.35">
      <c r="A226">
        <v>210</v>
      </c>
      <c r="B226">
        <v>1775493580.0999999</v>
      </c>
      <c r="C226">
        <v>12541.599999904631</v>
      </c>
      <c r="D226" t="s">
        <v>961</v>
      </c>
      <c r="E226" t="s">
        <v>962</v>
      </c>
      <c r="F226">
        <v>60</v>
      </c>
      <c r="G226">
        <v>1775493572.099999</v>
      </c>
      <c r="H226">
        <f t="shared" si="90"/>
        <v>2.1728454594248537E-3</v>
      </c>
      <c r="I226">
        <f t="shared" si="91"/>
        <v>2.1728454594248539</v>
      </c>
      <c r="J226">
        <f t="shared" si="92"/>
        <v>0.70745926598618358</v>
      </c>
      <c r="K226">
        <f t="shared" si="93"/>
        <v>39.888045161290322</v>
      </c>
      <c r="L226">
        <f t="shared" si="94"/>
        <v>18.376568024718921</v>
      </c>
      <c r="M226">
        <f t="shared" si="95"/>
        <v>1.8430796545453902</v>
      </c>
      <c r="N226">
        <f t="shared" si="96"/>
        <v>4.000575319475975</v>
      </c>
      <c r="O226">
        <f t="shared" si="97"/>
        <v>5.7989276791041822E-2</v>
      </c>
      <c r="P226">
        <f t="shared" si="98"/>
        <v>2.3900777372639022</v>
      </c>
      <c r="Q226">
        <f t="shared" si="99"/>
        <v>5.7218837145640321E-2</v>
      </c>
      <c r="R226">
        <f t="shared" si="100"/>
        <v>3.5830141333205237E-2</v>
      </c>
      <c r="S226">
        <f t="shared" si="101"/>
        <v>0</v>
      </c>
      <c r="T226">
        <f t="shared" si="102"/>
        <v>26.614802349190583</v>
      </c>
      <c r="U226">
        <f t="shared" si="103"/>
        <v>27.3549935483871</v>
      </c>
      <c r="V226">
        <f t="shared" si="104"/>
        <v>3.6544664920054202</v>
      </c>
      <c r="W226">
        <f t="shared" si="105"/>
        <v>-2.3729473104273962</v>
      </c>
      <c r="X226">
        <f t="shared" si="106"/>
        <v>-8.6422889814510837E-2</v>
      </c>
      <c r="Y226">
        <f t="shared" si="107"/>
        <v>3.6420062693657131</v>
      </c>
      <c r="Z226">
        <f t="shared" si="108"/>
        <v>3.7408893818199309</v>
      </c>
      <c r="AA226">
        <f t="shared" si="109"/>
        <v>-95.822484760636044</v>
      </c>
      <c r="AB226">
        <f t="shared" si="110"/>
        <v>-7.5113493623345704</v>
      </c>
      <c r="AC226">
        <f t="shared" si="111"/>
        <v>-0.68044852669112821</v>
      </c>
      <c r="AD226">
        <f t="shared" si="112"/>
        <v>-104.01428264966174</v>
      </c>
      <c r="AE226">
        <v>12</v>
      </c>
      <c r="AF226">
        <v>2</v>
      </c>
      <c r="AG226">
        <f t="shared" si="113"/>
        <v>1</v>
      </c>
      <c r="AH226">
        <f t="shared" si="114"/>
        <v>0</v>
      </c>
      <c r="AI226">
        <f t="shared" si="115"/>
        <v>25518.576157034331</v>
      </c>
      <c r="AJ226">
        <f t="shared" si="116"/>
        <v>0</v>
      </c>
      <c r="AK226">
        <f t="shared" si="117"/>
        <v>0</v>
      </c>
      <c r="AL226">
        <f t="shared" si="118"/>
        <v>0</v>
      </c>
      <c r="AM226">
        <f t="shared" si="119"/>
        <v>0</v>
      </c>
      <c r="AN226">
        <v>3</v>
      </c>
      <c r="AO226">
        <v>0.5</v>
      </c>
      <c r="AP226" t="s">
        <v>331</v>
      </c>
      <c r="AQ226">
        <v>2</v>
      </c>
      <c r="AR226">
        <v>1775493572.099999</v>
      </c>
      <c r="AS226">
        <v>39.888045161290322</v>
      </c>
      <c r="AT226">
        <v>40.364548387096782</v>
      </c>
      <c r="AU226">
        <v>-0.86168609677419361</v>
      </c>
      <c r="AV226">
        <v>-2.1665861290322579</v>
      </c>
      <c r="AW226">
        <v>31.911045161290321</v>
      </c>
      <c r="AX226">
        <v>0.1275848709677419</v>
      </c>
      <c r="AY226">
        <v>499.97341935483882</v>
      </c>
      <c r="AZ226">
        <v>100.2567741935484</v>
      </c>
      <c r="BA226">
        <v>3.8321825806451618E-2</v>
      </c>
      <c r="BB226">
        <v>27.296700000000001</v>
      </c>
      <c r="BC226">
        <v>27.3549935483871</v>
      </c>
      <c r="BD226">
        <v>999.90000000000032</v>
      </c>
      <c r="BE226">
        <v>0</v>
      </c>
      <c r="BF226">
        <v>0</v>
      </c>
      <c r="BG226">
        <v>4992.4516129032254</v>
      </c>
      <c r="BH226">
        <v>0.36958616129032262</v>
      </c>
      <c r="BI226">
        <v>0.23331922580645159</v>
      </c>
      <c r="BJ226">
        <v>-0.49038225806451619</v>
      </c>
      <c r="BK226">
        <v>39.839829032258073</v>
      </c>
      <c r="BL226">
        <v>40.277277419354839</v>
      </c>
      <c r="BM226">
        <v>1.3049009677419361</v>
      </c>
      <c r="BN226">
        <v>40.364548387096782</v>
      </c>
      <c r="BO226">
        <v>-2.1665861290322579</v>
      </c>
      <c r="BP226">
        <v>-8.6389896774193564E-2</v>
      </c>
      <c r="BQ226">
        <v>-0.21721516129032259</v>
      </c>
      <c r="BR226">
        <v>-99.900000000000034</v>
      </c>
      <c r="BS226">
        <v>-99.900000000000034</v>
      </c>
      <c r="BT226">
        <v>0</v>
      </c>
      <c r="BU226">
        <v>0</v>
      </c>
      <c r="BV226">
        <v>0</v>
      </c>
      <c r="BW226">
        <v>25</v>
      </c>
      <c r="BX226">
        <v>-1</v>
      </c>
      <c r="BY226">
        <v>1775493600.0999999</v>
      </c>
      <c r="BZ226" t="s">
        <v>963</v>
      </c>
      <c r="CA226">
        <v>1775493600.0999999</v>
      </c>
      <c r="CB226">
        <v>1775480969.5</v>
      </c>
      <c r="CC226">
        <v>211</v>
      </c>
      <c r="CD226">
        <v>1.4E-2</v>
      </c>
      <c r="CE226">
        <v>0.19500000000000001</v>
      </c>
      <c r="CF226">
        <v>7.9770000000000003</v>
      </c>
      <c r="CG226">
        <v>-0.98899999999999999</v>
      </c>
      <c r="CH226">
        <v>40</v>
      </c>
      <c r="CI226">
        <v>-3</v>
      </c>
      <c r="CJ226">
        <v>0.32</v>
      </c>
      <c r="CK226">
        <v>0.06</v>
      </c>
      <c r="CL226">
        <v>40.477420000000009</v>
      </c>
      <c r="CM226">
        <v>-0.88583806612954319</v>
      </c>
      <c r="CN226">
        <v>0.20579277020018641</v>
      </c>
      <c r="CO226">
        <v>-1</v>
      </c>
      <c r="CP226">
        <v>499.99005</v>
      </c>
      <c r="CQ226">
        <v>-0.1139616560151847</v>
      </c>
      <c r="CR226">
        <v>5.2534885235114417E-2</v>
      </c>
      <c r="CS226">
        <v>-1</v>
      </c>
      <c r="CT226">
        <v>0</v>
      </c>
      <c r="CU226">
        <v>0</v>
      </c>
      <c r="CV226" t="s">
        <v>333</v>
      </c>
      <c r="CW226">
        <v>3.1673900000000001</v>
      </c>
      <c r="CX226">
        <v>2.6596600000000001</v>
      </c>
      <c r="CY226">
        <v>9.5129800000000007E-3</v>
      </c>
      <c r="CZ226">
        <v>1.21081E-2</v>
      </c>
      <c r="DA226">
        <v>1.03287E-3</v>
      </c>
      <c r="DB226">
        <v>-2.0418700000000001E-2</v>
      </c>
      <c r="DC226">
        <v>21381.4</v>
      </c>
      <c r="DD226">
        <v>21712.5</v>
      </c>
      <c r="DE226">
        <v>23113.4</v>
      </c>
      <c r="DF226">
        <v>22330.5</v>
      </c>
      <c r="DG226">
        <v>29775.599999999999</v>
      </c>
      <c r="DH226">
        <v>27175.3</v>
      </c>
      <c r="DI226">
        <v>40621.699999999997</v>
      </c>
      <c r="DJ226">
        <v>37010</v>
      </c>
      <c r="DK226">
        <v>2.0946400000000001</v>
      </c>
      <c r="DL226">
        <v>1.80488</v>
      </c>
      <c r="DM226">
        <v>2.9590700000000001E-2</v>
      </c>
      <c r="DN226">
        <v>0</v>
      </c>
      <c r="DO226">
        <v>26.861499999999999</v>
      </c>
      <c r="DP226">
        <v>999.9</v>
      </c>
      <c r="DQ226">
        <v>75.3</v>
      </c>
      <c r="DR226">
        <v>30.2</v>
      </c>
      <c r="DS226">
        <v>32.369700000000002</v>
      </c>
      <c r="DT226">
        <v>30.7638</v>
      </c>
      <c r="DU226">
        <v>9.7876600000000007</v>
      </c>
      <c r="DV226">
        <v>1</v>
      </c>
      <c r="DW226">
        <v>0.16872799999999999</v>
      </c>
      <c r="DX226">
        <v>-0.48258200000000001</v>
      </c>
      <c r="DY226">
        <v>20.3675</v>
      </c>
      <c r="DZ226">
        <v>5.2123799999999996</v>
      </c>
      <c r="EA226">
        <v>11.8482</v>
      </c>
      <c r="EB226">
        <v>4.9682000000000004</v>
      </c>
      <c r="EC226">
        <v>3.29216</v>
      </c>
      <c r="ED226">
        <v>894.7</v>
      </c>
      <c r="EE226">
        <v>0</v>
      </c>
      <c r="EF226">
        <v>9999</v>
      </c>
      <c r="EG226">
        <v>112.3</v>
      </c>
      <c r="EH226">
        <v>4.9715999999999996</v>
      </c>
      <c r="EI226">
        <v>1.8717999999999999</v>
      </c>
      <c r="EJ226">
        <v>1.869</v>
      </c>
      <c r="EK226">
        <v>1.8714200000000001</v>
      </c>
      <c r="EL226">
        <v>1.86911</v>
      </c>
      <c r="EM226">
        <v>1.8681300000000001</v>
      </c>
      <c r="EN226">
        <v>1.8699600000000001</v>
      </c>
      <c r="EO226">
        <v>1.8717600000000001</v>
      </c>
      <c r="EP226">
        <v>0</v>
      </c>
      <c r="EQ226">
        <v>0</v>
      </c>
      <c r="ER226">
        <v>0</v>
      </c>
      <c r="ES226">
        <v>0</v>
      </c>
      <c r="ET226" t="s">
        <v>334</v>
      </c>
      <c r="EU226" t="s">
        <v>335</v>
      </c>
      <c r="EV226" t="s">
        <v>336</v>
      </c>
      <c r="EW226" t="s">
        <v>336</v>
      </c>
      <c r="EX226" t="s">
        <v>336</v>
      </c>
      <c r="EY226" t="s">
        <v>336</v>
      </c>
      <c r="EZ226">
        <v>0</v>
      </c>
      <c r="FA226">
        <v>100</v>
      </c>
      <c r="FB226">
        <v>100</v>
      </c>
      <c r="FC226">
        <v>7.9770000000000003</v>
      </c>
      <c r="FD226">
        <v>-0.98929999999999996</v>
      </c>
      <c r="FE226">
        <v>7.9631149999999984</v>
      </c>
      <c r="FF226">
        <v>0</v>
      </c>
      <c r="FG226">
        <v>0</v>
      </c>
      <c r="FH226">
        <v>0</v>
      </c>
      <c r="FI226">
        <v>-0.98927100000000023</v>
      </c>
      <c r="FJ226">
        <v>0</v>
      </c>
      <c r="FK226">
        <v>0</v>
      </c>
      <c r="FL226">
        <v>0</v>
      </c>
      <c r="FM226">
        <v>-1</v>
      </c>
      <c r="FN226">
        <v>-1</v>
      </c>
      <c r="FO226">
        <v>-1</v>
      </c>
      <c r="FP226">
        <v>-1</v>
      </c>
      <c r="FQ226">
        <v>0.8</v>
      </c>
      <c r="FR226">
        <v>210.2</v>
      </c>
      <c r="FS226">
        <v>0.142822</v>
      </c>
      <c r="FT226">
        <v>4.99756</v>
      </c>
      <c r="FU226">
        <v>1.5979000000000001</v>
      </c>
      <c r="FV226">
        <v>2.1533199999999999</v>
      </c>
      <c r="FW226">
        <v>1.5478499999999999</v>
      </c>
      <c r="FX226">
        <v>2.4609399999999999</v>
      </c>
      <c r="FY226">
        <v>34.554900000000004</v>
      </c>
      <c r="FZ226">
        <v>15.252800000000001</v>
      </c>
      <c r="GA226">
        <v>3</v>
      </c>
      <c r="GB226">
        <v>498.94299999999998</v>
      </c>
      <c r="GC226">
        <v>405.78699999999998</v>
      </c>
      <c r="GD226">
        <v>28.117100000000001</v>
      </c>
      <c r="GE226">
        <v>29.419699999999999</v>
      </c>
      <c r="GF226">
        <v>30.0001</v>
      </c>
      <c r="GG226">
        <v>29.7164</v>
      </c>
      <c r="GH226">
        <v>29.769300000000001</v>
      </c>
      <c r="GI226">
        <v>-1</v>
      </c>
      <c r="GJ226">
        <v>0</v>
      </c>
      <c r="GK226">
        <v>100</v>
      </c>
      <c r="GL226">
        <v>28.1191</v>
      </c>
      <c r="GM226">
        <v>432.1</v>
      </c>
      <c r="GN226">
        <v>68.912800000000004</v>
      </c>
      <c r="GO226">
        <v>102.25</v>
      </c>
      <c r="GP226">
        <v>96.570300000000003</v>
      </c>
    </row>
    <row r="227" spans="1:198" x14ac:dyDescent="0.35">
      <c r="A227">
        <v>211</v>
      </c>
      <c r="B227">
        <v>1775493640.0999999</v>
      </c>
      <c r="C227">
        <v>12601.599999904631</v>
      </c>
      <c r="D227" t="s">
        <v>964</v>
      </c>
      <c r="E227" t="s">
        <v>965</v>
      </c>
      <c r="F227">
        <v>60</v>
      </c>
      <c r="G227">
        <v>1775493632.099999</v>
      </c>
      <c r="H227">
        <f t="shared" si="90"/>
        <v>2.1689067196998314E-3</v>
      </c>
      <c r="I227">
        <f t="shared" si="91"/>
        <v>2.1689067196998315</v>
      </c>
      <c r="J227">
        <f t="shared" si="92"/>
        <v>0.54486800614771447</v>
      </c>
      <c r="K227">
        <f t="shared" si="93"/>
        <v>39.359941935483867</v>
      </c>
      <c r="L227">
        <f t="shared" si="94"/>
        <v>22.26780913088189</v>
      </c>
      <c r="M227">
        <f t="shared" si="95"/>
        <v>2.2333956448053245</v>
      </c>
      <c r="N227">
        <f t="shared" si="96"/>
        <v>3.9476862039646337</v>
      </c>
      <c r="O227">
        <f t="shared" si="97"/>
        <v>5.7920202553784779E-2</v>
      </c>
      <c r="P227">
        <f t="shared" si="98"/>
        <v>2.3928545014835665</v>
      </c>
      <c r="Q227">
        <f t="shared" si="99"/>
        <v>5.7152463308678639E-2</v>
      </c>
      <c r="R227">
        <f t="shared" si="100"/>
        <v>3.5788420020170408E-2</v>
      </c>
      <c r="S227">
        <f t="shared" si="101"/>
        <v>0</v>
      </c>
      <c r="T227">
        <f t="shared" si="102"/>
        <v>26.616762776479206</v>
      </c>
      <c r="U227">
        <f t="shared" si="103"/>
        <v>27.35154838709677</v>
      </c>
      <c r="V227">
        <f t="shared" si="104"/>
        <v>3.653729057084925</v>
      </c>
      <c r="W227">
        <f t="shared" si="105"/>
        <v>-2.3276384731345878</v>
      </c>
      <c r="X227">
        <f t="shared" si="106"/>
        <v>-8.4772739119730059E-2</v>
      </c>
      <c r="Y227">
        <f t="shared" si="107"/>
        <v>3.6420062693657131</v>
      </c>
      <c r="Z227">
        <f t="shared" si="108"/>
        <v>3.7385017962046549</v>
      </c>
      <c r="AA227">
        <f t="shared" si="109"/>
        <v>-95.648786338762562</v>
      </c>
      <c r="AB227">
        <f t="shared" si="110"/>
        <v>-7.0756378475584665</v>
      </c>
      <c r="AC227">
        <f t="shared" si="111"/>
        <v>-0.64022285470520057</v>
      </c>
      <c r="AD227">
        <f t="shared" si="112"/>
        <v>-103.36464704102623</v>
      </c>
      <c r="AE227">
        <v>12</v>
      </c>
      <c r="AF227">
        <v>2</v>
      </c>
      <c r="AG227">
        <f t="shared" si="113"/>
        <v>1</v>
      </c>
      <c r="AH227">
        <f t="shared" si="114"/>
        <v>0</v>
      </c>
      <c r="AI227">
        <f t="shared" si="115"/>
        <v>25560.707191865495</v>
      </c>
      <c r="AJ227">
        <f t="shared" si="116"/>
        <v>0</v>
      </c>
      <c r="AK227">
        <f t="shared" si="117"/>
        <v>0</v>
      </c>
      <c r="AL227">
        <f t="shared" si="118"/>
        <v>0</v>
      </c>
      <c r="AM227">
        <f t="shared" si="119"/>
        <v>0</v>
      </c>
      <c r="AN227">
        <v>3</v>
      </c>
      <c r="AO227">
        <v>0.5</v>
      </c>
      <c r="AP227" t="s">
        <v>331</v>
      </c>
      <c r="AQ227">
        <v>2</v>
      </c>
      <c r="AR227">
        <v>1775493632.099999</v>
      </c>
      <c r="AS227">
        <v>39.359941935483867</v>
      </c>
      <c r="AT227">
        <v>39.738090322580639</v>
      </c>
      <c r="AU227">
        <v>-0.84521664516129036</v>
      </c>
      <c r="AV227">
        <v>-2.1476838709677422</v>
      </c>
      <c r="AW227">
        <v>31.424941935483869</v>
      </c>
      <c r="AX227">
        <v>0.14405425806451611</v>
      </c>
      <c r="AY227">
        <v>499.99106451612897</v>
      </c>
      <c r="AZ227">
        <v>100.25896774193551</v>
      </c>
      <c r="BA227">
        <v>3.8085806451612907E-2</v>
      </c>
      <c r="BB227">
        <v>27.296700000000001</v>
      </c>
      <c r="BC227">
        <v>27.35154838709677</v>
      </c>
      <c r="BD227">
        <v>999.90000000000032</v>
      </c>
      <c r="BE227">
        <v>0</v>
      </c>
      <c r="BF227">
        <v>0</v>
      </c>
      <c r="BG227">
        <v>4999.4838709677406</v>
      </c>
      <c r="BH227">
        <v>0.37698703225806451</v>
      </c>
      <c r="BI227">
        <v>0.22961599999999999</v>
      </c>
      <c r="BJ227">
        <v>-0.3359011612903226</v>
      </c>
      <c r="BK227">
        <v>39.368909677419353</v>
      </c>
      <c r="BL227">
        <v>39.65292580645162</v>
      </c>
      <c r="BM227">
        <v>1.3024661290322579</v>
      </c>
      <c r="BN227">
        <v>39.738090322580639</v>
      </c>
      <c r="BO227">
        <v>-2.1476838709677422</v>
      </c>
      <c r="BP227">
        <v>-8.4740641935483862E-2</v>
      </c>
      <c r="BQ227">
        <v>-0.215324870967742</v>
      </c>
      <c r="BR227">
        <v>-99.900000000000034</v>
      </c>
      <c r="BS227">
        <v>-99.900000000000034</v>
      </c>
      <c r="BT227">
        <v>0</v>
      </c>
      <c r="BU227">
        <v>0</v>
      </c>
      <c r="BV227">
        <v>0</v>
      </c>
      <c r="BW227">
        <v>25</v>
      </c>
      <c r="BX227">
        <v>-1</v>
      </c>
      <c r="BY227">
        <v>1775493661.0999999</v>
      </c>
      <c r="BZ227" t="s">
        <v>966</v>
      </c>
      <c r="CA227">
        <v>1775493661.0999999</v>
      </c>
      <c r="CB227">
        <v>1775480969.5</v>
      </c>
      <c r="CC227">
        <v>212</v>
      </c>
      <c r="CD227">
        <v>-4.2000000000000003E-2</v>
      </c>
      <c r="CE227">
        <v>0.19500000000000001</v>
      </c>
      <c r="CF227">
        <v>7.9349999999999996</v>
      </c>
      <c r="CG227">
        <v>-0.98899999999999999</v>
      </c>
      <c r="CH227">
        <v>40</v>
      </c>
      <c r="CI227">
        <v>-3</v>
      </c>
      <c r="CJ227">
        <v>0.32</v>
      </c>
      <c r="CK227">
        <v>0.06</v>
      </c>
      <c r="CL227">
        <v>39.957545901639349</v>
      </c>
      <c r="CM227">
        <v>-1.5874711792702509</v>
      </c>
      <c r="CN227">
        <v>0.28217489261836698</v>
      </c>
      <c r="CO227">
        <v>-1</v>
      </c>
      <c r="CP227">
        <v>500.01088524590159</v>
      </c>
      <c r="CQ227">
        <v>-0.30293812797573111</v>
      </c>
      <c r="CR227">
        <v>0.10754261044351381</v>
      </c>
      <c r="CS227">
        <v>-1</v>
      </c>
      <c r="CT227">
        <v>0</v>
      </c>
      <c r="CU227">
        <v>0</v>
      </c>
      <c r="CV227" t="s">
        <v>333</v>
      </c>
      <c r="CW227">
        <v>3.1674799999999999</v>
      </c>
      <c r="CX227">
        <v>2.6593100000000001</v>
      </c>
      <c r="CY227">
        <v>9.3459700000000003E-3</v>
      </c>
      <c r="CZ227">
        <v>1.20126E-2</v>
      </c>
      <c r="DA227">
        <v>1.1962400000000001E-3</v>
      </c>
      <c r="DB227">
        <v>-2.0223600000000001E-2</v>
      </c>
      <c r="DC227">
        <v>21385.4</v>
      </c>
      <c r="DD227">
        <v>21714.799999999999</v>
      </c>
      <c r="DE227">
        <v>23113.9</v>
      </c>
      <c r="DF227">
        <v>22330.799999999999</v>
      </c>
      <c r="DG227">
        <v>29771.3</v>
      </c>
      <c r="DH227">
        <v>27170.3</v>
      </c>
      <c r="DI227">
        <v>40622.400000000001</v>
      </c>
      <c r="DJ227">
        <v>37010.199999999997</v>
      </c>
      <c r="DK227">
        <v>2.0946400000000001</v>
      </c>
      <c r="DL227">
        <v>1.8047800000000001</v>
      </c>
      <c r="DM227">
        <v>3.1074899999999999E-2</v>
      </c>
      <c r="DN227">
        <v>0</v>
      </c>
      <c r="DO227">
        <v>26.851299999999998</v>
      </c>
      <c r="DP227">
        <v>999.9</v>
      </c>
      <c r="DQ227">
        <v>75.3</v>
      </c>
      <c r="DR227">
        <v>30.2</v>
      </c>
      <c r="DS227">
        <v>32.3645</v>
      </c>
      <c r="DT227">
        <v>30.4938</v>
      </c>
      <c r="DU227">
        <v>9.5152199999999993</v>
      </c>
      <c r="DV227">
        <v>1</v>
      </c>
      <c r="DW227">
        <v>0.16791500000000001</v>
      </c>
      <c r="DX227">
        <v>-0.489259</v>
      </c>
      <c r="DY227">
        <v>20.3675</v>
      </c>
      <c r="DZ227">
        <v>5.2115400000000003</v>
      </c>
      <c r="EA227">
        <v>11.8482</v>
      </c>
      <c r="EB227">
        <v>4.9678000000000004</v>
      </c>
      <c r="EC227">
        <v>3.2922799999999999</v>
      </c>
      <c r="ED227">
        <v>894.7</v>
      </c>
      <c r="EE227">
        <v>0</v>
      </c>
      <c r="EF227">
        <v>9999</v>
      </c>
      <c r="EG227">
        <v>112.3</v>
      </c>
      <c r="EH227">
        <v>4.9715999999999996</v>
      </c>
      <c r="EI227">
        <v>1.8717999999999999</v>
      </c>
      <c r="EJ227">
        <v>1.869</v>
      </c>
      <c r="EK227">
        <v>1.8714500000000001</v>
      </c>
      <c r="EL227">
        <v>1.8691500000000001</v>
      </c>
      <c r="EM227">
        <v>1.86812</v>
      </c>
      <c r="EN227">
        <v>1.8699600000000001</v>
      </c>
      <c r="EO227">
        <v>1.8717299999999999</v>
      </c>
      <c r="EP227">
        <v>0</v>
      </c>
      <c r="EQ227">
        <v>0</v>
      </c>
      <c r="ER227">
        <v>0</v>
      </c>
      <c r="ES227">
        <v>0</v>
      </c>
      <c r="ET227" t="s">
        <v>334</v>
      </c>
      <c r="EU227" t="s">
        <v>335</v>
      </c>
      <c r="EV227" t="s">
        <v>336</v>
      </c>
      <c r="EW227" t="s">
        <v>336</v>
      </c>
      <c r="EX227" t="s">
        <v>336</v>
      </c>
      <c r="EY227" t="s">
        <v>336</v>
      </c>
      <c r="EZ227">
        <v>0</v>
      </c>
      <c r="FA227">
        <v>100</v>
      </c>
      <c r="FB227">
        <v>100</v>
      </c>
      <c r="FC227">
        <v>7.9349999999999996</v>
      </c>
      <c r="FD227">
        <v>-0.98929999999999996</v>
      </c>
      <c r="FE227">
        <v>7.9772450000000026</v>
      </c>
      <c r="FF227">
        <v>0</v>
      </c>
      <c r="FG227">
        <v>0</v>
      </c>
      <c r="FH227">
        <v>0</v>
      </c>
      <c r="FI227">
        <v>-0.98927100000000023</v>
      </c>
      <c r="FJ227">
        <v>0</v>
      </c>
      <c r="FK227">
        <v>0</v>
      </c>
      <c r="FL227">
        <v>0</v>
      </c>
      <c r="FM227">
        <v>-1</v>
      </c>
      <c r="FN227">
        <v>-1</v>
      </c>
      <c r="FO227">
        <v>-1</v>
      </c>
      <c r="FP227">
        <v>-1</v>
      </c>
      <c r="FQ227">
        <v>0.7</v>
      </c>
      <c r="FR227">
        <v>211.2</v>
      </c>
      <c r="FS227">
        <v>0.14160200000000001</v>
      </c>
      <c r="FT227">
        <v>4.99756</v>
      </c>
      <c r="FU227">
        <v>1.5979000000000001</v>
      </c>
      <c r="FV227">
        <v>2.1533199999999999</v>
      </c>
      <c r="FW227">
        <v>1.5478499999999999</v>
      </c>
      <c r="FX227">
        <v>2.3547400000000001</v>
      </c>
      <c r="FY227">
        <v>34.554900000000004</v>
      </c>
      <c r="FZ227">
        <v>15.235300000000001</v>
      </c>
      <c r="GA227">
        <v>3</v>
      </c>
      <c r="GB227">
        <v>498.904</v>
      </c>
      <c r="GC227">
        <v>405.69600000000003</v>
      </c>
      <c r="GD227">
        <v>28.136800000000001</v>
      </c>
      <c r="GE227">
        <v>29.412600000000001</v>
      </c>
      <c r="GF227">
        <v>30.0001</v>
      </c>
      <c r="GG227">
        <v>29.711300000000001</v>
      </c>
      <c r="GH227">
        <v>29.764299999999999</v>
      </c>
      <c r="GI227">
        <v>-1</v>
      </c>
      <c r="GJ227">
        <v>0</v>
      </c>
      <c r="GK227">
        <v>100</v>
      </c>
      <c r="GL227">
        <v>28.1386</v>
      </c>
      <c r="GM227">
        <v>432.1</v>
      </c>
      <c r="GN227">
        <v>68.912800000000004</v>
      </c>
      <c r="GO227">
        <v>102.252</v>
      </c>
      <c r="GP227">
        <v>96.571100000000001</v>
      </c>
    </row>
    <row r="228" spans="1:198" x14ac:dyDescent="0.35">
      <c r="A228">
        <v>212</v>
      </c>
      <c r="B228">
        <v>1775493700.0999999</v>
      </c>
      <c r="C228">
        <v>12661.599999904631</v>
      </c>
      <c r="D228" t="s">
        <v>967</v>
      </c>
      <c r="E228" t="s">
        <v>968</v>
      </c>
      <c r="F228">
        <v>60</v>
      </c>
      <c r="G228">
        <v>1775493692.099999</v>
      </c>
      <c r="H228">
        <f t="shared" si="90"/>
        <v>2.1706125669194764E-3</v>
      </c>
      <c r="I228">
        <f t="shared" si="91"/>
        <v>2.1706125669194765</v>
      </c>
      <c r="J228">
        <f t="shared" si="92"/>
        <v>0.29805446879928754</v>
      </c>
      <c r="K228">
        <f t="shared" si="93"/>
        <v>39.377154838709671</v>
      </c>
      <c r="L228">
        <f t="shared" si="94"/>
        <v>28.986340524014349</v>
      </c>
      <c r="M228">
        <f t="shared" si="95"/>
        <v>2.9072806324301523</v>
      </c>
      <c r="N228">
        <f t="shared" si="96"/>
        <v>3.9494616275531622</v>
      </c>
      <c r="O228">
        <f t="shared" si="97"/>
        <v>5.79795907910957E-2</v>
      </c>
      <c r="P228">
        <f t="shared" si="98"/>
        <v>2.3939930163291434</v>
      </c>
      <c r="Q228">
        <f t="shared" si="99"/>
        <v>5.7210648244317701E-2</v>
      </c>
      <c r="R228">
        <f t="shared" si="100"/>
        <v>3.5824891928755188E-2</v>
      </c>
      <c r="S228">
        <f t="shared" si="101"/>
        <v>0</v>
      </c>
      <c r="T228">
        <f t="shared" si="102"/>
        <v>26.621127376778325</v>
      </c>
      <c r="U228">
        <f t="shared" si="103"/>
        <v>27.354767741935479</v>
      </c>
      <c r="V228">
        <f t="shared" si="104"/>
        <v>3.6544181542783085</v>
      </c>
      <c r="W228">
        <f t="shared" si="105"/>
        <v>-2.2844869838360622</v>
      </c>
      <c r="X228">
        <f t="shared" si="106"/>
        <v>-8.3223590524693719E-2</v>
      </c>
      <c r="Y228">
        <f t="shared" si="107"/>
        <v>3.6429881681771037</v>
      </c>
      <c r="Z228">
        <f t="shared" si="108"/>
        <v>3.7376417448030024</v>
      </c>
      <c r="AA228">
        <f t="shared" si="109"/>
        <v>-95.724014201148904</v>
      </c>
      <c r="AB228">
        <f t="shared" si="110"/>
        <v>-6.9008115195224802</v>
      </c>
      <c r="AC228">
        <f t="shared" si="111"/>
        <v>-0.62413152108256276</v>
      </c>
      <c r="AD228">
        <f t="shared" si="112"/>
        <v>-103.24895724175394</v>
      </c>
      <c r="AE228">
        <v>12</v>
      </c>
      <c r="AF228">
        <v>2</v>
      </c>
      <c r="AG228">
        <f t="shared" si="113"/>
        <v>1</v>
      </c>
      <c r="AH228">
        <f t="shared" si="114"/>
        <v>0</v>
      </c>
      <c r="AI228">
        <f t="shared" si="115"/>
        <v>25577.581350703098</v>
      </c>
      <c r="AJ228">
        <f t="shared" si="116"/>
        <v>0</v>
      </c>
      <c r="AK228">
        <f t="shared" si="117"/>
        <v>0</v>
      </c>
      <c r="AL228">
        <f t="shared" si="118"/>
        <v>0</v>
      </c>
      <c r="AM228">
        <f t="shared" si="119"/>
        <v>0</v>
      </c>
      <c r="AN228">
        <v>3</v>
      </c>
      <c r="AO228">
        <v>0.5</v>
      </c>
      <c r="AP228" t="s">
        <v>331</v>
      </c>
      <c r="AQ228">
        <v>2</v>
      </c>
      <c r="AR228">
        <v>1775493692.099999</v>
      </c>
      <c r="AS228">
        <v>39.377154838709671</v>
      </c>
      <c r="AT228">
        <v>39.607264516129028</v>
      </c>
      <c r="AU228">
        <v>-0.82976074193548399</v>
      </c>
      <c r="AV228">
        <v>-2.1331719354838712</v>
      </c>
      <c r="AW228">
        <v>31.400154838709671</v>
      </c>
      <c r="AX228">
        <v>0.1595102580645161</v>
      </c>
      <c r="AY228">
        <v>500.01419354838708</v>
      </c>
      <c r="AZ228">
        <v>100.26012903225811</v>
      </c>
      <c r="BA228">
        <v>3.8169403225806448E-2</v>
      </c>
      <c r="BB228">
        <v>27.301299999999991</v>
      </c>
      <c r="BC228">
        <v>27.354767741935479</v>
      </c>
      <c r="BD228">
        <v>999.90000000000032</v>
      </c>
      <c r="BE228">
        <v>0</v>
      </c>
      <c r="BF228">
        <v>0</v>
      </c>
      <c r="BG228">
        <v>5002.3548387096771</v>
      </c>
      <c r="BH228">
        <v>0.35765809677419352</v>
      </c>
      <c r="BI228">
        <v>0.23331922580645159</v>
      </c>
      <c r="BJ228">
        <v>-0.27194506612903219</v>
      </c>
      <c r="BK228">
        <v>39.302712903225803</v>
      </c>
      <c r="BL228">
        <v>39.522958064516139</v>
      </c>
      <c r="BM228">
        <v>1.303410322580645</v>
      </c>
      <c r="BN228">
        <v>39.607264516129028</v>
      </c>
      <c r="BO228">
        <v>-2.1331719354838712</v>
      </c>
      <c r="BP228">
        <v>-8.3191883870967737E-2</v>
      </c>
      <c r="BQ228">
        <v>-0.21387203225806439</v>
      </c>
      <c r="BR228">
        <v>-99.900000000000034</v>
      </c>
      <c r="BS228">
        <v>-99.900000000000034</v>
      </c>
      <c r="BT228">
        <v>0</v>
      </c>
      <c r="BU228">
        <v>0</v>
      </c>
      <c r="BV228">
        <v>0</v>
      </c>
      <c r="BW228">
        <v>25</v>
      </c>
      <c r="BX228">
        <v>-0.98387112903225837</v>
      </c>
      <c r="BY228">
        <v>1775493713.0999999</v>
      </c>
      <c r="BZ228" t="s">
        <v>969</v>
      </c>
      <c r="CA228">
        <v>1775493713.0999999</v>
      </c>
      <c r="CB228">
        <v>1775480969.5</v>
      </c>
      <c r="CC228">
        <v>213</v>
      </c>
      <c r="CD228">
        <v>4.2000000000000003E-2</v>
      </c>
      <c r="CE228">
        <v>0.19500000000000001</v>
      </c>
      <c r="CF228">
        <v>7.9770000000000003</v>
      </c>
      <c r="CG228">
        <v>-0.98899999999999999</v>
      </c>
      <c r="CH228">
        <v>39</v>
      </c>
      <c r="CI228">
        <v>-3</v>
      </c>
      <c r="CJ228">
        <v>0.26</v>
      </c>
      <c r="CK228">
        <v>0.06</v>
      </c>
      <c r="CL228">
        <v>39.817234999999997</v>
      </c>
      <c r="CM228">
        <v>-1.7297621561543961</v>
      </c>
      <c r="CN228">
        <v>0.3744289664831858</v>
      </c>
      <c r="CO228">
        <v>-1</v>
      </c>
      <c r="CP228">
        <v>500.02140000000003</v>
      </c>
      <c r="CQ228">
        <v>-0.18406446235031609</v>
      </c>
      <c r="CR228">
        <v>0.1142774693454528</v>
      </c>
      <c r="CS228">
        <v>-1</v>
      </c>
      <c r="CT228">
        <v>0</v>
      </c>
      <c r="CU228">
        <v>0</v>
      </c>
      <c r="CV228" t="s">
        <v>333</v>
      </c>
      <c r="CW228">
        <v>3.16744</v>
      </c>
      <c r="CX228">
        <v>2.6594799999999998</v>
      </c>
      <c r="CY228">
        <v>9.2893100000000003E-3</v>
      </c>
      <c r="CZ228">
        <v>1.1594999999999999E-2</v>
      </c>
      <c r="DA228">
        <v>1.26092E-3</v>
      </c>
      <c r="DB228">
        <v>-2.0132199999999999E-2</v>
      </c>
      <c r="DC228">
        <v>21387</v>
      </c>
      <c r="DD228">
        <v>21724.5</v>
      </c>
      <c r="DE228">
        <v>23114.2</v>
      </c>
      <c r="DF228">
        <v>22331.3</v>
      </c>
      <c r="DG228">
        <v>29769.8</v>
      </c>
      <c r="DH228">
        <v>27168.6</v>
      </c>
      <c r="DI228">
        <v>40622.9</v>
      </c>
      <c r="DJ228">
        <v>37011.1</v>
      </c>
      <c r="DK228">
        <v>2.09456</v>
      </c>
      <c r="DL228">
        <v>1.80592</v>
      </c>
      <c r="DM228">
        <v>3.1232800000000002E-2</v>
      </c>
      <c r="DN228">
        <v>0</v>
      </c>
      <c r="DO228">
        <v>26.8445</v>
      </c>
      <c r="DP228">
        <v>999.9</v>
      </c>
      <c r="DQ228">
        <v>75.3</v>
      </c>
      <c r="DR228">
        <v>30.3</v>
      </c>
      <c r="DS228">
        <v>32.554299999999998</v>
      </c>
      <c r="DT228">
        <v>30.5838</v>
      </c>
      <c r="DU228">
        <v>9.4431100000000008</v>
      </c>
      <c r="DV228">
        <v>1</v>
      </c>
      <c r="DW228">
        <v>0.16733500000000001</v>
      </c>
      <c r="DX228">
        <v>-0.46247500000000002</v>
      </c>
      <c r="DY228">
        <v>20.367799999999999</v>
      </c>
      <c r="DZ228">
        <v>5.2116600000000002</v>
      </c>
      <c r="EA228">
        <v>11.8482</v>
      </c>
      <c r="EB228">
        <v>4.9678399999999998</v>
      </c>
      <c r="EC228">
        <v>3.2921399999999998</v>
      </c>
      <c r="ED228">
        <v>894.7</v>
      </c>
      <c r="EE228">
        <v>0</v>
      </c>
      <c r="EF228">
        <v>9999</v>
      </c>
      <c r="EG228">
        <v>112.3</v>
      </c>
      <c r="EH228">
        <v>4.97159</v>
      </c>
      <c r="EI228">
        <v>1.87181</v>
      </c>
      <c r="EJ228">
        <v>1.869</v>
      </c>
      <c r="EK228">
        <v>1.8714599999999999</v>
      </c>
      <c r="EL228">
        <v>1.8691899999999999</v>
      </c>
      <c r="EM228">
        <v>1.8681099999999999</v>
      </c>
      <c r="EN228">
        <v>1.8699600000000001</v>
      </c>
      <c r="EO228">
        <v>1.87171</v>
      </c>
      <c r="EP228">
        <v>0</v>
      </c>
      <c r="EQ228">
        <v>0</v>
      </c>
      <c r="ER228">
        <v>0</v>
      </c>
      <c r="ES228">
        <v>0</v>
      </c>
      <c r="ET228" t="s">
        <v>334</v>
      </c>
      <c r="EU228" t="s">
        <v>335</v>
      </c>
      <c r="EV228" t="s">
        <v>336</v>
      </c>
      <c r="EW228" t="s">
        <v>336</v>
      </c>
      <c r="EX228" t="s">
        <v>336</v>
      </c>
      <c r="EY228" t="s">
        <v>336</v>
      </c>
      <c r="EZ228">
        <v>0</v>
      </c>
      <c r="FA228">
        <v>100</v>
      </c>
      <c r="FB228">
        <v>100</v>
      </c>
      <c r="FC228">
        <v>7.9770000000000003</v>
      </c>
      <c r="FD228">
        <v>-0.98929999999999996</v>
      </c>
      <c r="FE228">
        <v>7.9351599999999998</v>
      </c>
      <c r="FF228">
        <v>0</v>
      </c>
      <c r="FG228">
        <v>0</v>
      </c>
      <c r="FH228">
        <v>0</v>
      </c>
      <c r="FI228">
        <v>-0.98927100000000023</v>
      </c>
      <c r="FJ228">
        <v>0</v>
      </c>
      <c r="FK228">
        <v>0</v>
      </c>
      <c r="FL228">
        <v>0</v>
      </c>
      <c r="FM228">
        <v>-1</v>
      </c>
      <c r="FN228">
        <v>-1</v>
      </c>
      <c r="FO228">
        <v>-1</v>
      </c>
      <c r="FP228">
        <v>-1</v>
      </c>
      <c r="FQ228">
        <v>0.7</v>
      </c>
      <c r="FR228">
        <v>212.2</v>
      </c>
      <c r="FS228">
        <v>0.14160200000000001</v>
      </c>
      <c r="FT228">
        <v>4.99756</v>
      </c>
      <c r="FU228">
        <v>1.5979000000000001</v>
      </c>
      <c r="FV228">
        <v>2.1520999999999999</v>
      </c>
      <c r="FW228">
        <v>1.5478499999999999</v>
      </c>
      <c r="FX228">
        <v>2.4084500000000002</v>
      </c>
      <c r="FY228">
        <v>34.554900000000004</v>
      </c>
      <c r="FZ228">
        <v>15.235300000000001</v>
      </c>
      <c r="GA228">
        <v>3</v>
      </c>
      <c r="GB228">
        <v>498.83499999999998</v>
      </c>
      <c r="GC228">
        <v>406.31599999999997</v>
      </c>
      <c r="GD228">
        <v>28.128</v>
      </c>
      <c r="GE228">
        <v>29.4101</v>
      </c>
      <c r="GF228">
        <v>30.0001</v>
      </c>
      <c r="GG228">
        <v>29.708300000000001</v>
      </c>
      <c r="GH228">
        <v>29.7593</v>
      </c>
      <c r="GI228">
        <v>-1</v>
      </c>
      <c r="GJ228">
        <v>0</v>
      </c>
      <c r="GK228">
        <v>100</v>
      </c>
      <c r="GL228">
        <v>28.130400000000002</v>
      </c>
      <c r="GM228">
        <v>432.1</v>
      </c>
      <c r="GN228">
        <v>68.912800000000004</v>
      </c>
      <c r="GO228">
        <v>102.254</v>
      </c>
      <c r="GP228">
        <v>96.573400000000007</v>
      </c>
    </row>
    <row r="229" spans="1:198" x14ac:dyDescent="0.35">
      <c r="A229">
        <v>213</v>
      </c>
      <c r="B229">
        <v>1775493760.0999999</v>
      </c>
      <c r="C229">
        <v>12721.599999904631</v>
      </c>
      <c r="D229" t="s">
        <v>970</v>
      </c>
      <c r="E229" t="s">
        <v>971</v>
      </c>
      <c r="F229">
        <v>60</v>
      </c>
      <c r="G229">
        <v>1775493752.099999</v>
      </c>
      <c r="H229">
        <f t="shared" si="90"/>
        <v>2.1497410612978975E-3</v>
      </c>
      <c r="I229">
        <f t="shared" si="91"/>
        <v>2.1497410612978975</v>
      </c>
      <c r="J229">
        <f t="shared" si="92"/>
        <v>-1.2554181860669013E-2</v>
      </c>
      <c r="K229">
        <f t="shared" si="93"/>
        <v>38.061493548387098</v>
      </c>
      <c r="L229">
        <f t="shared" si="94"/>
        <v>36.16713706494582</v>
      </c>
      <c r="M229">
        <f t="shared" si="95"/>
        <v>3.627610979460405</v>
      </c>
      <c r="N229">
        <f t="shared" si="96"/>
        <v>3.8176174034138257</v>
      </c>
      <c r="O229">
        <f t="shared" si="97"/>
        <v>5.7433062875048804E-2</v>
      </c>
      <c r="P229">
        <f t="shared" si="98"/>
        <v>2.3920196461933934</v>
      </c>
      <c r="Q229">
        <f t="shared" si="99"/>
        <v>5.6677832980498992E-2</v>
      </c>
      <c r="R229">
        <f t="shared" si="100"/>
        <v>3.5490672586553307E-2</v>
      </c>
      <c r="S229">
        <f t="shared" si="101"/>
        <v>0</v>
      </c>
      <c r="T229">
        <f t="shared" si="102"/>
        <v>26.619692493684887</v>
      </c>
      <c r="U229">
        <f t="shared" si="103"/>
        <v>27.344741935483871</v>
      </c>
      <c r="V229">
        <f t="shared" si="104"/>
        <v>3.6522725215220526</v>
      </c>
      <c r="W229">
        <f t="shared" si="105"/>
        <v>-2.3179545505879209</v>
      </c>
      <c r="X229">
        <f t="shared" si="106"/>
        <v>-8.4405895607464476E-2</v>
      </c>
      <c r="Y229">
        <f t="shared" si="107"/>
        <v>3.6413956255551234</v>
      </c>
      <c r="Z229">
        <f t="shared" si="108"/>
        <v>3.7366784171295171</v>
      </c>
      <c r="AA229">
        <f t="shared" si="109"/>
        <v>-94.803580803237281</v>
      </c>
      <c r="AB229">
        <f t="shared" si="110"/>
        <v>-6.564406860492876</v>
      </c>
      <c r="AC229">
        <f t="shared" si="111"/>
        <v>-0.59414390508616222</v>
      </c>
      <c r="AD229">
        <f t="shared" si="112"/>
        <v>-101.96213156881632</v>
      </c>
      <c r="AE229">
        <v>12</v>
      </c>
      <c r="AF229">
        <v>2</v>
      </c>
      <c r="AG229">
        <f t="shared" si="113"/>
        <v>1</v>
      </c>
      <c r="AH229">
        <f t="shared" si="114"/>
        <v>0</v>
      </c>
      <c r="AI229">
        <f t="shared" si="115"/>
        <v>25548.090839240016</v>
      </c>
      <c r="AJ229">
        <f t="shared" si="116"/>
        <v>0</v>
      </c>
      <c r="AK229">
        <f t="shared" si="117"/>
        <v>0</v>
      </c>
      <c r="AL229">
        <f t="shared" si="118"/>
        <v>0</v>
      </c>
      <c r="AM229">
        <f t="shared" si="119"/>
        <v>0</v>
      </c>
      <c r="AN229">
        <v>3</v>
      </c>
      <c r="AO229">
        <v>0.5</v>
      </c>
      <c r="AP229" t="s">
        <v>331</v>
      </c>
      <c r="AQ229">
        <v>2</v>
      </c>
      <c r="AR229">
        <v>1775493752.099999</v>
      </c>
      <c r="AS229">
        <v>38.061493548387098</v>
      </c>
      <c r="AT229">
        <v>38.103054838709667</v>
      </c>
      <c r="AU229">
        <v>-0.84152341935483876</v>
      </c>
      <c r="AV229">
        <v>-2.132465483870968</v>
      </c>
      <c r="AW229">
        <v>30.101493548387101</v>
      </c>
      <c r="AX229">
        <v>0.14774754838709681</v>
      </c>
      <c r="AY229">
        <v>499.99535483870977</v>
      </c>
      <c r="AZ229">
        <v>100.26312903225801</v>
      </c>
      <c r="BA229">
        <v>3.8174135483870969E-2</v>
      </c>
      <c r="BB229">
        <v>27.29383870967742</v>
      </c>
      <c r="BC229">
        <v>27.344741935483871</v>
      </c>
      <c r="BD229">
        <v>999.90000000000032</v>
      </c>
      <c r="BE229">
        <v>0</v>
      </c>
      <c r="BF229">
        <v>0</v>
      </c>
      <c r="BG229">
        <v>4997.1290322580644</v>
      </c>
      <c r="BH229">
        <v>0.3659191935483872</v>
      </c>
      <c r="BI229">
        <v>0.23331922580645159</v>
      </c>
      <c r="BJ229">
        <v>-2.467801831290322E-2</v>
      </c>
      <c r="BK229">
        <v>38.046358064516127</v>
      </c>
      <c r="BL229">
        <v>38.021967741935477</v>
      </c>
      <c r="BM229">
        <v>1.2909416129032261</v>
      </c>
      <c r="BN229">
        <v>38.103054838709667</v>
      </c>
      <c r="BO229">
        <v>-2.132465483870968</v>
      </c>
      <c r="BP229">
        <v>-8.4373806451612882E-2</v>
      </c>
      <c r="BQ229">
        <v>-0.21380780645161299</v>
      </c>
      <c r="BR229">
        <v>-99.900000000000034</v>
      </c>
      <c r="BS229">
        <v>-99.900000000000034</v>
      </c>
      <c r="BT229">
        <v>0</v>
      </c>
      <c r="BU229">
        <v>0</v>
      </c>
      <c r="BV229">
        <v>0</v>
      </c>
      <c r="BW229">
        <v>25</v>
      </c>
      <c r="BX229">
        <v>-1</v>
      </c>
      <c r="BY229">
        <v>1775493776.0999999</v>
      </c>
      <c r="BZ229" t="s">
        <v>972</v>
      </c>
      <c r="CA229">
        <v>1775493776.0999999</v>
      </c>
      <c r="CB229">
        <v>1775480969.5</v>
      </c>
      <c r="CC229">
        <v>214</v>
      </c>
      <c r="CD229">
        <v>-1.7000000000000001E-2</v>
      </c>
      <c r="CE229">
        <v>0.19500000000000001</v>
      </c>
      <c r="CF229">
        <v>7.96</v>
      </c>
      <c r="CG229">
        <v>-0.98899999999999999</v>
      </c>
      <c r="CH229">
        <v>39</v>
      </c>
      <c r="CI229">
        <v>-3</v>
      </c>
      <c r="CJ229">
        <v>0.16</v>
      </c>
      <c r="CK229">
        <v>0.06</v>
      </c>
      <c r="CL229">
        <v>38.613186885245909</v>
      </c>
      <c r="CM229">
        <v>-3.5829150713907549</v>
      </c>
      <c r="CN229">
        <v>0.53384901883394953</v>
      </c>
      <c r="CO229">
        <v>-1</v>
      </c>
      <c r="CP229">
        <v>499.98009836065592</v>
      </c>
      <c r="CQ229">
        <v>0.1218022210473805</v>
      </c>
      <c r="CR229">
        <v>5.704002187651605E-2</v>
      </c>
      <c r="CS229">
        <v>-1</v>
      </c>
      <c r="CT229">
        <v>0</v>
      </c>
      <c r="CU229">
        <v>0</v>
      </c>
      <c r="CV229" t="s">
        <v>333</v>
      </c>
      <c r="CW229">
        <v>3.1673300000000002</v>
      </c>
      <c r="CX229">
        <v>2.6594799999999998</v>
      </c>
      <c r="CY229">
        <v>8.8713300000000002E-3</v>
      </c>
      <c r="CZ229">
        <v>1.1328899999999999E-2</v>
      </c>
      <c r="DA229">
        <v>1.18553E-3</v>
      </c>
      <c r="DB229">
        <v>-2.0042600000000001E-2</v>
      </c>
      <c r="DC229">
        <v>21396.2</v>
      </c>
      <c r="DD229">
        <v>21730.6</v>
      </c>
      <c r="DE229">
        <v>23114.400000000001</v>
      </c>
      <c r="DF229">
        <v>22331.5</v>
      </c>
      <c r="DG229">
        <v>29772.3</v>
      </c>
      <c r="DH229">
        <v>27166.5</v>
      </c>
      <c r="DI229">
        <v>40623.4</v>
      </c>
      <c r="DJ229">
        <v>37011.5</v>
      </c>
      <c r="DK229">
        <v>2.0945800000000001</v>
      </c>
      <c r="DL229">
        <v>1.8049200000000001</v>
      </c>
      <c r="DM229">
        <v>3.1203000000000002E-2</v>
      </c>
      <c r="DN229">
        <v>0</v>
      </c>
      <c r="DO229">
        <v>26.8337</v>
      </c>
      <c r="DP229">
        <v>999.9</v>
      </c>
      <c r="DQ229">
        <v>75.3</v>
      </c>
      <c r="DR229">
        <v>30.2</v>
      </c>
      <c r="DS229">
        <v>32.368400000000001</v>
      </c>
      <c r="DT229">
        <v>30.613800000000001</v>
      </c>
      <c r="DU229">
        <v>9.8117000000000001</v>
      </c>
      <c r="DV229">
        <v>1</v>
      </c>
      <c r="DW229">
        <v>0.16689599999999999</v>
      </c>
      <c r="DX229">
        <v>-0.49069099999999999</v>
      </c>
      <c r="DY229">
        <v>20.3675</v>
      </c>
      <c r="DZ229">
        <v>5.2110599999999998</v>
      </c>
      <c r="EA229">
        <v>11.8482</v>
      </c>
      <c r="EB229">
        <v>4.9678399999999998</v>
      </c>
      <c r="EC229">
        <v>3.2920799999999999</v>
      </c>
      <c r="ED229">
        <v>894.7</v>
      </c>
      <c r="EE229">
        <v>0</v>
      </c>
      <c r="EF229">
        <v>9999</v>
      </c>
      <c r="EG229">
        <v>112.4</v>
      </c>
      <c r="EH229">
        <v>4.9715999999999996</v>
      </c>
      <c r="EI229">
        <v>1.8717999999999999</v>
      </c>
      <c r="EJ229">
        <v>1.8689800000000001</v>
      </c>
      <c r="EK229">
        <v>1.87141</v>
      </c>
      <c r="EL229">
        <v>1.8691800000000001</v>
      </c>
      <c r="EM229">
        <v>1.8681300000000001</v>
      </c>
      <c r="EN229">
        <v>1.8699600000000001</v>
      </c>
      <c r="EO229">
        <v>1.8717600000000001</v>
      </c>
      <c r="EP229">
        <v>0</v>
      </c>
      <c r="EQ229">
        <v>0</v>
      </c>
      <c r="ER229">
        <v>0</v>
      </c>
      <c r="ES229">
        <v>0</v>
      </c>
      <c r="ET229" t="s">
        <v>334</v>
      </c>
      <c r="EU229" t="s">
        <v>335</v>
      </c>
      <c r="EV229" t="s">
        <v>336</v>
      </c>
      <c r="EW229" t="s">
        <v>336</v>
      </c>
      <c r="EX229" t="s">
        <v>336</v>
      </c>
      <c r="EY229" t="s">
        <v>336</v>
      </c>
      <c r="EZ229">
        <v>0</v>
      </c>
      <c r="FA229">
        <v>100</v>
      </c>
      <c r="FB229">
        <v>100</v>
      </c>
      <c r="FC229">
        <v>7.96</v>
      </c>
      <c r="FD229">
        <v>-0.98929999999999996</v>
      </c>
      <c r="FE229">
        <v>7.9768800000000084</v>
      </c>
      <c r="FF229">
        <v>0</v>
      </c>
      <c r="FG229">
        <v>0</v>
      </c>
      <c r="FH229">
        <v>0</v>
      </c>
      <c r="FI229">
        <v>-0.98927100000000023</v>
      </c>
      <c r="FJ229">
        <v>0</v>
      </c>
      <c r="FK229">
        <v>0</v>
      </c>
      <c r="FL229">
        <v>0</v>
      </c>
      <c r="FM229">
        <v>-1</v>
      </c>
      <c r="FN229">
        <v>-1</v>
      </c>
      <c r="FO229">
        <v>-1</v>
      </c>
      <c r="FP229">
        <v>-1</v>
      </c>
      <c r="FQ229">
        <v>0.8</v>
      </c>
      <c r="FR229">
        <v>213.2</v>
      </c>
      <c r="FS229">
        <v>0.14160200000000001</v>
      </c>
      <c r="FT229">
        <v>4.99756</v>
      </c>
      <c r="FU229">
        <v>1.5979000000000001</v>
      </c>
      <c r="FV229">
        <v>2.1533199999999999</v>
      </c>
      <c r="FW229">
        <v>1.5478499999999999</v>
      </c>
      <c r="FX229">
        <v>2.4475099999999999</v>
      </c>
      <c r="FY229">
        <v>34.554900000000004</v>
      </c>
      <c r="FZ229">
        <v>15.235300000000001</v>
      </c>
      <c r="GA229">
        <v>3</v>
      </c>
      <c r="GB229">
        <v>498.81</v>
      </c>
      <c r="GC229">
        <v>405.72500000000002</v>
      </c>
      <c r="GD229">
        <v>28.137799999999999</v>
      </c>
      <c r="GE229">
        <v>29.407499999999999</v>
      </c>
      <c r="GF229">
        <v>30.0001</v>
      </c>
      <c r="GG229">
        <v>29.703800000000001</v>
      </c>
      <c r="GH229">
        <v>29.756399999999999</v>
      </c>
      <c r="GI229">
        <v>-1</v>
      </c>
      <c r="GJ229">
        <v>0</v>
      </c>
      <c r="GK229">
        <v>100</v>
      </c>
      <c r="GL229">
        <v>28.1431</v>
      </c>
      <c r="GM229">
        <v>432.1</v>
      </c>
      <c r="GN229">
        <v>68.912800000000004</v>
      </c>
      <c r="GO229">
        <v>102.255</v>
      </c>
      <c r="GP229">
        <v>96.5745</v>
      </c>
    </row>
    <row r="230" spans="1:198" x14ac:dyDescent="0.35">
      <c r="A230">
        <v>214</v>
      </c>
      <c r="B230">
        <v>1775493820.0999999</v>
      </c>
      <c r="C230">
        <v>12781.599999904631</v>
      </c>
      <c r="D230" t="s">
        <v>973</v>
      </c>
      <c r="E230" t="s">
        <v>974</v>
      </c>
      <c r="F230">
        <v>60</v>
      </c>
      <c r="G230">
        <v>1775493812.099999</v>
      </c>
      <c r="H230">
        <f t="shared" si="90"/>
        <v>2.1527851739517913E-3</v>
      </c>
      <c r="I230">
        <f t="shared" si="91"/>
        <v>2.1527851739517914</v>
      </c>
      <c r="J230">
        <f t="shared" si="92"/>
        <v>0.82971037075652543</v>
      </c>
      <c r="K230">
        <f t="shared" si="93"/>
        <v>38.698112903225812</v>
      </c>
      <c r="L230">
        <f t="shared" si="94"/>
        <v>13.754776770131466</v>
      </c>
      <c r="M230">
        <f t="shared" si="95"/>
        <v>1.3796375210625136</v>
      </c>
      <c r="N230">
        <f t="shared" si="96"/>
        <v>3.8815147237822778</v>
      </c>
      <c r="O230">
        <f t="shared" si="97"/>
        <v>5.7492817890910541E-2</v>
      </c>
      <c r="P230">
        <f t="shared" si="98"/>
        <v>2.3929394939307627</v>
      </c>
      <c r="Q230">
        <f t="shared" si="99"/>
        <v>5.6736313602193889E-2</v>
      </c>
      <c r="R230">
        <f t="shared" si="100"/>
        <v>3.5527335543164881E-2</v>
      </c>
      <c r="S230">
        <f t="shared" si="101"/>
        <v>0</v>
      </c>
      <c r="T230">
        <f t="shared" si="102"/>
        <v>26.625782891499025</v>
      </c>
      <c r="U230">
        <f t="shared" si="103"/>
        <v>27.34967741935484</v>
      </c>
      <c r="V230">
        <f t="shared" si="104"/>
        <v>3.6533286318654219</v>
      </c>
      <c r="W230">
        <f t="shared" si="105"/>
        <v>-2.3282467220941996</v>
      </c>
      <c r="X230">
        <f t="shared" si="106"/>
        <v>-8.4814481840734091E-2</v>
      </c>
      <c r="Y230">
        <f t="shared" si="107"/>
        <v>3.6428476860238246</v>
      </c>
      <c r="Z230">
        <f t="shared" si="108"/>
        <v>3.738143113706156</v>
      </c>
      <c r="AA230">
        <f t="shared" si="109"/>
        <v>-94.937826171273997</v>
      </c>
      <c r="AB230">
        <f t="shared" si="110"/>
        <v>-6.3259772545348305</v>
      </c>
      <c r="AC230">
        <f t="shared" si="111"/>
        <v>-0.57237712540464014</v>
      </c>
      <c r="AD230">
        <f t="shared" si="112"/>
        <v>-101.83618055121347</v>
      </c>
      <c r="AE230">
        <v>13</v>
      </c>
      <c r="AF230">
        <v>3</v>
      </c>
      <c r="AG230">
        <f t="shared" si="113"/>
        <v>1</v>
      </c>
      <c r="AH230">
        <f t="shared" si="114"/>
        <v>0</v>
      </c>
      <c r="AI230">
        <f t="shared" si="115"/>
        <v>25561.450816412806</v>
      </c>
      <c r="AJ230">
        <f t="shared" si="116"/>
        <v>0</v>
      </c>
      <c r="AK230">
        <f t="shared" si="117"/>
        <v>0</v>
      </c>
      <c r="AL230">
        <f t="shared" si="118"/>
        <v>0</v>
      </c>
      <c r="AM230">
        <f t="shared" si="119"/>
        <v>0</v>
      </c>
      <c r="AN230">
        <v>3</v>
      </c>
      <c r="AO230">
        <v>0.5</v>
      </c>
      <c r="AP230" t="s">
        <v>331</v>
      </c>
      <c r="AQ230">
        <v>2</v>
      </c>
      <c r="AR230">
        <v>1775493812.099999</v>
      </c>
      <c r="AS230">
        <v>38.698112903225812</v>
      </c>
      <c r="AT230">
        <v>39.245903225806451</v>
      </c>
      <c r="AU230">
        <v>-0.84558751612903227</v>
      </c>
      <c r="AV230">
        <v>-2.138300967741936</v>
      </c>
      <c r="AW230">
        <v>30.75711290322581</v>
      </c>
      <c r="AX230">
        <v>0.14368348387096769</v>
      </c>
      <c r="AY230">
        <v>500.01929032258062</v>
      </c>
      <c r="AZ230">
        <v>100.2643225806451</v>
      </c>
      <c r="BA230">
        <v>3.8106467741935469E-2</v>
      </c>
      <c r="BB230">
        <v>27.30064193548386</v>
      </c>
      <c r="BC230">
        <v>27.34967741935484</v>
      </c>
      <c r="BD230">
        <v>999.90000000000032</v>
      </c>
      <c r="BE230">
        <v>0</v>
      </c>
      <c r="BF230">
        <v>0</v>
      </c>
      <c r="BG230">
        <v>4999.4354838709678</v>
      </c>
      <c r="BH230">
        <v>0.37208348387096779</v>
      </c>
      <c r="BI230">
        <v>0.23331922580645159</v>
      </c>
      <c r="BJ230">
        <v>-0.52855367741935477</v>
      </c>
      <c r="BK230">
        <v>38.684635483870977</v>
      </c>
      <c r="BL230">
        <v>39.162167741935477</v>
      </c>
      <c r="BM230">
        <v>1.292714193548387</v>
      </c>
      <c r="BN230">
        <v>39.245903225806451</v>
      </c>
      <c r="BO230">
        <v>-2.138300967741936</v>
      </c>
      <c r="BP230">
        <v>-8.4782193548387091E-2</v>
      </c>
      <c r="BQ230">
        <v>-0.2143951935483871</v>
      </c>
      <c r="BR230">
        <v>-99.900000000000034</v>
      </c>
      <c r="BS230">
        <v>-99.900000000000034</v>
      </c>
      <c r="BT230">
        <v>0</v>
      </c>
      <c r="BU230">
        <v>0</v>
      </c>
      <c r="BV230">
        <v>0</v>
      </c>
      <c r="BW230">
        <v>25</v>
      </c>
      <c r="BX230">
        <v>-0.98924741935483895</v>
      </c>
      <c r="BY230">
        <v>1775493844.0999999</v>
      </c>
      <c r="BZ230" t="s">
        <v>975</v>
      </c>
      <c r="CA230">
        <v>1775493844.0999999</v>
      </c>
      <c r="CB230">
        <v>1775480969.5</v>
      </c>
      <c r="CC230">
        <v>215</v>
      </c>
      <c r="CD230">
        <v>-1.9E-2</v>
      </c>
      <c r="CE230">
        <v>0.19500000000000001</v>
      </c>
      <c r="CF230">
        <v>7.9409999999999998</v>
      </c>
      <c r="CG230">
        <v>-0.98899999999999999</v>
      </c>
      <c r="CH230">
        <v>40</v>
      </c>
      <c r="CI230">
        <v>-3</v>
      </c>
      <c r="CJ230">
        <v>0.22</v>
      </c>
      <c r="CK230">
        <v>0.06</v>
      </c>
      <c r="CL230">
        <v>39.302914999999999</v>
      </c>
      <c r="CM230">
        <v>-0.54373470408438063</v>
      </c>
      <c r="CN230">
        <v>0.25071296790353742</v>
      </c>
      <c r="CO230">
        <v>-1</v>
      </c>
      <c r="CP230">
        <v>500.01035000000002</v>
      </c>
      <c r="CQ230">
        <v>4.9937204780168963E-2</v>
      </c>
      <c r="CR230">
        <v>5.0123788430907819E-2</v>
      </c>
      <c r="CS230">
        <v>-1</v>
      </c>
      <c r="CT230">
        <v>0</v>
      </c>
      <c r="CU230">
        <v>0</v>
      </c>
      <c r="CV230" t="s">
        <v>333</v>
      </c>
      <c r="CW230">
        <v>3.16743</v>
      </c>
      <c r="CX230">
        <v>2.6594600000000002</v>
      </c>
      <c r="CY230">
        <v>9.2135299999999993E-3</v>
      </c>
      <c r="CZ230">
        <v>1.16887E-2</v>
      </c>
      <c r="DA230">
        <v>1.1865599999999999E-3</v>
      </c>
      <c r="DB230">
        <v>-2.01192E-2</v>
      </c>
      <c r="DC230">
        <v>21389.1</v>
      </c>
      <c r="DD230">
        <v>21722.7</v>
      </c>
      <c r="DE230">
        <v>23114.7</v>
      </c>
      <c r="DF230">
        <v>22331.599999999999</v>
      </c>
      <c r="DG230">
        <v>29772.6</v>
      </c>
      <c r="DH230">
        <v>27168.6</v>
      </c>
      <c r="DI230">
        <v>40623.800000000003</v>
      </c>
      <c r="DJ230">
        <v>37011.699999999997</v>
      </c>
      <c r="DK230">
        <v>2.0944799999999999</v>
      </c>
      <c r="DL230">
        <v>1.80616</v>
      </c>
      <c r="DM230">
        <v>3.21865E-2</v>
      </c>
      <c r="DN230">
        <v>0</v>
      </c>
      <c r="DO230">
        <v>26.8263</v>
      </c>
      <c r="DP230">
        <v>999.9</v>
      </c>
      <c r="DQ230">
        <v>75.3</v>
      </c>
      <c r="DR230">
        <v>30.3</v>
      </c>
      <c r="DS230">
        <v>32.551299999999998</v>
      </c>
      <c r="DT230">
        <v>30.313800000000001</v>
      </c>
      <c r="DU230">
        <v>9.5472800000000007</v>
      </c>
      <c r="DV230">
        <v>1</v>
      </c>
      <c r="DW230">
        <v>0.16656899999999999</v>
      </c>
      <c r="DX230">
        <v>-0.39890599999999998</v>
      </c>
      <c r="DY230">
        <v>20.367699999999999</v>
      </c>
      <c r="DZ230">
        <v>5.2114200000000004</v>
      </c>
      <c r="EA230">
        <v>11.8482</v>
      </c>
      <c r="EB230">
        <v>4.9677600000000002</v>
      </c>
      <c r="EC230">
        <v>3.2921399999999998</v>
      </c>
      <c r="ED230">
        <v>894.7</v>
      </c>
      <c r="EE230">
        <v>0</v>
      </c>
      <c r="EF230">
        <v>9999</v>
      </c>
      <c r="EG230">
        <v>112.4</v>
      </c>
      <c r="EH230">
        <v>4.9715999999999996</v>
      </c>
      <c r="EI230">
        <v>1.8717999999999999</v>
      </c>
      <c r="EJ230">
        <v>1.86896</v>
      </c>
      <c r="EK230">
        <v>1.8714</v>
      </c>
      <c r="EL230">
        <v>1.8691899999999999</v>
      </c>
      <c r="EM230">
        <v>1.86812</v>
      </c>
      <c r="EN230">
        <v>1.8699399999999999</v>
      </c>
      <c r="EO230">
        <v>1.8717299999999999</v>
      </c>
      <c r="EP230">
        <v>0</v>
      </c>
      <c r="EQ230">
        <v>0</v>
      </c>
      <c r="ER230">
        <v>0</v>
      </c>
      <c r="ES230">
        <v>0</v>
      </c>
      <c r="ET230" t="s">
        <v>334</v>
      </c>
      <c r="EU230" t="s">
        <v>335</v>
      </c>
      <c r="EV230" t="s">
        <v>336</v>
      </c>
      <c r="EW230" t="s">
        <v>336</v>
      </c>
      <c r="EX230" t="s">
        <v>336</v>
      </c>
      <c r="EY230" t="s">
        <v>336</v>
      </c>
      <c r="EZ230">
        <v>0</v>
      </c>
      <c r="FA230">
        <v>100</v>
      </c>
      <c r="FB230">
        <v>100</v>
      </c>
      <c r="FC230">
        <v>7.9409999999999998</v>
      </c>
      <c r="FD230">
        <v>-0.98929999999999996</v>
      </c>
      <c r="FE230">
        <v>7.9602350000000044</v>
      </c>
      <c r="FF230">
        <v>0</v>
      </c>
      <c r="FG230">
        <v>0</v>
      </c>
      <c r="FH230">
        <v>0</v>
      </c>
      <c r="FI230">
        <v>-0.98927100000000023</v>
      </c>
      <c r="FJ230">
        <v>0</v>
      </c>
      <c r="FK230">
        <v>0</v>
      </c>
      <c r="FL230">
        <v>0</v>
      </c>
      <c r="FM230">
        <v>-1</v>
      </c>
      <c r="FN230">
        <v>-1</v>
      </c>
      <c r="FO230">
        <v>-1</v>
      </c>
      <c r="FP230">
        <v>-1</v>
      </c>
      <c r="FQ230">
        <v>0.7</v>
      </c>
      <c r="FR230">
        <v>214.2</v>
      </c>
      <c r="FS230">
        <v>0.14160200000000001</v>
      </c>
      <c r="FT230">
        <v>4.99756</v>
      </c>
      <c r="FU230">
        <v>1.5979000000000001</v>
      </c>
      <c r="FV230">
        <v>2.1520999999999999</v>
      </c>
      <c r="FW230">
        <v>1.5478499999999999</v>
      </c>
      <c r="FX230">
        <v>2.34497</v>
      </c>
      <c r="FY230">
        <v>34.554900000000004</v>
      </c>
      <c r="FZ230">
        <v>15.2178</v>
      </c>
      <c r="GA230">
        <v>3</v>
      </c>
      <c r="GB230">
        <v>498.71300000000002</v>
      </c>
      <c r="GC230">
        <v>406.39499999999998</v>
      </c>
      <c r="GD230">
        <v>28.165199999999999</v>
      </c>
      <c r="GE230">
        <v>29.4025</v>
      </c>
      <c r="GF230">
        <v>30</v>
      </c>
      <c r="GG230">
        <v>29.698699999999999</v>
      </c>
      <c r="GH230">
        <v>29.750399999999999</v>
      </c>
      <c r="GI230">
        <v>-1</v>
      </c>
      <c r="GJ230">
        <v>0</v>
      </c>
      <c r="GK230">
        <v>100</v>
      </c>
      <c r="GL230">
        <v>28.1556</v>
      </c>
      <c r="GM230">
        <v>432.1</v>
      </c>
      <c r="GN230">
        <v>68.912800000000004</v>
      </c>
      <c r="GO230">
        <v>102.256</v>
      </c>
      <c r="GP230">
        <v>96.574799999999996</v>
      </c>
    </row>
    <row r="231" spans="1:198" x14ac:dyDescent="0.35">
      <c r="A231">
        <v>215</v>
      </c>
      <c r="B231">
        <v>1775493880.0999999</v>
      </c>
      <c r="C231">
        <v>12841.599999904631</v>
      </c>
      <c r="D231" t="s">
        <v>976</v>
      </c>
      <c r="E231" t="s">
        <v>977</v>
      </c>
      <c r="F231">
        <v>60</v>
      </c>
      <c r="G231">
        <v>1775493872.099999</v>
      </c>
      <c r="H231">
        <f t="shared" si="90"/>
        <v>2.1334475666007226E-3</v>
      </c>
      <c r="I231">
        <f t="shared" si="91"/>
        <v>2.1334475666007227</v>
      </c>
      <c r="J231">
        <f t="shared" si="92"/>
        <v>1.8567473030389767</v>
      </c>
      <c r="K231">
        <f t="shared" si="93"/>
        <v>39.838748387096771</v>
      </c>
      <c r="L231">
        <f t="shared" si="94"/>
        <v>-13.711336063205481</v>
      </c>
      <c r="M231">
        <f t="shared" si="95"/>
        <v>-1.3752578757617662</v>
      </c>
      <c r="N231">
        <f t="shared" si="96"/>
        <v>3.9958580423735559</v>
      </c>
      <c r="O231">
        <f t="shared" si="97"/>
        <v>5.6946158090875498E-2</v>
      </c>
      <c r="P231">
        <f t="shared" si="98"/>
        <v>2.3944837788832096</v>
      </c>
      <c r="Q231">
        <f t="shared" si="99"/>
        <v>5.6204343411216724E-2</v>
      </c>
      <c r="R231">
        <f t="shared" si="100"/>
        <v>3.5193558600453881E-2</v>
      </c>
      <c r="S231">
        <f t="shared" si="101"/>
        <v>0</v>
      </c>
      <c r="T231">
        <f t="shared" si="102"/>
        <v>26.633066714384224</v>
      </c>
      <c r="U231">
        <f t="shared" si="103"/>
        <v>27.356706451612901</v>
      </c>
      <c r="V231">
        <f t="shared" si="104"/>
        <v>3.6548331863643035</v>
      </c>
      <c r="W231">
        <f t="shared" si="105"/>
        <v>-2.3250556192300742</v>
      </c>
      <c r="X231">
        <f t="shared" si="106"/>
        <v>-8.4702333712937644E-2</v>
      </c>
      <c r="Y231">
        <f t="shared" si="107"/>
        <v>3.6430239781096607</v>
      </c>
      <c r="Z231">
        <f t="shared" si="108"/>
        <v>3.7395355200772413</v>
      </c>
      <c r="AA231">
        <f t="shared" si="109"/>
        <v>-94.085037687091869</v>
      </c>
      <c r="AB231">
        <f t="shared" si="110"/>
        <v>-7.1308428905099461</v>
      </c>
      <c r="AC231">
        <f t="shared" si="111"/>
        <v>-0.64481089683396398</v>
      </c>
      <c r="AD231">
        <f t="shared" si="112"/>
        <v>-101.86069147443578</v>
      </c>
      <c r="AE231">
        <v>13</v>
      </c>
      <c r="AF231">
        <v>3</v>
      </c>
      <c r="AG231">
        <f t="shared" si="113"/>
        <v>1</v>
      </c>
      <c r="AH231">
        <f t="shared" si="114"/>
        <v>0</v>
      </c>
      <c r="AI231">
        <f t="shared" si="115"/>
        <v>25584.923311218463</v>
      </c>
      <c r="AJ231">
        <f t="shared" si="116"/>
        <v>0</v>
      </c>
      <c r="AK231">
        <f t="shared" si="117"/>
        <v>0</v>
      </c>
      <c r="AL231">
        <f t="shared" si="118"/>
        <v>0</v>
      </c>
      <c r="AM231">
        <f t="shared" si="119"/>
        <v>0</v>
      </c>
      <c r="AN231">
        <v>3</v>
      </c>
      <c r="AO231">
        <v>0.5</v>
      </c>
      <c r="AP231" t="s">
        <v>331</v>
      </c>
      <c r="AQ231">
        <v>2</v>
      </c>
      <c r="AR231">
        <v>1775493872.099999</v>
      </c>
      <c r="AS231">
        <v>39.838748387096771</v>
      </c>
      <c r="AT231">
        <v>41.003793548387101</v>
      </c>
      <c r="AU231">
        <v>-0.84448319354838719</v>
      </c>
      <c r="AV231">
        <v>-2.1256332258064519</v>
      </c>
      <c r="AW231">
        <v>31.887748387096771</v>
      </c>
      <c r="AX231">
        <v>0.1447878064516129</v>
      </c>
      <c r="AY231">
        <v>499.99980645161293</v>
      </c>
      <c r="AZ231">
        <v>100.2628064516129</v>
      </c>
      <c r="BA231">
        <v>3.7986222580645157E-2</v>
      </c>
      <c r="BB231">
        <v>27.301467741935479</v>
      </c>
      <c r="BC231">
        <v>27.356706451612901</v>
      </c>
      <c r="BD231">
        <v>999.90000000000032</v>
      </c>
      <c r="BE231">
        <v>0</v>
      </c>
      <c r="BF231">
        <v>0</v>
      </c>
      <c r="BG231">
        <v>5003.4838709677406</v>
      </c>
      <c r="BH231">
        <v>0.36915387096774188</v>
      </c>
      <c r="BI231">
        <v>0.22961599999999999</v>
      </c>
      <c r="BJ231">
        <v>-1.175110161290323</v>
      </c>
      <c r="BK231">
        <v>39.795067741935483</v>
      </c>
      <c r="BL231">
        <v>40.916819354838708</v>
      </c>
      <c r="BM231">
        <v>1.2811483870967739</v>
      </c>
      <c r="BN231">
        <v>41.003793548387101</v>
      </c>
      <c r="BO231">
        <v>-2.1256332258064519</v>
      </c>
      <c r="BP231">
        <v>-8.4670319354838708E-2</v>
      </c>
      <c r="BQ231">
        <v>-0.213122064516129</v>
      </c>
      <c r="BR231">
        <v>-99.900000000000034</v>
      </c>
      <c r="BS231">
        <v>-99.900000000000034</v>
      </c>
      <c r="BT231">
        <v>0</v>
      </c>
      <c r="BU231">
        <v>0</v>
      </c>
      <c r="BV231">
        <v>0</v>
      </c>
      <c r="BW231">
        <v>25</v>
      </c>
      <c r="BX231">
        <v>-1</v>
      </c>
      <c r="BY231">
        <v>1775493896.0999999</v>
      </c>
      <c r="BZ231" t="s">
        <v>978</v>
      </c>
      <c r="CA231">
        <v>1775493896.0999999</v>
      </c>
      <c r="CB231">
        <v>1775480969.5</v>
      </c>
      <c r="CC231">
        <v>216</v>
      </c>
      <c r="CD231">
        <v>0.01</v>
      </c>
      <c r="CE231">
        <v>0.19500000000000001</v>
      </c>
      <c r="CF231">
        <v>7.9509999999999996</v>
      </c>
      <c r="CG231">
        <v>-0.98899999999999999</v>
      </c>
      <c r="CH231">
        <v>41</v>
      </c>
      <c r="CI231">
        <v>-3</v>
      </c>
      <c r="CJ231">
        <v>0.18</v>
      </c>
      <c r="CK231">
        <v>0.06</v>
      </c>
      <c r="CL231">
        <v>40.361776666666671</v>
      </c>
      <c r="CM231">
        <v>4.5366768546819634</v>
      </c>
      <c r="CN231">
        <v>0.70301666205163482</v>
      </c>
      <c r="CO231">
        <v>-1</v>
      </c>
      <c r="CP231">
        <v>500.32548333333341</v>
      </c>
      <c r="CQ231">
        <v>-3.659146429562298</v>
      </c>
      <c r="CR231">
        <v>1.0414502147113049</v>
      </c>
      <c r="CS231">
        <v>-1</v>
      </c>
      <c r="CT231">
        <v>0</v>
      </c>
      <c r="CU231">
        <v>0</v>
      </c>
      <c r="CV231" t="s">
        <v>333</v>
      </c>
      <c r="CW231">
        <v>3.1674699999999998</v>
      </c>
      <c r="CX231">
        <v>2.6592899999999999</v>
      </c>
      <c r="CY231">
        <v>9.6981600000000008E-3</v>
      </c>
      <c r="CZ231">
        <v>1.22706E-2</v>
      </c>
      <c r="DA231">
        <v>1.19282E-3</v>
      </c>
      <c r="DB231">
        <v>-1.9941E-2</v>
      </c>
      <c r="DC231">
        <v>21379</v>
      </c>
      <c r="DD231">
        <v>21710.5</v>
      </c>
      <c r="DE231">
        <v>23115.1</v>
      </c>
      <c r="DF231">
        <v>22332.1</v>
      </c>
      <c r="DG231">
        <v>29772.9</v>
      </c>
      <c r="DH231">
        <v>27164.7</v>
      </c>
      <c r="DI231">
        <v>40624.400000000001</v>
      </c>
      <c r="DJ231">
        <v>37012.699999999997</v>
      </c>
      <c r="DK231">
        <v>2.0943200000000002</v>
      </c>
      <c r="DL231">
        <v>1.8063</v>
      </c>
      <c r="DM231">
        <v>3.1429499999999999E-2</v>
      </c>
      <c r="DN231">
        <v>0</v>
      </c>
      <c r="DO231">
        <v>26.835699999999999</v>
      </c>
      <c r="DP231">
        <v>999.9</v>
      </c>
      <c r="DQ231">
        <v>75.3</v>
      </c>
      <c r="DR231">
        <v>30.3</v>
      </c>
      <c r="DS231">
        <v>32.557299999999998</v>
      </c>
      <c r="DT231">
        <v>30.643799999999999</v>
      </c>
      <c r="DU231">
        <v>9.4070499999999999</v>
      </c>
      <c r="DV231">
        <v>1</v>
      </c>
      <c r="DW231">
        <v>0.166106</v>
      </c>
      <c r="DX231">
        <v>-0.44204599999999999</v>
      </c>
      <c r="DY231">
        <v>20.3673</v>
      </c>
      <c r="DZ231">
        <v>5.2095000000000002</v>
      </c>
      <c r="EA231">
        <v>11.8482</v>
      </c>
      <c r="EB231">
        <v>4.9676400000000003</v>
      </c>
      <c r="EC231">
        <v>3.2916400000000001</v>
      </c>
      <c r="ED231">
        <v>894.7</v>
      </c>
      <c r="EE231">
        <v>0</v>
      </c>
      <c r="EF231">
        <v>9999</v>
      </c>
      <c r="EG231">
        <v>112.4</v>
      </c>
      <c r="EH231">
        <v>4.9716199999999997</v>
      </c>
      <c r="EI231">
        <v>1.87181</v>
      </c>
      <c r="EJ231">
        <v>1.8690199999999999</v>
      </c>
      <c r="EK231">
        <v>1.8713900000000001</v>
      </c>
      <c r="EL231">
        <v>1.8691899999999999</v>
      </c>
      <c r="EM231">
        <v>1.8681300000000001</v>
      </c>
      <c r="EN231">
        <v>1.8699600000000001</v>
      </c>
      <c r="EO231">
        <v>1.87178</v>
      </c>
      <c r="EP231">
        <v>0</v>
      </c>
      <c r="EQ231">
        <v>0</v>
      </c>
      <c r="ER231">
        <v>0</v>
      </c>
      <c r="ES231">
        <v>0</v>
      </c>
      <c r="ET231" t="s">
        <v>334</v>
      </c>
      <c r="EU231" t="s">
        <v>335</v>
      </c>
      <c r="EV231" t="s">
        <v>336</v>
      </c>
      <c r="EW231" t="s">
        <v>336</v>
      </c>
      <c r="EX231" t="s">
        <v>336</v>
      </c>
      <c r="EY231" t="s">
        <v>336</v>
      </c>
      <c r="EZ231">
        <v>0</v>
      </c>
      <c r="FA231">
        <v>100</v>
      </c>
      <c r="FB231">
        <v>100</v>
      </c>
      <c r="FC231">
        <v>7.9509999999999996</v>
      </c>
      <c r="FD231">
        <v>-0.98929999999999996</v>
      </c>
      <c r="FE231">
        <v>7.9409250000000107</v>
      </c>
      <c r="FF231">
        <v>0</v>
      </c>
      <c r="FG231">
        <v>0</v>
      </c>
      <c r="FH231">
        <v>0</v>
      </c>
      <c r="FI231">
        <v>-0.98927100000000023</v>
      </c>
      <c r="FJ231">
        <v>0</v>
      </c>
      <c r="FK231">
        <v>0</v>
      </c>
      <c r="FL231">
        <v>0</v>
      </c>
      <c r="FM231">
        <v>-1</v>
      </c>
      <c r="FN231">
        <v>-1</v>
      </c>
      <c r="FO231">
        <v>-1</v>
      </c>
      <c r="FP231">
        <v>-1</v>
      </c>
      <c r="FQ231">
        <v>0.6</v>
      </c>
      <c r="FR231">
        <v>215.2</v>
      </c>
      <c r="FS231">
        <v>0.14160200000000001</v>
      </c>
      <c r="FT231">
        <v>4.99756</v>
      </c>
      <c r="FU231">
        <v>1.5979000000000001</v>
      </c>
      <c r="FV231">
        <v>2.1520999999999999</v>
      </c>
      <c r="FW231">
        <v>1.5478499999999999</v>
      </c>
      <c r="FX231">
        <v>2.4438499999999999</v>
      </c>
      <c r="FY231">
        <v>34.554900000000004</v>
      </c>
      <c r="FZ231">
        <v>15.209</v>
      </c>
      <c r="GA231">
        <v>3</v>
      </c>
      <c r="GB231">
        <v>498.6</v>
      </c>
      <c r="GC231">
        <v>406.45</v>
      </c>
      <c r="GD231">
        <v>28.118600000000001</v>
      </c>
      <c r="GE231">
        <v>29.398499999999999</v>
      </c>
      <c r="GF231">
        <v>30.0001</v>
      </c>
      <c r="GG231">
        <v>29.696200000000001</v>
      </c>
      <c r="GH231">
        <v>29.746700000000001</v>
      </c>
      <c r="GI231">
        <v>-1</v>
      </c>
      <c r="GJ231">
        <v>0</v>
      </c>
      <c r="GK231">
        <v>100</v>
      </c>
      <c r="GL231">
        <v>28.118400000000001</v>
      </c>
      <c r="GM231">
        <v>432.1</v>
      </c>
      <c r="GN231">
        <v>68.912800000000004</v>
      </c>
      <c r="GO231">
        <v>102.25700000000001</v>
      </c>
      <c r="GP231">
        <v>96.577299999999994</v>
      </c>
    </row>
    <row r="232" spans="1:198" x14ac:dyDescent="0.35">
      <c r="A232">
        <v>216</v>
      </c>
      <c r="B232">
        <v>1775493940.0999999</v>
      </c>
      <c r="C232">
        <v>12901.599999904631</v>
      </c>
      <c r="D232" t="s">
        <v>979</v>
      </c>
      <c r="E232" t="s">
        <v>980</v>
      </c>
      <c r="F232">
        <v>60</v>
      </c>
      <c r="G232">
        <v>1775493932.099999</v>
      </c>
      <c r="H232">
        <f t="shared" si="90"/>
        <v>2.1226110187834925E-3</v>
      </c>
      <c r="I232">
        <f t="shared" si="91"/>
        <v>2.1226110187834926</v>
      </c>
      <c r="J232">
        <f t="shared" si="92"/>
        <v>0.38810970116573335</v>
      </c>
      <c r="K232">
        <f t="shared" si="93"/>
        <v>40.279306451612896</v>
      </c>
      <c r="L232">
        <f t="shared" si="94"/>
        <v>27.158139867971251</v>
      </c>
      <c r="M232">
        <f t="shared" si="95"/>
        <v>2.7240007423551487</v>
      </c>
      <c r="N232">
        <f t="shared" si="96"/>
        <v>4.0400727446411944</v>
      </c>
      <c r="O232">
        <f t="shared" si="97"/>
        <v>5.6685382013934721E-2</v>
      </c>
      <c r="P232">
        <f t="shared" si="98"/>
        <v>2.3907571474706621</v>
      </c>
      <c r="Q232">
        <f t="shared" si="99"/>
        <v>5.5949168762234297E-2</v>
      </c>
      <c r="R232">
        <f t="shared" si="100"/>
        <v>3.5033579640480289E-2</v>
      </c>
      <c r="S232">
        <f t="shared" si="101"/>
        <v>0</v>
      </c>
      <c r="T232">
        <f t="shared" si="102"/>
        <v>26.634113691352884</v>
      </c>
      <c r="U232">
        <f t="shared" si="103"/>
        <v>27.348761290322589</v>
      </c>
      <c r="V232">
        <f t="shared" si="104"/>
        <v>3.6531325755543018</v>
      </c>
      <c r="W232">
        <f t="shared" si="105"/>
        <v>-2.3177472496174265</v>
      </c>
      <c r="X232">
        <f t="shared" si="106"/>
        <v>-8.4429177062104094E-2</v>
      </c>
      <c r="Y232">
        <f t="shared" si="107"/>
        <v>3.6427258009276118</v>
      </c>
      <c r="Z232">
        <f t="shared" si="108"/>
        <v>3.737561752616406</v>
      </c>
      <c r="AA232">
        <f t="shared" si="109"/>
        <v>-93.607145928352026</v>
      </c>
      <c r="AB232">
        <f t="shared" si="110"/>
        <v>-6.2757199901758707</v>
      </c>
      <c r="AC232">
        <f t="shared" si="111"/>
        <v>-0.56834393534561167</v>
      </c>
      <c r="AD232">
        <f t="shared" si="112"/>
        <v>-100.45120985387351</v>
      </c>
      <c r="AE232">
        <v>12</v>
      </c>
      <c r="AF232">
        <v>2</v>
      </c>
      <c r="AG232">
        <f t="shared" si="113"/>
        <v>1</v>
      </c>
      <c r="AH232">
        <f t="shared" si="114"/>
        <v>0</v>
      </c>
      <c r="AI232">
        <f t="shared" si="115"/>
        <v>25528.356505792926</v>
      </c>
      <c r="AJ232">
        <f t="shared" si="116"/>
        <v>0</v>
      </c>
      <c r="AK232">
        <f t="shared" si="117"/>
        <v>0</v>
      </c>
      <c r="AL232">
        <f t="shared" si="118"/>
        <v>0</v>
      </c>
      <c r="AM232">
        <f t="shared" si="119"/>
        <v>0</v>
      </c>
      <c r="AN232">
        <v>3</v>
      </c>
      <c r="AO232">
        <v>0.5</v>
      </c>
      <c r="AP232" t="s">
        <v>331</v>
      </c>
      <c r="AQ232">
        <v>2</v>
      </c>
      <c r="AR232">
        <v>1775493932.099999</v>
      </c>
      <c r="AS232">
        <v>40.279306451612896</v>
      </c>
      <c r="AT232">
        <v>40.563483870967737</v>
      </c>
      <c r="AU232">
        <v>-0.8417543225806452</v>
      </c>
      <c r="AV232">
        <v>-2.1164522580645162</v>
      </c>
      <c r="AW232">
        <v>32.321306451612912</v>
      </c>
      <c r="AX232">
        <v>0.1475166774193549</v>
      </c>
      <c r="AY232">
        <v>499.9767419354838</v>
      </c>
      <c r="AZ232">
        <v>100.2633548387097</v>
      </c>
      <c r="BA232">
        <v>3.8092741935483877E-2</v>
      </c>
      <c r="BB232">
        <v>27.300070967741931</v>
      </c>
      <c r="BC232">
        <v>27.348761290322589</v>
      </c>
      <c r="BD232">
        <v>999.90000000000032</v>
      </c>
      <c r="BE232">
        <v>0</v>
      </c>
      <c r="BF232">
        <v>0</v>
      </c>
      <c r="BG232">
        <v>4993.8709677419356</v>
      </c>
      <c r="BH232">
        <v>0.34486899999999998</v>
      </c>
      <c r="BI232">
        <v>0.22961599999999999</v>
      </c>
      <c r="BJ232">
        <v>-0.29106777870967743</v>
      </c>
      <c r="BK232">
        <v>40.238554838709682</v>
      </c>
      <c r="BL232">
        <v>40.47783225806451</v>
      </c>
      <c r="BM232">
        <v>1.274697419354839</v>
      </c>
      <c r="BN232">
        <v>40.563483870967737</v>
      </c>
      <c r="BO232">
        <v>-2.1164522580645162</v>
      </c>
      <c r="BP232">
        <v>-8.4397174193548405E-2</v>
      </c>
      <c r="BQ232">
        <v>-0.21220267741935481</v>
      </c>
      <c r="BR232">
        <v>-99.900000000000034</v>
      </c>
      <c r="BS232">
        <v>-99.900000000000034</v>
      </c>
      <c r="BT232">
        <v>0</v>
      </c>
      <c r="BU232">
        <v>0</v>
      </c>
      <c r="BV232">
        <v>0</v>
      </c>
      <c r="BW232">
        <v>25</v>
      </c>
      <c r="BX232">
        <v>-1</v>
      </c>
      <c r="BY232">
        <v>1775493958.0999999</v>
      </c>
      <c r="BZ232" t="s">
        <v>981</v>
      </c>
      <c r="CA232">
        <v>1775493958.0999999</v>
      </c>
      <c r="CB232">
        <v>1775480969.5</v>
      </c>
      <c r="CC232">
        <v>217</v>
      </c>
      <c r="CD232">
        <v>7.0000000000000001E-3</v>
      </c>
      <c r="CE232">
        <v>0.19500000000000001</v>
      </c>
      <c r="CF232">
        <v>7.9580000000000002</v>
      </c>
      <c r="CG232">
        <v>-0.98899999999999999</v>
      </c>
      <c r="CH232">
        <v>40</v>
      </c>
      <c r="CI232">
        <v>-3</v>
      </c>
      <c r="CJ232">
        <v>0.17</v>
      </c>
      <c r="CK232">
        <v>0.06</v>
      </c>
      <c r="CL232">
        <v>40.801923333333328</v>
      </c>
      <c r="CM232">
        <v>-1.9019196443456829</v>
      </c>
      <c r="CN232">
        <v>0.32405748737256862</v>
      </c>
      <c r="CO232">
        <v>-1</v>
      </c>
      <c r="CP232">
        <v>499.97543333333329</v>
      </c>
      <c r="CQ232">
        <v>9.7473742706659025E-2</v>
      </c>
      <c r="CR232">
        <v>6.2848061934227054E-2</v>
      </c>
      <c r="CS232">
        <v>-1</v>
      </c>
      <c r="CT232">
        <v>0</v>
      </c>
      <c r="CU232">
        <v>0</v>
      </c>
      <c r="CV232" t="s">
        <v>333</v>
      </c>
      <c r="CW232">
        <v>3.16743</v>
      </c>
      <c r="CX232">
        <v>2.65951</v>
      </c>
      <c r="CY232">
        <v>9.6032400000000007E-3</v>
      </c>
      <c r="CZ232">
        <v>1.20368E-2</v>
      </c>
      <c r="DA232">
        <v>1.2154399999999999E-3</v>
      </c>
      <c r="DB232">
        <v>-1.99305E-2</v>
      </c>
      <c r="DC232">
        <v>21381.1</v>
      </c>
      <c r="DD232">
        <v>21715.1</v>
      </c>
      <c r="DE232">
        <v>23115.1</v>
      </c>
      <c r="DF232">
        <v>22331.599999999999</v>
      </c>
      <c r="DG232">
        <v>29772.3</v>
      </c>
      <c r="DH232">
        <v>27163.8</v>
      </c>
      <c r="DI232">
        <v>40624.5</v>
      </c>
      <c r="DJ232">
        <v>37011.9</v>
      </c>
      <c r="DK232">
        <v>2.0948199999999999</v>
      </c>
      <c r="DL232">
        <v>1.80558</v>
      </c>
      <c r="DM232">
        <v>3.1533800000000001E-2</v>
      </c>
      <c r="DN232">
        <v>0</v>
      </c>
      <c r="DO232">
        <v>26.835699999999999</v>
      </c>
      <c r="DP232">
        <v>999.9</v>
      </c>
      <c r="DQ232">
        <v>75.2</v>
      </c>
      <c r="DR232">
        <v>30.2</v>
      </c>
      <c r="DS232">
        <v>32.3232</v>
      </c>
      <c r="DT232">
        <v>30.793800000000001</v>
      </c>
      <c r="DU232">
        <v>9.6474399999999996</v>
      </c>
      <c r="DV232">
        <v>1</v>
      </c>
      <c r="DW232">
        <v>0.16597999999999999</v>
      </c>
      <c r="DX232">
        <v>-0.459976</v>
      </c>
      <c r="DY232">
        <v>20.367599999999999</v>
      </c>
      <c r="DZ232">
        <v>5.2111799999999997</v>
      </c>
      <c r="EA232">
        <v>11.8483</v>
      </c>
      <c r="EB232">
        <v>4.9678399999999998</v>
      </c>
      <c r="EC232">
        <v>3.2920799999999999</v>
      </c>
      <c r="ED232">
        <v>894.7</v>
      </c>
      <c r="EE232">
        <v>0</v>
      </c>
      <c r="EF232">
        <v>9999</v>
      </c>
      <c r="EG232">
        <v>112.4</v>
      </c>
      <c r="EH232">
        <v>4.9716100000000001</v>
      </c>
      <c r="EI232">
        <v>1.8717999999999999</v>
      </c>
      <c r="EJ232">
        <v>1.86896</v>
      </c>
      <c r="EK232">
        <v>1.8713500000000001</v>
      </c>
      <c r="EL232">
        <v>1.8691800000000001</v>
      </c>
      <c r="EM232">
        <v>1.8681300000000001</v>
      </c>
      <c r="EN232">
        <v>1.86995</v>
      </c>
      <c r="EO232">
        <v>1.87178</v>
      </c>
      <c r="EP232">
        <v>0</v>
      </c>
      <c r="EQ232">
        <v>0</v>
      </c>
      <c r="ER232">
        <v>0</v>
      </c>
      <c r="ES232">
        <v>0</v>
      </c>
      <c r="ET232" t="s">
        <v>334</v>
      </c>
      <c r="EU232" t="s">
        <v>335</v>
      </c>
      <c r="EV232" t="s">
        <v>336</v>
      </c>
      <c r="EW232" t="s">
        <v>336</v>
      </c>
      <c r="EX232" t="s">
        <v>336</v>
      </c>
      <c r="EY232" t="s">
        <v>336</v>
      </c>
      <c r="EZ232">
        <v>0</v>
      </c>
      <c r="FA232">
        <v>100</v>
      </c>
      <c r="FB232">
        <v>100</v>
      </c>
      <c r="FC232">
        <v>7.9580000000000002</v>
      </c>
      <c r="FD232">
        <v>-0.98929999999999996</v>
      </c>
      <c r="FE232">
        <v>7.9511250000000047</v>
      </c>
      <c r="FF232">
        <v>0</v>
      </c>
      <c r="FG232">
        <v>0</v>
      </c>
      <c r="FH232">
        <v>0</v>
      </c>
      <c r="FI232">
        <v>-0.98927100000000023</v>
      </c>
      <c r="FJ232">
        <v>0</v>
      </c>
      <c r="FK232">
        <v>0</v>
      </c>
      <c r="FL232">
        <v>0</v>
      </c>
      <c r="FM232">
        <v>-1</v>
      </c>
      <c r="FN232">
        <v>-1</v>
      </c>
      <c r="FO232">
        <v>-1</v>
      </c>
      <c r="FP232">
        <v>-1</v>
      </c>
      <c r="FQ232">
        <v>0.7</v>
      </c>
      <c r="FR232">
        <v>216.2</v>
      </c>
      <c r="FS232">
        <v>0.14160200000000001</v>
      </c>
      <c r="FT232">
        <v>4.99756</v>
      </c>
      <c r="FU232">
        <v>1.5979000000000001</v>
      </c>
      <c r="FV232">
        <v>2.1520999999999999</v>
      </c>
      <c r="FW232">
        <v>1.5478499999999999</v>
      </c>
      <c r="FX232">
        <v>2.4633799999999999</v>
      </c>
      <c r="FY232">
        <v>34.5321</v>
      </c>
      <c r="FZ232">
        <v>15.209</v>
      </c>
      <c r="GA232">
        <v>3</v>
      </c>
      <c r="GB232">
        <v>498.87099999999998</v>
      </c>
      <c r="GC232">
        <v>406.02100000000002</v>
      </c>
      <c r="GD232">
        <v>28.148199999999999</v>
      </c>
      <c r="GE232">
        <v>29.397400000000001</v>
      </c>
      <c r="GF232">
        <v>30.0001</v>
      </c>
      <c r="GG232">
        <v>29.6937</v>
      </c>
      <c r="GH232">
        <v>29.744199999999999</v>
      </c>
      <c r="GI232">
        <v>-1</v>
      </c>
      <c r="GJ232">
        <v>0</v>
      </c>
      <c r="GK232">
        <v>100</v>
      </c>
      <c r="GL232">
        <v>28.1434</v>
      </c>
      <c r="GM232">
        <v>432.1</v>
      </c>
      <c r="GN232">
        <v>68.912800000000004</v>
      </c>
      <c r="GO232">
        <v>102.258</v>
      </c>
      <c r="GP232">
        <v>96.575199999999995</v>
      </c>
    </row>
    <row r="233" spans="1:198" x14ac:dyDescent="0.35">
      <c r="A233">
        <v>217</v>
      </c>
      <c r="B233">
        <v>1775494000.0999999</v>
      </c>
      <c r="C233">
        <v>12961.599999904631</v>
      </c>
      <c r="D233" t="s">
        <v>982</v>
      </c>
      <c r="E233" t="s">
        <v>983</v>
      </c>
      <c r="F233">
        <v>60</v>
      </c>
      <c r="G233">
        <v>1775493992.099999</v>
      </c>
      <c r="H233">
        <f t="shared" si="90"/>
        <v>2.1785743927991868E-3</v>
      </c>
      <c r="I233">
        <f t="shared" si="91"/>
        <v>2.1785743927991867</v>
      </c>
      <c r="J233">
        <f t="shared" si="92"/>
        <v>0.54859974273500511</v>
      </c>
      <c r="K233">
        <f t="shared" si="93"/>
        <v>40.230883870967737</v>
      </c>
      <c r="L233">
        <f t="shared" si="94"/>
        <v>23.055355731586669</v>
      </c>
      <c r="M233">
        <f t="shared" si="95"/>
        <v>2.3124585577332599</v>
      </c>
      <c r="N233">
        <f t="shared" si="96"/>
        <v>4.0351687814183146</v>
      </c>
      <c r="O233">
        <f t="shared" si="97"/>
        <v>5.8191308757567908E-2</v>
      </c>
      <c r="P233">
        <f t="shared" si="98"/>
        <v>2.3953400780394958</v>
      </c>
      <c r="Q233">
        <f t="shared" si="99"/>
        <v>5.7417209997762918E-2</v>
      </c>
      <c r="R233">
        <f t="shared" si="100"/>
        <v>3.5954447993154851E-2</v>
      </c>
      <c r="S233">
        <f t="shared" si="101"/>
        <v>0</v>
      </c>
      <c r="T233">
        <f t="shared" si="102"/>
        <v>26.62181199264689</v>
      </c>
      <c r="U233">
        <f t="shared" si="103"/>
        <v>27.35745806451613</v>
      </c>
      <c r="V233">
        <f t="shared" si="104"/>
        <v>3.6549941000520447</v>
      </c>
      <c r="W233">
        <f t="shared" si="105"/>
        <v>-2.2757769548828679</v>
      </c>
      <c r="X233">
        <f t="shared" si="106"/>
        <v>-8.2920014977431983E-2</v>
      </c>
      <c r="Y233">
        <f t="shared" si="107"/>
        <v>3.6435914688177249</v>
      </c>
      <c r="Z233">
        <f t="shared" si="108"/>
        <v>3.7379141150294766</v>
      </c>
      <c r="AA233">
        <f t="shared" si="109"/>
        <v>-96.075130722444143</v>
      </c>
      <c r="AB233">
        <f t="shared" si="110"/>
        <v>-6.8871984377157194</v>
      </c>
      <c r="AC233">
        <f t="shared" si="111"/>
        <v>-0.62256716305493232</v>
      </c>
      <c r="AD233">
        <f t="shared" si="112"/>
        <v>-103.58489632321481</v>
      </c>
      <c r="AE233">
        <v>12</v>
      </c>
      <c r="AF233">
        <v>2</v>
      </c>
      <c r="AG233">
        <f t="shared" si="113"/>
        <v>1</v>
      </c>
      <c r="AH233">
        <f t="shared" si="114"/>
        <v>0</v>
      </c>
      <c r="AI233">
        <f t="shared" si="115"/>
        <v>25597.736489714982</v>
      </c>
      <c r="AJ233">
        <f t="shared" si="116"/>
        <v>0</v>
      </c>
      <c r="AK233">
        <f t="shared" si="117"/>
        <v>0</v>
      </c>
      <c r="AL233">
        <f t="shared" si="118"/>
        <v>0</v>
      </c>
      <c r="AM233">
        <f t="shared" si="119"/>
        <v>0</v>
      </c>
      <c r="AN233">
        <v>3</v>
      </c>
      <c r="AO233">
        <v>0.5</v>
      </c>
      <c r="AP233" t="s">
        <v>331</v>
      </c>
      <c r="AQ233">
        <v>2</v>
      </c>
      <c r="AR233">
        <v>1775493992.099999</v>
      </c>
      <c r="AS233">
        <v>40.230883870967737</v>
      </c>
      <c r="AT233">
        <v>40.612603225806453</v>
      </c>
      <c r="AU233">
        <v>-0.82671770967741931</v>
      </c>
      <c r="AV233">
        <v>-2.134846774193548</v>
      </c>
      <c r="AW233">
        <v>32.282883870967737</v>
      </c>
      <c r="AX233">
        <v>0.1625532580645162</v>
      </c>
      <c r="AY233">
        <v>500.03677419354841</v>
      </c>
      <c r="AZ233">
        <v>100.2623548387097</v>
      </c>
      <c r="BA233">
        <v>3.7921793548387102E-2</v>
      </c>
      <c r="BB233">
        <v>27.304125806451601</v>
      </c>
      <c r="BC233">
        <v>27.35745806451613</v>
      </c>
      <c r="BD233">
        <v>999.90000000000032</v>
      </c>
      <c r="BE233">
        <v>0</v>
      </c>
      <c r="BF233">
        <v>0</v>
      </c>
      <c r="BG233">
        <v>5005.7096774193551</v>
      </c>
      <c r="BH233">
        <v>0.36357570967741942</v>
      </c>
      <c r="BI233">
        <v>0.23331922580645159</v>
      </c>
      <c r="BJ233">
        <v>-0.37128322580645151</v>
      </c>
      <c r="BK233">
        <v>40.208067741935487</v>
      </c>
      <c r="BL233">
        <v>40.526077419354841</v>
      </c>
      <c r="BM233">
        <v>1.308128709677419</v>
      </c>
      <c r="BN233">
        <v>40.612603225806453</v>
      </c>
      <c r="BO233">
        <v>-2.134846774193548</v>
      </c>
      <c r="BP233">
        <v>-8.2888619354838697E-2</v>
      </c>
      <c r="BQ233">
        <v>-0.21404474193548381</v>
      </c>
      <c r="BR233">
        <v>-99.900000000000034</v>
      </c>
      <c r="BS233">
        <v>-99.900000000000034</v>
      </c>
      <c r="BT233">
        <v>0</v>
      </c>
      <c r="BU233">
        <v>0</v>
      </c>
      <c r="BV233">
        <v>0</v>
      </c>
      <c r="BW233">
        <v>25</v>
      </c>
      <c r="BX233">
        <v>-1</v>
      </c>
      <c r="BY233">
        <v>1775494018.5999999</v>
      </c>
      <c r="BZ233" t="s">
        <v>984</v>
      </c>
      <c r="CA233">
        <v>1775494018.5999999</v>
      </c>
      <c r="CB233">
        <v>1775480969.5</v>
      </c>
      <c r="CC233">
        <v>218</v>
      </c>
      <c r="CD233">
        <v>-1.0999999999999999E-2</v>
      </c>
      <c r="CE233">
        <v>0.19500000000000001</v>
      </c>
      <c r="CF233">
        <v>7.9480000000000004</v>
      </c>
      <c r="CG233">
        <v>-0.98899999999999999</v>
      </c>
      <c r="CH233">
        <v>40</v>
      </c>
      <c r="CI233">
        <v>-3</v>
      </c>
      <c r="CJ233">
        <v>0.27</v>
      </c>
      <c r="CK233">
        <v>0.06</v>
      </c>
      <c r="CL233">
        <v>40.707526666666674</v>
      </c>
      <c r="CM233">
        <v>-0.69747240900239205</v>
      </c>
      <c r="CN233">
        <v>0.15179079887207311</v>
      </c>
      <c r="CO233">
        <v>-1</v>
      </c>
      <c r="CP233">
        <v>500.0127</v>
      </c>
      <c r="CQ233">
        <v>0.14762767435495219</v>
      </c>
      <c r="CR233">
        <v>4.7583715701909543E-2</v>
      </c>
      <c r="CS233">
        <v>-1</v>
      </c>
      <c r="CT233">
        <v>0</v>
      </c>
      <c r="CU233">
        <v>0</v>
      </c>
      <c r="CV233" t="s">
        <v>333</v>
      </c>
      <c r="CW233">
        <v>3.1674899999999999</v>
      </c>
      <c r="CX233">
        <v>2.6593</v>
      </c>
      <c r="CY233">
        <v>9.5827099999999995E-3</v>
      </c>
      <c r="CZ233">
        <v>1.1987100000000001E-2</v>
      </c>
      <c r="DA233">
        <v>1.3557899999999999E-3</v>
      </c>
      <c r="DB233">
        <v>-2.00866E-2</v>
      </c>
      <c r="DC233">
        <v>21381.4</v>
      </c>
      <c r="DD233">
        <v>21716.7</v>
      </c>
      <c r="DE233">
        <v>23115</v>
      </c>
      <c r="DF233">
        <v>22332.1</v>
      </c>
      <c r="DG233">
        <v>29767.8</v>
      </c>
      <c r="DH233">
        <v>27168.2</v>
      </c>
      <c r="DI233">
        <v>40624.1</v>
      </c>
      <c r="DJ233">
        <v>37012.300000000003</v>
      </c>
      <c r="DK233">
        <v>2.0948199999999999</v>
      </c>
      <c r="DL233">
        <v>1.80714</v>
      </c>
      <c r="DM233">
        <v>3.05712E-2</v>
      </c>
      <c r="DN233">
        <v>0</v>
      </c>
      <c r="DO233">
        <v>26.860700000000001</v>
      </c>
      <c r="DP233">
        <v>999.9</v>
      </c>
      <c r="DQ233">
        <v>75.2</v>
      </c>
      <c r="DR233">
        <v>30.2</v>
      </c>
      <c r="DS233">
        <v>32.325099999999999</v>
      </c>
      <c r="DT233">
        <v>30.643799999999999</v>
      </c>
      <c r="DU233">
        <v>9.6955100000000005</v>
      </c>
      <c r="DV233">
        <v>1</v>
      </c>
      <c r="DW233">
        <v>0.165685</v>
      </c>
      <c r="DX233">
        <v>-0.39408900000000002</v>
      </c>
      <c r="DY233">
        <v>20.367699999999999</v>
      </c>
      <c r="DZ233">
        <v>5.2111799999999997</v>
      </c>
      <c r="EA233">
        <v>11.8482</v>
      </c>
      <c r="EB233">
        <v>4.9677600000000002</v>
      </c>
      <c r="EC233">
        <v>3.2921399999999998</v>
      </c>
      <c r="ED233">
        <v>894.7</v>
      </c>
      <c r="EE233">
        <v>0</v>
      </c>
      <c r="EF233">
        <v>9999</v>
      </c>
      <c r="EG233">
        <v>112.4</v>
      </c>
      <c r="EH233">
        <v>4.9716100000000001</v>
      </c>
      <c r="EI233">
        <v>1.8717999999999999</v>
      </c>
      <c r="EJ233">
        <v>1.8690100000000001</v>
      </c>
      <c r="EK233">
        <v>1.8714500000000001</v>
      </c>
      <c r="EL233">
        <v>1.8691800000000001</v>
      </c>
      <c r="EM233">
        <v>1.8681300000000001</v>
      </c>
      <c r="EN233">
        <v>1.8699399999999999</v>
      </c>
      <c r="EO233">
        <v>1.87178</v>
      </c>
      <c r="EP233">
        <v>0</v>
      </c>
      <c r="EQ233">
        <v>0</v>
      </c>
      <c r="ER233">
        <v>0</v>
      </c>
      <c r="ES233">
        <v>0</v>
      </c>
      <c r="ET233" t="s">
        <v>334</v>
      </c>
      <c r="EU233" t="s">
        <v>335</v>
      </c>
      <c r="EV233" t="s">
        <v>336</v>
      </c>
      <c r="EW233" t="s">
        <v>336</v>
      </c>
      <c r="EX233" t="s">
        <v>336</v>
      </c>
      <c r="EY233" t="s">
        <v>336</v>
      </c>
      <c r="EZ233">
        <v>0</v>
      </c>
      <c r="FA233">
        <v>100</v>
      </c>
      <c r="FB233">
        <v>100</v>
      </c>
      <c r="FC233">
        <v>7.9480000000000004</v>
      </c>
      <c r="FD233">
        <v>-0.98929999999999996</v>
      </c>
      <c r="FE233">
        <v>7.9584249999999983</v>
      </c>
      <c r="FF233">
        <v>0</v>
      </c>
      <c r="FG233">
        <v>0</v>
      </c>
      <c r="FH233">
        <v>0</v>
      </c>
      <c r="FI233">
        <v>-0.98927100000000023</v>
      </c>
      <c r="FJ233">
        <v>0</v>
      </c>
      <c r="FK233">
        <v>0</v>
      </c>
      <c r="FL233">
        <v>0</v>
      </c>
      <c r="FM233">
        <v>-1</v>
      </c>
      <c r="FN233">
        <v>-1</v>
      </c>
      <c r="FO233">
        <v>-1</v>
      </c>
      <c r="FP233">
        <v>-1</v>
      </c>
      <c r="FQ233">
        <v>0.7</v>
      </c>
      <c r="FR233">
        <v>217.2</v>
      </c>
      <c r="FS233">
        <v>0.14160200000000001</v>
      </c>
      <c r="FT233">
        <v>4.99756</v>
      </c>
      <c r="FU233">
        <v>1.5979000000000001</v>
      </c>
      <c r="FV233">
        <v>2.1520999999999999</v>
      </c>
      <c r="FW233">
        <v>1.5478499999999999</v>
      </c>
      <c r="FX233">
        <v>2.4450699999999999</v>
      </c>
      <c r="FY233">
        <v>34.554900000000004</v>
      </c>
      <c r="FZ233">
        <v>15.2003</v>
      </c>
      <c r="GA233">
        <v>3</v>
      </c>
      <c r="GB233">
        <v>498.851</v>
      </c>
      <c r="GC233">
        <v>406.91500000000002</v>
      </c>
      <c r="GD233">
        <v>28.0868</v>
      </c>
      <c r="GE233">
        <v>29.397400000000001</v>
      </c>
      <c r="GF233">
        <v>30.0001</v>
      </c>
      <c r="GG233">
        <v>29.691199999999998</v>
      </c>
      <c r="GH233">
        <v>29.744199999999999</v>
      </c>
      <c r="GI233">
        <v>-1</v>
      </c>
      <c r="GJ233">
        <v>0</v>
      </c>
      <c r="GK233">
        <v>100</v>
      </c>
      <c r="GL233">
        <v>28.084700000000002</v>
      </c>
      <c r="GM233">
        <v>432.1</v>
      </c>
      <c r="GN233">
        <v>68.912800000000004</v>
      </c>
      <c r="GO233">
        <v>102.25700000000001</v>
      </c>
      <c r="GP233">
        <v>96.576599999999999</v>
      </c>
    </row>
    <row r="234" spans="1:198" x14ac:dyDescent="0.35">
      <c r="A234">
        <v>218</v>
      </c>
      <c r="B234">
        <v>1775494060.0999999</v>
      </c>
      <c r="C234">
        <v>13021.599999904631</v>
      </c>
      <c r="D234" t="s">
        <v>985</v>
      </c>
      <c r="E234" t="s">
        <v>986</v>
      </c>
      <c r="F234">
        <v>60</v>
      </c>
      <c r="G234">
        <v>1775494052.349999</v>
      </c>
      <c r="H234">
        <f t="shared" si="90"/>
        <v>2.1349917945757187E-3</v>
      </c>
      <c r="I234">
        <f t="shared" si="91"/>
        <v>2.1349917945757189</v>
      </c>
      <c r="J234">
        <f t="shared" si="92"/>
        <v>0.24922210469698436</v>
      </c>
      <c r="K234">
        <f t="shared" si="93"/>
        <v>39.851320000000001</v>
      </c>
      <c r="L234">
        <f t="shared" si="94"/>
        <v>30.63817751842819</v>
      </c>
      <c r="M234">
        <f t="shared" si="95"/>
        <v>3.0729535747466654</v>
      </c>
      <c r="N234">
        <f t="shared" si="96"/>
        <v>3.9970150371612521</v>
      </c>
      <c r="O234">
        <f t="shared" si="97"/>
        <v>5.6986766205966377E-2</v>
      </c>
      <c r="P234">
        <f t="shared" si="98"/>
        <v>2.3928017394545651</v>
      </c>
      <c r="Q234">
        <f t="shared" si="99"/>
        <v>5.6243385763650205E-2</v>
      </c>
      <c r="R234">
        <f t="shared" si="100"/>
        <v>3.521809792356894E-2</v>
      </c>
      <c r="S234">
        <f t="shared" si="101"/>
        <v>0</v>
      </c>
      <c r="T234">
        <f t="shared" si="102"/>
        <v>26.6261740003496</v>
      </c>
      <c r="U234">
        <f t="shared" si="103"/>
        <v>27.352673333333328</v>
      </c>
      <c r="V234">
        <f t="shared" si="104"/>
        <v>3.6539698369402909</v>
      </c>
      <c r="W234">
        <f t="shared" si="105"/>
        <v>-2.3507735972817372</v>
      </c>
      <c r="X234">
        <f t="shared" si="106"/>
        <v>-8.5609267790006174E-2</v>
      </c>
      <c r="Y234">
        <f t="shared" si="107"/>
        <v>3.6417487370539838</v>
      </c>
      <c r="Z234">
        <f t="shared" si="108"/>
        <v>3.7395791047302969</v>
      </c>
      <c r="AA234">
        <f t="shared" si="109"/>
        <v>-94.153138140789196</v>
      </c>
      <c r="AB234">
        <f t="shared" si="110"/>
        <v>-7.3762615914438499</v>
      </c>
      <c r="AC234">
        <f t="shared" si="111"/>
        <v>-0.66743854932307967</v>
      </c>
      <c r="AD234">
        <f t="shared" si="112"/>
        <v>-102.19683828155613</v>
      </c>
      <c r="AE234">
        <v>13</v>
      </c>
      <c r="AF234">
        <v>3</v>
      </c>
      <c r="AG234">
        <f t="shared" si="113"/>
        <v>1</v>
      </c>
      <c r="AH234">
        <f t="shared" si="114"/>
        <v>0</v>
      </c>
      <c r="AI234">
        <f t="shared" si="115"/>
        <v>25559.969186605606</v>
      </c>
      <c r="AJ234">
        <f t="shared" si="116"/>
        <v>0</v>
      </c>
      <c r="AK234">
        <f t="shared" si="117"/>
        <v>0</v>
      </c>
      <c r="AL234">
        <f t="shared" si="118"/>
        <v>0</v>
      </c>
      <c r="AM234">
        <f t="shared" si="119"/>
        <v>0</v>
      </c>
      <c r="AN234">
        <v>3</v>
      </c>
      <c r="AO234">
        <v>0.5</v>
      </c>
      <c r="AP234" t="s">
        <v>331</v>
      </c>
      <c r="AQ234">
        <v>2</v>
      </c>
      <c r="AR234">
        <v>1775494052.349999</v>
      </c>
      <c r="AS234">
        <v>39.851320000000001</v>
      </c>
      <c r="AT234">
        <v>40.051900000000003</v>
      </c>
      <c r="AU234">
        <v>-0.85354753333333344</v>
      </c>
      <c r="AV234">
        <v>-2.1356193333333331</v>
      </c>
      <c r="AW234">
        <v>31.901319999999998</v>
      </c>
      <c r="AX234">
        <v>0.13572339999999999</v>
      </c>
      <c r="AY234">
        <v>500.00650000000002</v>
      </c>
      <c r="AZ234">
        <v>100.25993333333339</v>
      </c>
      <c r="BA234">
        <v>3.8250946666666667E-2</v>
      </c>
      <c r="BB234">
        <v>27.295493333333329</v>
      </c>
      <c r="BC234">
        <v>27.352673333333328</v>
      </c>
      <c r="BD234">
        <v>999.9000000000002</v>
      </c>
      <c r="BE234">
        <v>0</v>
      </c>
      <c r="BF234">
        <v>0</v>
      </c>
      <c r="BG234">
        <v>4999.3</v>
      </c>
      <c r="BH234">
        <v>0.37535166666666681</v>
      </c>
      <c r="BI234">
        <v>0.22961599999999999</v>
      </c>
      <c r="BJ234">
        <v>-0.20270273333333341</v>
      </c>
      <c r="BK234">
        <v>39.815213333333332</v>
      </c>
      <c r="BL234">
        <v>39.96655333333333</v>
      </c>
      <c r="BM234">
        <v>1.282070666666667</v>
      </c>
      <c r="BN234">
        <v>40.051900000000003</v>
      </c>
      <c r="BO234">
        <v>-2.1356193333333331</v>
      </c>
      <c r="BP234">
        <v>-8.5576716666666691E-2</v>
      </c>
      <c r="BQ234">
        <v>-0.21411730000000001</v>
      </c>
      <c r="BR234">
        <v>-99.900000000000034</v>
      </c>
      <c r="BS234">
        <v>-99.900000000000034</v>
      </c>
      <c r="BT234">
        <v>0</v>
      </c>
      <c r="BU234">
        <v>0</v>
      </c>
      <c r="BV234">
        <v>0</v>
      </c>
      <c r="BW234">
        <v>25</v>
      </c>
      <c r="BX234">
        <v>-1</v>
      </c>
      <c r="BY234">
        <v>1775494076.5999999</v>
      </c>
      <c r="BZ234" t="s">
        <v>987</v>
      </c>
      <c r="CA234">
        <v>1775494076.5999999</v>
      </c>
      <c r="CB234">
        <v>1775480969.5</v>
      </c>
      <c r="CC234">
        <v>219</v>
      </c>
      <c r="CD234">
        <v>2E-3</v>
      </c>
      <c r="CE234">
        <v>0.19500000000000001</v>
      </c>
      <c r="CF234">
        <v>7.95</v>
      </c>
      <c r="CG234">
        <v>-0.98899999999999999</v>
      </c>
      <c r="CH234">
        <v>40</v>
      </c>
      <c r="CI234">
        <v>-3</v>
      </c>
      <c r="CJ234">
        <v>0.31</v>
      </c>
      <c r="CK234">
        <v>0.06</v>
      </c>
      <c r="CL234">
        <v>40.406750819672133</v>
      </c>
      <c r="CM234">
        <v>-2.1218506610259089</v>
      </c>
      <c r="CN234">
        <v>0.34188653310085421</v>
      </c>
      <c r="CO234">
        <v>-1</v>
      </c>
      <c r="CP234">
        <v>499.98770491803282</v>
      </c>
      <c r="CQ234">
        <v>0.12897303014237221</v>
      </c>
      <c r="CR234">
        <v>6.6243303221642916E-2</v>
      </c>
      <c r="CS234">
        <v>-1</v>
      </c>
      <c r="CT234">
        <v>0</v>
      </c>
      <c r="CU234">
        <v>0</v>
      </c>
      <c r="CV234" t="s">
        <v>333</v>
      </c>
      <c r="CW234">
        <v>3.16743</v>
      </c>
      <c r="CX234">
        <v>2.6595599999999999</v>
      </c>
      <c r="CY234">
        <v>9.4450699999999999E-3</v>
      </c>
      <c r="CZ234">
        <v>1.19063E-2</v>
      </c>
      <c r="DA234">
        <v>1.0707799999999999E-3</v>
      </c>
      <c r="DB234">
        <v>-2.0046999999999999E-2</v>
      </c>
      <c r="DC234">
        <v>21384.6</v>
      </c>
      <c r="DD234">
        <v>21718.7</v>
      </c>
      <c r="DE234">
        <v>23115.200000000001</v>
      </c>
      <c r="DF234">
        <v>22332.400000000001</v>
      </c>
      <c r="DG234">
        <v>29776.799999999999</v>
      </c>
      <c r="DH234">
        <v>27167.599999999999</v>
      </c>
      <c r="DI234">
        <v>40624.800000000003</v>
      </c>
      <c r="DJ234">
        <v>37012.9</v>
      </c>
      <c r="DK234">
        <v>2.0945800000000001</v>
      </c>
      <c r="DL234">
        <v>1.8066599999999999</v>
      </c>
      <c r="DM234">
        <v>2.9641399999999998E-2</v>
      </c>
      <c r="DN234">
        <v>0</v>
      </c>
      <c r="DO234">
        <v>26.861999999999998</v>
      </c>
      <c r="DP234">
        <v>999.9</v>
      </c>
      <c r="DQ234">
        <v>75.2</v>
      </c>
      <c r="DR234">
        <v>30.2</v>
      </c>
      <c r="DS234">
        <v>32.326500000000003</v>
      </c>
      <c r="DT234">
        <v>30.163799999999998</v>
      </c>
      <c r="DU234">
        <v>9.4671500000000002</v>
      </c>
      <c r="DV234">
        <v>1</v>
      </c>
      <c r="DW234">
        <v>0.16527600000000001</v>
      </c>
      <c r="DX234">
        <v>-0.466505</v>
      </c>
      <c r="DY234">
        <v>20.367699999999999</v>
      </c>
      <c r="DZ234">
        <v>5.2122599999999997</v>
      </c>
      <c r="EA234">
        <v>11.8482</v>
      </c>
      <c r="EB234">
        <v>4.9678000000000004</v>
      </c>
      <c r="EC234">
        <v>3.2921399999999998</v>
      </c>
      <c r="ED234">
        <v>894.7</v>
      </c>
      <c r="EE234">
        <v>0</v>
      </c>
      <c r="EF234">
        <v>9999</v>
      </c>
      <c r="EG234">
        <v>112.4</v>
      </c>
      <c r="EH234">
        <v>4.9716300000000002</v>
      </c>
      <c r="EI234">
        <v>1.8717999999999999</v>
      </c>
      <c r="EJ234">
        <v>1.86903</v>
      </c>
      <c r="EK234">
        <v>1.8714200000000001</v>
      </c>
      <c r="EL234">
        <v>1.8691800000000001</v>
      </c>
      <c r="EM234">
        <v>1.8681300000000001</v>
      </c>
      <c r="EN234">
        <v>1.8699399999999999</v>
      </c>
      <c r="EO234">
        <v>1.87178</v>
      </c>
      <c r="EP234">
        <v>0</v>
      </c>
      <c r="EQ234">
        <v>0</v>
      </c>
      <c r="ER234">
        <v>0</v>
      </c>
      <c r="ES234">
        <v>0</v>
      </c>
      <c r="ET234" t="s">
        <v>334</v>
      </c>
      <c r="EU234" t="s">
        <v>335</v>
      </c>
      <c r="EV234" t="s">
        <v>336</v>
      </c>
      <c r="EW234" t="s">
        <v>336</v>
      </c>
      <c r="EX234" t="s">
        <v>336</v>
      </c>
      <c r="EY234" t="s">
        <v>336</v>
      </c>
      <c r="EZ234">
        <v>0</v>
      </c>
      <c r="FA234">
        <v>100</v>
      </c>
      <c r="FB234">
        <v>100</v>
      </c>
      <c r="FC234">
        <v>7.95</v>
      </c>
      <c r="FD234">
        <v>-0.98929999999999996</v>
      </c>
      <c r="FE234">
        <v>7.9478761904761939</v>
      </c>
      <c r="FF234">
        <v>0</v>
      </c>
      <c r="FG234">
        <v>0</v>
      </c>
      <c r="FH234">
        <v>0</v>
      </c>
      <c r="FI234">
        <v>-0.98927100000000023</v>
      </c>
      <c r="FJ234">
        <v>0</v>
      </c>
      <c r="FK234">
        <v>0</v>
      </c>
      <c r="FL234">
        <v>0</v>
      </c>
      <c r="FM234">
        <v>-1</v>
      </c>
      <c r="FN234">
        <v>-1</v>
      </c>
      <c r="FO234">
        <v>-1</v>
      </c>
      <c r="FP234">
        <v>-1</v>
      </c>
      <c r="FQ234">
        <v>0.7</v>
      </c>
      <c r="FR234">
        <v>218.2</v>
      </c>
      <c r="FS234">
        <v>0.142822</v>
      </c>
      <c r="FT234">
        <v>4.99756</v>
      </c>
      <c r="FU234">
        <v>1.5979000000000001</v>
      </c>
      <c r="FV234">
        <v>2.1520999999999999</v>
      </c>
      <c r="FW234">
        <v>1.5478499999999999</v>
      </c>
      <c r="FX234">
        <v>2.3168899999999999</v>
      </c>
      <c r="FY234">
        <v>34.554900000000004</v>
      </c>
      <c r="FZ234">
        <v>15.182700000000001</v>
      </c>
      <c r="GA234">
        <v>3</v>
      </c>
      <c r="GB234">
        <v>498.702</v>
      </c>
      <c r="GC234">
        <v>406.62299999999999</v>
      </c>
      <c r="GD234">
        <v>28.119499999999999</v>
      </c>
      <c r="GE234">
        <v>29.397400000000001</v>
      </c>
      <c r="GF234">
        <v>30</v>
      </c>
      <c r="GG234">
        <v>29.689800000000002</v>
      </c>
      <c r="GH234">
        <v>29.741700000000002</v>
      </c>
      <c r="GI234">
        <v>-1</v>
      </c>
      <c r="GJ234">
        <v>0</v>
      </c>
      <c r="GK234">
        <v>100</v>
      </c>
      <c r="GL234">
        <v>28.123699999999999</v>
      </c>
      <c r="GM234">
        <v>432.1</v>
      </c>
      <c r="GN234">
        <v>68.912800000000004</v>
      </c>
      <c r="GO234">
        <v>102.258</v>
      </c>
      <c r="GP234">
        <v>96.578000000000003</v>
      </c>
    </row>
    <row r="235" spans="1:198" x14ac:dyDescent="0.35">
      <c r="A235">
        <v>219</v>
      </c>
      <c r="B235">
        <v>1775494120.0999999</v>
      </c>
      <c r="C235">
        <v>13081.599999904631</v>
      </c>
      <c r="D235" t="s">
        <v>988</v>
      </c>
      <c r="E235" t="s">
        <v>989</v>
      </c>
      <c r="F235">
        <v>60</v>
      </c>
      <c r="G235">
        <v>1775494112.349999</v>
      </c>
      <c r="H235">
        <f t="shared" si="90"/>
        <v>2.0727042304354041E-3</v>
      </c>
      <c r="I235">
        <f t="shared" si="91"/>
        <v>2.072704230435404</v>
      </c>
      <c r="J235">
        <f t="shared" si="92"/>
        <v>0.56176034273884168</v>
      </c>
      <c r="K235">
        <f t="shared" si="93"/>
        <v>39.112020000000001</v>
      </c>
      <c r="L235">
        <f t="shared" si="94"/>
        <v>20.855379346896434</v>
      </c>
      <c r="M235">
        <f t="shared" si="95"/>
        <v>2.0917110538434613</v>
      </c>
      <c r="N235">
        <f t="shared" si="96"/>
        <v>3.9227790207671833</v>
      </c>
      <c r="O235">
        <f t="shared" si="97"/>
        <v>5.5278901861362188E-2</v>
      </c>
      <c r="P235">
        <f t="shared" si="98"/>
        <v>2.3941247524919289</v>
      </c>
      <c r="Q235">
        <f t="shared" si="99"/>
        <v>5.4579497573741316E-2</v>
      </c>
      <c r="R235">
        <f t="shared" si="100"/>
        <v>3.4174287359380114E-2</v>
      </c>
      <c r="S235">
        <f t="shared" si="101"/>
        <v>0</v>
      </c>
      <c r="T235">
        <f t="shared" si="102"/>
        <v>26.646227214974459</v>
      </c>
      <c r="U235">
        <f t="shared" si="103"/>
        <v>27.350549999999998</v>
      </c>
      <c r="V235">
        <f t="shared" si="104"/>
        <v>3.6535153771370141</v>
      </c>
      <c r="W235">
        <f t="shared" si="105"/>
        <v>-2.4055098735394442</v>
      </c>
      <c r="X235">
        <f t="shared" si="106"/>
        <v>-8.7603635089898615E-2</v>
      </c>
      <c r="Y235">
        <f t="shared" si="107"/>
        <v>3.6417907094681543</v>
      </c>
      <c r="Z235">
        <f t="shared" si="108"/>
        <v>3.7411190122269127</v>
      </c>
      <c r="AA235">
        <f t="shared" si="109"/>
        <v>-91.406256562201321</v>
      </c>
      <c r="AB235">
        <f t="shared" si="110"/>
        <v>-7.0808928635868105</v>
      </c>
      <c r="AC235">
        <f t="shared" si="111"/>
        <v>-0.64035198391463044</v>
      </c>
      <c r="AD235">
        <f t="shared" si="112"/>
        <v>-99.127501409702759</v>
      </c>
      <c r="AE235">
        <v>13</v>
      </c>
      <c r="AF235">
        <v>3</v>
      </c>
      <c r="AG235">
        <f t="shared" si="113"/>
        <v>1</v>
      </c>
      <c r="AH235">
        <f t="shared" si="114"/>
        <v>0</v>
      </c>
      <c r="AI235">
        <f t="shared" si="115"/>
        <v>25580.147130751917</v>
      </c>
      <c r="AJ235">
        <f t="shared" si="116"/>
        <v>0</v>
      </c>
      <c r="AK235">
        <f t="shared" si="117"/>
        <v>0</v>
      </c>
      <c r="AL235">
        <f t="shared" si="118"/>
        <v>0</v>
      </c>
      <c r="AM235">
        <f t="shared" si="119"/>
        <v>0</v>
      </c>
      <c r="AN235">
        <v>3</v>
      </c>
      <c r="AO235">
        <v>0.5</v>
      </c>
      <c r="AP235" t="s">
        <v>331</v>
      </c>
      <c r="AQ235">
        <v>2</v>
      </c>
      <c r="AR235">
        <v>1775494112.349999</v>
      </c>
      <c r="AS235">
        <v>39.112020000000001</v>
      </c>
      <c r="AT235">
        <v>39.497716666666669</v>
      </c>
      <c r="AU235">
        <v>-0.87345096666666677</v>
      </c>
      <c r="AV235">
        <v>-2.1181593333333328</v>
      </c>
      <c r="AW235">
        <v>31.19502</v>
      </c>
      <c r="AX235">
        <v>0.11582003333333329</v>
      </c>
      <c r="AY235">
        <v>500.00016666666681</v>
      </c>
      <c r="AZ235">
        <v>100.258</v>
      </c>
      <c r="BA235">
        <v>3.7996493333333339E-2</v>
      </c>
      <c r="BB235">
        <v>27.29569</v>
      </c>
      <c r="BC235">
        <v>27.350549999999998</v>
      </c>
      <c r="BD235">
        <v>999.9000000000002</v>
      </c>
      <c r="BE235">
        <v>0</v>
      </c>
      <c r="BF235">
        <v>0</v>
      </c>
      <c r="BG235">
        <v>5002.8</v>
      </c>
      <c r="BH235">
        <v>0.37560563333333341</v>
      </c>
      <c r="BI235">
        <v>0.22961599999999999</v>
      </c>
      <c r="BJ235">
        <v>-0.35289609999999999</v>
      </c>
      <c r="BK235">
        <v>39.110666666666667</v>
      </c>
      <c r="BL235">
        <v>39.414239999999999</v>
      </c>
      <c r="BM235">
        <v>1.244707666666667</v>
      </c>
      <c r="BN235">
        <v>39.497716666666669</v>
      </c>
      <c r="BO235">
        <v>-2.1181593333333328</v>
      </c>
      <c r="BP235">
        <v>-8.7570473333333329E-2</v>
      </c>
      <c r="BQ235">
        <v>-0.21236233333333329</v>
      </c>
      <c r="BR235">
        <v>-99.900000000000034</v>
      </c>
      <c r="BS235">
        <v>-99.900000000000034</v>
      </c>
      <c r="BT235">
        <v>0</v>
      </c>
      <c r="BU235">
        <v>0</v>
      </c>
      <c r="BV235">
        <v>0</v>
      </c>
      <c r="BW235">
        <v>25</v>
      </c>
      <c r="BX235">
        <v>-1</v>
      </c>
      <c r="BY235">
        <v>1775494143.0999999</v>
      </c>
      <c r="BZ235" t="s">
        <v>990</v>
      </c>
      <c r="CA235">
        <v>1775494143.0999999</v>
      </c>
      <c r="CB235">
        <v>1775480969.5</v>
      </c>
      <c r="CC235">
        <v>220</v>
      </c>
      <c r="CD235">
        <v>-3.3000000000000002E-2</v>
      </c>
      <c r="CE235">
        <v>0.19500000000000001</v>
      </c>
      <c r="CF235">
        <v>7.9169999999999998</v>
      </c>
      <c r="CG235">
        <v>-0.98899999999999999</v>
      </c>
      <c r="CH235">
        <v>39</v>
      </c>
      <c r="CI235">
        <v>-3</v>
      </c>
      <c r="CJ235">
        <v>0.32</v>
      </c>
      <c r="CK235">
        <v>0.06</v>
      </c>
      <c r="CL235">
        <v>39.613943333333353</v>
      </c>
      <c r="CM235">
        <v>-0.57545118088350811</v>
      </c>
      <c r="CN235">
        <v>0.16171869028930741</v>
      </c>
      <c r="CO235">
        <v>-1</v>
      </c>
      <c r="CP235">
        <v>500.00438333333341</v>
      </c>
      <c r="CQ235">
        <v>-6.61217004715908E-2</v>
      </c>
      <c r="CR235">
        <v>6.6472824438930558E-2</v>
      </c>
      <c r="CS235">
        <v>-1</v>
      </c>
      <c r="CT235">
        <v>0</v>
      </c>
      <c r="CU235">
        <v>0</v>
      </c>
      <c r="CV235" t="s">
        <v>333</v>
      </c>
      <c r="CW235">
        <v>3.1673499999999999</v>
      </c>
      <c r="CX235">
        <v>2.65951</v>
      </c>
      <c r="CY235">
        <v>9.2875200000000005E-3</v>
      </c>
      <c r="CZ235">
        <v>1.172E-2</v>
      </c>
      <c r="DA235">
        <v>9.5029800000000003E-4</v>
      </c>
      <c r="DB235">
        <v>-1.9933200000000002E-2</v>
      </c>
      <c r="DC235">
        <v>21387.9</v>
      </c>
      <c r="DD235">
        <v>21722.9</v>
      </c>
      <c r="DE235">
        <v>23115.1</v>
      </c>
      <c r="DF235">
        <v>22332.400000000001</v>
      </c>
      <c r="DG235">
        <v>29780.1</v>
      </c>
      <c r="DH235">
        <v>27164.5</v>
      </c>
      <c r="DI235">
        <v>40624.400000000001</v>
      </c>
      <c r="DJ235">
        <v>37012.800000000003</v>
      </c>
      <c r="DK235">
        <v>2.09436</v>
      </c>
      <c r="DL235">
        <v>1.8060400000000001</v>
      </c>
      <c r="DM235">
        <v>3.1215E-2</v>
      </c>
      <c r="DN235">
        <v>0</v>
      </c>
      <c r="DO235">
        <v>26.839200000000002</v>
      </c>
      <c r="DP235">
        <v>999.9</v>
      </c>
      <c r="DQ235">
        <v>75.2</v>
      </c>
      <c r="DR235">
        <v>30.2</v>
      </c>
      <c r="DS235">
        <v>32.321800000000003</v>
      </c>
      <c r="DT235">
        <v>30.553799999999999</v>
      </c>
      <c r="DU235">
        <v>9.3790099999999992</v>
      </c>
      <c r="DV235">
        <v>1</v>
      </c>
      <c r="DW235">
        <v>0.16522600000000001</v>
      </c>
      <c r="DX235">
        <v>-0.51517599999999997</v>
      </c>
      <c r="DY235">
        <v>20.3675</v>
      </c>
      <c r="DZ235">
        <v>5.2121399999999998</v>
      </c>
      <c r="EA235">
        <v>11.8482</v>
      </c>
      <c r="EB235">
        <v>4.9680799999999996</v>
      </c>
      <c r="EC235">
        <v>3.29216</v>
      </c>
      <c r="ED235">
        <v>894.7</v>
      </c>
      <c r="EE235">
        <v>0</v>
      </c>
      <c r="EF235">
        <v>9999</v>
      </c>
      <c r="EG235">
        <v>112.5</v>
      </c>
      <c r="EH235">
        <v>4.9716100000000001</v>
      </c>
      <c r="EI235">
        <v>1.8717999999999999</v>
      </c>
      <c r="EJ235">
        <v>1.86903</v>
      </c>
      <c r="EK235">
        <v>1.8714200000000001</v>
      </c>
      <c r="EL235">
        <v>1.86917</v>
      </c>
      <c r="EM235">
        <v>1.8681300000000001</v>
      </c>
      <c r="EN235">
        <v>1.8699600000000001</v>
      </c>
      <c r="EO235">
        <v>1.8717999999999999</v>
      </c>
      <c r="EP235">
        <v>0</v>
      </c>
      <c r="EQ235">
        <v>0</v>
      </c>
      <c r="ER235">
        <v>0</v>
      </c>
      <c r="ES235">
        <v>0</v>
      </c>
      <c r="ET235" t="s">
        <v>334</v>
      </c>
      <c r="EU235" t="s">
        <v>335</v>
      </c>
      <c r="EV235" t="s">
        <v>336</v>
      </c>
      <c r="EW235" t="s">
        <v>336</v>
      </c>
      <c r="EX235" t="s">
        <v>336</v>
      </c>
      <c r="EY235" t="s">
        <v>336</v>
      </c>
      <c r="EZ235">
        <v>0</v>
      </c>
      <c r="FA235">
        <v>100</v>
      </c>
      <c r="FB235">
        <v>100</v>
      </c>
      <c r="FC235">
        <v>7.9169999999999998</v>
      </c>
      <c r="FD235">
        <v>-0.98929999999999996</v>
      </c>
      <c r="FE235">
        <v>7.9497999999999962</v>
      </c>
      <c r="FF235">
        <v>0</v>
      </c>
      <c r="FG235">
        <v>0</v>
      </c>
      <c r="FH235">
        <v>0</v>
      </c>
      <c r="FI235">
        <v>-0.98927100000000023</v>
      </c>
      <c r="FJ235">
        <v>0</v>
      </c>
      <c r="FK235">
        <v>0</v>
      </c>
      <c r="FL235">
        <v>0</v>
      </c>
      <c r="FM235">
        <v>-1</v>
      </c>
      <c r="FN235">
        <v>-1</v>
      </c>
      <c r="FO235">
        <v>-1</v>
      </c>
      <c r="FP235">
        <v>-1</v>
      </c>
      <c r="FQ235">
        <v>0.7</v>
      </c>
      <c r="FR235">
        <v>219.2</v>
      </c>
      <c r="FS235">
        <v>0.14160200000000001</v>
      </c>
      <c r="FT235">
        <v>4.99756</v>
      </c>
      <c r="FU235">
        <v>1.5979000000000001</v>
      </c>
      <c r="FV235">
        <v>2.1520999999999999</v>
      </c>
      <c r="FW235">
        <v>1.5478499999999999</v>
      </c>
      <c r="FX235">
        <v>2.34619</v>
      </c>
      <c r="FY235">
        <v>34.554900000000004</v>
      </c>
      <c r="FZ235">
        <v>15.182700000000001</v>
      </c>
      <c r="GA235">
        <v>3</v>
      </c>
      <c r="GB235">
        <v>498.55799999999999</v>
      </c>
      <c r="GC235">
        <v>406.25200000000001</v>
      </c>
      <c r="GD235">
        <v>28.1782</v>
      </c>
      <c r="GE235">
        <v>29.3949</v>
      </c>
      <c r="GF235">
        <v>30.0001</v>
      </c>
      <c r="GG235">
        <v>29.6877</v>
      </c>
      <c r="GH235">
        <v>29.7392</v>
      </c>
      <c r="GI235">
        <v>-1</v>
      </c>
      <c r="GJ235">
        <v>0</v>
      </c>
      <c r="GK235">
        <v>100</v>
      </c>
      <c r="GL235">
        <v>28.179500000000001</v>
      </c>
      <c r="GM235">
        <v>432.1</v>
      </c>
      <c r="GN235">
        <v>68.912800000000004</v>
      </c>
      <c r="GO235">
        <v>102.25700000000001</v>
      </c>
      <c r="GP235">
        <v>96.5779</v>
      </c>
    </row>
    <row r="236" spans="1:198" x14ac:dyDescent="0.35">
      <c r="A236">
        <v>220</v>
      </c>
      <c r="B236">
        <v>1775494180.0999999</v>
      </c>
      <c r="C236">
        <v>13141.599999904631</v>
      </c>
      <c r="D236" t="s">
        <v>991</v>
      </c>
      <c r="E236" t="s">
        <v>992</v>
      </c>
      <c r="F236">
        <v>60</v>
      </c>
      <c r="G236">
        <v>1775494172.099999</v>
      </c>
      <c r="H236">
        <f t="shared" si="90"/>
        <v>2.1013869686906019E-3</v>
      </c>
      <c r="I236">
        <f t="shared" si="91"/>
        <v>2.1013869686906017</v>
      </c>
      <c r="J236">
        <f t="shared" si="92"/>
        <v>0.46748754693270628</v>
      </c>
      <c r="K236">
        <f t="shared" si="93"/>
        <v>38.292322580645163</v>
      </c>
      <c r="L236">
        <f t="shared" si="94"/>
        <v>22.947108466040913</v>
      </c>
      <c r="M236">
        <f t="shared" si="95"/>
        <v>2.3014829514343966</v>
      </c>
      <c r="N236">
        <f t="shared" si="96"/>
        <v>3.8405330118433962</v>
      </c>
      <c r="O236">
        <f t="shared" si="97"/>
        <v>5.6069186017259791E-2</v>
      </c>
      <c r="P236">
        <f t="shared" si="98"/>
        <v>2.3961600096932152</v>
      </c>
      <c r="Q236">
        <f t="shared" si="99"/>
        <v>5.5350383932366437E-2</v>
      </c>
      <c r="R236">
        <f t="shared" si="100"/>
        <v>3.4657803673936435E-2</v>
      </c>
      <c r="S236">
        <f t="shared" si="101"/>
        <v>0</v>
      </c>
      <c r="T236">
        <f t="shared" si="102"/>
        <v>26.645618578340958</v>
      </c>
      <c r="U236">
        <f t="shared" si="103"/>
        <v>27.35080967741936</v>
      </c>
      <c r="V236">
        <f t="shared" si="104"/>
        <v>3.653570953586101</v>
      </c>
      <c r="W236">
        <f t="shared" si="105"/>
        <v>-2.3723888066762213</v>
      </c>
      <c r="X236">
        <f t="shared" si="106"/>
        <v>-8.6437247724254915E-2</v>
      </c>
      <c r="Y236">
        <f t="shared" si="107"/>
        <v>3.6434688732727483</v>
      </c>
      <c r="Z236">
        <f t="shared" si="108"/>
        <v>3.7400082013103559</v>
      </c>
      <c r="AA236">
        <f t="shared" si="109"/>
        <v>-92.67116531925555</v>
      </c>
      <c r="AB236">
        <f t="shared" si="110"/>
        <v>-6.1048808199490932</v>
      </c>
      <c r="AC236">
        <f t="shared" si="111"/>
        <v>-0.55164095556622761</v>
      </c>
      <c r="AD236">
        <f t="shared" si="112"/>
        <v>-99.327687094770866</v>
      </c>
      <c r="AE236">
        <v>13</v>
      </c>
      <c r="AF236">
        <v>3</v>
      </c>
      <c r="AG236">
        <f t="shared" si="113"/>
        <v>1</v>
      </c>
      <c r="AH236">
        <f t="shared" si="114"/>
        <v>0</v>
      </c>
      <c r="AI236">
        <f t="shared" si="115"/>
        <v>25610.462330325212</v>
      </c>
      <c r="AJ236">
        <f t="shared" si="116"/>
        <v>0</v>
      </c>
      <c r="AK236">
        <f t="shared" si="117"/>
        <v>0</v>
      </c>
      <c r="AL236">
        <f t="shared" si="118"/>
        <v>0</v>
      </c>
      <c r="AM236">
        <f t="shared" si="119"/>
        <v>0</v>
      </c>
      <c r="AN236">
        <v>3</v>
      </c>
      <c r="AO236">
        <v>0.5</v>
      </c>
      <c r="AP236" t="s">
        <v>331</v>
      </c>
      <c r="AQ236">
        <v>2</v>
      </c>
      <c r="AR236">
        <v>1775494172.099999</v>
      </c>
      <c r="AS236">
        <v>38.292322580645163</v>
      </c>
      <c r="AT236">
        <v>38.621080645161292</v>
      </c>
      <c r="AU236">
        <v>-0.86182906451612906</v>
      </c>
      <c r="AV236">
        <v>-2.1236916129032259</v>
      </c>
      <c r="AW236">
        <v>30.352322580645161</v>
      </c>
      <c r="AX236">
        <v>0.12744193548387101</v>
      </c>
      <c r="AY236">
        <v>500.02229032258072</v>
      </c>
      <c r="AZ236">
        <v>100.25712903225811</v>
      </c>
      <c r="BA236">
        <v>3.7988970967741939E-2</v>
      </c>
      <c r="BB236">
        <v>27.30355161290322</v>
      </c>
      <c r="BC236">
        <v>27.35080967741936</v>
      </c>
      <c r="BD236">
        <v>999.90000000000032</v>
      </c>
      <c r="BE236">
        <v>0</v>
      </c>
      <c r="BF236">
        <v>0</v>
      </c>
      <c r="BG236">
        <v>5008.0806451612907</v>
      </c>
      <c r="BH236">
        <v>0.3712858709677419</v>
      </c>
      <c r="BI236">
        <v>0.23317109677419351</v>
      </c>
      <c r="BJ236">
        <v>-0.35190503225806452</v>
      </c>
      <c r="BK236">
        <v>38.236219354838717</v>
      </c>
      <c r="BL236">
        <v>38.539225806451611</v>
      </c>
      <c r="BM236">
        <v>1.2618625806451611</v>
      </c>
      <c r="BN236">
        <v>38.621080645161292</v>
      </c>
      <c r="BO236">
        <v>-2.1236916129032259</v>
      </c>
      <c r="BP236">
        <v>-8.6404599999999984E-2</v>
      </c>
      <c r="BQ236">
        <v>-0.2129155161290322</v>
      </c>
      <c r="BR236">
        <v>-99.900000000000034</v>
      </c>
      <c r="BS236">
        <v>-99.900000000000034</v>
      </c>
      <c r="BT236">
        <v>0</v>
      </c>
      <c r="BU236">
        <v>0</v>
      </c>
      <c r="BV236">
        <v>0</v>
      </c>
      <c r="BW236">
        <v>25</v>
      </c>
      <c r="BX236">
        <v>-0.98924741935483884</v>
      </c>
      <c r="BY236">
        <v>1775494196.0999999</v>
      </c>
      <c r="BZ236" t="s">
        <v>993</v>
      </c>
      <c r="CA236">
        <v>1775494196.0999999</v>
      </c>
      <c r="CB236">
        <v>1775480969.5</v>
      </c>
      <c r="CC236">
        <v>221</v>
      </c>
      <c r="CD236">
        <v>2.4E-2</v>
      </c>
      <c r="CE236">
        <v>0.19500000000000001</v>
      </c>
      <c r="CF236">
        <v>7.94</v>
      </c>
      <c r="CG236">
        <v>-0.98899999999999999</v>
      </c>
      <c r="CH236">
        <v>39</v>
      </c>
      <c r="CI236">
        <v>-3</v>
      </c>
      <c r="CJ236">
        <v>0.15</v>
      </c>
      <c r="CK236">
        <v>0.06</v>
      </c>
      <c r="CL236">
        <v>38.800431666666661</v>
      </c>
      <c r="CM236">
        <v>-1.3643293136982051</v>
      </c>
      <c r="CN236">
        <v>0.23303534960149019</v>
      </c>
      <c r="CO236">
        <v>-1</v>
      </c>
      <c r="CP236">
        <v>500.18454999999989</v>
      </c>
      <c r="CQ236">
        <v>-1.8622539594328411</v>
      </c>
      <c r="CR236">
        <v>0.58799530681233636</v>
      </c>
      <c r="CS236">
        <v>-1</v>
      </c>
      <c r="CT236">
        <v>0</v>
      </c>
      <c r="CU236">
        <v>0</v>
      </c>
      <c r="CV236" t="s">
        <v>333</v>
      </c>
      <c r="CW236">
        <v>3.1674500000000001</v>
      </c>
      <c r="CX236">
        <v>2.6592600000000002</v>
      </c>
      <c r="CY236">
        <v>9.0254800000000007E-3</v>
      </c>
      <c r="CZ236">
        <v>1.15716E-2</v>
      </c>
      <c r="DA236">
        <v>1.05748E-3</v>
      </c>
      <c r="DB236">
        <v>-1.9961199999999998E-2</v>
      </c>
      <c r="DC236">
        <v>21393.5</v>
      </c>
      <c r="DD236">
        <v>21726.400000000001</v>
      </c>
      <c r="DE236">
        <v>23115.1</v>
      </c>
      <c r="DF236">
        <v>22332.7</v>
      </c>
      <c r="DG236">
        <v>29777</v>
      </c>
      <c r="DH236">
        <v>27165.9</v>
      </c>
      <c r="DI236">
        <v>40624.5</v>
      </c>
      <c r="DJ236">
        <v>37013.599999999999</v>
      </c>
      <c r="DK236">
        <v>2.09422</v>
      </c>
      <c r="DL236">
        <v>1.8062</v>
      </c>
      <c r="DM236">
        <v>3.1995799999999998E-2</v>
      </c>
      <c r="DN236">
        <v>0</v>
      </c>
      <c r="DO236">
        <v>26.834700000000002</v>
      </c>
      <c r="DP236">
        <v>999.9</v>
      </c>
      <c r="DQ236">
        <v>75.2</v>
      </c>
      <c r="DR236">
        <v>30.2</v>
      </c>
      <c r="DS236">
        <v>32.3249</v>
      </c>
      <c r="DT236">
        <v>30.343800000000002</v>
      </c>
      <c r="DU236">
        <v>9.3709900000000008</v>
      </c>
      <c r="DV236">
        <v>1</v>
      </c>
      <c r="DW236">
        <v>0.164821</v>
      </c>
      <c r="DX236">
        <v>-0.44172099999999997</v>
      </c>
      <c r="DY236">
        <v>20.367799999999999</v>
      </c>
      <c r="DZ236">
        <v>5.2125000000000004</v>
      </c>
      <c r="EA236">
        <v>11.8482</v>
      </c>
      <c r="EB236">
        <v>4.9681199999999999</v>
      </c>
      <c r="EC236">
        <v>3.2921</v>
      </c>
      <c r="ED236">
        <v>894.7</v>
      </c>
      <c r="EE236">
        <v>0</v>
      </c>
      <c r="EF236">
        <v>9999</v>
      </c>
      <c r="EG236">
        <v>112.5</v>
      </c>
      <c r="EH236">
        <v>4.9716100000000001</v>
      </c>
      <c r="EI236">
        <v>1.8717999999999999</v>
      </c>
      <c r="EJ236">
        <v>1.8690199999999999</v>
      </c>
      <c r="EK236">
        <v>1.8714200000000001</v>
      </c>
      <c r="EL236">
        <v>1.86917</v>
      </c>
      <c r="EM236">
        <v>1.86812</v>
      </c>
      <c r="EN236">
        <v>1.86995</v>
      </c>
      <c r="EO236">
        <v>1.87178</v>
      </c>
      <c r="EP236">
        <v>0</v>
      </c>
      <c r="EQ236">
        <v>0</v>
      </c>
      <c r="ER236">
        <v>0</v>
      </c>
      <c r="ES236">
        <v>0</v>
      </c>
      <c r="ET236" t="s">
        <v>334</v>
      </c>
      <c r="EU236" t="s">
        <v>335</v>
      </c>
      <c r="EV236" t="s">
        <v>336</v>
      </c>
      <c r="EW236" t="s">
        <v>336</v>
      </c>
      <c r="EX236" t="s">
        <v>336</v>
      </c>
      <c r="EY236" t="s">
        <v>336</v>
      </c>
      <c r="EZ236">
        <v>0</v>
      </c>
      <c r="FA236">
        <v>100</v>
      </c>
      <c r="FB236">
        <v>100</v>
      </c>
      <c r="FC236">
        <v>7.94</v>
      </c>
      <c r="FD236">
        <v>-0.98929999999999996</v>
      </c>
      <c r="FE236">
        <v>7.9168500000000037</v>
      </c>
      <c r="FF236">
        <v>0</v>
      </c>
      <c r="FG236">
        <v>0</v>
      </c>
      <c r="FH236">
        <v>0</v>
      </c>
      <c r="FI236">
        <v>-0.98927100000000023</v>
      </c>
      <c r="FJ236">
        <v>0</v>
      </c>
      <c r="FK236">
        <v>0</v>
      </c>
      <c r="FL236">
        <v>0</v>
      </c>
      <c r="FM236">
        <v>-1</v>
      </c>
      <c r="FN236">
        <v>-1</v>
      </c>
      <c r="FO236">
        <v>-1</v>
      </c>
      <c r="FP236">
        <v>-1</v>
      </c>
      <c r="FQ236">
        <v>0.6</v>
      </c>
      <c r="FR236">
        <v>220.2</v>
      </c>
      <c r="FS236">
        <v>0.14160200000000001</v>
      </c>
      <c r="FT236">
        <v>4.99756</v>
      </c>
      <c r="FU236">
        <v>1.5979000000000001</v>
      </c>
      <c r="FV236">
        <v>2.1520999999999999</v>
      </c>
      <c r="FW236">
        <v>1.5478499999999999</v>
      </c>
      <c r="FX236">
        <v>2.4182100000000002</v>
      </c>
      <c r="FY236">
        <v>34.554900000000004</v>
      </c>
      <c r="FZ236">
        <v>15.173999999999999</v>
      </c>
      <c r="GA236">
        <v>3</v>
      </c>
      <c r="GB236">
        <v>498.464</v>
      </c>
      <c r="GC236">
        <v>406.32600000000002</v>
      </c>
      <c r="GD236">
        <v>28.132100000000001</v>
      </c>
      <c r="GE236">
        <v>29.392399999999999</v>
      </c>
      <c r="GF236">
        <v>30</v>
      </c>
      <c r="GG236">
        <v>29.6861</v>
      </c>
      <c r="GH236">
        <v>29.736699999999999</v>
      </c>
      <c r="GI236">
        <v>-1</v>
      </c>
      <c r="GJ236">
        <v>0</v>
      </c>
      <c r="GK236">
        <v>100</v>
      </c>
      <c r="GL236">
        <v>28.128799999999998</v>
      </c>
      <c r="GM236">
        <v>432.1</v>
      </c>
      <c r="GN236">
        <v>68.912800000000004</v>
      </c>
      <c r="GO236">
        <v>102.258</v>
      </c>
      <c r="GP236">
        <v>96.579800000000006</v>
      </c>
    </row>
    <row r="237" spans="1:198" x14ac:dyDescent="0.35">
      <c r="A237">
        <v>221</v>
      </c>
      <c r="B237">
        <v>1775494240.5</v>
      </c>
      <c r="C237">
        <v>13202</v>
      </c>
      <c r="D237" t="s">
        <v>994</v>
      </c>
      <c r="E237" t="s">
        <v>995</v>
      </c>
      <c r="F237">
        <v>60</v>
      </c>
      <c r="G237">
        <v>1775494232.5</v>
      </c>
      <c r="H237">
        <f t="shared" si="90"/>
        <v>2.0809464880903075E-3</v>
      </c>
      <c r="I237">
        <f t="shared" si="91"/>
        <v>2.0809464880903077</v>
      </c>
      <c r="J237">
        <f t="shared" si="92"/>
        <v>0.79539411104521118</v>
      </c>
      <c r="K237">
        <f t="shared" si="93"/>
        <v>37.576964516129031</v>
      </c>
      <c r="L237">
        <f t="shared" si="94"/>
        <v>12.885001824984084</v>
      </c>
      <c r="M237">
        <f t="shared" si="95"/>
        <v>1.2922945087896931</v>
      </c>
      <c r="N237">
        <f t="shared" si="96"/>
        <v>3.7687619730887136</v>
      </c>
      <c r="O237">
        <f t="shared" si="97"/>
        <v>5.5548602278687936E-2</v>
      </c>
      <c r="P237">
        <f t="shared" si="98"/>
        <v>2.3931167172106527</v>
      </c>
      <c r="Q237">
        <f t="shared" si="99"/>
        <v>5.4842110321261045E-2</v>
      </c>
      <c r="R237">
        <f t="shared" si="100"/>
        <v>3.4339045764438983E-2</v>
      </c>
      <c r="S237">
        <f t="shared" si="101"/>
        <v>0</v>
      </c>
      <c r="T237">
        <f t="shared" si="102"/>
        <v>26.646994973038122</v>
      </c>
      <c r="U237">
        <f t="shared" si="103"/>
        <v>27.352699999999999</v>
      </c>
      <c r="V237">
        <f t="shared" si="104"/>
        <v>3.6539755447554305</v>
      </c>
      <c r="W237">
        <f t="shared" si="105"/>
        <v>-2.3032679700930685</v>
      </c>
      <c r="X237">
        <f t="shared" si="106"/>
        <v>-8.3897898459159792E-2</v>
      </c>
      <c r="Y237">
        <f t="shared" si="107"/>
        <v>3.642559161527771</v>
      </c>
      <c r="Z237">
        <f t="shared" si="108"/>
        <v>3.7378734432145904</v>
      </c>
      <c r="AA237">
        <f t="shared" si="109"/>
        <v>-91.769740124782558</v>
      </c>
      <c r="AB237">
        <f t="shared" si="110"/>
        <v>-6.8907941901407375</v>
      </c>
      <c r="AC237">
        <f t="shared" si="111"/>
        <v>-0.6234410347426651</v>
      </c>
      <c r="AD237">
        <f t="shared" si="112"/>
        <v>-99.283975349665965</v>
      </c>
      <c r="AE237">
        <v>13</v>
      </c>
      <c r="AF237">
        <v>3</v>
      </c>
      <c r="AG237">
        <f t="shared" si="113"/>
        <v>1</v>
      </c>
      <c r="AH237">
        <f t="shared" si="114"/>
        <v>0</v>
      </c>
      <c r="AI237">
        <f t="shared" si="115"/>
        <v>25564.579097433194</v>
      </c>
      <c r="AJ237">
        <f t="shared" si="116"/>
        <v>0</v>
      </c>
      <c r="AK237">
        <f t="shared" si="117"/>
        <v>0</v>
      </c>
      <c r="AL237">
        <f t="shared" si="118"/>
        <v>0</v>
      </c>
      <c r="AM237">
        <f t="shared" si="119"/>
        <v>0</v>
      </c>
      <c r="AN237">
        <v>3</v>
      </c>
      <c r="AO237">
        <v>0.5</v>
      </c>
      <c r="AP237" t="s">
        <v>331</v>
      </c>
      <c r="AQ237">
        <v>2</v>
      </c>
      <c r="AR237">
        <v>1775494232.5</v>
      </c>
      <c r="AS237">
        <v>37.576964516129031</v>
      </c>
      <c r="AT237">
        <v>38.101119354838708</v>
      </c>
      <c r="AU237">
        <v>-0.83651564516129062</v>
      </c>
      <c r="AV237">
        <v>-2.0861303225806451</v>
      </c>
      <c r="AW237">
        <v>29.621964516129029</v>
      </c>
      <c r="AX237">
        <v>0.15275535483870961</v>
      </c>
      <c r="AY237">
        <v>499.99906451612901</v>
      </c>
      <c r="AZ237">
        <v>100.2563225806451</v>
      </c>
      <c r="BA237">
        <v>3.815361290322581E-2</v>
      </c>
      <c r="BB237">
        <v>27.299290322580639</v>
      </c>
      <c r="BC237">
        <v>27.352699999999999</v>
      </c>
      <c r="BD237">
        <v>999.90000000000032</v>
      </c>
      <c r="BE237">
        <v>0</v>
      </c>
      <c r="BF237">
        <v>0</v>
      </c>
      <c r="BG237">
        <v>5000.2903225806449</v>
      </c>
      <c r="BH237">
        <v>0.36585983870967748</v>
      </c>
      <c r="BI237">
        <v>0.23331922580645159</v>
      </c>
      <c r="BJ237">
        <v>-0.53869170967741942</v>
      </c>
      <c r="BK237">
        <v>37.531035483870973</v>
      </c>
      <c r="BL237">
        <v>38.021790322580642</v>
      </c>
      <c r="BM237">
        <v>1.249613870967742</v>
      </c>
      <c r="BN237">
        <v>38.101119354838708</v>
      </c>
      <c r="BO237">
        <v>-2.0861303225806451</v>
      </c>
      <c r="BP237">
        <v>-8.3865983870967734E-2</v>
      </c>
      <c r="BQ237">
        <v>-0.20914774193548391</v>
      </c>
      <c r="BR237">
        <v>-99.900000000000034</v>
      </c>
      <c r="BS237">
        <v>-99.900000000000034</v>
      </c>
      <c r="BT237">
        <v>0</v>
      </c>
      <c r="BU237">
        <v>0</v>
      </c>
      <c r="BV237">
        <v>0</v>
      </c>
      <c r="BW237">
        <v>25</v>
      </c>
      <c r="BX237">
        <v>-1</v>
      </c>
      <c r="BY237">
        <v>1775494257.5</v>
      </c>
      <c r="BZ237" t="s">
        <v>996</v>
      </c>
      <c r="CA237">
        <v>1775494257.5</v>
      </c>
      <c r="CB237">
        <v>1775480969.5</v>
      </c>
      <c r="CC237">
        <v>222</v>
      </c>
      <c r="CD237">
        <v>1.4E-2</v>
      </c>
      <c r="CE237">
        <v>0.19500000000000001</v>
      </c>
      <c r="CF237">
        <v>7.9550000000000001</v>
      </c>
      <c r="CG237">
        <v>-0.98899999999999999</v>
      </c>
      <c r="CH237">
        <v>39</v>
      </c>
      <c r="CI237">
        <v>-3</v>
      </c>
      <c r="CJ237">
        <v>0.15</v>
      </c>
      <c r="CK237">
        <v>0.06</v>
      </c>
      <c r="CL237">
        <v>38.050388524590161</v>
      </c>
      <c r="CM237">
        <v>0.50975187731358995</v>
      </c>
      <c r="CN237">
        <v>0.1593965383115083</v>
      </c>
      <c r="CO237">
        <v>-1</v>
      </c>
      <c r="CP237">
        <v>500.00414754098358</v>
      </c>
      <c r="CQ237">
        <v>-6.4918032786401786E-3</v>
      </c>
      <c r="CR237">
        <v>4.9306946295319218E-2</v>
      </c>
      <c r="CS237">
        <v>-1</v>
      </c>
      <c r="CT237">
        <v>0</v>
      </c>
      <c r="CU237">
        <v>0</v>
      </c>
      <c r="CV237" t="s">
        <v>333</v>
      </c>
      <c r="CW237">
        <v>3.1674699999999998</v>
      </c>
      <c r="CX237">
        <v>2.65943</v>
      </c>
      <c r="CY237">
        <v>8.8857599999999995E-3</v>
      </c>
      <c r="CZ237">
        <v>1.14632E-2</v>
      </c>
      <c r="DA237">
        <v>1.2521100000000001E-3</v>
      </c>
      <c r="DB237">
        <v>-1.9507500000000001E-2</v>
      </c>
      <c r="DC237">
        <v>21396.6</v>
      </c>
      <c r="DD237">
        <v>21728.799999999999</v>
      </c>
      <c r="DE237">
        <v>23115.200000000001</v>
      </c>
      <c r="DF237">
        <v>22332.7</v>
      </c>
      <c r="DG237">
        <v>29771.3</v>
      </c>
      <c r="DH237">
        <v>27153.9</v>
      </c>
      <c r="DI237">
        <v>40624.699999999997</v>
      </c>
      <c r="DJ237">
        <v>37013.599999999999</v>
      </c>
      <c r="DK237">
        <v>2.0942599999999998</v>
      </c>
      <c r="DL237">
        <v>1.8059400000000001</v>
      </c>
      <c r="DM237">
        <v>3.10928E-2</v>
      </c>
      <c r="DN237">
        <v>0</v>
      </c>
      <c r="DO237">
        <v>26.842199999999998</v>
      </c>
      <c r="DP237">
        <v>999.9</v>
      </c>
      <c r="DQ237">
        <v>75.3</v>
      </c>
      <c r="DR237">
        <v>30.2</v>
      </c>
      <c r="DS237">
        <v>32.369700000000002</v>
      </c>
      <c r="DT237">
        <v>30.523800000000001</v>
      </c>
      <c r="DU237">
        <v>9.5392600000000005</v>
      </c>
      <c r="DV237">
        <v>1</v>
      </c>
      <c r="DW237">
        <v>0.164801</v>
      </c>
      <c r="DX237">
        <v>-0.44739000000000001</v>
      </c>
      <c r="DY237">
        <v>20.367699999999999</v>
      </c>
      <c r="DZ237">
        <v>5.2111799999999997</v>
      </c>
      <c r="EA237">
        <v>11.8482</v>
      </c>
      <c r="EB237">
        <v>4.9678000000000004</v>
      </c>
      <c r="EC237">
        <v>3.2922199999999999</v>
      </c>
      <c r="ED237">
        <v>894.7</v>
      </c>
      <c r="EE237">
        <v>0</v>
      </c>
      <c r="EF237">
        <v>9999</v>
      </c>
      <c r="EG237">
        <v>112.5</v>
      </c>
      <c r="EH237">
        <v>4.9716300000000002</v>
      </c>
      <c r="EI237">
        <v>1.8717999999999999</v>
      </c>
      <c r="EJ237">
        <v>1.8690100000000001</v>
      </c>
      <c r="EK237">
        <v>1.87144</v>
      </c>
      <c r="EL237">
        <v>1.8692</v>
      </c>
      <c r="EM237">
        <v>1.8681300000000001</v>
      </c>
      <c r="EN237">
        <v>1.86995</v>
      </c>
      <c r="EO237">
        <v>1.8717600000000001</v>
      </c>
      <c r="EP237">
        <v>0</v>
      </c>
      <c r="EQ237">
        <v>0</v>
      </c>
      <c r="ER237">
        <v>0</v>
      </c>
      <c r="ES237">
        <v>0</v>
      </c>
      <c r="ET237" t="s">
        <v>334</v>
      </c>
      <c r="EU237" t="s">
        <v>335</v>
      </c>
      <c r="EV237" t="s">
        <v>336</v>
      </c>
      <c r="EW237" t="s">
        <v>336</v>
      </c>
      <c r="EX237" t="s">
        <v>336</v>
      </c>
      <c r="EY237" t="s">
        <v>336</v>
      </c>
      <c r="EZ237">
        <v>0</v>
      </c>
      <c r="FA237">
        <v>100</v>
      </c>
      <c r="FB237">
        <v>100</v>
      </c>
      <c r="FC237">
        <v>7.9550000000000001</v>
      </c>
      <c r="FD237">
        <v>-0.98929999999999996</v>
      </c>
      <c r="FE237">
        <v>7.9404549999999823</v>
      </c>
      <c r="FF237">
        <v>0</v>
      </c>
      <c r="FG237">
        <v>0</v>
      </c>
      <c r="FH237">
        <v>0</v>
      </c>
      <c r="FI237">
        <v>-0.98927100000000023</v>
      </c>
      <c r="FJ237">
        <v>0</v>
      </c>
      <c r="FK237">
        <v>0</v>
      </c>
      <c r="FL237">
        <v>0</v>
      </c>
      <c r="FM237">
        <v>-1</v>
      </c>
      <c r="FN237">
        <v>-1</v>
      </c>
      <c r="FO237">
        <v>-1</v>
      </c>
      <c r="FP237">
        <v>-1</v>
      </c>
      <c r="FQ237">
        <v>0.7</v>
      </c>
      <c r="FR237">
        <v>221.2</v>
      </c>
      <c r="FS237">
        <v>0.14160200000000001</v>
      </c>
      <c r="FT237">
        <v>4.99756</v>
      </c>
      <c r="FU237">
        <v>1.5979000000000001</v>
      </c>
      <c r="FV237">
        <v>2.1520999999999999</v>
      </c>
      <c r="FW237">
        <v>1.5478499999999999</v>
      </c>
      <c r="FX237">
        <v>2.4438499999999999</v>
      </c>
      <c r="FY237">
        <v>34.554900000000004</v>
      </c>
      <c r="FZ237">
        <v>15.173999999999999</v>
      </c>
      <c r="GA237">
        <v>3</v>
      </c>
      <c r="GB237">
        <v>498.488</v>
      </c>
      <c r="GC237">
        <v>406.178</v>
      </c>
      <c r="GD237">
        <v>28.128699999999998</v>
      </c>
      <c r="GE237">
        <v>29.392399999999999</v>
      </c>
      <c r="GF237">
        <v>30.0001</v>
      </c>
      <c r="GG237">
        <v>29.6861</v>
      </c>
      <c r="GH237">
        <v>29.736699999999999</v>
      </c>
      <c r="GI237">
        <v>-1</v>
      </c>
      <c r="GJ237">
        <v>0</v>
      </c>
      <c r="GK237">
        <v>100</v>
      </c>
      <c r="GL237">
        <v>28.128699999999998</v>
      </c>
      <c r="GM237">
        <v>432.1</v>
      </c>
      <c r="GN237">
        <v>68.912800000000004</v>
      </c>
      <c r="GO237">
        <v>102.258</v>
      </c>
      <c r="GP237">
        <v>96.579800000000006</v>
      </c>
    </row>
    <row r="238" spans="1:198" x14ac:dyDescent="0.35">
      <c r="A238">
        <v>222</v>
      </c>
      <c r="B238">
        <v>1775494300.5</v>
      </c>
      <c r="C238">
        <v>13262</v>
      </c>
      <c r="D238" t="s">
        <v>997</v>
      </c>
      <c r="E238" t="s">
        <v>998</v>
      </c>
      <c r="F238">
        <v>60</v>
      </c>
      <c r="G238">
        <v>1775494292.5</v>
      </c>
      <c r="H238">
        <f t="shared" si="90"/>
        <v>2.0700031175628656E-3</v>
      </c>
      <c r="I238">
        <f t="shared" si="91"/>
        <v>2.0700031175628655</v>
      </c>
      <c r="J238">
        <f t="shared" si="92"/>
        <v>0.48396277357823436</v>
      </c>
      <c r="K238">
        <f t="shared" si="93"/>
        <v>37.811806451612902</v>
      </c>
      <c r="L238">
        <f t="shared" si="94"/>
        <v>21.834777630782018</v>
      </c>
      <c r="M238">
        <f t="shared" si="95"/>
        <v>2.1898794972352511</v>
      </c>
      <c r="N238">
        <f t="shared" si="96"/>
        <v>3.792266681254453</v>
      </c>
      <c r="O238">
        <f t="shared" si="97"/>
        <v>5.5247881540961233E-2</v>
      </c>
      <c r="P238">
        <f t="shared" si="98"/>
        <v>2.3927418421466924</v>
      </c>
      <c r="Q238">
        <f t="shared" si="99"/>
        <v>5.4548858371452291E-2</v>
      </c>
      <c r="R238">
        <f t="shared" si="100"/>
        <v>3.4155104005822397E-2</v>
      </c>
      <c r="S238">
        <f t="shared" si="101"/>
        <v>0</v>
      </c>
      <c r="T238">
        <f t="shared" si="102"/>
        <v>26.648011464251116</v>
      </c>
      <c r="U238">
        <f t="shared" si="103"/>
        <v>27.346232258064521</v>
      </c>
      <c r="V238">
        <f t="shared" si="104"/>
        <v>3.652591397344227</v>
      </c>
      <c r="W238">
        <f t="shared" si="105"/>
        <v>-2.3509829988593065</v>
      </c>
      <c r="X238">
        <f t="shared" si="106"/>
        <v>-8.5624307862606025E-2</v>
      </c>
      <c r="Y238">
        <f t="shared" si="107"/>
        <v>3.6420641027242993</v>
      </c>
      <c r="Z238">
        <f t="shared" si="108"/>
        <v>3.7382157052068332</v>
      </c>
      <c r="AA238">
        <f t="shared" si="109"/>
        <v>-91.287137484522376</v>
      </c>
      <c r="AB238">
        <f t="shared" si="110"/>
        <v>-6.3545832094132297</v>
      </c>
      <c r="AC238">
        <f t="shared" si="111"/>
        <v>-0.57499246238459567</v>
      </c>
      <c r="AD238">
        <f t="shared" si="112"/>
        <v>-98.21671315632021</v>
      </c>
      <c r="AE238">
        <v>13</v>
      </c>
      <c r="AF238">
        <v>3</v>
      </c>
      <c r="AG238">
        <f t="shared" si="113"/>
        <v>1</v>
      </c>
      <c r="AH238">
        <f t="shared" si="114"/>
        <v>0</v>
      </c>
      <c r="AI238">
        <f t="shared" si="115"/>
        <v>25559.125221109971</v>
      </c>
      <c r="AJ238">
        <f t="shared" si="116"/>
        <v>0</v>
      </c>
      <c r="AK238">
        <f t="shared" si="117"/>
        <v>0</v>
      </c>
      <c r="AL238">
        <f t="shared" si="118"/>
        <v>0</v>
      </c>
      <c r="AM238">
        <f t="shared" si="119"/>
        <v>0</v>
      </c>
      <c r="AN238">
        <v>3</v>
      </c>
      <c r="AO238">
        <v>0.5</v>
      </c>
      <c r="AP238" t="s">
        <v>331</v>
      </c>
      <c r="AQ238">
        <v>2</v>
      </c>
      <c r="AR238">
        <v>1775494292.5</v>
      </c>
      <c r="AS238">
        <v>37.811806451612902</v>
      </c>
      <c r="AT238">
        <v>38.14914838709678</v>
      </c>
      <c r="AU238">
        <v>-0.85373999999999994</v>
      </c>
      <c r="AV238">
        <v>-2.0968093548387099</v>
      </c>
      <c r="AW238">
        <v>29.895806451612899</v>
      </c>
      <c r="AX238">
        <v>0.13553096774193549</v>
      </c>
      <c r="AY238">
        <v>499.99712903225799</v>
      </c>
      <c r="AZ238">
        <v>100.2550967741936</v>
      </c>
      <c r="BA238">
        <v>3.8093029032258058E-2</v>
      </c>
      <c r="BB238">
        <v>27.296970967741931</v>
      </c>
      <c r="BC238">
        <v>27.346232258064521</v>
      </c>
      <c r="BD238">
        <v>999.90000000000032</v>
      </c>
      <c r="BE238">
        <v>0</v>
      </c>
      <c r="BF238">
        <v>0</v>
      </c>
      <c r="BG238">
        <v>4999.3870967741932</v>
      </c>
      <c r="BH238">
        <v>0.34514390322580651</v>
      </c>
      <c r="BI238">
        <v>0.23331922580645159</v>
      </c>
      <c r="BJ238">
        <v>-0.29866158387096781</v>
      </c>
      <c r="BK238">
        <v>37.8181935483871</v>
      </c>
      <c r="BL238">
        <v>38.069325806451623</v>
      </c>
      <c r="BM238">
        <v>1.243068387096774</v>
      </c>
      <c r="BN238">
        <v>38.14914838709678</v>
      </c>
      <c r="BO238">
        <v>-2.0968093548387099</v>
      </c>
      <c r="BP238">
        <v>-8.5591767741935471E-2</v>
      </c>
      <c r="BQ238">
        <v>-0.2102157419354839</v>
      </c>
      <c r="BR238">
        <v>-99.900000000000034</v>
      </c>
      <c r="BS238">
        <v>-99.900000000000034</v>
      </c>
      <c r="BT238">
        <v>0</v>
      </c>
      <c r="BU238">
        <v>0</v>
      </c>
      <c r="BV238">
        <v>0</v>
      </c>
      <c r="BW238">
        <v>25</v>
      </c>
      <c r="BX238">
        <v>-0.97849480645161302</v>
      </c>
      <c r="BY238">
        <v>1775494316.5</v>
      </c>
      <c r="BZ238" t="s">
        <v>999</v>
      </c>
      <c r="CA238">
        <v>1775494316.5</v>
      </c>
      <c r="CB238">
        <v>1775480969.5</v>
      </c>
      <c r="CC238">
        <v>223</v>
      </c>
      <c r="CD238">
        <v>-3.7999999999999999E-2</v>
      </c>
      <c r="CE238">
        <v>0.19500000000000001</v>
      </c>
      <c r="CF238">
        <v>7.9160000000000004</v>
      </c>
      <c r="CG238">
        <v>-0.98899999999999999</v>
      </c>
      <c r="CH238">
        <v>37</v>
      </c>
      <c r="CI238">
        <v>-3</v>
      </c>
      <c r="CJ238">
        <v>0.28000000000000003</v>
      </c>
      <c r="CK238">
        <v>0.06</v>
      </c>
      <c r="CL238">
        <v>38.341934426229507</v>
      </c>
      <c r="CM238">
        <v>-1.156717503966169</v>
      </c>
      <c r="CN238">
        <v>0.20224608195783089</v>
      </c>
      <c r="CO238">
        <v>-1</v>
      </c>
      <c r="CP238">
        <v>499.99440983606559</v>
      </c>
      <c r="CQ238">
        <v>3.5473294550713678E-3</v>
      </c>
      <c r="CR238">
        <v>4.1943121927465597E-2</v>
      </c>
      <c r="CS238">
        <v>-1</v>
      </c>
      <c r="CT238">
        <v>0</v>
      </c>
      <c r="CU238">
        <v>0</v>
      </c>
      <c r="CV238" t="s">
        <v>333</v>
      </c>
      <c r="CW238">
        <v>3.1674799999999999</v>
      </c>
      <c r="CX238">
        <v>2.6595300000000002</v>
      </c>
      <c r="CY238">
        <v>8.89006E-3</v>
      </c>
      <c r="CZ238">
        <v>1.12598E-2</v>
      </c>
      <c r="DA238">
        <v>1.08719E-3</v>
      </c>
      <c r="DB238">
        <v>-1.9629400000000002E-2</v>
      </c>
      <c r="DC238">
        <v>21396.7</v>
      </c>
      <c r="DD238">
        <v>21733</v>
      </c>
      <c r="DE238">
        <v>23115.4</v>
      </c>
      <c r="DF238">
        <v>22332.5</v>
      </c>
      <c r="DG238">
        <v>29776.7</v>
      </c>
      <c r="DH238">
        <v>27156.7</v>
      </c>
      <c r="DI238">
        <v>40625.300000000003</v>
      </c>
      <c r="DJ238">
        <v>37013.1</v>
      </c>
      <c r="DK238">
        <v>2.09456</v>
      </c>
      <c r="DL238">
        <v>1.8056399999999999</v>
      </c>
      <c r="DM238">
        <v>3.1137499999999999E-2</v>
      </c>
      <c r="DN238">
        <v>0</v>
      </c>
      <c r="DO238">
        <v>26.8354</v>
      </c>
      <c r="DP238">
        <v>999.9</v>
      </c>
      <c r="DQ238">
        <v>75.3</v>
      </c>
      <c r="DR238">
        <v>30.2</v>
      </c>
      <c r="DS238">
        <v>32.367400000000004</v>
      </c>
      <c r="DT238">
        <v>30.373799999999999</v>
      </c>
      <c r="DU238">
        <v>9.3950300000000002</v>
      </c>
      <c r="DV238">
        <v>1</v>
      </c>
      <c r="DW238">
        <v>0.164933</v>
      </c>
      <c r="DX238">
        <v>-0.47035500000000002</v>
      </c>
      <c r="DY238">
        <v>20.367699999999999</v>
      </c>
      <c r="DZ238">
        <v>5.2112999999999996</v>
      </c>
      <c r="EA238">
        <v>11.8482</v>
      </c>
      <c r="EB238">
        <v>4.9678800000000001</v>
      </c>
      <c r="EC238">
        <v>3.2922799999999999</v>
      </c>
      <c r="ED238">
        <v>894.7</v>
      </c>
      <c r="EE238">
        <v>0</v>
      </c>
      <c r="EF238">
        <v>9999</v>
      </c>
      <c r="EG238">
        <v>112.5</v>
      </c>
      <c r="EH238">
        <v>4.9715699999999998</v>
      </c>
      <c r="EI238">
        <v>1.8717999999999999</v>
      </c>
      <c r="EJ238">
        <v>1.8689899999999999</v>
      </c>
      <c r="EK238">
        <v>1.87138</v>
      </c>
      <c r="EL238">
        <v>1.8691500000000001</v>
      </c>
      <c r="EM238">
        <v>1.8681099999999999</v>
      </c>
      <c r="EN238">
        <v>1.8699600000000001</v>
      </c>
      <c r="EO238">
        <v>1.8717200000000001</v>
      </c>
      <c r="EP238">
        <v>0</v>
      </c>
      <c r="EQ238">
        <v>0</v>
      </c>
      <c r="ER238">
        <v>0</v>
      </c>
      <c r="ES238">
        <v>0</v>
      </c>
      <c r="ET238" t="s">
        <v>334</v>
      </c>
      <c r="EU238" t="s">
        <v>335</v>
      </c>
      <c r="EV238" t="s">
        <v>336</v>
      </c>
      <c r="EW238" t="s">
        <v>336</v>
      </c>
      <c r="EX238" t="s">
        <v>336</v>
      </c>
      <c r="EY238" t="s">
        <v>336</v>
      </c>
      <c r="EZ238">
        <v>0</v>
      </c>
      <c r="FA238">
        <v>100</v>
      </c>
      <c r="FB238">
        <v>100</v>
      </c>
      <c r="FC238">
        <v>7.9160000000000004</v>
      </c>
      <c r="FD238">
        <v>-0.98929999999999996</v>
      </c>
      <c r="FE238">
        <v>7.9546800000000033</v>
      </c>
      <c r="FF238">
        <v>0</v>
      </c>
      <c r="FG238">
        <v>0</v>
      </c>
      <c r="FH238">
        <v>0</v>
      </c>
      <c r="FI238">
        <v>-0.98927100000000023</v>
      </c>
      <c r="FJ238">
        <v>0</v>
      </c>
      <c r="FK238">
        <v>0</v>
      </c>
      <c r="FL238">
        <v>0</v>
      </c>
      <c r="FM238">
        <v>-1</v>
      </c>
      <c r="FN238">
        <v>-1</v>
      </c>
      <c r="FO238">
        <v>-1</v>
      </c>
      <c r="FP238">
        <v>-1</v>
      </c>
      <c r="FQ238">
        <v>0.7</v>
      </c>
      <c r="FR238">
        <v>222.2</v>
      </c>
      <c r="FS238">
        <v>0.14160200000000001</v>
      </c>
      <c r="FT238">
        <v>4.99756</v>
      </c>
      <c r="FU238">
        <v>1.5979000000000001</v>
      </c>
      <c r="FV238">
        <v>2.1520999999999999</v>
      </c>
      <c r="FW238">
        <v>1.5478499999999999</v>
      </c>
      <c r="FX238">
        <v>2.4291999999999998</v>
      </c>
      <c r="FY238">
        <v>34.554900000000004</v>
      </c>
      <c r="FZ238">
        <v>15.1652</v>
      </c>
      <c r="GA238">
        <v>3</v>
      </c>
      <c r="GB238">
        <v>498.66199999999998</v>
      </c>
      <c r="GC238">
        <v>406.00599999999997</v>
      </c>
      <c r="GD238">
        <v>28.142600000000002</v>
      </c>
      <c r="GE238">
        <v>29.3949</v>
      </c>
      <c r="GF238">
        <v>30.0001</v>
      </c>
      <c r="GG238">
        <v>29.6861</v>
      </c>
      <c r="GH238">
        <v>29.736699999999999</v>
      </c>
      <c r="GI238">
        <v>-1</v>
      </c>
      <c r="GJ238">
        <v>0</v>
      </c>
      <c r="GK238">
        <v>100</v>
      </c>
      <c r="GL238">
        <v>28.144500000000001</v>
      </c>
      <c r="GM238">
        <v>432.1</v>
      </c>
      <c r="GN238">
        <v>68.912800000000004</v>
      </c>
      <c r="GO238">
        <v>102.259</v>
      </c>
      <c r="GP238">
        <v>96.578500000000005</v>
      </c>
    </row>
    <row r="239" spans="1:198" x14ac:dyDescent="0.35">
      <c r="A239">
        <v>223</v>
      </c>
      <c r="B239">
        <v>1775494360.5</v>
      </c>
      <c r="C239">
        <v>13322</v>
      </c>
      <c r="D239" t="s">
        <v>1000</v>
      </c>
      <c r="E239" t="s">
        <v>1001</v>
      </c>
      <c r="F239">
        <v>60</v>
      </c>
      <c r="G239">
        <v>1775494352.5</v>
      </c>
      <c r="H239">
        <f t="shared" si="90"/>
        <v>2.0859983633899769E-3</v>
      </c>
      <c r="I239">
        <f t="shared" si="91"/>
        <v>2.0859983633899768</v>
      </c>
      <c r="J239">
        <f t="shared" si="92"/>
        <v>0.75135868342824741</v>
      </c>
      <c r="K239">
        <f t="shared" si="93"/>
        <v>37.264467741935484</v>
      </c>
      <c r="L239">
        <f t="shared" si="94"/>
        <v>13.872510258450582</v>
      </c>
      <c r="M239">
        <f t="shared" si="95"/>
        <v>1.3912991603785749</v>
      </c>
      <c r="N239">
        <f t="shared" si="96"/>
        <v>3.7373209113128456</v>
      </c>
      <c r="O239">
        <f t="shared" si="97"/>
        <v>5.5648791538506936E-2</v>
      </c>
      <c r="P239">
        <f t="shared" si="98"/>
        <v>2.3942208247277881</v>
      </c>
      <c r="Q239">
        <f t="shared" si="99"/>
        <v>5.494008880076643E-2</v>
      </c>
      <c r="R239">
        <f t="shared" si="100"/>
        <v>3.4400477608816281E-2</v>
      </c>
      <c r="S239">
        <f t="shared" si="101"/>
        <v>0</v>
      </c>
      <c r="T239">
        <f t="shared" si="102"/>
        <v>26.647698711356391</v>
      </c>
      <c r="U239">
        <f t="shared" si="103"/>
        <v>27.34923548387097</v>
      </c>
      <c r="V239">
        <f t="shared" si="104"/>
        <v>3.6532340542590442</v>
      </c>
      <c r="W239">
        <f t="shared" si="105"/>
        <v>-2.3882415006555062</v>
      </c>
      <c r="X239">
        <f t="shared" si="106"/>
        <v>-8.7003355296375401E-2</v>
      </c>
      <c r="Y239">
        <f t="shared" si="107"/>
        <v>3.6429881681771037</v>
      </c>
      <c r="Z239">
        <f t="shared" si="108"/>
        <v>3.7402374095554198</v>
      </c>
      <c r="AA239">
        <f t="shared" si="109"/>
        <v>-91.992527825497987</v>
      </c>
      <c r="AB239">
        <f t="shared" si="110"/>
        <v>-6.1873796255063205</v>
      </c>
      <c r="AC239">
        <f t="shared" si="111"/>
        <v>-0.55953774504985421</v>
      </c>
      <c r="AD239">
        <f t="shared" si="112"/>
        <v>-98.739445196054163</v>
      </c>
      <c r="AE239">
        <v>12</v>
      </c>
      <c r="AF239">
        <v>2</v>
      </c>
      <c r="AG239">
        <f t="shared" si="113"/>
        <v>1</v>
      </c>
      <c r="AH239">
        <f t="shared" si="114"/>
        <v>0</v>
      </c>
      <c r="AI239">
        <f t="shared" si="115"/>
        <v>25581.298259424824</v>
      </c>
      <c r="AJ239">
        <f t="shared" si="116"/>
        <v>0</v>
      </c>
      <c r="AK239">
        <f t="shared" si="117"/>
        <v>0</v>
      </c>
      <c r="AL239">
        <f t="shared" si="118"/>
        <v>0</v>
      </c>
      <c r="AM239">
        <f t="shared" si="119"/>
        <v>0</v>
      </c>
      <c r="AN239">
        <v>3</v>
      </c>
      <c r="AO239">
        <v>0.5</v>
      </c>
      <c r="AP239" t="s">
        <v>331</v>
      </c>
      <c r="AQ239">
        <v>2</v>
      </c>
      <c r="AR239">
        <v>1775494352.5</v>
      </c>
      <c r="AS239">
        <v>37.264467741935484</v>
      </c>
      <c r="AT239">
        <v>37.761903225806442</v>
      </c>
      <c r="AU239">
        <v>-0.86750209677419354</v>
      </c>
      <c r="AV239">
        <v>-2.120136774193548</v>
      </c>
      <c r="AW239">
        <v>29.32246774193548</v>
      </c>
      <c r="AX239">
        <v>0.1217688709677419</v>
      </c>
      <c r="AY239">
        <v>500.02</v>
      </c>
      <c r="AZ239">
        <v>100.2537741935484</v>
      </c>
      <c r="BA239">
        <v>3.8035612903225803E-2</v>
      </c>
      <c r="BB239">
        <v>27.301299999999991</v>
      </c>
      <c r="BC239">
        <v>27.34923548387097</v>
      </c>
      <c r="BD239">
        <v>999.90000000000032</v>
      </c>
      <c r="BE239">
        <v>0</v>
      </c>
      <c r="BF239">
        <v>0</v>
      </c>
      <c r="BG239">
        <v>5003.2580645161288</v>
      </c>
      <c r="BH239">
        <v>0.34052106451612912</v>
      </c>
      <c r="BI239">
        <v>0.22961599999999999</v>
      </c>
      <c r="BJ239">
        <v>-0.52301799999999998</v>
      </c>
      <c r="BK239">
        <v>37.206609677419358</v>
      </c>
      <c r="BL239">
        <v>37.682012903225797</v>
      </c>
      <c r="BM239">
        <v>1.2526351612903219</v>
      </c>
      <c r="BN239">
        <v>37.761903225806442</v>
      </c>
      <c r="BO239">
        <v>-2.120136774193548</v>
      </c>
      <c r="BP239">
        <v>-8.6970316129032277E-2</v>
      </c>
      <c r="BQ239">
        <v>-0.2125516129032258</v>
      </c>
      <c r="BR239">
        <v>-99.900000000000034</v>
      </c>
      <c r="BS239">
        <v>-99.900000000000034</v>
      </c>
      <c r="BT239">
        <v>0</v>
      </c>
      <c r="BU239">
        <v>0</v>
      </c>
      <c r="BV239">
        <v>0</v>
      </c>
      <c r="BW239">
        <v>25</v>
      </c>
      <c r="BX239">
        <v>-1</v>
      </c>
      <c r="BY239">
        <v>1775494377.5</v>
      </c>
      <c r="BZ239" t="s">
        <v>1002</v>
      </c>
      <c r="CA239">
        <v>1775494377.5</v>
      </c>
      <c r="CB239">
        <v>1775480969.5</v>
      </c>
      <c r="CC239">
        <v>224</v>
      </c>
      <c r="CD239">
        <v>2.5999999999999999E-2</v>
      </c>
      <c r="CE239">
        <v>0.19500000000000001</v>
      </c>
      <c r="CF239">
        <v>7.9420000000000002</v>
      </c>
      <c r="CG239">
        <v>-0.98899999999999999</v>
      </c>
      <c r="CH239">
        <v>38</v>
      </c>
      <c r="CI239">
        <v>-3</v>
      </c>
      <c r="CJ239">
        <v>0.11</v>
      </c>
      <c r="CK239">
        <v>0.06</v>
      </c>
      <c r="CL239">
        <v>37.726562295081969</v>
      </c>
      <c r="CM239">
        <v>0.27333093601270569</v>
      </c>
      <c r="CN239">
        <v>8.503256688350716E-2</v>
      </c>
      <c r="CO239">
        <v>-1</v>
      </c>
      <c r="CP239">
        <v>500.00763934426232</v>
      </c>
      <c r="CQ239">
        <v>4.5309360126769498E-2</v>
      </c>
      <c r="CR239">
        <v>5.7940340370016212E-2</v>
      </c>
      <c r="CS239">
        <v>-1</v>
      </c>
      <c r="CT239">
        <v>0</v>
      </c>
      <c r="CU239">
        <v>0</v>
      </c>
      <c r="CV239" t="s">
        <v>333</v>
      </c>
      <c r="CW239">
        <v>3.1673900000000001</v>
      </c>
      <c r="CX239">
        <v>2.6592199999999999</v>
      </c>
      <c r="CY239">
        <v>8.7527799999999999E-3</v>
      </c>
      <c r="CZ239">
        <v>1.1301800000000001E-2</v>
      </c>
      <c r="DA239">
        <v>9.7895899999999995E-4</v>
      </c>
      <c r="DB239">
        <v>-1.9941299999999999E-2</v>
      </c>
      <c r="DC239">
        <v>21400</v>
      </c>
      <c r="DD239">
        <v>21732.1</v>
      </c>
      <c r="DE239">
        <v>23115.7</v>
      </c>
      <c r="DF239">
        <v>22332.400000000001</v>
      </c>
      <c r="DG239">
        <v>29780.3</v>
      </c>
      <c r="DH239">
        <v>27164.799999999999</v>
      </c>
      <c r="DI239">
        <v>40625.800000000003</v>
      </c>
      <c r="DJ239">
        <v>37012.9</v>
      </c>
      <c r="DK239">
        <v>2.0946199999999999</v>
      </c>
      <c r="DL239">
        <v>1.80654</v>
      </c>
      <c r="DM239">
        <v>3.2123899999999997E-2</v>
      </c>
      <c r="DN239">
        <v>0</v>
      </c>
      <c r="DO239">
        <v>26.8308</v>
      </c>
      <c r="DP239">
        <v>999.9</v>
      </c>
      <c r="DQ239">
        <v>75.2</v>
      </c>
      <c r="DR239">
        <v>30.2</v>
      </c>
      <c r="DS239">
        <v>32.325499999999998</v>
      </c>
      <c r="DT239">
        <v>30.4038</v>
      </c>
      <c r="DU239">
        <v>9.5793300000000006</v>
      </c>
      <c r="DV239">
        <v>1</v>
      </c>
      <c r="DW239">
        <v>0.16486000000000001</v>
      </c>
      <c r="DX239">
        <v>-0.456349</v>
      </c>
      <c r="DY239">
        <v>20.367599999999999</v>
      </c>
      <c r="DZ239">
        <v>5.2109399999999999</v>
      </c>
      <c r="EA239">
        <v>11.8482</v>
      </c>
      <c r="EB239">
        <v>4.9678399999999998</v>
      </c>
      <c r="EC239">
        <v>3.2923200000000001</v>
      </c>
      <c r="ED239">
        <v>894.7</v>
      </c>
      <c r="EE239">
        <v>0</v>
      </c>
      <c r="EF239">
        <v>9999</v>
      </c>
      <c r="EG239">
        <v>112.5</v>
      </c>
      <c r="EH239">
        <v>4.9716100000000001</v>
      </c>
      <c r="EI239">
        <v>1.8717999999999999</v>
      </c>
      <c r="EJ239">
        <v>1.86903</v>
      </c>
      <c r="EK239">
        <v>1.8714299999999999</v>
      </c>
      <c r="EL239">
        <v>1.8691800000000001</v>
      </c>
      <c r="EM239">
        <v>1.8681300000000001</v>
      </c>
      <c r="EN239">
        <v>1.8699600000000001</v>
      </c>
      <c r="EO239">
        <v>1.8717600000000001</v>
      </c>
      <c r="EP239">
        <v>0</v>
      </c>
      <c r="EQ239">
        <v>0</v>
      </c>
      <c r="ER239">
        <v>0</v>
      </c>
      <c r="ES239">
        <v>0</v>
      </c>
      <c r="ET239" t="s">
        <v>334</v>
      </c>
      <c r="EU239" t="s">
        <v>335</v>
      </c>
      <c r="EV239" t="s">
        <v>336</v>
      </c>
      <c r="EW239" t="s">
        <v>336</v>
      </c>
      <c r="EX239" t="s">
        <v>336</v>
      </c>
      <c r="EY239" t="s">
        <v>336</v>
      </c>
      <c r="EZ239">
        <v>0</v>
      </c>
      <c r="FA239">
        <v>100</v>
      </c>
      <c r="FB239">
        <v>100</v>
      </c>
      <c r="FC239">
        <v>7.9420000000000002</v>
      </c>
      <c r="FD239">
        <v>-0.98929999999999996</v>
      </c>
      <c r="FE239">
        <v>7.9164150000000042</v>
      </c>
      <c r="FF239">
        <v>0</v>
      </c>
      <c r="FG239">
        <v>0</v>
      </c>
      <c r="FH239">
        <v>0</v>
      </c>
      <c r="FI239">
        <v>-0.98927100000000023</v>
      </c>
      <c r="FJ239">
        <v>0</v>
      </c>
      <c r="FK239">
        <v>0</v>
      </c>
      <c r="FL239">
        <v>0</v>
      </c>
      <c r="FM239">
        <v>-1</v>
      </c>
      <c r="FN239">
        <v>-1</v>
      </c>
      <c r="FO239">
        <v>-1</v>
      </c>
      <c r="FP239">
        <v>-1</v>
      </c>
      <c r="FQ239">
        <v>0.7</v>
      </c>
      <c r="FR239">
        <v>223.2</v>
      </c>
      <c r="FS239">
        <v>0.14160200000000001</v>
      </c>
      <c r="FT239">
        <v>4.99756</v>
      </c>
      <c r="FU239">
        <v>1.5979000000000001</v>
      </c>
      <c r="FV239">
        <v>2.1520999999999999</v>
      </c>
      <c r="FW239">
        <v>1.5478499999999999</v>
      </c>
      <c r="FX239">
        <v>2.3034699999999999</v>
      </c>
      <c r="FY239">
        <v>34.554900000000004</v>
      </c>
      <c r="FZ239">
        <v>15.156499999999999</v>
      </c>
      <c r="GA239">
        <v>3</v>
      </c>
      <c r="GB239">
        <v>498.697</v>
      </c>
      <c r="GC239">
        <v>406.52100000000002</v>
      </c>
      <c r="GD239">
        <v>28.1373</v>
      </c>
      <c r="GE239">
        <v>29.3949</v>
      </c>
      <c r="GF239">
        <v>30.0001</v>
      </c>
      <c r="GG239">
        <v>29.6861</v>
      </c>
      <c r="GH239">
        <v>29.736699999999999</v>
      </c>
      <c r="GI239">
        <v>-1</v>
      </c>
      <c r="GJ239">
        <v>0</v>
      </c>
      <c r="GK239">
        <v>100</v>
      </c>
      <c r="GL239">
        <v>28.1371</v>
      </c>
      <c r="GM239">
        <v>432.1</v>
      </c>
      <c r="GN239">
        <v>68.912800000000004</v>
      </c>
      <c r="GO239">
        <v>102.261</v>
      </c>
      <c r="GP239">
        <v>96.578100000000006</v>
      </c>
    </row>
    <row r="240" spans="1:198" x14ac:dyDescent="0.35">
      <c r="A240">
        <v>224</v>
      </c>
      <c r="B240">
        <v>1775494420.5</v>
      </c>
      <c r="C240">
        <v>13382</v>
      </c>
      <c r="D240" t="s">
        <v>1003</v>
      </c>
      <c r="E240" t="s">
        <v>1004</v>
      </c>
      <c r="F240">
        <v>60</v>
      </c>
      <c r="G240">
        <v>1775494412.5</v>
      </c>
      <c r="H240">
        <f t="shared" si="90"/>
        <v>2.1146620684390906E-3</v>
      </c>
      <c r="I240">
        <f t="shared" si="91"/>
        <v>2.1146620684390904</v>
      </c>
      <c r="J240">
        <f t="shared" si="92"/>
        <v>0.23874673651643774</v>
      </c>
      <c r="K240">
        <f t="shared" si="93"/>
        <v>36.210432258064507</v>
      </c>
      <c r="L240">
        <f t="shared" si="94"/>
        <v>27.43493105083979</v>
      </c>
      <c r="M240">
        <f t="shared" si="95"/>
        <v>2.7514535064419894</v>
      </c>
      <c r="N240">
        <f t="shared" si="96"/>
        <v>3.6315498887751705</v>
      </c>
      <c r="O240">
        <f t="shared" si="97"/>
        <v>5.6424258044525874E-2</v>
      </c>
      <c r="P240">
        <f t="shared" si="98"/>
        <v>2.3937657705082103</v>
      </c>
      <c r="Q240">
        <f t="shared" si="99"/>
        <v>5.5695669003907891E-2</v>
      </c>
      <c r="R240">
        <f t="shared" si="100"/>
        <v>3.4874470084416617E-2</v>
      </c>
      <c r="S240">
        <f t="shared" si="101"/>
        <v>0</v>
      </c>
      <c r="T240">
        <f t="shared" si="102"/>
        <v>26.638602064245404</v>
      </c>
      <c r="U240">
        <f t="shared" si="103"/>
        <v>27.35255161290322</v>
      </c>
      <c r="V240">
        <f t="shared" si="104"/>
        <v>3.6539437836248498</v>
      </c>
      <c r="W240">
        <f t="shared" si="105"/>
        <v>-2.3650297022101303</v>
      </c>
      <c r="X240">
        <f t="shared" si="106"/>
        <v>-8.6157752225389239E-2</v>
      </c>
      <c r="Y240">
        <f t="shared" si="107"/>
        <v>3.6429881681771037</v>
      </c>
      <c r="Z240">
        <f t="shared" si="108"/>
        <v>3.740101535850239</v>
      </c>
      <c r="AA240">
        <f t="shared" si="109"/>
        <v>-93.25659721816389</v>
      </c>
      <c r="AB240">
        <f t="shared" si="110"/>
        <v>-6.6141590357734037</v>
      </c>
      <c r="AC240">
        <f t="shared" si="111"/>
        <v>-0.59825591813501744</v>
      </c>
      <c r="AD240">
        <f t="shared" si="112"/>
        <v>-100.46901217207231</v>
      </c>
      <c r="AE240">
        <v>13</v>
      </c>
      <c r="AF240">
        <v>3</v>
      </c>
      <c r="AG240">
        <f t="shared" si="113"/>
        <v>1</v>
      </c>
      <c r="AH240">
        <f t="shared" si="114"/>
        <v>0</v>
      </c>
      <c r="AI240">
        <f t="shared" si="115"/>
        <v>25574.437717706165</v>
      </c>
      <c r="AJ240">
        <f t="shared" si="116"/>
        <v>0</v>
      </c>
      <c r="AK240">
        <f t="shared" si="117"/>
        <v>0</v>
      </c>
      <c r="AL240">
        <f t="shared" si="118"/>
        <v>0</v>
      </c>
      <c r="AM240">
        <f t="shared" si="119"/>
        <v>0</v>
      </c>
      <c r="AN240">
        <v>3</v>
      </c>
      <c r="AO240">
        <v>0.5</v>
      </c>
      <c r="AP240" t="s">
        <v>331</v>
      </c>
      <c r="AQ240">
        <v>2</v>
      </c>
      <c r="AR240">
        <v>1775494412.5</v>
      </c>
      <c r="AS240">
        <v>36.210432258064507</v>
      </c>
      <c r="AT240">
        <v>36.399622580645158</v>
      </c>
      <c r="AU240">
        <v>-0.85908483870967733</v>
      </c>
      <c r="AV240">
        <v>-2.1289625806451609</v>
      </c>
      <c r="AW240">
        <v>28.287432258064509</v>
      </c>
      <c r="AX240">
        <v>0.13018616129032259</v>
      </c>
      <c r="AY240">
        <v>500.00374193548379</v>
      </c>
      <c r="AZ240">
        <v>100.25229032258071</v>
      </c>
      <c r="BA240">
        <v>3.7865367741935482E-2</v>
      </c>
      <c r="BB240">
        <v>27.301299999999991</v>
      </c>
      <c r="BC240">
        <v>27.35255161290322</v>
      </c>
      <c r="BD240">
        <v>999.90000000000032</v>
      </c>
      <c r="BE240">
        <v>0</v>
      </c>
      <c r="BF240">
        <v>0</v>
      </c>
      <c r="BG240">
        <v>5002.1612903225796</v>
      </c>
      <c r="BH240">
        <v>0.37904941935483871</v>
      </c>
      <c r="BI240">
        <v>0.23331922580645159</v>
      </c>
      <c r="BJ240">
        <v>-0.1698625616129032</v>
      </c>
      <c r="BK240">
        <v>36.198664516129028</v>
      </c>
      <c r="BL240">
        <v>36.322309677419348</v>
      </c>
      <c r="BM240">
        <v>1.269877419354839</v>
      </c>
      <c r="BN240">
        <v>36.399622580645158</v>
      </c>
      <c r="BO240">
        <v>-2.1289625806451609</v>
      </c>
      <c r="BP240">
        <v>-8.6125277419354843E-2</v>
      </c>
      <c r="BQ240">
        <v>-0.2134334516129032</v>
      </c>
      <c r="BR240">
        <v>-99.900000000000034</v>
      </c>
      <c r="BS240">
        <v>-99.900000000000034</v>
      </c>
      <c r="BT240">
        <v>0</v>
      </c>
      <c r="BU240">
        <v>0</v>
      </c>
      <c r="BV240">
        <v>0</v>
      </c>
      <c r="BW240">
        <v>25</v>
      </c>
      <c r="BX240">
        <v>-1</v>
      </c>
      <c r="BY240">
        <v>1775494439</v>
      </c>
      <c r="BZ240" t="s">
        <v>1005</v>
      </c>
      <c r="CA240">
        <v>1775494439</v>
      </c>
      <c r="CB240">
        <v>1775480969.5</v>
      </c>
      <c r="CC240">
        <v>225</v>
      </c>
      <c r="CD240">
        <v>-0.02</v>
      </c>
      <c r="CE240">
        <v>0.19500000000000001</v>
      </c>
      <c r="CF240">
        <v>7.923</v>
      </c>
      <c r="CG240">
        <v>-0.98899999999999999</v>
      </c>
      <c r="CH240">
        <v>35</v>
      </c>
      <c r="CI240">
        <v>-3</v>
      </c>
      <c r="CJ240">
        <v>0.3</v>
      </c>
      <c r="CK240">
        <v>0.06</v>
      </c>
      <c r="CL240">
        <v>36.598808196721308</v>
      </c>
      <c r="CM240">
        <v>-1.482240507667876</v>
      </c>
      <c r="CN240">
        <v>0.25948670157345177</v>
      </c>
      <c r="CO240">
        <v>-1</v>
      </c>
      <c r="CP240">
        <v>500.0276721311476</v>
      </c>
      <c r="CQ240">
        <v>-0.20789000528728849</v>
      </c>
      <c r="CR240">
        <v>5.4404291450629687E-2</v>
      </c>
      <c r="CS240">
        <v>-1</v>
      </c>
      <c r="CT240">
        <v>0</v>
      </c>
      <c r="CU240">
        <v>0</v>
      </c>
      <c r="CV240" t="s">
        <v>333</v>
      </c>
      <c r="CW240">
        <v>3.16744</v>
      </c>
      <c r="CX240">
        <v>2.6592099999999999</v>
      </c>
      <c r="CY240">
        <v>8.3505899999999997E-3</v>
      </c>
      <c r="CZ240">
        <v>1.0670300000000001E-2</v>
      </c>
      <c r="DA240">
        <v>1.1364599999999999E-3</v>
      </c>
      <c r="DB240">
        <v>-1.9986199999999999E-2</v>
      </c>
      <c r="DC240">
        <v>21408.400000000001</v>
      </c>
      <c r="DD240">
        <v>21746.1</v>
      </c>
      <c r="DE240">
        <v>23115.4</v>
      </c>
      <c r="DF240">
        <v>22332.6</v>
      </c>
      <c r="DG240">
        <v>29775</v>
      </c>
      <c r="DH240">
        <v>27166.6</v>
      </c>
      <c r="DI240">
        <v>40625</v>
      </c>
      <c r="DJ240">
        <v>37013.699999999997</v>
      </c>
      <c r="DK240">
        <v>2.0944600000000002</v>
      </c>
      <c r="DL240">
        <v>1.8078399999999999</v>
      </c>
      <c r="DM240">
        <v>3.1814000000000002E-2</v>
      </c>
      <c r="DN240">
        <v>0</v>
      </c>
      <c r="DO240">
        <v>26.832699999999999</v>
      </c>
      <c r="DP240">
        <v>999.9</v>
      </c>
      <c r="DQ240">
        <v>75.2</v>
      </c>
      <c r="DR240">
        <v>30.2</v>
      </c>
      <c r="DS240">
        <v>32.327800000000003</v>
      </c>
      <c r="DT240">
        <v>30.343800000000002</v>
      </c>
      <c r="DU240">
        <v>9.6674699999999998</v>
      </c>
      <c r="DV240">
        <v>1</v>
      </c>
      <c r="DW240">
        <v>0.16480300000000001</v>
      </c>
      <c r="DX240">
        <v>-0.43634899999999999</v>
      </c>
      <c r="DY240">
        <v>20.367599999999999</v>
      </c>
      <c r="DZ240">
        <v>5.2120199999999999</v>
      </c>
      <c r="EA240">
        <v>11.8482</v>
      </c>
      <c r="EB240">
        <v>4.968</v>
      </c>
      <c r="EC240">
        <v>3.2921</v>
      </c>
      <c r="ED240">
        <v>894.7</v>
      </c>
      <c r="EE240">
        <v>0</v>
      </c>
      <c r="EF240">
        <v>9999</v>
      </c>
      <c r="EG240">
        <v>112.5</v>
      </c>
      <c r="EH240">
        <v>4.9716300000000002</v>
      </c>
      <c r="EI240">
        <v>1.8717999999999999</v>
      </c>
      <c r="EJ240">
        <v>1.86896</v>
      </c>
      <c r="EK240">
        <v>1.8713500000000001</v>
      </c>
      <c r="EL240">
        <v>1.8691599999999999</v>
      </c>
      <c r="EM240">
        <v>1.8681300000000001</v>
      </c>
      <c r="EN240">
        <v>1.86995</v>
      </c>
      <c r="EO240">
        <v>1.8716900000000001</v>
      </c>
      <c r="EP240">
        <v>0</v>
      </c>
      <c r="EQ240">
        <v>0</v>
      </c>
      <c r="ER240">
        <v>0</v>
      </c>
      <c r="ES240">
        <v>0</v>
      </c>
      <c r="ET240" t="s">
        <v>334</v>
      </c>
      <c r="EU240" t="s">
        <v>335</v>
      </c>
      <c r="EV240" t="s">
        <v>336</v>
      </c>
      <c r="EW240" t="s">
        <v>336</v>
      </c>
      <c r="EX240" t="s">
        <v>336</v>
      </c>
      <c r="EY240" t="s">
        <v>336</v>
      </c>
      <c r="EZ240">
        <v>0</v>
      </c>
      <c r="FA240">
        <v>100</v>
      </c>
      <c r="FB240">
        <v>100</v>
      </c>
      <c r="FC240">
        <v>7.923</v>
      </c>
      <c r="FD240">
        <v>-0.98929999999999996</v>
      </c>
      <c r="FE240">
        <v>7.9423200000000058</v>
      </c>
      <c r="FF240">
        <v>0</v>
      </c>
      <c r="FG240">
        <v>0</v>
      </c>
      <c r="FH240">
        <v>0</v>
      </c>
      <c r="FI240">
        <v>-0.98927100000000023</v>
      </c>
      <c r="FJ240">
        <v>0</v>
      </c>
      <c r="FK240">
        <v>0</v>
      </c>
      <c r="FL240">
        <v>0</v>
      </c>
      <c r="FM240">
        <v>-1</v>
      </c>
      <c r="FN240">
        <v>-1</v>
      </c>
      <c r="FO240">
        <v>-1</v>
      </c>
      <c r="FP240">
        <v>-1</v>
      </c>
      <c r="FQ240">
        <v>0.7</v>
      </c>
      <c r="FR240">
        <v>224.2</v>
      </c>
      <c r="FS240">
        <v>0.14160200000000001</v>
      </c>
      <c r="FT240">
        <v>4.99756</v>
      </c>
      <c r="FU240">
        <v>1.5979000000000001</v>
      </c>
      <c r="FV240">
        <v>2.1533199999999999</v>
      </c>
      <c r="FW240">
        <v>1.5478499999999999</v>
      </c>
      <c r="FX240">
        <v>2.4414099999999999</v>
      </c>
      <c r="FY240">
        <v>34.554900000000004</v>
      </c>
      <c r="FZ240">
        <v>15.1477</v>
      </c>
      <c r="GA240">
        <v>3</v>
      </c>
      <c r="GB240">
        <v>498.60399999999998</v>
      </c>
      <c r="GC240">
        <v>407.267</v>
      </c>
      <c r="GD240">
        <v>28.117799999999999</v>
      </c>
      <c r="GE240">
        <v>29.3949</v>
      </c>
      <c r="GF240">
        <v>30.0001</v>
      </c>
      <c r="GG240">
        <v>29.6861</v>
      </c>
      <c r="GH240">
        <v>29.736699999999999</v>
      </c>
      <c r="GI240">
        <v>-1</v>
      </c>
      <c r="GJ240">
        <v>0</v>
      </c>
      <c r="GK240">
        <v>100</v>
      </c>
      <c r="GL240">
        <v>28.116499999999998</v>
      </c>
      <c r="GM240">
        <v>432.1</v>
      </c>
      <c r="GN240">
        <v>68.912800000000004</v>
      </c>
      <c r="GO240">
        <v>102.259</v>
      </c>
      <c r="GP240">
        <v>96.579700000000003</v>
      </c>
    </row>
    <row r="241" spans="1:198" x14ac:dyDescent="0.35">
      <c r="A241">
        <v>225</v>
      </c>
      <c r="B241">
        <v>1775494480.5</v>
      </c>
      <c r="C241">
        <v>13442</v>
      </c>
      <c r="D241" t="s">
        <v>1006</v>
      </c>
      <c r="E241" t="s">
        <v>1007</v>
      </c>
      <c r="F241">
        <v>60</v>
      </c>
      <c r="G241">
        <v>1775494472.75</v>
      </c>
      <c r="H241">
        <f t="shared" si="90"/>
        <v>2.1218514119767458E-3</v>
      </c>
      <c r="I241">
        <f t="shared" si="91"/>
        <v>2.121851411976746</v>
      </c>
      <c r="J241">
        <f t="shared" si="92"/>
        <v>0.63893140003112714</v>
      </c>
      <c r="K241">
        <f t="shared" si="93"/>
        <v>33.398123333333331</v>
      </c>
      <c r="L241">
        <f t="shared" si="94"/>
        <v>13.730091135054343</v>
      </c>
      <c r="M241">
        <f t="shared" si="95"/>
        <v>1.3769724471960487</v>
      </c>
      <c r="N241">
        <f t="shared" si="96"/>
        <v>3.3494530491966352</v>
      </c>
      <c r="O241">
        <f t="shared" si="97"/>
        <v>5.6676040375367116E-2</v>
      </c>
      <c r="P241">
        <f t="shared" si="98"/>
        <v>2.3912718102233281</v>
      </c>
      <c r="Q241">
        <f t="shared" si="99"/>
        <v>5.5940224239850671E-2</v>
      </c>
      <c r="R241">
        <f t="shared" si="100"/>
        <v>3.5027954362320826E-2</v>
      </c>
      <c r="S241">
        <f t="shared" si="101"/>
        <v>0</v>
      </c>
      <c r="T241">
        <f t="shared" si="102"/>
        <v>26.631097231256415</v>
      </c>
      <c r="U241">
        <f t="shared" si="103"/>
        <v>27.343019999999999</v>
      </c>
      <c r="V241">
        <f t="shared" si="104"/>
        <v>3.651904119061633</v>
      </c>
      <c r="W241">
        <f t="shared" si="105"/>
        <v>-2.3189511462024401</v>
      </c>
      <c r="X241">
        <f t="shared" si="106"/>
        <v>-8.4456280136720935E-2</v>
      </c>
      <c r="Y241">
        <f t="shared" si="107"/>
        <v>3.6420034236179664</v>
      </c>
      <c r="Z241">
        <f t="shared" si="108"/>
        <v>3.7363603991983538</v>
      </c>
      <c r="AA241">
        <f t="shared" si="109"/>
        <v>-93.573647268174497</v>
      </c>
      <c r="AB241">
        <f t="shared" si="110"/>
        <v>-5.9732120569173972</v>
      </c>
      <c r="AC241">
        <f t="shared" si="111"/>
        <v>-0.54080703054007739</v>
      </c>
      <c r="AD241">
        <f t="shared" si="112"/>
        <v>-100.08766635563197</v>
      </c>
      <c r="AE241">
        <v>13</v>
      </c>
      <c r="AF241">
        <v>3</v>
      </c>
      <c r="AG241">
        <f t="shared" si="113"/>
        <v>1</v>
      </c>
      <c r="AH241">
        <f t="shared" si="114"/>
        <v>0</v>
      </c>
      <c r="AI241">
        <f t="shared" si="115"/>
        <v>25536.980025998178</v>
      </c>
      <c r="AJ241">
        <f t="shared" si="116"/>
        <v>0</v>
      </c>
      <c r="AK241">
        <f t="shared" si="117"/>
        <v>0</v>
      </c>
      <c r="AL241">
        <f t="shared" si="118"/>
        <v>0</v>
      </c>
      <c r="AM241">
        <f t="shared" si="119"/>
        <v>0</v>
      </c>
      <c r="AN241">
        <v>3</v>
      </c>
      <c r="AO241">
        <v>0.5</v>
      </c>
      <c r="AP241" t="s">
        <v>331</v>
      </c>
      <c r="AQ241">
        <v>2</v>
      </c>
      <c r="AR241">
        <v>1775494472.75</v>
      </c>
      <c r="AS241">
        <v>33.398123333333331</v>
      </c>
      <c r="AT241">
        <v>33.824019999999997</v>
      </c>
      <c r="AU241">
        <v>-0.84213189999999993</v>
      </c>
      <c r="AV241">
        <v>-2.116369666666666</v>
      </c>
      <c r="AW241">
        <v>25.468123333333331</v>
      </c>
      <c r="AX241">
        <v>0.14713906666666671</v>
      </c>
      <c r="AY241">
        <v>499.97849999999988</v>
      </c>
      <c r="AZ241">
        <v>100.25053333333329</v>
      </c>
      <c r="BA241">
        <v>3.8127073333333331E-2</v>
      </c>
      <c r="BB241">
        <v>27.29668666666667</v>
      </c>
      <c r="BC241">
        <v>27.343019999999999</v>
      </c>
      <c r="BD241">
        <v>999.9000000000002</v>
      </c>
      <c r="BE241">
        <v>0</v>
      </c>
      <c r="BF241">
        <v>0</v>
      </c>
      <c r="BG241">
        <v>4995.833333333333</v>
      </c>
      <c r="BH241">
        <v>0.37955573333333331</v>
      </c>
      <c r="BI241">
        <v>0.23344266666666669</v>
      </c>
      <c r="BJ241">
        <v>-0.43320143333333339</v>
      </c>
      <c r="BK241">
        <v>33.362716666666657</v>
      </c>
      <c r="BL241">
        <v>33.752576666666663</v>
      </c>
      <c r="BM241">
        <v>1.274237333333333</v>
      </c>
      <c r="BN241">
        <v>33.824019999999997</v>
      </c>
      <c r="BO241">
        <v>-2.116369666666666</v>
      </c>
      <c r="BP241">
        <v>-8.4424153333333335E-2</v>
      </c>
      <c r="BQ241">
        <v>-0.2121671</v>
      </c>
      <c r="BR241">
        <v>-99.900000000000034</v>
      </c>
      <c r="BS241">
        <v>-99.900000000000034</v>
      </c>
      <c r="BT241">
        <v>0</v>
      </c>
      <c r="BU241">
        <v>0</v>
      </c>
      <c r="BV241">
        <v>0</v>
      </c>
      <c r="BW241">
        <v>25</v>
      </c>
      <c r="BX241">
        <v>-1</v>
      </c>
      <c r="BY241">
        <v>1775494501.5</v>
      </c>
      <c r="BZ241" t="s">
        <v>1008</v>
      </c>
      <c r="CA241">
        <v>1775494501.5</v>
      </c>
      <c r="CB241">
        <v>1775480969.5</v>
      </c>
      <c r="CC241">
        <v>226</v>
      </c>
      <c r="CD241">
        <v>7.0000000000000001E-3</v>
      </c>
      <c r="CE241">
        <v>0.19500000000000001</v>
      </c>
      <c r="CF241">
        <v>7.93</v>
      </c>
      <c r="CG241">
        <v>-0.98899999999999999</v>
      </c>
      <c r="CH241">
        <v>34</v>
      </c>
      <c r="CI241">
        <v>-3</v>
      </c>
      <c r="CJ241">
        <v>0.16</v>
      </c>
      <c r="CK241">
        <v>0.06</v>
      </c>
      <c r="CL241">
        <v>33.774386885245903</v>
      </c>
      <c r="CM241">
        <v>0.68498297197257429</v>
      </c>
      <c r="CN241">
        <v>0.17326968979534149</v>
      </c>
      <c r="CO241">
        <v>-1</v>
      </c>
      <c r="CP241">
        <v>499.99777049180318</v>
      </c>
      <c r="CQ241">
        <v>-0.17463775780031179</v>
      </c>
      <c r="CR241">
        <v>6.9049374931614671E-2</v>
      </c>
      <c r="CS241">
        <v>-1</v>
      </c>
      <c r="CT241">
        <v>0</v>
      </c>
      <c r="CU241">
        <v>0</v>
      </c>
      <c r="CV241" t="s">
        <v>333</v>
      </c>
      <c r="CW241">
        <v>3.1674199999999999</v>
      </c>
      <c r="CX241">
        <v>2.65943</v>
      </c>
      <c r="CY241">
        <v>7.59065E-3</v>
      </c>
      <c r="CZ241">
        <v>1.00114E-2</v>
      </c>
      <c r="DA241">
        <v>1.22722E-3</v>
      </c>
      <c r="DB241">
        <v>-1.9826E-2</v>
      </c>
      <c r="DC241">
        <v>21424.7</v>
      </c>
      <c r="DD241">
        <v>21760.6</v>
      </c>
      <c r="DE241">
        <v>23115.3</v>
      </c>
      <c r="DF241">
        <v>22332.6</v>
      </c>
      <c r="DG241">
        <v>29772.1</v>
      </c>
      <c r="DH241">
        <v>27162.1</v>
      </c>
      <c r="DI241">
        <v>40624.800000000003</v>
      </c>
      <c r="DJ241">
        <v>37013.4</v>
      </c>
      <c r="DK241">
        <v>2.0943000000000001</v>
      </c>
      <c r="DL241">
        <v>1.8057399999999999</v>
      </c>
      <c r="DM241">
        <v>3.1149400000000001E-2</v>
      </c>
      <c r="DN241">
        <v>0</v>
      </c>
      <c r="DO241">
        <v>26.833100000000002</v>
      </c>
      <c r="DP241">
        <v>999.9</v>
      </c>
      <c r="DQ241">
        <v>75.2</v>
      </c>
      <c r="DR241">
        <v>30.2</v>
      </c>
      <c r="DS241">
        <v>32.326900000000002</v>
      </c>
      <c r="DT241">
        <v>30.7638</v>
      </c>
      <c r="DU241">
        <v>9.5472800000000007</v>
      </c>
      <c r="DV241">
        <v>1</v>
      </c>
      <c r="DW241">
        <v>0.16503899999999999</v>
      </c>
      <c r="DX241">
        <v>-0.46913899999999997</v>
      </c>
      <c r="DY241">
        <v>20.367699999999999</v>
      </c>
      <c r="DZ241">
        <v>5.21082</v>
      </c>
      <c r="EA241">
        <v>11.8482</v>
      </c>
      <c r="EB241">
        <v>4.9676799999999997</v>
      </c>
      <c r="EC241">
        <v>3.2920799999999999</v>
      </c>
      <c r="ED241">
        <v>894.7</v>
      </c>
      <c r="EE241">
        <v>0</v>
      </c>
      <c r="EF241">
        <v>9999</v>
      </c>
      <c r="EG241">
        <v>112.6</v>
      </c>
      <c r="EH241">
        <v>4.9716300000000002</v>
      </c>
      <c r="EI241">
        <v>1.8717999999999999</v>
      </c>
      <c r="EJ241">
        <v>1.86903</v>
      </c>
      <c r="EK241">
        <v>1.87137</v>
      </c>
      <c r="EL241">
        <v>1.8691800000000001</v>
      </c>
      <c r="EM241">
        <v>1.8681300000000001</v>
      </c>
      <c r="EN241">
        <v>1.8699600000000001</v>
      </c>
      <c r="EO241">
        <v>1.8717200000000001</v>
      </c>
      <c r="EP241">
        <v>0</v>
      </c>
      <c r="EQ241">
        <v>0</v>
      </c>
      <c r="ER241">
        <v>0</v>
      </c>
      <c r="ES241">
        <v>0</v>
      </c>
      <c r="ET241" t="s">
        <v>334</v>
      </c>
      <c r="EU241" t="s">
        <v>335</v>
      </c>
      <c r="EV241" t="s">
        <v>336</v>
      </c>
      <c r="EW241" t="s">
        <v>336</v>
      </c>
      <c r="EX241" t="s">
        <v>336</v>
      </c>
      <c r="EY241" t="s">
        <v>336</v>
      </c>
      <c r="EZ241">
        <v>0</v>
      </c>
      <c r="FA241">
        <v>100</v>
      </c>
      <c r="FB241">
        <v>100</v>
      </c>
      <c r="FC241">
        <v>7.93</v>
      </c>
      <c r="FD241">
        <v>-0.98929999999999996</v>
      </c>
      <c r="FE241">
        <v>7.9226952380952369</v>
      </c>
      <c r="FF241">
        <v>0</v>
      </c>
      <c r="FG241">
        <v>0</v>
      </c>
      <c r="FH241">
        <v>0</v>
      </c>
      <c r="FI241">
        <v>-0.98927100000000023</v>
      </c>
      <c r="FJ241">
        <v>0</v>
      </c>
      <c r="FK241">
        <v>0</v>
      </c>
      <c r="FL241">
        <v>0</v>
      </c>
      <c r="FM241">
        <v>-1</v>
      </c>
      <c r="FN241">
        <v>-1</v>
      </c>
      <c r="FO241">
        <v>-1</v>
      </c>
      <c r="FP241">
        <v>-1</v>
      </c>
      <c r="FQ241">
        <v>0.7</v>
      </c>
      <c r="FR241">
        <v>225.2</v>
      </c>
      <c r="FS241">
        <v>0.14160200000000001</v>
      </c>
      <c r="FT241">
        <v>4.99756</v>
      </c>
      <c r="FU241">
        <v>1.5979000000000001</v>
      </c>
      <c r="FV241">
        <v>2.1533199999999999</v>
      </c>
      <c r="FW241">
        <v>1.5478499999999999</v>
      </c>
      <c r="FX241">
        <v>2.4597199999999999</v>
      </c>
      <c r="FY241">
        <v>34.554900000000004</v>
      </c>
      <c r="FZ241">
        <v>15.1477</v>
      </c>
      <c r="GA241">
        <v>3</v>
      </c>
      <c r="GB241">
        <v>498.53</v>
      </c>
      <c r="GC241">
        <v>406.08</v>
      </c>
      <c r="GD241">
        <v>28.144200000000001</v>
      </c>
      <c r="GE241">
        <v>29.397400000000001</v>
      </c>
      <c r="GF241">
        <v>30.0002</v>
      </c>
      <c r="GG241">
        <v>29.688700000000001</v>
      </c>
      <c r="GH241">
        <v>29.7392</v>
      </c>
      <c r="GI241">
        <v>-1</v>
      </c>
      <c r="GJ241">
        <v>0</v>
      </c>
      <c r="GK241">
        <v>100</v>
      </c>
      <c r="GL241">
        <v>28.146000000000001</v>
      </c>
      <c r="GM241">
        <v>432.1</v>
      </c>
      <c r="GN241">
        <v>68.912800000000004</v>
      </c>
      <c r="GO241">
        <v>102.258</v>
      </c>
      <c r="GP241">
        <v>96.5792</v>
      </c>
    </row>
    <row r="242" spans="1:198" x14ac:dyDescent="0.35">
      <c r="A242">
        <v>226</v>
      </c>
      <c r="B242">
        <v>1775494540.5</v>
      </c>
      <c r="C242">
        <v>13502</v>
      </c>
      <c r="D242" t="s">
        <v>1009</v>
      </c>
      <c r="E242" t="s">
        <v>1010</v>
      </c>
      <c r="F242">
        <v>60</v>
      </c>
      <c r="G242">
        <v>1775494532.5</v>
      </c>
      <c r="H242">
        <f t="shared" si="90"/>
        <v>2.1542683269178803E-3</v>
      </c>
      <c r="I242">
        <f t="shared" si="91"/>
        <v>2.1542683269178804</v>
      </c>
      <c r="J242">
        <f t="shared" si="92"/>
        <v>0.74198535141095046</v>
      </c>
      <c r="K242">
        <f t="shared" si="93"/>
        <v>33.193377419354839</v>
      </c>
      <c r="L242">
        <f t="shared" si="94"/>
        <v>10.980223307296871</v>
      </c>
      <c r="M242">
        <f t="shared" si="95"/>
        <v>1.1011871599976679</v>
      </c>
      <c r="N242">
        <f t="shared" si="96"/>
        <v>3.3289050676100076</v>
      </c>
      <c r="O242">
        <f t="shared" si="97"/>
        <v>5.7521519551495336E-2</v>
      </c>
      <c r="P242">
        <f t="shared" si="98"/>
        <v>2.3936216780673099</v>
      </c>
      <c r="Q242">
        <f t="shared" si="99"/>
        <v>5.6764477867111793E-2</v>
      </c>
      <c r="R242">
        <f t="shared" si="100"/>
        <v>3.5544985727534367E-2</v>
      </c>
      <c r="S242">
        <f t="shared" si="101"/>
        <v>0</v>
      </c>
      <c r="T242">
        <f t="shared" si="102"/>
        <v>26.630329417054369</v>
      </c>
      <c r="U242">
        <f t="shared" si="103"/>
        <v>27.354074193548382</v>
      </c>
      <c r="V242">
        <f t="shared" si="104"/>
        <v>3.6542696918911433</v>
      </c>
      <c r="W242">
        <f t="shared" si="105"/>
        <v>-2.3058124114263205</v>
      </c>
      <c r="X242">
        <f t="shared" si="106"/>
        <v>-8.4021022906472745E-2</v>
      </c>
      <c r="Y242">
        <f t="shared" si="107"/>
        <v>3.643879375881204</v>
      </c>
      <c r="Z242">
        <f t="shared" si="108"/>
        <v>3.7382907147976159</v>
      </c>
      <c r="AA242">
        <f t="shared" si="109"/>
        <v>-95.003233217078517</v>
      </c>
      <c r="AB242">
        <f t="shared" si="110"/>
        <v>-6.2715836907271436</v>
      </c>
      <c r="AC242">
        <f t="shared" si="111"/>
        <v>-0.56731999706188085</v>
      </c>
      <c r="AD242">
        <f t="shared" si="112"/>
        <v>-101.84213690486754</v>
      </c>
      <c r="AE242">
        <v>13</v>
      </c>
      <c r="AF242">
        <v>3</v>
      </c>
      <c r="AG242">
        <f t="shared" si="113"/>
        <v>1</v>
      </c>
      <c r="AH242">
        <f t="shared" si="114"/>
        <v>0</v>
      </c>
      <c r="AI242">
        <f t="shared" si="115"/>
        <v>25571.981079407746</v>
      </c>
      <c r="AJ242">
        <f t="shared" si="116"/>
        <v>0</v>
      </c>
      <c r="AK242">
        <f t="shared" si="117"/>
        <v>0</v>
      </c>
      <c r="AL242">
        <f t="shared" si="118"/>
        <v>0</v>
      </c>
      <c r="AM242">
        <f t="shared" si="119"/>
        <v>0</v>
      </c>
      <c r="AN242">
        <v>3</v>
      </c>
      <c r="AO242">
        <v>0.5</v>
      </c>
      <c r="AP242" t="s">
        <v>331</v>
      </c>
      <c r="AQ242">
        <v>2</v>
      </c>
      <c r="AR242">
        <v>1775494532.5</v>
      </c>
      <c r="AS242">
        <v>33.193377419354839</v>
      </c>
      <c r="AT242">
        <v>33.681467741935478</v>
      </c>
      <c r="AU242">
        <v>-0.83779545161290314</v>
      </c>
      <c r="AV242">
        <v>-2.131425161290323</v>
      </c>
      <c r="AW242">
        <v>25.257377419354839</v>
      </c>
      <c r="AX242">
        <v>0.15147548387096771</v>
      </c>
      <c r="AY242">
        <v>500.00548387096768</v>
      </c>
      <c r="AZ242">
        <v>100.25003225806449</v>
      </c>
      <c r="BA242">
        <v>3.8197696774193553E-2</v>
      </c>
      <c r="BB242">
        <v>27.305474193548381</v>
      </c>
      <c r="BC242">
        <v>27.354074193548382</v>
      </c>
      <c r="BD242">
        <v>999.90000000000032</v>
      </c>
      <c r="BE242">
        <v>0</v>
      </c>
      <c r="BF242">
        <v>0</v>
      </c>
      <c r="BG242">
        <v>5001.9032258064517</v>
      </c>
      <c r="BH242">
        <v>0.38315009677419348</v>
      </c>
      <c r="BI242">
        <v>0.23331922580645159</v>
      </c>
      <c r="BJ242">
        <v>-0.49420912903225811</v>
      </c>
      <c r="BK242">
        <v>33.159480645161288</v>
      </c>
      <c r="BL242">
        <v>33.609832258064507</v>
      </c>
      <c r="BM242">
        <v>1.293629354838709</v>
      </c>
      <c r="BN242">
        <v>33.681467741935478</v>
      </c>
      <c r="BO242">
        <v>-2.131425161290323</v>
      </c>
      <c r="BP242">
        <v>-8.3989016129032229E-2</v>
      </c>
      <c r="BQ242">
        <v>-0.21367551612903221</v>
      </c>
      <c r="BR242">
        <v>-99.900000000000034</v>
      </c>
      <c r="BS242">
        <v>-99.900000000000034</v>
      </c>
      <c r="BT242">
        <v>0</v>
      </c>
      <c r="BU242">
        <v>0</v>
      </c>
      <c r="BV242">
        <v>0</v>
      </c>
      <c r="BW242">
        <v>25</v>
      </c>
      <c r="BX242">
        <v>-1</v>
      </c>
      <c r="BY242">
        <v>1775494555.5</v>
      </c>
      <c r="BZ242" t="s">
        <v>1011</v>
      </c>
      <c r="CA242">
        <v>1775494555.5</v>
      </c>
      <c r="CB242">
        <v>1775480969.5</v>
      </c>
      <c r="CC242">
        <v>227</v>
      </c>
      <c r="CD242">
        <v>6.0000000000000001E-3</v>
      </c>
      <c r="CE242">
        <v>0.19500000000000001</v>
      </c>
      <c r="CF242">
        <v>7.9359999999999999</v>
      </c>
      <c r="CG242">
        <v>-0.98899999999999999</v>
      </c>
      <c r="CH242">
        <v>33</v>
      </c>
      <c r="CI242">
        <v>-3</v>
      </c>
      <c r="CJ242">
        <v>0.2</v>
      </c>
      <c r="CK242">
        <v>0.06</v>
      </c>
      <c r="CL242">
        <v>33.648047540983598</v>
      </c>
      <c r="CM242">
        <v>1.7020835536714071E-2</v>
      </c>
      <c r="CN242">
        <v>0.11089853375511829</v>
      </c>
      <c r="CO242">
        <v>-1</v>
      </c>
      <c r="CP242">
        <v>500.05140983606549</v>
      </c>
      <c r="CQ242">
        <v>-0.57349973559019896</v>
      </c>
      <c r="CR242">
        <v>0.23654614335482099</v>
      </c>
      <c r="CS242">
        <v>-1</v>
      </c>
      <c r="CT242">
        <v>0</v>
      </c>
      <c r="CU242">
        <v>0</v>
      </c>
      <c r="CV242" t="s">
        <v>333</v>
      </c>
      <c r="CW242">
        <v>3.1674600000000002</v>
      </c>
      <c r="CX242">
        <v>2.6593499999999999</v>
      </c>
      <c r="CY242">
        <v>7.5366499999999998E-3</v>
      </c>
      <c r="CZ242">
        <v>9.9734000000000003E-3</v>
      </c>
      <c r="DA242">
        <v>1.2509800000000001E-3</v>
      </c>
      <c r="DB242">
        <v>-2.0050499999999999E-2</v>
      </c>
      <c r="DC242">
        <v>21425.3</v>
      </c>
      <c r="DD242">
        <v>21760.9</v>
      </c>
      <c r="DE242">
        <v>23114.799999999999</v>
      </c>
      <c r="DF242">
        <v>22332.1</v>
      </c>
      <c r="DG242">
        <v>29770.7</v>
      </c>
      <c r="DH242">
        <v>27167.5</v>
      </c>
      <c r="DI242">
        <v>40623.800000000003</v>
      </c>
      <c r="DJ242">
        <v>37012.699999999997</v>
      </c>
      <c r="DK242">
        <v>2.0943000000000001</v>
      </c>
      <c r="DL242">
        <v>1.8055000000000001</v>
      </c>
      <c r="DM242">
        <v>3.1596399999999997E-2</v>
      </c>
      <c r="DN242">
        <v>0</v>
      </c>
      <c r="DO242">
        <v>26.8368</v>
      </c>
      <c r="DP242">
        <v>999.9</v>
      </c>
      <c r="DQ242">
        <v>75.2</v>
      </c>
      <c r="DR242">
        <v>30.2</v>
      </c>
      <c r="DS242">
        <v>32.331499999999998</v>
      </c>
      <c r="DT242">
        <v>30.793800000000001</v>
      </c>
      <c r="DU242">
        <v>9.3950300000000002</v>
      </c>
      <c r="DV242">
        <v>1</v>
      </c>
      <c r="DW242">
        <v>0.16542100000000001</v>
      </c>
      <c r="DX242">
        <v>-0.41084100000000001</v>
      </c>
      <c r="DY242">
        <v>20.367699999999999</v>
      </c>
      <c r="DZ242">
        <v>5.2114200000000004</v>
      </c>
      <c r="EA242">
        <v>11.8482</v>
      </c>
      <c r="EB242">
        <v>4.9678399999999998</v>
      </c>
      <c r="EC242">
        <v>3.2920799999999999</v>
      </c>
      <c r="ED242">
        <v>894.7</v>
      </c>
      <c r="EE242">
        <v>0</v>
      </c>
      <c r="EF242">
        <v>9999</v>
      </c>
      <c r="EG242">
        <v>112.6</v>
      </c>
      <c r="EH242">
        <v>4.9716100000000001</v>
      </c>
      <c r="EI242">
        <v>1.87181</v>
      </c>
      <c r="EJ242">
        <v>1.86904</v>
      </c>
      <c r="EK242">
        <v>1.87141</v>
      </c>
      <c r="EL242">
        <v>1.8691899999999999</v>
      </c>
      <c r="EM242">
        <v>1.8681300000000001</v>
      </c>
      <c r="EN242">
        <v>1.8699600000000001</v>
      </c>
      <c r="EO242">
        <v>1.87178</v>
      </c>
      <c r="EP242">
        <v>0</v>
      </c>
      <c r="EQ242">
        <v>0</v>
      </c>
      <c r="ER242">
        <v>0</v>
      </c>
      <c r="ES242">
        <v>0</v>
      </c>
      <c r="ET242" t="s">
        <v>334</v>
      </c>
      <c r="EU242" t="s">
        <v>335</v>
      </c>
      <c r="EV242" t="s">
        <v>336</v>
      </c>
      <c r="EW242" t="s">
        <v>336</v>
      </c>
      <c r="EX242" t="s">
        <v>336</v>
      </c>
      <c r="EY242" t="s">
        <v>336</v>
      </c>
      <c r="EZ242">
        <v>0</v>
      </c>
      <c r="FA242">
        <v>100</v>
      </c>
      <c r="FB242">
        <v>100</v>
      </c>
      <c r="FC242">
        <v>7.9359999999999999</v>
      </c>
      <c r="FD242">
        <v>-0.98929999999999996</v>
      </c>
      <c r="FE242">
        <v>7.9298749999999956</v>
      </c>
      <c r="FF242">
        <v>0</v>
      </c>
      <c r="FG242">
        <v>0</v>
      </c>
      <c r="FH242">
        <v>0</v>
      </c>
      <c r="FI242">
        <v>-0.98927100000000023</v>
      </c>
      <c r="FJ242">
        <v>0</v>
      </c>
      <c r="FK242">
        <v>0</v>
      </c>
      <c r="FL242">
        <v>0</v>
      </c>
      <c r="FM242">
        <v>-1</v>
      </c>
      <c r="FN242">
        <v>-1</v>
      </c>
      <c r="FO242">
        <v>-1</v>
      </c>
      <c r="FP242">
        <v>-1</v>
      </c>
      <c r="FQ242">
        <v>0.7</v>
      </c>
      <c r="FR242">
        <v>226.2</v>
      </c>
      <c r="FS242">
        <v>0.14160200000000001</v>
      </c>
      <c r="FT242">
        <v>4.99756</v>
      </c>
      <c r="FU242">
        <v>1.5979000000000001</v>
      </c>
      <c r="FV242">
        <v>2.1533199999999999</v>
      </c>
      <c r="FW242">
        <v>1.5478499999999999</v>
      </c>
      <c r="FX242">
        <v>2.4340799999999998</v>
      </c>
      <c r="FY242">
        <v>34.5777</v>
      </c>
      <c r="FZ242">
        <v>15.138999999999999</v>
      </c>
      <c r="GA242">
        <v>3</v>
      </c>
      <c r="GB242">
        <v>498.55</v>
      </c>
      <c r="GC242">
        <v>405.959</v>
      </c>
      <c r="GD242">
        <v>28.127099999999999</v>
      </c>
      <c r="GE242">
        <v>29.400099999999998</v>
      </c>
      <c r="GF242">
        <v>30.0001</v>
      </c>
      <c r="GG242">
        <v>29.691199999999998</v>
      </c>
      <c r="GH242">
        <v>29.741700000000002</v>
      </c>
      <c r="GI242">
        <v>-1</v>
      </c>
      <c r="GJ242">
        <v>0</v>
      </c>
      <c r="GK242">
        <v>100</v>
      </c>
      <c r="GL242">
        <v>28.122699999999998</v>
      </c>
      <c r="GM242">
        <v>432.1</v>
      </c>
      <c r="GN242">
        <v>68.912800000000004</v>
      </c>
      <c r="GO242">
        <v>102.256</v>
      </c>
      <c r="GP242">
        <v>96.577299999999994</v>
      </c>
    </row>
    <row r="243" spans="1:198" x14ac:dyDescent="0.35">
      <c r="A243">
        <v>227</v>
      </c>
      <c r="B243">
        <v>1775494600.5</v>
      </c>
      <c r="C243">
        <v>13562</v>
      </c>
      <c r="D243" t="s">
        <v>1012</v>
      </c>
      <c r="E243" t="s">
        <v>1013</v>
      </c>
      <c r="F243">
        <v>60</v>
      </c>
      <c r="G243">
        <v>1775494592.5</v>
      </c>
      <c r="H243">
        <f t="shared" si="90"/>
        <v>2.1288783260222616E-3</v>
      </c>
      <c r="I243">
        <f t="shared" si="91"/>
        <v>2.1288783260222615</v>
      </c>
      <c r="J243">
        <f t="shared" si="92"/>
        <v>1.0474735194665368</v>
      </c>
      <c r="K243">
        <f t="shared" si="93"/>
        <v>32.792380645161288</v>
      </c>
      <c r="L243">
        <f t="shared" si="94"/>
        <v>1.8962810047737346</v>
      </c>
      <c r="M243">
        <f t="shared" si="95"/>
        <v>0.19016893465986315</v>
      </c>
      <c r="N243">
        <f t="shared" si="96"/>
        <v>3.2885907081029542</v>
      </c>
      <c r="O243">
        <f t="shared" si="97"/>
        <v>5.6790639377536714E-2</v>
      </c>
      <c r="P243">
        <f t="shared" si="98"/>
        <v>2.3925497675893834</v>
      </c>
      <c r="Q243">
        <f t="shared" si="99"/>
        <v>5.6052254583701347E-2</v>
      </c>
      <c r="R243">
        <f t="shared" si="100"/>
        <v>3.5098200163157151E-2</v>
      </c>
      <c r="S243">
        <f t="shared" si="101"/>
        <v>0</v>
      </c>
      <c r="T243">
        <f t="shared" si="102"/>
        <v>26.63139916241062</v>
      </c>
      <c r="U243">
        <f t="shared" si="103"/>
        <v>27.349332258064521</v>
      </c>
      <c r="V243">
        <f t="shared" si="104"/>
        <v>3.6532547645010651</v>
      </c>
      <c r="W243">
        <f t="shared" si="105"/>
        <v>-2.4130703824060662</v>
      </c>
      <c r="X243">
        <f t="shared" si="106"/>
        <v>-8.7895323014658841E-2</v>
      </c>
      <c r="Y243">
        <f t="shared" si="107"/>
        <v>3.6424682701139717</v>
      </c>
      <c r="Z243">
        <f t="shared" si="108"/>
        <v>3.7411500875157238</v>
      </c>
      <c r="AA243">
        <f t="shared" si="109"/>
        <v>-93.883534177581737</v>
      </c>
      <c r="AB243">
        <f t="shared" si="110"/>
        <v>-6.5096898494672146</v>
      </c>
      <c r="AC243">
        <f t="shared" si="111"/>
        <v>-0.58908921760847521</v>
      </c>
      <c r="AD243">
        <f t="shared" si="112"/>
        <v>-100.98231324465743</v>
      </c>
      <c r="AE243">
        <v>12</v>
      </c>
      <c r="AF243">
        <v>2</v>
      </c>
      <c r="AG243">
        <f t="shared" si="113"/>
        <v>1</v>
      </c>
      <c r="AH243">
        <f t="shared" si="114"/>
        <v>0</v>
      </c>
      <c r="AI243">
        <f t="shared" si="115"/>
        <v>25556.360797260317</v>
      </c>
      <c r="AJ243">
        <f t="shared" si="116"/>
        <v>0</v>
      </c>
      <c r="AK243">
        <f t="shared" si="117"/>
        <v>0</v>
      </c>
      <c r="AL243">
        <f t="shared" si="118"/>
        <v>0</v>
      </c>
      <c r="AM243">
        <f t="shared" si="119"/>
        <v>0</v>
      </c>
      <c r="AN243">
        <v>3</v>
      </c>
      <c r="AO243">
        <v>0.5</v>
      </c>
      <c r="AP243" t="s">
        <v>331</v>
      </c>
      <c r="AQ243">
        <v>2</v>
      </c>
      <c r="AR243">
        <v>1775494592.5</v>
      </c>
      <c r="AS243">
        <v>32.792380645161288</v>
      </c>
      <c r="AT243">
        <v>33.462767741935487</v>
      </c>
      <c r="AU243">
        <v>-0.87645351612903222</v>
      </c>
      <c r="AV243">
        <v>-2.154931290322581</v>
      </c>
      <c r="AW243">
        <v>24.87538064516129</v>
      </c>
      <c r="AX243">
        <v>0.11281748387096779</v>
      </c>
      <c r="AY243">
        <v>499.98777419354832</v>
      </c>
      <c r="AZ243">
        <v>100.2471290322581</v>
      </c>
      <c r="BA243">
        <v>3.8078793548387092E-2</v>
      </c>
      <c r="BB243">
        <v>27.298864516129029</v>
      </c>
      <c r="BC243">
        <v>27.349332258064521</v>
      </c>
      <c r="BD243">
        <v>999.90000000000032</v>
      </c>
      <c r="BE243">
        <v>0</v>
      </c>
      <c r="BF243">
        <v>0</v>
      </c>
      <c r="BG243">
        <v>4999.2903225806449</v>
      </c>
      <c r="BH243">
        <v>0.37800474193548389</v>
      </c>
      <c r="BI243">
        <v>0.23331922580645159</v>
      </c>
      <c r="BJ243">
        <v>-0.65168835483870946</v>
      </c>
      <c r="BK243">
        <v>32.782338709677418</v>
      </c>
      <c r="BL243">
        <v>33.390816129032267</v>
      </c>
      <c r="BM243">
        <v>1.2784780645161291</v>
      </c>
      <c r="BN243">
        <v>33.462767741935487</v>
      </c>
      <c r="BO243">
        <v>-2.154931290322581</v>
      </c>
      <c r="BP243">
        <v>-8.7861929032258049E-2</v>
      </c>
      <c r="BQ243">
        <v>-0.2160258064516129</v>
      </c>
      <c r="BR243">
        <v>-99.900000000000034</v>
      </c>
      <c r="BS243">
        <v>-99.900000000000034</v>
      </c>
      <c r="BT243">
        <v>0</v>
      </c>
      <c r="BU243">
        <v>0</v>
      </c>
      <c r="BV243">
        <v>0</v>
      </c>
      <c r="BW243">
        <v>25</v>
      </c>
      <c r="BX243">
        <v>-1</v>
      </c>
      <c r="BY243">
        <v>1775494617.5</v>
      </c>
      <c r="BZ243" t="s">
        <v>1014</v>
      </c>
      <c r="CA243">
        <v>1775494617.5</v>
      </c>
      <c r="CB243">
        <v>1775480969.5</v>
      </c>
      <c r="CC243">
        <v>228</v>
      </c>
      <c r="CD243">
        <v>-1.9E-2</v>
      </c>
      <c r="CE243">
        <v>0.19500000000000001</v>
      </c>
      <c r="CF243">
        <v>7.9169999999999998</v>
      </c>
      <c r="CG243">
        <v>-0.98899999999999999</v>
      </c>
      <c r="CH243">
        <v>33</v>
      </c>
      <c r="CI243">
        <v>-3</v>
      </c>
      <c r="CJ243">
        <v>0.14000000000000001</v>
      </c>
      <c r="CK243">
        <v>0.06</v>
      </c>
      <c r="CL243">
        <v>33.267293442622943</v>
      </c>
      <c r="CM243">
        <v>1.1266629296668671</v>
      </c>
      <c r="CN243">
        <v>0.1913744615855644</v>
      </c>
      <c r="CO243">
        <v>-1</v>
      </c>
      <c r="CP243">
        <v>499.99752459016389</v>
      </c>
      <c r="CQ243">
        <v>-4.80761501848537E-2</v>
      </c>
      <c r="CR243">
        <v>4.050930132308244E-2</v>
      </c>
      <c r="CS243">
        <v>-1</v>
      </c>
      <c r="CT243">
        <v>0</v>
      </c>
      <c r="CU243">
        <v>0</v>
      </c>
      <c r="CV243" t="s">
        <v>333</v>
      </c>
      <c r="CW243">
        <v>3.16744</v>
      </c>
      <c r="CX243">
        <v>2.6593200000000001</v>
      </c>
      <c r="CY243">
        <v>7.4709099999999999E-3</v>
      </c>
      <c r="CZ243">
        <v>9.9943700000000007E-3</v>
      </c>
      <c r="DA243">
        <v>8.2503700000000004E-4</v>
      </c>
      <c r="DB243">
        <v>-2.0330899999999999E-2</v>
      </c>
      <c r="DC243">
        <v>21426.799999999999</v>
      </c>
      <c r="DD243">
        <v>21760.5</v>
      </c>
      <c r="DE243">
        <v>23114.9</v>
      </c>
      <c r="DF243">
        <v>22332.1</v>
      </c>
      <c r="DG243">
        <v>29783.7</v>
      </c>
      <c r="DH243">
        <v>27174.7</v>
      </c>
      <c r="DI243">
        <v>40624.300000000003</v>
      </c>
      <c r="DJ243">
        <v>37012.400000000001</v>
      </c>
      <c r="DK243">
        <v>2.0947</v>
      </c>
      <c r="DL243">
        <v>1.80654</v>
      </c>
      <c r="DM243">
        <v>3.11255E-2</v>
      </c>
      <c r="DN243">
        <v>0</v>
      </c>
      <c r="DO243">
        <v>26.842099999999999</v>
      </c>
      <c r="DP243">
        <v>999.9</v>
      </c>
      <c r="DQ243">
        <v>75.2</v>
      </c>
      <c r="DR243">
        <v>30.3</v>
      </c>
      <c r="DS243">
        <v>32.513399999999997</v>
      </c>
      <c r="DT243">
        <v>30.823799999999999</v>
      </c>
      <c r="DU243">
        <v>9.4992000000000001</v>
      </c>
      <c r="DV243">
        <v>1</v>
      </c>
      <c r="DW243">
        <v>0.165711</v>
      </c>
      <c r="DX243">
        <v>-0.44621100000000002</v>
      </c>
      <c r="DY243">
        <v>20.367699999999999</v>
      </c>
      <c r="DZ243">
        <v>5.2117800000000001</v>
      </c>
      <c r="EA243">
        <v>11.8482</v>
      </c>
      <c r="EB243">
        <v>4.9678800000000001</v>
      </c>
      <c r="EC243">
        <v>3.2922799999999999</v>
      </c>
      <c r="ED243">
        <v>894.7</v>
      </c>
      <c r="EE243">
        <v>0</v>
      </c>
      <c r="EF243">
        <v>9999</v>
      </c>
      <c r="EG243">
        <v>112.6</v>
      </c>
      <c r="EH243">
        <v>4.9716100000000001</v>
      </c>
      <c r="EI243">
        <v>1.8717999999999999</v>
      </c>
      <c r="EJ243">
        <v>1.8690199999999999</v>
      </c>
      <c r="EK243">
        <v>1.8714</v>
      </c>
      <c r="EL243">
        <v>1.8691800000000001</v>
      </c>
      <c r="EM243">
        <v>1.8681300000000001</v>
      </c>
      <c r="EN243">
        <v>1.8699300000000001</v>
      </c>
      <c r="EO243">
        <v>1.8717600000000001</v>
      </c>
      <c r="EP243">
        <v>0</v>
      </c>
      <c r="EQ243">
        <v>0</v>
      </c>
      <c r="ER243">
        <v>0</v>
      </c>
      <c r="ES243">
        <v>0</v>
      </c>
      <c r="ET243" t="s">
        <v>334</v>
      </c>
      <c r="EU243" t="s">
        <v>335</v>
      </c>
      <c r="EV243" t="s">
        <v>336</v>
      </c>
      <c r="EW243" t="s">
        <v>336</v>
      </c>
      <c r="EX243" t="s">
        <v>336</v>
      </c>
      <c r="EY243" t="s">
        <v>336</v>
      </c>
      <c r="EZ243">
        <v>0</v>
      </c>
      <c r="FA243">
        <v>100</v>
      </c>
      <c r="FB243">
        <v>100</v>
      </c>
      <c r="FC243">
        <v>7.9169999999999998</v>
      </c>
      <c r="FD243">
        <v>-0.98929999999999996</v>
      </c>
      <c r="FE243">
        <v>7.9356999999999971</v>
      </c>
      <c r="FF243">
        <v>0</v>
      </c>
      <c r="FG243">
        <v>0</v>
      </c>
      <c r="FH243">
        <v>0</v>
      </c>
      <c r="FI243">
        <v>-0.98927100000000023</v>
      </c>
      <c r="FJ243">
        <v>0</v>
      </c>
      <c r="FK243">
        <v>0</v>
      </c>
      <c r="FL243">
        <v>0</v>
      </c>
      <c r="FM243">
        <v>-1</v>
      </c>
      <c r="FN243">
        <v>-1</v>
      </c>
      <c r="FO243">
        <v>-1</v>
      </c>
      <c r="FP243">
        <v>-1</v>
      </c>
      <c r="FQ243">
        <v>0.8</v>
      </c>
      <c r="FR243">
        <v>227.2</v>
      </c>
      <c r="FS243">
        <v>0.14160200000000001</v>
      </c>
      <c r="FT243">
        <v>4.99756</v>
      </c>
      <c r="FU243">
        <v>1.5979000000000001</v>
      </c>
      <c r="FV243">
        <v>2.1533199999999999</v>
      </c>
      <c r="FW243">
        <v>1.5478499999999999</v>
      </c>
      <c r="FX243">
        <v>2.3168899999999999</v>
      </c>
      <c r="FY243">
        <v>34.5777</v>
      </c>
      <c r="FZ243">
        <v>15.1302</v>
      </c>
      <c r="GA243">
        <v>3</v>
      </c>
      <c r="GB243">
        <v>498.80099999999999</v>
      </c>
      <c r="GC243">
        <v>406.57100000000003</v>
      </c>
      <c r="GD243">
        <v>28.122299999999999</v>
      </c>
      <c r="GE243">
        <v>29.405000000000001</v>
      </c>
      <c r="GF243">
        <v>30.0001</v>
      </c>
      <c r="GG243">
        <v>29.6937</v>
      </c>
      <c r="GH243">
        <v>29.744199999999999</v>
      </c>
      <c r="GI243">
        <v>-1</v>
      </c>
      <c r="GJ243">
        <v>0</v>
      </c>
      <c r="GK243">
        <v>100</v>
      </c>
      <c r="GL243">
        <v>28.122599999999998</v>
      </c>
      <c r="GM243">
        <v>432.1</v>
      </c>
      <c r="GN243">
        <v>68.912800000000004</v>
      </c>
      <c r="GO243">
        <v>102.25700000000001</v>
      </c>
      <c r="GP243">
        <v>96.576899999999995</v>
      </c>
    </row>
    <row r="244" spans="1:198" x14ac:dyDescent="0.35">
      <c r="A244">
        <v>228</v>
      </c>
      <c r="B244">
        <v>1775494660.5</v>
      </c>
      <c r="C244">
        <v>13622</v>
      </c>
      <c r="D244" t="s">
        <v>1015</v>
      </c>
      <c r="E244" t="s">
        <v>1016</v>
      </c>
      <c r="F244">
        <v>60</v>
      </c>
      <c r="G244">
        <v>1775494652.5</v>
      </c>
      <c r="H244">
        <f t="shared" si="90"/>
        <v>2.0650435290639831E-3</v>
      </c>
      <c r="I244">
        <f t="shared" si="91"/>
        <v>2.065043529063983</v>
      </c>
      <c r="J244">
        <f t="shared" si="92"/>
        <v>0.93293652585088294</v>
      </c>
      <c r="K244">
        <f t="shared" si="93"/>
        <v>33.074383870967743</v>
      </c>
      <c r="L244">
        <f t="shared" si="94"/>
        <v>4.5063041154152037</v>
      </c>
      <c r="M244">
        <f t="shared" si="95"/>
        <v>0.45190892617560297</v>
      </c>
      <c r="N244">
        <f t="shared" si="96"/>
        <v>3.3168221487580536</v>
      </c>
      <c r="O244">
        <f t="shared" si="97"/>
        <v>5.5018685823446475E-2</v>
      </c>
      <c r="P244">
        <f t="shared" si="98"/>
        <v>2.3922463866881225</v>
      </c>
      <c r="Q244">
        <f t="shared" si="99"/>
        <v>5.432526953700749E-2</v>
      </c>
      <c r="R244">
        <f t="shared" si="100"/>
        <v>3.4014865977614071E-2</v>
      </c>
      <c r="S244">
        <f t="shared" si="101"/>
        <v>0</v>
      </c>
      <c r="T244">
        <f t="shared" si="102"/>
        <v>26.64326263477059</v>
      </c>
      <c r="U244">
        <f t="shared" si="103"/>
        <v>27.340612903225811</v>
      </c>
      <c r="V244">
        <f t="shared" si="104"/>
        <v>3.6513891829429861</v>
      </c>
      <c r="W244">
        <f t="shared" si="105"/>
        <v>-2.5550271201274777</v>
      </c>
      <c r="X244">
        <f t="shared" si="106"/>
        <v>-9.3022043560926582E-2</v>
      </c>
      <c r="Y244">
        <f t="shared" si="107"/>
        <v>3.6407458389829319</v>
      </c>
      <c r="Z244">
        <f t="shared" si="108"/>
        <v>3.7444112265039129</v>
      </c>
      <c r="AA244">
        <f t="shared" si="109"/>
        <v>-91.068419631721653</v>
      </c>
      <c r="AB244">
        <f t="shared" si="110"/>
        <v>-6.4252414113013083</v>
      </c>
      <c r="AC244">
        <f t="shared" si="111"/>
        <v>-0.58147209573734659</v>
      </c>
      <c r="AD244">
        <f t="shared" si="112"/>
        <v>-98.075133138760307</v>
      </c>
      <c r="AE244">
        <v>13</v>
      </c>
      <c r="AF244">
        <v>3</v>
      </c>
      <c r="AG244">
        <f t="shared" si="113"/>
        <v>1</v>
      </c>
      <c r="AH244">
        <f t="shared" si="114"/>
        <v>0</v>
      </c>
      <c r="AI244">
        <f t="shared" si="115"/>
        <v>25552.491282654366</v>
      </c>
      <c r="AJ244">
        <f t="shared" si="116"/>
        <v>0</v>
      </c>
      <c r="AK244">
        <f t="shared" si="117"/>
        <v>0</v>
      </c>
      <c r="AL244">
        <f t="shared" si="118"/>
        <v>0</v>
      </c>
      <c r="AM244">
        <f t="shared" si="119"/>
        <v>0</v>
      </c>
      <c r="AN244">
        <v>3</v>
      </c>
      <c r="AO244">
        <v>0.5</v>
      </c>
      <c r="AP244" t="s">
        <v>331</v>
      </c>
      <c r="AQ244">
        <v>2</v>
      </c>
      <c r="AR244">
        <v>1775494652.5</v>
      </c>
      <c r="AS244">
        <v>33.074383870967743</v>
      </c>
      <c r="AT244">
        <v>33.675141935483872</v>
      </c>
      <c r="AU244">
        <v>-0.92758870967741947</v>
      </c>
      <c r="AV244">
        <v>-2.1677974193548391</v>
      </c>
      <c r="AW244">
        <v>25.165383870967741</v>
      </c>
      <c r="AX244">
        <v>6.1682303225806458E-2</v>
      </c>
      <c r="AY244">
        <v>499.98658064516133</v>
      </c>
      <c r="AZ244">
        <v>100.2457096774193</v>
      </c>
      <c r="BA244">
        <v>3.8007222580645157E-2</v>
      </c>
      <c r="BB244">
        <v>27.2907935483871</v>
      </c>
      <c r="BC244">
        <v>27.340612903225811</v>
      </c>
      <c r="BD244">
        <v>999.90000000000032</v>
      </c>
      <c r="BE244">
        <v>0</v>
      </c>
      <c r="BF244">
        <v>0</v>
      </c>
      <c r="BG244">
        <v>4998.5806451612907</v>
      </c>
      <c r="BH244">
        <v>0.3783424516129032</v>
      </c>
      <c r="BI244">
        <v>0.22961599999999999</v>
      </c>
      <c r="BJ244">
        <v>-0.59313238709677418</v>
      </c>
      <c r="BK244">
        <v>33.051354838709671</v>
      </c>
      <c r="BL244">
        <v>33.602303225806452</v>
      </c>
      <c r="BM244">
        <v>1.24021</v>
      </c>
      <c r="BN244">
        <v>33.675141935483872</v>
      </c>
      <c r="BO244">
        <v>-2.1677974193548391</v>
      </c>
      <c r="BP244">
        <v>-9.298682258064514E-2</v>
      </c>
      <c r="BQ244">
        <v>-0.21731254838709671</v>
      </c>
      <c r="BR244">
        <v>-99.900000000000034</v>
      </c>
      <c r="BS244">
        <v>-99.900000000000034</v>
      </c>
      <c r="BT244">
        <v>0</v>
      </c>
      <c r="BU244">
        <v>0</v>
      </c>
      <c r="BV244">
        <v>0</v>
      </c>
      <c r="BW244">
        <v>25</v>
      </c>
      <c r="BX244">
        <v>-1</v>
      </c>
      <c r="BY244">
        <v>1775494677.5</v>
      </c>
      <c r="BZ244" t="s">
        <v>1017</v>
      </c>
      <c r="CA244">
        <v>1775494677.5</v>
      </c>
      <c r="CB244">
        <v>1775480969.5</v>
      </c>
      <c r="CC244">
        <v>229</v>
      </c>
      <c r="CD244">
        <v>-7.0000000000000001E-3</v>
      </c>
      <c r="CE244">
        <v>0.19500000000000001</v>
      </c>
      <c r="CF244">
        <v>7.9089999999999998</v>
      </c>
      <c r="CG244">
        <v>-0.98899999999999999</v>
      </c>
      <c r="CH244">
        <v>34</v>
      </c>
      <c r="CI244">
        <v>-3</v>
      </c>
      <c r="CJ244">
        <v>0.16</v>
      </c>
      <c r="CK244">
        <v>0.06</v>
      </c>
      <c r="CL244">
        <v>33.53493278688525</v>
      </c>
      <c r="CM244">
        <v>1.006608989952416</v>
      </c>
      <c r="CN244">
        <v>0.16528234930141181</v>
      </c>
      <c r="CO244">
        <v>-1</v>
      </c>
      <c r="CP244">
        <v>499.99347540983598</v>
      </c>
      <c r="CQ244">
        <v>-0.14564992067713239</v>
      </c>
      <c r="CR244">
        <v>5.3496317188205238E-2</v>
      </c>
      <c r="CS244">
        <v>-1</v>
      </c>
      <c r="CT244">
        <v>0</v>
      </c>
      <c r="CU244">
        <v>0</v>
      </c>
      <c r="CV244" t="s">
        <v>333</v>
      </c>
      <c r="CW244">
        <v>3.1673800000000001</v>
      </c>
      <c r="CX244">
        <v>2.6594600000000002</v>
      </c>
      <c r="CY244">
        <v>7.5586999999999998E-3</v>
      </c>
      <c r="CZ244">
        <v>1.001E-2</v>
      </c>
      <c r="DA244">
        <v>6.0288200000000001E-4</v>
      </c>
      <c r="DB244">
        <v>-2.0448399999999999E-2</v>
      </c>
      <c r="DC244">
        <v>21425</v>
      </c>
      <c r="DD244">
        <v>21760.2</v>
      </c>
      <c r="DE244">
        <v>23114.9</v>
      </c>
      <c r="DF244">
        <v>22332.2</v>
      </c>
      <c r="DG244">
        <v>29790.400000000001</v>
      </c>
      <c r="DH244">
        <v>27177.9</v>
      </c>
      <c r="DI244">
        <v>40624.400000000001</v>
      </c>
      <c r="DJ244">
        <v>37012.5</v>
      </c>
      <c r="DK244">
        <v>2.09436</v>
      </c>
      <c r="DL244">
        <v>1.8067</v>
      </c>
      <c r="DM244">
        <v>3.1679899999999997E-2</v>
      </c>
      <c r="DN244">
        <v>0</v>
      </c>
      <c r="DO244">
        <v>26.8172</v>
      </c>
      <c r="DP244">
        <v>999.9</v>
      </c>
      <c r="DQ244">
        <v>75.099999999999994</v>
      </c>
      <c r="DR244">
        <v>30.2</v>
      </c>
      <c r="DS244">
        <v>32.285200000000003</v>
      </c>
      <c r="DT244">
        <v>30.6738</v>
      </c>
      <c r="DU244">
        <v>9.6915099999999992</v>
      </c>
      <c r="DV244">
        <v>1</v>
      </c>
      <c r="DW244">
        <v>0.165961</v>
      </c>
      <c r="DX244">
        <v>-0.535022</v>
      </c>
      <c r="DY244">
        <v>20.3675</v>
      </c>
      <c r="DZ244">
        <v>5.2117800000000001</v>
      </c>
      <c r="EA244">
        <v>11.8482</v>
      </c>
      <c r="EB244">
        <v>4.9679599999999997</v>
      </c>
      <c r="EC244">
        <v>3.2921200000000002</v>
      </c>
      <c r="ED244">
        <v>894.7</v>
      </c>
      <c r="EE244">
        <v>0</v>
      </c>
      <c r="EF244">
        <v>9999</v>
      </c>
      <c r="EG244">
        <v>112.6</v>
      </c>
      <c r="EH244">
        <v>4.9715999999999996</v>
      </c>
      <c r="EI244">
        <v>1.8717999999999999</v>
      </c>
      <c r="EJ244">
        <v>1.8690199999999999</v>
      </c>
      <c r="EK244">
        <v>1.87138</v>
      </c>
      <c r="EL244">
        <v>1.8691800000000001</v>
      </c>
      <c r="EM244">
        <v>1.8681300000000001</v>
      </c>
      <c r="EN244">
        <v>1.86995</v>
      </c>
      <c r="EO244">
        <v>1.87178</v>
      </c>
      <c r="EP244">
        <v>0</v>
      </c>
      <c r="EQ244">
        <v>0</v>
      </c>
      <c r="ER244">
        <v>0</v>
      </c>
      <c r="ES244">
        <v>0</v>
      </c>
      <c r="ET244" t="s">
        <v>334</v>
      </c>
      <c r="EU244" t="s">
        <v>335</v>
      </c>
      <c r="EV244" t="s">
        <v>336</v>
      </c>
      <c r="EW244" t="s">
        <v>336</v>
      </c>
      <c r="EX244" t="s">
        <v>336</v>
      </c>
      <c r="EY244" t="s">
        <v>336</v>
      </c>
      <c r="EZ244">
        <v>0</v>
      </c>
      <c r="FA244">
        <v>100</v>
      </c>
      <c r="FB244">
        <v>100</v>
      </c>
      <c r="FC244">
        <v>7.9089999999999998</v>
      </c>
      <c r="FD244">
        <v>-0.98929999999999996</v>
      </c>
      <c r="FE244">
        <v>7.9166350000000074</v>
      </c>
      <c r="FF244">
        <v>0</v>
      </c>
      <c r="FG244">
        <v>0</v>
      </c>
      <c r="FH244">
        <v>0</v>
      </c>
      <c r="FI244">
        <v>-0.98927100000000023</v>
      </c>
      <c r="FJ244">
        <v>0</v>
      </c>
      <c r="FK244">
        <v>0</v>
      </c>
      <c r="FL244">
        <v>0</v>
      </c>
      <c r="FM244">
        <v>-1</v>
      </c>
      <c r="FN244">
        <v>-1</v>
      </c>
      <c r="FO244">
        <v>-1</v>
      </c>
      <c r="FP244">
        <v>-1</v>
      </c>
      <c r="FQ244">
        <v>0.7</v>
      </c>
      <c r="FR244">
        <v>228.2</v>
      </c>
      <c r="FS244">
        <v>0.14160200000000001</v>
      </c>
      <c r="FT244">
        <v>4.99756</v>
      </c>
      <c r="FU244">
        <v>1.5979000000000001</v>
      </c>
      <c r="FV244">
        <v>2.1533199999999999</v>
      </c>
      <c r="FW244">
        <v>1.5478499999999999</v>
      </c>
      <c r="FX244">
        <v>2.36328</v>
      </c>
      <c r="FY244">
        <v>34.5777</v>
      </c>
      <c r="FZ244">
        <v>15.121499999999999</v>
      </c>
      <c r="GA244">
        <v>3</v>
      </c>
      <c r="GB244">
        <v>498.62299999999999</v>
      </c>
      <c r="GC244">
        <v>406.68</v>
      </c>
      <c r="GD244">
        <v>28.172699999999999</v>
      </c>
      <c r="GE244">
        <v>29.407499999999999</v>
      </c>
      <c r="GF244">
        <v>30</v>
      </c>
      <c r="GG244">
        <v>29.696200000000001</v>
      </c>
      <c r="GH244">
        <v>29.746700000000001</v>
      </c>
      <c r="GI244">
        <v>-1</v>
      </c>
      <c r="GJ244">
        <v>0</v>
      </c>
      <c r="GK244">
        <v>100</v>
      </c>
      <c r="GL244">
        <v>28.176600000000001</v>
      </c>
      <c r="GM244">
        <v>432.1</v>
      </c>
      <c r="GN244">
        <v>68.912800000000004</v>
      </c>
      <c r="GO244">
        <v>102.25700000000001</v>
      </c>
      <c r="GP244">
        <v>96.576999999999998</v>
      </c>
    </row>
    <row r="245" spans="1:198" x14ac:dyDescent="0.35">
      <c r="A245">
        <v>229</v>
      </c>
      <c r="B245">
        <v>1775494720.5</v>
      </c>
      <c r="C245">
        <v>13682</v>
      </c>
      <c r="D245" t="s">
        <v>1018</v>
      </c>
      <c r="E245" t="s">
        <v>1019</v>
      </c>
      <c r="F245">
        <v>60</v>
      </c>
      <c r="G245">
        <v>1775494712.5</v>
      </c>
      <c r="H245">
        <f t="shared" si="90"/>
        <v>2.1331822713305097E-3</v>
      </c>
      <c r="I245">
        <f t="shared" si="91"/>
        <v>2.1331822713305097</v>
      </c>
      <c r="J245">
        <f t="shared" si="92"/>
        <v>1.5474279771455011</v>
      </c>
      <c r="K245">
        <f t="shared" si="93"/>
        <v>33.127387096774193</v>
      </c>
      <c r="L245">
        <f t="shared" si="94"/>
        <v>-11.485921120740299</v>
      </c>
      <c r="M245">
        <f t="shared" si="95"/>
        <v>-1.1518495595045952</v>
      </c>
      <c r="N245">
        <f t="shared" si="96"/>
        <v>3.3221337526039174</v>
      </c>
      <c r="O245">
        <f t="shared" si="97"/>
        <v>5.6961654628513381E-2</v>
      </c>
      <c r="P245">
        <f t="shared" si="98"/>
        <v>2.3927109630959151</v>
      </c>
      <c r="Q245">
        <f t="shared" si="99"/>
        <v>5.6218896805904993E-2</v>
      </c>
      <c r="R245">
        <f t="shared" si="100"/>
        <v>3.5202737381886916E-2</v>
      </c>
      <c r="S245">
        <f t="shared" si="101"/>
        <v>0</v>
      </c>
      <c r="T245">
        <f t="shared" si="102"/>
        <v>26.633002360030883</v>
      </c>
      <c r="U245">
        <f t="shared" si="103"/>
        <v>27.342161290322579</v>
      </c>
      <c r="V245">
        <f t="shared" si="104"/>
        <v>3.6517204130568319</v>
      </c>
      <c r="W245">
        <f t="shared" si="105"/>
        <v>-2.355418479468689</v>
      </c>
      <c r="X245">
        <f t="shared" si="106"/>
        <v>-8.5810000972250014E-2</v>
      </c>
      <c r="Y245">
        <f t="shared" si="107"/>
        <v>3.6430894008951715</v>
      </c>
      <c r="Z245">
        <f t="shared" si="108"/>
        <v>3.7375304140290821</v>
      </c>
      <c r="AA245">
        <f t="shared" si="109"/>
        <v>-94.07333816567548</v>
      </c>
      <c r="AB245">
        <f t="shared" si="110"/>
        <v>-5.2097672087065288</v>
      </c>
      <c r="AC245">
        <f t="shared" si="111"/>
        <v>-0.47141195352394166</v>
      </c>
      <c r="AD245">
        <f t="shared" si="112"/>
        <v>-99.754517327905944</v>
      </c>
      <c r="AE245">
        <v>13</v>
      </c>
      <c r="AF245">
        <v>3</v>
      </c>
      <c r="AG245">
        <f t="shared" si="113"/>
        <v>1</v>
      </c>
      <c r="AH245">
        <f t="shared" si="114"/>
        <v>0</v>
      </c>
      <c r="AI245">
        <f t="shared" si="115"/>
        <v>25558.619323586958</v>
      </c>
      <c r="AJ245">
        <f t="shared" si="116"/>
        <v>0</v>
      </c>
      <c r="AK245">
        <f t="shared" si="117"/>
        <v>0</v>
      </c>
      <c r="AL245">
        <f t="shared" si="118"/>
        <v>0</v>
      </c>
      <c r="AM245">
        <f t="shared" si="119"/>
        <v>0</v>
      </c>
      <c r="AN245">
        <v>3</v>
      </c>
      <c r="AO245">
        <v>0.5</v>
      </c>
      <c r="AP245" t="s">
        <v>331</v>
      </c>
      <c r="AQ245">
        <v>2</v>
      </c>
      <c r="AR245">
        <v>1775494712.5</v>
      </c>
      <c r="AS245">
        <v>33.127387096774193</v>
      </c>
      <c r="AT245">
        <v>34.098190322580649</v>
      </c>
      <c r="AU245">
        <v>-0.85567329032258066</v>
      </c>
      <c r="AV245">
        <v>-2.1366070967741941</v>
      </c>
      <c r="AW245">
        <v>25.196387096774199</v>
      </c>
      <c r="AX245">
        <v>0.13359767741935491</v>
      </c>
      <c r="AY245">
        <v>500.02761290322582</v>
      </c>
      <c r="AZ245">
        <v>100.24574193548381</v>
      </c>
      <c r="BA245">
        <v>3.7861564516129043E-2</v>
      </c>
      <c r="BB245">
        <v>27.30177419354839</v>
      </c>
      <c r="BC245">
        <v>27.342161290322579</v>
      </c>
      <c r="BD245">
        <v>999.90000000000032</v>
      </c>
      <c r="BE245">
        <v>0</v>
      </c>
      <c r="BF245">
        <v>0</v>
      </c>
      <c r="BG245">
        <v>4999.7741935483873</v>
      </c>
      <c r="BH245">
        <v>0.38216364516129042</v>
      </c>
      <c r="BI245">
        <v>0.22961599999999999</v>
      </c>
      <c r="BJ245">
        <v>-0.99249458064516127</v>
      </c>
      <c r="BK245">
        <v>33.077383870967729</v>
      </c>
      <c r="BL245">
        <v>34.025487096774192</v>
      </c>
      <c r="BM245">
        <v>1.280934516129032</v>
      </c>
      <c r="BN245">
        <v>34.098190322580649</v>
      </c>
      <c r="BO245">
        <v>-2.1366070967741941</v>
      </c>
      <c r="BP245">
        <v>-8.5777567741935498E-2</v>
      </c>
      <c r="BQ245">
        <v>-0.21418567741935479</v>
      </c>
      <c r="BR245">
        <v>-99.900000000000034</v>
      </c>
      <c r="BS245">
        <v>-99.900000000000034</v>
      </c>
      <c r="BT245">
        <v>0</v>
      </c>
      <c r="BU245">
        <v>0</v>
      </c>
      <c r="BV245">
        <v>0</v>
      </c>
      <c r="BW245">
        <v>25</v>
      </c>
      <c r="BX245">
        <v>-1</v>
      </c>
      <c r="BY245">
        <v>1775494737.5</v>
      </c>
      <c r="BZ245" t="s">
        <v>1020</v>
      </c>
      <c r="CA245">
        <v>1775494737.5</v>
      </c>
      <c r="CB245">
        <v>1775480969.5</v>
      </c>
      <c r="CC245">
        <v>230</v>
      </c>
      <c r="CD245">
        <v>2.1000000000000001E-2</v>
      </c>
      <c r="CE245">
        <v>0.19500000000000001</v>
      </c>
      <c r="CF245">
        <v>7.931</v>
      </c>
      <c r="CG245">
        <v>-0.98899999999999999</v>
      </c>
      <c r="CH245">
        <v>36</v>
      </c>
      <c r="CI245">
        <v>-3</v>
      </c>
      <c r="CJ245">
        <v>0.15</v>
      </c>
      <c r="CK245">
        <v>0.06</v>
      </c>
      <c r="CL245">
        <v>33.667400000000001</v>
      </c>
      <c r="CM245">
        <v>2.809255208884192</v>
      </c>
      <c r="CN245">
        <v>0.47608681395962898</v>
      </c>
      <c r="CO245">
        <v>-1</v>
      </c>
      <c r="CP245">
        <v>499.99624590163933</v>
      </c>
      <c r="CQ245">
        <v>0.1675367530409714</v>
      </c>
      <c r="CR245">
        <v>6.4639899300384066E-2</v>
      </c>
      <c r="CS245">
        <v>-1</v>
      </c>
      <c r="CT245">
        <v>0</v>
      </c>
      <c r="CU245">
        <v>0</v>
      </c>
      <c r="CV245" t="s">
        <v>333</v>
      </c>
      <c r="CW245">
        <v>3.1674699999999998</v>
      </c>
      <c r="CX245">
        <v>2.65923</v>
      </c>
      <c r="CY245">
        <v>7.6945800000000003E-3</v>
      </c>
      <c r="CZ245">
        <v>1.0510800000000001E-2</v>
      </c>
      <c r="DA245">
        <v>1.0994399999999999E-3</v>
      </c>
      <c r="DB245">
        <v>-2.00818E-2</v>
      </c>
      <c r="DC245">
        <v>21421.7</v>
      </c>
      <c r="DD245">
        <v>21749.1</v>
      </c>
      <c r="DE245">
        <v>23114.5</v>
      </c>
      <c r="DF245">
        <v>22332.1</v>
      </c>
      <c r="DG245">
        <v>29775</v>
      </c>
      <c r="DH245">
        <v>27168.1</v>
      </c>
      <c r="DI245">
        <v>40623.5</v>
      </c>
      <c r="DJ245">
        <v>37012.400000000001</v>
      </c>
      <c r="DK245">
        <v>2.09456</v>
      </c>
      <c r="DL245">
        <v>1.8072999999999999</v>
      </c>
      <c r="DM245">
        <v>3.2064299999999997E-2</v>
      </c>
      <c r="DN245">
        <v>0</v>
      </c>
      <c r="DO245">
        <v>26.8127</v>
      </c>
      <c r="DP245">
        <v>999.9</v>
      </c>
      <c r="DQ245">
        <v>75.099999999999994</v>
      </c>
      <c r="DR245">
        <v>30.3</v>
      </c>
      <c r="DS245">
        <v>32.470199999999998</v>
      </c>
      <c r="DT245">
        <v>30.883800000000001</v>
      </c>
      <c r="DU245">
        <v>9.6955100000000005</v>
      </c>
      <c r="DV245">
        <v>1</v>
      </c>
      <c r="DW245">
        <v>0.166024</v>
      </c>
      <c r="DX245">
        <v>-0.45559300000000003</v>
      </c>
      <c r="DY245">
        <v>20.367699999999999</v>
      </c>
      <c r="DZ245">
        <v>5.2116600000000002</v>
      </c>
      <c r="EA245">
        <v>11.8482</v>
      </c>
      <c r="EB245">
        <v>4.9678399999999998</v>
      </c>
      <c r="EC245">
        <v>3.2921399999999998</v>
      </c>
      <c r="ED245">
        <v>894.7</v>
      </c>
      <c r="EE245">
        <v>0</v>
      </c>
      <c r="EF245">
        <v>9999</v>
      </c>
      <c r="EG245">
        <v>112.6</v>
      </c>
      <c r="EH245">
        <v>4.9716100000000001</v>
      </c>
      <c r="EI245">
        <v>1.8717999999999999</v>
      </c>
      <c r="EJ245">
        <v>1.8689800000000001</v>
      </c>
      <c r="EK245">
        <v>1.8713900000000001</v>
      </c>
      <c r="EL245">
        <v>1.8691800000000001</v>
      </c>
      <c r="EM245">
        <v>1.8681300000000001</v>
      </c>
      <c r="EN245">
        <v>1.8699600000000001</v>
      </c>
      <c r="EO245">
        <v>1.8717699999999999</v>
      </c>
      <c r="EP245">
        <v>0</v>
      </c>
      <c r="EQ245">
        <v>0</v>
      </c>
      <c r="ER245">
        <v>0</v>
      </c>
      <c r="ES245">
        <v>0</v>
      </c>
      <c r="ET245" t="s">
        <v>334</v>
      </c>
      <c r="EU245" t="s">
        <v>335</v>
      </c>
      <c r="EV245" t="s">
        <v>336</v>
      </c>
      <c r="EW245" t="s">
        <v>336</v>
      </c>
      <c r="EX245" t="s">
        <v>336</v>
      </c>
      <c r="EY245" t="s">
        <v>336</v>
      </c>
      <c r="EZ245">
        <v>0</v>
      </c>
      <c r="FA245">
        <v>100</v>
      </c>
      <c r="FB245">
        <v>100</v>
      </c>
      <c r="FC245">
        <v>7.931</v>
      </c>
      <c r="FD245">
        <v>-0.98929999999999996</v>
      </c>
      <c r="FE245">
        <v>7.9093050000000034</v>
      </c>
      <c r="FF245">
        <v>0</v>
      </c>
      <c r="FG245">
        <v>0</v>
      </c>
      <c r="FH245">
        <v>0</v>
      </c>
      <c r="FI245">
        <v>-0.98927100000000023</v>
      </c>
      <c r="FJ245">
        <v>0</v>
      </c>
      <c r="FK245">
        <v>0</v>
      </c>
      <c r="FL245">
        <v>0</v>
      </c>
      <c r="FM245">
        <v>-1</v>
      </c>
      <c r="FN245">
        <v>-1</v>
      </c>
      <c r="FO245">
        <v>-1</v>
      </c>
      <c r="FP245">
        <v>-1</v>
      </c>
      <c r="FQ245">
        <v>0.7</v>
      </c>
      <c r="FR245">
        <v>229.2</v>
      </c>
      <c r="FS245">
        <v>0.14160200000000001</v>
      </c>
      <c r="FT245">
        <v>4.99756</v>
      </c>
      <c r="FU245">
        <v>1.5979000000000001</v>
      </c>
      <c r="FV245">
        <v>2.1520999999999999</v>
      </c>
      <c r="FW245">
        <v>1.5478499999999999</v>
      </c>
      <c r="FX245">
        <v>2.3950200000000001</v>
      </c>
      <c r="FY245">
        <v>34.6006</v>
      </c>
      <c r="FZ245">
        <v>15.121499999999999</v>
      </c>
      <c r="GA245">
        <v>3</v>
      </c>
      <c r="GB245">
        <v>498.75900000000001</v>
      </c>
      <c r="GC245">
        <v>407.04</v>
      </c>
      <c r="GD245">
        <v>28.148800000000001</v>
      </c>
      <c r="GE245">
        <v>29.4087</v>
      </c>
      <c r="GF245">
        <v>30.0001</v>
      </c>
      <c r="GG245">
        <v>29.698699999999999</v>
      </c>
      <c r="GH245">
        <v>29.749199999999998</v>
      </c>
      <c r="GI245">
        <v>-1</v>
      </c>
      <c r="GJ245">
        <v>0</v>
      </c>
      <c r="GK245">
        <v>100</v>
      </c>
      <c r="GL245">
        <v>28.146699999999999</v>
      </c>
      <c r="GM245">
        <v>432.1</v>
      </c>
      <c r="GN245">
        <v>68.912800000000004</v>
      </c>
      <c r="GO245">
        <v>102.255</v>
      </c>
      <c r="GP245">
        <v>96.576700000000002</v>
      </c>
    </row>
    <row r="246" spans="1:198" x14ac:dyDescent="0.35">
      <c r="A246">
        <v>230</v>
      </c>
      <c r="B246">
        <v>1775494780.5</v>
      </c>
      <c r="C246">
        <v>13742</v>
      </c>
      <c r="D246" t="s">
        <v>1021</v>
      </c>
      <c r="E246" t="s">
        <v>1022</v>
      </c>
      <c r="F246">
        <v>60</v>
      </c>
      <c r="G246">
        <v>1775494772.5</v>
      </c>
      <c r="H246">
        <f t="shared" si="90"/>
        <v>2.1729315553475912E-3</v>
      </c>
      <c r="I246">
        <f t="shared" si="91"/>
        <v>2.1729315553475912</v>
      </c>
      <c r="J246">
        <f t="shared" si="92"/>
        <v>-7.4593816966604595E-2</v>
      </c>
      <c r="K246">
        <f t="shared" si="93"/>
        <v>34.323706451612907</v>
      </c>
      <c r="L246">
        <f t="shared" si="94"/>
        <v>34.323997496421221</v>
      </c>
      <c r="M246">
        <f t="shared" si="95"/>
        <v>3.4421514924065124</v>
      </c>
      <c r="N246">
        <f t="shared" si="96"/>
        <v>3.4421223052373486</v>
      </c>
      <c r="O246">
        <f t="shared" si="97"/>
        <v>5.8030977797285846E-2</v>
      </c>
      <c r="P246">
        <f t="shared" si="98"/>
        <v>2.3965449407094459</v>
      </c>
      <c r="Q246">
        <f t="shared" si="99"/>
        <v>5.7261489900419002E-2</v>
      </c>
      <c r="R246">
        <f t="shared" si="100"/>
        <v>3.5856716508989597E-2</v>
      </c>
      <c r="S246">
        <f t="shared" si="101"/>
        <v>0</v>
      </c>
      <c r="T246">
        <f t="shared" si="102"/>
        <v>26.620784888868378</v>
      </c>
      <c r="U246">
        <f t="shared" si="103"/>
        <v>27.345932258064511</v>
      </c>
      <c r="V246">
        <f t="shared" si="104"/>
        <v>3.6525272061021141</v>
      </c>
      <c r="W246">
        <f t="shared" si="105"/>
        <v>-2.3421479020929907</v>
      </c>
      <c r="X246">
        <f t="shared" si="106"/>
        <v>-8.5322767724818907E-2</v>
      </c>
      <c r="Y246">
        <f t="shared" si="107"/>
        <v>3.6429282560923144</v>
      </c>
      <c r="Z246">
        <f t="shared" si="108"/>
        <v>3.7378499738269331</v>
      </c>
      <c r="AA246">
        <f t="shared" si="109"/>
        <v>-95.826281590828771</v>
      </c>
      <c r="AB246">
        <f t="shared" si="110"/>
        <v>-5.8028607643037962</v>
      </c>
      <c r="AC246">
        <f t="shared" si="111"/>
        <v>-0.52424660636291232</v>
      </c>
      <c r="AD246">
        <f t="shared" si="112"/>
        <v>-102.15338896149548</v>
      </c>
      <c r="AE246">
        <v>13</v>
      </c>
      <c r="AF246">
        <v>3</v>
      </c>
      <c r="AG246">
        <f t="shared" si="113"/>
        <v>1</v>
      </c>
      <c r="AH246">
        <f t="shared" si="114"/>
        <v>0</v>
      </c>
      <c r="AI246">
        <f t="shared" si="115"/>
        <v>25616.975728597201</v>
      </c>
      <c r="AJ246">
        <f t="shared" si="116"/>
        <v>0</v>
      </c>
      <c r="AK246">
        <f t="shared" si="117"/>
        <v>0</v>
      </c>
      <c r="AL246">
        <f t="shared" si="118"/>
        <v>0</v>
      </c>
      <c r="AM246">
        <f t="shared" si="119"/>
        <v>0</v>
      </c>
      <c r="AN246">
        <v>3</v>
      </c>
      <c r="AO246">
        <v>0.5</v>
      </c>
      <c r="AP246" t="s">
        <v>331</v>
      </c>
      <c r="AQ246">
        <v>2</v>
      </c>
      <c r="AR246">
        <v>1775494772.5</v>
      </c>
      <c r="AS246">
        <v>34.323706451612907</v>
      </c>
      <c r="AT246">
        <v>34.323700000000002</v>
      </c>
      <c r="AU246">
        <v>-0.85081045161290325</v>
      </c>
      <c r="AV246">
        <v>-2.1557474193548378</v>
      </c>
      <c r="AW246">
        <v>26.42270645161291</v>
      </c>
      <c r="AX246">
        <v>0.13846054838709679</v>
      </c>
      <c r="AY246">
        <v>499.97364516129028</v>
      </c>
      <c r="AZ246">
        <v>100.2459677419355</v>
      </c>
      <c r="BA246">
        <v>3.814085483870968E-2</v>
      </c>
      <c r="BB246">
        <v>27.301019354838711</v>
      </c>
      <c r="BC246">
        <v>27.345932258064511</v>
      </c>
      <c r="BD246">
        <v>999.90000000000032</v>
      </c>
      <c r="BE246">
        <v>0</v>
      </c>
      <c r="BF246">
        <v>0</v>
      </c>
      <c r="BG246">
        <v>5009.6290322580644</v>
      </c>
      <c r="BH246">
        <v>0.35396090322580642</v>
      </c>
      <c r="BI246">
        <v>0.23331922580645159</v>
      </c>
      <c r="BJ246">
        <v>2.9603919774193549E-2</v>
      </c>
      <c r="BK246">
        <v>34.324096774193563</v>
      </c>
      <c r="BL246">
        <v>34.249851612903228</v>
      </c>
      <c r="BM246">
        <v>1.3049364516129029</v>
      </c>
      <c r="BN246">
        <v>34.323700000000002</v>
      </c>
      <c r="BO246">
        <v>-2.1557474193548378</v>
      </c>
      <c r="BP246">
        <v>-8.5290258064516122E-2</v>
      </c>
      <c r="BQ246">
        <v>-0.21610483870967739</v>
      </c>
      <c r="BR246">
        <v>-99.900000000000034</v>
      </c>
      <c r="BS246">
        <v>-99.900000000000034</v>
      </c>
      <c r="BT246">
        <v>0</v>
      </c>
      <c r="BU246">
        <v>0</v>
      </c>
      <c r="BV246">
        <v>0</v>
      </c>
      <c r="BW246">
        <v>25</v>
      </c>
      <c r="BX246">
        <v>-1</v>
      </c>
      <c r="BY246">
        <v>1775494792.5</v>
      </c>
      <c r="BZ246" t="s">
        <v>1023</v>
      </c>
      <c r="CA246">
        <v>1775494792.5</v>
      </c>
      <c r="CB246">
        <v>1775480969.5</v>
      </c>
      <c r="CC246">
        <v>231</v>
      </c>
      <c r="CD246">
        <v>-0.03</v>
      </c>
      <c r="CE246">
        <v>0.19500000000000001</v>
      </c>
      <c r="CF246">
        <v>7.9009999999999998</v>
      </c>
      <c r="CG246">
        <v>-0.98899999999999999</v>
      </c>
      <c r="CH246">
        <v>33</v>
      </c>
      <c r="CI246">
        <v>-3</v>
      </c>
      <c r="CJ246">
        <v>0.19</v>
      </c>
      <c r="CK246">
        <v>0.06</v>
      </c>
      <c r="CL246">
        <v>34.708650819672137</v>
      </c>
      <c r="CM246">
        <v>-2.4894092014806701</v>
      </c>
      <c r="CN246">
        <v>0.50435385042027236</v>
      </c>
      <c r="CO246">
        <v>-1</v>
      </c>
      <c r="CP246">
        <v>499.98147540983598</v>
      </c>
      <c r="CQ246">
        <v>-0.1818720253834645</v>
      </c>
      <c r="CR246">
        <v>6.3657538298376587E-2</v>
      </c>
      <c r="CS246">
        <v>-1</v>
      </c>
      <c r="CT246">
        <v>0</v>
      </c>
      <c r="CU246">
        <v>0</v>
      </c>
      <c r="CV246" t="s">
        <v>333</v>
      </c>
      <c r="CW246">
        <v>3.1674000000000002</v>
      </c>
      <c r="CX246">
        <v>2.6595499999999999</v>
      </c>
      <c r="CY246">
        <v>7.7056599999999996E-3</v>
      </c>
      <c r="CZ246">
        <v>1.0053299999999999E-2</v>
      </c>
      <c r="DA246">
        <v>1.13809E-3</v>
      </c>
      <c r="DB246">
        <v>-2.03197E-2</v>
      </c>
      <c r="DC246">
        <v>21421.5</v>
      </c>
      <c r="DD246">
        <v>21759.1</v>
      </c>
      <c r="DE246">
        <v>23114.6</v>
      </c>
      <c r="DF246">
        <v>22332</v>
      </c>
      <c r="DG246">
        <v>29774.1</v>
      </c>
      <c r="DH246">
        <v>27174.400000000001</v>
      </c>
      <c r="DI246">
        <v>40623.9</v>
      </c>
      <c r="DJ246">
        <v>37012.400000000001</v>
      </c>
      <c r="DK246">
        <v>2.0944199999999999</v>
      </c>
      <c r="DL246">
        <v>1.80552</v>
      </c>
      <c r="DM246">
        <v>3.3015000000000003E-2</v>
      </c>
      <c r="DN246">
        <v>0</v>
      </c>
      <c r="DO246">
        <v>26.81</v>
      </c>
      <c r="DP246">
        <v>999.9</v>
      </c>
      <c r="DQ246">
        <v>75.099999999999994</v>
      </c>
      <c r="DR246">
        <v>30.3</v>
      </c>
      <c r="DS246">
        <v>32.468400000000003</v>
      </c>
      <c r="DT246">
        <v>30.703800000000001</v>
      </c>
      <c r="DU246">
        <v>9.6394199999999994</v>
      </c>
      <c r="DV246">
        <v>1</v>
      </c>
      <c r="DW246">
        <v>0.166467</v>
      </c>
      <c r="DX246">
        <v>-0.45418999999999998</v>
      </c>
      <c r="DY246">
        <v>20.3675</v>
      </c>
      <c r="DZ246">
        <v>5.2110599999999998</v>
      </c>
      <c r="EA246">
        <v>11.8482</v>
      </c>
      <c r="EB246">
        <v>4.9677600000000002</v>
      </c>
      <c r="EC246">
        <v>3.2921200000000002</v>
      </c>
      <c r="ED246">
        <v>894.7</v>
      </c>
      <c r="EE246">
        <v>0</v>
      </c>
      <c r="EF246">
        <v>9999</v>
      </c>
      <c r="EG246">
        <v>112.6</v>
      </c>
      <c r="EH246">
        <v>4.9716100000000001</v>
      </c>
      <c r="EI246">
        <v>1.87181</v>
      </c>
      <c r="EJ246">
        <v>1.869</v>
      </c>
      <c r="EK246">
        <v>1.8713900000000001</v>
      </c>
      <c r="EL246">
        <v>1.8691899999999999</v>
      </c>
      <c r="EM246">
        <v>1.8681300000000001</v>
      </c>
      <c r="EN246">
        <v>1.8699600000000001</v>
      </c>
      <c r="EO246">
        <v>1.87175</v>
      </c>
      <c r="EP246">
        <v>0</v>
      </c>
      <c r="EQ246">
        <v>0</v>
      </c>
      <c r="ER246">
        <v>0</v>
      </c>
      <c r="ES246">
        <v>0</v>
      </c>
      <c r="ET246" t="s">
        <v>334</v>
      </c>
      <c r="EU246" t="s">
        <v>335</v>
      </c>
      <c r="EV246" t="s">
        <v>336</v>
      </c>
      <c r="EW246" t="s">
        <v>336</v>
      </c>
      <c r="EX246" t="s">
        <v>336</v>
      </c>
      <c r="EY246" t="s">
        <v>336</v>
      </c>
      <c r="EZ246">
        <v>0</v>
      </c>
      <c r="FA246">
        <v>100</v>
      </c>
      <c r="FB246">
        <v>100</v>
      </c>
      <c r="FC246">
        <v>7.9009999999999998</v>
      </c>
      <c r="FD246">
        <v>-0.98929999999999996</v>
      </c>
      <c r="FE246">
        <v>7.9305899999999987</v>
      </c>
      <c r="FF246">
        <v>0</v>
      </c>
      <c r="FG246">
        <v>0</v>
      </c>
      <c r="FH246">
        <v>0</v>
      </c>
      <c r="FI246">
        <v>-0.98927100000000023</v>
      </c>
      <c r="FJ246">
        <v>0</v>
      </c>
      <c r="FK246">
        <v>0</v>
      </c>
      <c r="FL246">
        <v>0</v>
      </c>
      <c r="FM246">
        <v>-1</v>
      </c>
      <c r="FN246">
        <v>-1</v>
      </c>
      <c r="FO246">
        <v>-1</v>
      </c>
      <c r="FP246">
        <v>-1</v>
      </c>
      <c r="FQ246">
        <v>0.7</v>
      </c>
      <c r="FR246">
        <v>230.2</v>
      </c>
      <c r="FS246">
        <v>0.14160200000000001</v>
      </c>
      <c r="FT246">
        <v>4.99756</v>
      </c>
      <c r="FU246">
        <v>1.5979000000000001</v>
      </c>
      <c r="FV246">
        <v>2.1520999999999999</v>
      </c>
      <c r="FW246">
        <v>1.5478499999999999</v>
      </c>
      <c r="FX246">
        <v>2.47559</v>
      </c>
      <c r="FY246">
        <v>34.6006</v>
      </c>
      <c r="FZ246">
        <v>15.121499999999999</v>
      </c>
      <c r="GA246">
        <v>3</v>
      </c>
      <c r="GB246">
        <v>498.69799999999998</v>
      </c>
      <c r="GC246">
        <v>406.03699999999998</v>
      </c>
      <c r="GD246">
        <v>28.151700000000002</v>
      </c>
      <c r="GE246">
        <v>29.4101</v>
      </c>
      <c r="GF246">
        <v>30.0001</v>
      </c>
      <c r="GG246">
        <v>29.7012</v>
      </c>
      <c r="GH246">
        <v>29.7517</v>
      </c>
      <c r="GI246">
        <v>-1</v>
      </c>
      <c r="GJ246">
        <v>0</v>
      </c>
      <c r="GK246">
        <v>100</v>
      </c>
      <c r="GL246">
        <v>28.1509</v>
      </c>
      <c r="GM246">
        <v>432.1</v>
      </c>
      <c r="GN246">
        <v>68.912800000000004</v>
      </c>
      <c r="GO246">
        <v>102.256</v>
      </c>
      <c r="GP246">
        <v>96.576700000000002</v>
      </c>
    </row>
    <row r="247" spans="1:198" x14ac:dyDescent="0.35">
      <c r="A247">
        <v>231</v>
      </c>
      <c r="B247">
        <v>1775494840.5</v>
      </c>
      <c r="C247">
        <v>13802</v>
      </c>
      <c r="D247" t="s">
        <v>1024</v>
      </c>
      <c r="E247" t="s">
        <v>1025</v>
      </c>
      <c r="F247">
        <v>60</v>
      </c>
      <c r="G247">
        <v>1775494832.5</v>
      </c>
      <c r="H247">
        <f t="shared" si="90"/>
        <v>2.181262972537032E-3</v>
      </c>
      <c r="I247">
        <f t="shared" si="91"/>
        <v>2.1812629725370321</v>
      </c>
      <c r="J247">
        <f t="shared" si="92"/>
        <v>0.87459477999516744</v>
      </c>
      <c r="K247">
        <f t="shared" si="93"/>
        <v>33.19439677419355</v>
      </c>
      <c r="L247">
        <f t="shared" si="94"/>
        <v>7.6564723080860695</v>
      </c>
      <c r="M247">
        <f t="shared" si="95"/>
        <v>0.76782525476646457</v>
      </c>
      <c r="N247">
        <f t="shared" si="96"/>
        <v>3.3288824323241784</v>
      </c>
      <c r="O247">
        <f t="shared" si="97"/>
        <v>5.8252492112665887E-2</v>
      </c>
      <c r="P247">
        <f t="shared" si="98"/>
        <v>2.3934362746000777</v>
      </c>
      <c r="Q247">
        <f t="shared" si="99"/>
        <v>5.7476168239424759E-2</v>
      </c>
      <c r="R247">
        <f t="shared" si="100"/>
        <v>3.5991492780769123E-2</v>
      </c>
      <c r="S247">
        <f t="shared" si="101"/>
        <v>0</v>
      </c>
      <c r="T247">
        <f t="shared" si="102"/>
        <v>26.618854574133451</v>
      </c>
      <c r="U247">
        <f t="shared" si="103"/>
        <v>27.345606451612898</v>
      </c>
      <c r="V247">
        <f t="shared" si="104"/>
        <v>3.6524574941479768</v>
      </c>
      <c r="W247">
        <f t="shared" si="105"/>
        <v>-2.3531789614455749</v>
      </c>
      <c r="X247">
        <f t="shared" si="106"/>
        <v>-8.5732108263508258E-2</v>
      </c>
      <c r="Y247">
        <f t="shared" si="107"/>
        <v>3.6432464197641132</v>
      </c>
      <c r="Z247">
        <f t="shared" si="108"/>
        <v>3.7381896024114849</v>
      </c>
      <c r="AA247">
        <f t="shared" si="109"/>
        <v>-96.193697088883113</v>
      </c>
      <c r="AB247">
        <f t="shared" si="110"/>
        <v>-5.5609895186712794</v>
      </c>
      <c r="AC247">
        <f t="shared" si="111"/>
        <v>-0.50305073583541993</v>
      </c>
      <c r="AD247">
        <f t="shared" si="112"/>
        <v>-102.25773734338981</v>
      </c>
      <c r="AE247">
        <v>12</v>
      </c>
      <c r="AF247">
        <v>2</v>
      </c>
      <c r="AG247">
        <f t="shared" si="113"/>
        <v>1</v>
      </c>
      <c r="AH247">
        <f t="shared" si="114"/>
        <v>0</v>
      </c>
      <c r="AI247">
        <f t="shared" si="115"/>
        <v>25569.563268839087</v>
      </c>
      <c r="AJ247">
        <f t="shared" si="116"/>
        <v>0</v>
      </c>
      <c r="AK247">
        <f t="shared" si="117"/>
        <v>0</v>
      </c>
      <c r="AL247">
        <f t="shared" si="118"/>
        <v>0</v>
      </c>
      <c r="AM247">
        <f t="shared" si="119"/>
        <v>0</v>
      </c>
      <c r="AN247">
        <v>3</v>
      </c>
      <c r="AO247">
        <v>0.5</v>
      </c>
      <c r="AP247" t="s">
        <v>331</v>
      </c>
      <c r="AQ247">
        <v>2</v>
      </c>
      <c r="AR247">
        <v>1775494832.5</v>
      </c>
      <c r="AS247">
        <v>33.19439677419355</v>
      </c>
      <c r="AT247">
        <v>33.762600000000013</v>
      </c>
      <c r="AU247">
        <v>-0.85488919354838722</v>
      </c>
      <c r="AV247">
        <v>-2.164772580645161</v>
      </c>
      <c r="AW247">
        <v>25.278396774193549</v>
      </c>
      <c r="AX247">
        <v>0.13438180645161291</v>
      </c>
      <c r="AY247">
        <v>499.99741935483883</v>
      </c>
      <c r="AZ247">
        <v>100.24629032258061</v>
      </c>
      <c r="BA247">
        <v>3.8178016129032259E-2</v>
      </c>
      <c r="BB247">
        <v>27.302509677419351</v>
      </c>
      <c r="BC247">
        <v>27.345606451612898</v>
      </c>
      <c r="BD247">
        <v>999.90000000000032</v>
      </c>
      <c r="BE247">
        <v>0</v>
      </c>
      <c r="BF247">
        <v>0</v>
      </c>
      <c r="BG247">
        <v>5001.6129032258068</v>
      </c>
      <c r="BH247">
        <v>0.39270709677419358</v>
      </c>
      <c r="BI247">
        <v>0.23328219354838711</v>
      </c>
      <c r="BJ247">
        <v>-0.58331509677419358</v>
      </c>
      <c r="BK247">
        <v>33.150941935483857</v>
      </c>
      <c r="BL247">
        <v>33.689664516129042</v>
      </c>
      <c r="BM247">
        <v>1.3098829032258059</v>
      </c>
      <c r="BN247">
        <v>33.762600000000013</v>
      </c>
      <c r="BO247">
        <v>-2.164772580645161</v>
      </c>
      <c r="BP247">
        <v>-8.5699412903225802E-2</v>
      </c>
      <c r="BQ247">
        <v>-0.2170102903225806</v>
      </c>
      <c r="BR247">
        <v>-99.900000000000034</v>
      </c>
      <c r="BS247">
        <v>-99.900000000000034</v>
      </c>
      <c r="BT247">
        <v>0</v>
      </c>
      <c r="BU247">
        <v>0</v>
      </c>
      <c r="BV247">
        <v>0</v>
      </c>
      <c r="BW247">
        <v>25</v>
      </c>
      <c r="BX247">
        <v>-0.98924741935483884</v>
      </c>
      <c r="BY247">
        <v>1775494858</v>
      </c>
      <c r="BZ247" t="s">
        <v>1026</v>
      </c>
      <c r="CA247">
        <v>1775494858</v>
      </c>
      <c r="CB247">
        <v>1775480969.5</v>
      </c>
      <c r="CC247">
        <v>232</v>
      </c>
      <c r="CD247">
        <v>1.4999999999999999E-2</v>
      </c>
      <c r="CE247">
        <v>0.19500000000000001</v>
      </c>
      <c r="CF247">
        <v>7.9160000000000004</v>
      </c>
      <c r="CG247">
        <v>-0.98899999999999999</v>
      </c>
      <c r="CH247">
        <v>34</v>
      </c>
      <c r="CI247">
        <v>-3</v>
      </c>
      <c r="CJ247">
        <v>0.32</v>
      </c>
      <c r="CK247">
        <v>0.06</v>
      </c>
      <c r="CL247">
        <v>33.704545901639342</v>
      </c>
      <c r="CM247">
        <v>0.42673738762553992</v>
      </c>
      <c r="CN247">
        <v>7.0903149306389121E-2</v>
      </c>
      <c r="CO247">
        <v>-1</v>
      </c>
      <c r="CP247">
        <v>500.00104918032793</v>
      </c>
      <c r="CQ247">
        <v>3.6901110523185753E-2</v>
      </c>
      <c r="CR247">
        <v>4.58691747021115E-2</v>
      </c>
      <c r="CS247">
        <v>-1</v>
      </c>
      <c r="CT247">
        <v>0</v>
      </c>
      <c r="CU247">
        <v>0</v>
      </c>
      <c r="CV247" t="s">
        <v>333</v>
      </c>
      <c r="CW247">
        <v>3.1673900000000001</v>
      </c>
      <c r="CX247">
        <v>2.6595800000000001</v>
      </c>
      <c r="CY247">
        <v>7.5705700000000004E-3</v>
      </c>
      <c r="CZ247">
        <v>1.00797E-2</v>
      </c>
      <c r="DA247">
        <v>1.05708E-3</v>
      </c>
      <c r="DB247">
        <v>-2.0424999999999999E-2</v>
      </c>
      <c r="DC247">
        <v>21424.2</v>
      </c>
      <c r="DD247">
        <v>21758.799999999999</v>
      </c>
      <c r="DE247">
        <v>23114.400000000001</v>
      </c>
      <c r="DF247">
        <v>22332.3</v>
      </c>
      <c r="DG247">
        <v>29776.2</v>
      </c>
      <c r="DH247">
        <v>27177.599999999999</v>
      </c>
      <c r="DI247">
        <v>40623.5</v>
      </c>
      <c r="DJ247">
        <v>37012.9</v>
      </c>
      <c r="DK247">
        <v>2.09456</v>
      </c>
      <c r="DL247">
        <v>1.8048999999999999</v>
      </c>
      <c r="DM247">
        <v>3.1852699999999998E-2</v>
      </c>
      <c r="DN247">
        <v>0</v>
      </c>
      <c r="DO247">
        <v>26.824000000000002</v>
      </c>
      <c r="DP247">
        <v>999.9</v>
      </c>
      <c r="DQ247">
        <v>75.099999999999994</v>
      </c>
      <c r="DR247">
        <v>30.3</v>
      </c>
      <c r="DS247">
        <v>32.475000000000001</v>
      </c>
      <c r="DT247">
        <v>30.703800000000001</v>
      </c>
      <c r="DU247">
        <v>9.8517600000000005</v>
      </c>
      <c r="DV247">
        <v>1</v>
      </c>
      <c r="DW247">
        <v>0.166154</v>
      </c>
      <c r="DX247">
        <v>-0.43365399999999998</v>
      </c>
      <c r="DY247">
        <v>20.367799999999999</v>
      </c>
      <c r="DZ247">
        <v>5.2116600000000002</v>
      </c>
      <c r="EA247">
        <v>11.8482</v>
      </c>
      <c r="EB247">
        <v>4.9677600000000002</v>
      </c>
      <c r="EC247">
        <v>3.2919999999999998</v>
      </c>
      <c r="ED247">
        <v>894.7</v>
      </c>
      <c r="EE247">
        <v>0</v>
      </c>
      <c r="EF247">
        <v>9999</v>
      </c>
      <c r="EG247">
        <v>112.7</v>
      </c>
      <c r="EH247">
        <v>4.9715999999999996</v>
      </c>
      <c r="EI247">
        <v>1.8717999999999999</v>
      </c>
      <c r="EJ247">
        <v>1.86894</v>
      </c>
      <c r="EK247">
        <v>1.8713599999999999</v>
      </c>
      <c r="EL247">
        <v>1.8691599999999999</v>
      </c>
      <c r="EM247">
        <v>1.8681300000000001</v>
      </c>
      <c r="EN247">
        <v>1.86995</v>
      </c>
      <c r="EO247">
        <v>1.8717299999999999</v>
      </c>
      <c r="EP247">
        <v>0</v>
      </c>
      <c r="EQ247">
        <v>0</v>
      </c>
      <c r="ER247">
        <v>0</v>
      </c>
      <c r="ES247">
        <v>0</v>
      </c>
      <c r="ET247" t="s">
        <v>334</v>
      </c>
      <c r="EU247" t="s">
        <v>335</v>
      </c>
      <c r="EV247" t="s">
        <v>336</v>
      </c>
      <c r="EW247" t="s">
        <v>336</v>
      </c>
      <c r="EX247" t="s">
        <v>336</v>
      </c>
      <c r="EY247" t="s">
        <v>336</v>
      </c>
      <c r="EZ247">
        <v>0</v>
      </c>
      <c r="FA247">
        <v>100</v>
      </c>
      <c r="FB247">
        <v>100</v>
      </c>
      <c r="FC247">
        <v>7.9160000000000004</v>
      </c>
      <c r="FD247">
        <v>-0.98929999999999996</v>
      </c>
      <c r="FE247">
        <v>7.9008849999999988</v>
      </c>
      <c r="FF247">
        <v>0</v>
      </c>
      <c r="FG247">
        <v>0</v>
      </c>
      <c r="FH247">
        <v>0</v>
      </c>
      <c r="FI247">
        <v>-0.98927100000000023</v>
      </c>
      <c r="FJ247">
        <v>0</v>
      </c>
      <c r="FK247">
        <v>0</v>
      </c>
      <c r="FL247">
        <v>0</v>
      </c>
      <c r="FM247">
        <v>-1</v>
      </c>
      <c r="FN247">
        <v>-1</v>
      </c>
      <c r="FO247">
        <v>-1</v>
      </c>
      <c r="FP247">
        <v>-1</v>
      </c>
      <c r="FQ247">
        <v>0.8</v>
      </c>
      <c r="FR247">
        <v>231.2</v>
      </c>
      <c r="FS247">
        <v>0.14160200000000001</v>
      </c>
      <c r="FT247">
        <v>4.99756</v>
      </c>
      <c r="FU247">
        <v>1.5979000000000001</v>
      </c>
      <c r="FV247">
        <v>2.1520999999999999</v>
      </c>
      <c r="FW247">
        <v>1.5478499999999999</v>
      </c>
      <c r="FX247">
        <v>2.4304199999999998</v>
      </c>
      <c r="FY247">
        <v>34.6006</v>
      </c>
      <c r="FZ247">
        <v>15.1127</v>
      </c>
      <c r="GA247">
        <v>3</v>
      </c>
      <c r="GB247">
        <v>498.779</v>
      </c>
      <c r="GC247">
        <v>405.68200000000002</v>
      </c>
      <c r="GD247">
        <v>28.143999999999998</v>
      </c>
      <c r="GE247">
        <v>29.412600000000001</v>
      </c>
      <c r="GF247">
        <v>30.0001</v>
      </c>
      <c r="GG247">
        <v>29.7012</v>
      </c>
      <c r="GH247">
        <v>29.7517</v>
      </c>
      <c r="GI247">
        <v>-1</v>
      </c>
      <c r="GJ247">
        <v>0</v>
      </c>
      <c r="GK247">
        <v>100</v>
      </c>
      <c r="GL247">
        <v>28.142199999999999</v>
      </c>
      <c r="GM247">
        <v>432.1</v>
      </c>
      <c r="GN247">
        <v>68.912800000000004</v>
      </c>
      <c r="GO247">
        <v>102.255</v>
      </c>
      <c r="GP247">
        <v>96.5779</v>
      </c>
    </row>
    <row r="248" spans="1:198" x14ac:dyDescent="0.35">
      <c r="A248">
        <v>232</v>
      </c>
      <c r="B248">
        <v>1775494900.5</v>
      </c>
      <c r="C248">
        <v>13862</v>
      </c>
      <c r="D248" t="s">
        <v>1027</v>
      </c>
      <c r="E248" t="s">
        <v>1028</v>
      </c>
      <c r="F248">
        <v>60</v>
      </c>
      <c r="G248">
        <v>1775494892.75</v>
      </c>
      <c r="H248">
        <f t="shared" si="90"/>
        <v>2.1676093329173795E-3</v>
      </c>
      <c r="I248">
        <f t="shared" si="91"/>
        <v>2.1676093329173796</v>
      </c>
      <c r="J248">
        <f t="shared" si="92"/>
        <v>0.53059068149370892</v>
      </c>
      <c r="K248">
        <f t="shared" si="93"/>
        <v>33.395733333333339</v>
      </c>
      <c r="L248">
        <f t="shared" si="94"/>
        <v>17.029752792254492</v>
      </c>
      <c r="M248">
        <f t="shared" si="95"/>
        <v>1.7077904472769805</v>
      </c>
      <c r="N248">
        <f t="shared" si="96"/>
        <v>3.3490159876199694</v>
      </c>
      <c r="O248">
        <f t="shared" si="97"/>
        <v>5.7873378887995194E-2</v>
      </c>
      <c r="P248">
        <f t="shared" si="98"/>
        <v>2.3919894349801232</v>
      </c>
      <c r="Q248">
        <f t="shared" si="99"/>
        <v>5.7106598342128223E-2</v>
      </c>
      <c r="R248">
        <f t="shared" si="100"/>
        <v>3.5759669712187588E-2</v>
      </c>
      <c r="S248">
        <f t="shared" si="101"/>
        <v>0</v>
      </c>
      <c r="T248">
        <f t="shared" si="102"/>
        <v>26.619412194703351</v>
      </c>
      <c r="U248">
        <f t="shared" si="103"/>
        <v>27.345146666666668</v>
      </c>
      <c r="V248">
        <f t="shared" si="104"/>
        <v>3.6523591171415215</v>
      </c>
      <c r="W248">
        <f t="shared" si="105"/>
        <v>-2.3725674902915537</v>
      </c>
      <c r="X248">
        <f t="shared" si="106"/>
        <v>-8.6421548231469261E-2</v>
      </c>
      <c r="Y248">
        <f t="shared" si="107"/>
        <v>3.6425327660900102</v>
      </c>
      <c r="Z248">
        <f t="shared" si="108"/>
        <v>3.7387806653729907</v>
      </c>
      <c r="AA248">
        <f t="shared" si="109"/>
        <v>-95.591571581656439</v>
      </c>
      <c r="AB248">
        <f t="shared" si="110"/>
        <v>-5.9294398445703864</v>
      </c>
      <c r="AC248">
        <f t="shared" si="111"/>
        <v>-0.53669523907099337</v>
      </c>
      <c r="AD248">
        <f t="shared" si="112"/>
        <v>-102.05770666529781</v>
      </c>
      <c r="AE248">
        <v>12</v>
      </c>
      <c r="AF248">
        <v>2</v>
      </c>
      <c r="AG248">
        <f t="shared" si="113"/>
        <v>1</v>
      </c>
      <c r="AH248">
        <f t="shared" si="114"/>
        <v>0</v>
      </c>
      <c r="AI248">
        <f t="shared" si="115"/>
        <v>25547.909589142349</v>
      </c>
      <c r="AJ248">
        <f t="shared" si="116"/>
        <v>0</v>
      </c>
      <c r="AK248">
        <f t="shared" si="117"/>
        <v>0</v>
      </c>
      <c r="AL248">
        <f t="shared" si="118"/>
        <v>0</v>
      </c>
      <c r="AM248">
        <f t="shared" si="119"/>
        <v>0</v>
      </c>
      <c r="AN248">
        <v>3</v>
      </c>
      <c r="AO248">
        <v>0.5</v>
      </c>
      <c r="AP248" t="s">
        <v>331</v>
      </c>
      <c r="AQ248">
        <v>2</v>
      </c>
      <c r="AR248">
        <v>1775494892.75</v>
      </c>
      <c r="AS248">
        <v>33.395733333333339</v>
      </c>
      <c r="AT248">
        <v>33.757503333333332</v>
      </c>
      <c r="AU248">
        <v>-0.86177880000000018</v>
      </c>
      <c r="AV248">
        <v>-2.1634013333333328</v>
      </c>
      <c r="AW248">
        <v>25.461733333333338</v>
      </c>
      <c r="AX248">
        <v>0.12749213333333331</v>
      </c>
      <c r="AY248">
        <v>500.02453333333341</v>
      </c>
      <c r="AZ248">
        <v>100.24476666666671</v>
      </c>
      <c r="BA248">
        <v>3.7983653333333332E-2</v>
      </c>
      <c r="BB248">
        <v>27.299166666666661</v>
      </c>
      <c r="BC248">
        <v>27.345146666666668</v>
      </c>
      <c r="BD248">
        <v>999.9000000000002</v>
      </c>
      <c r="BE248">
        <v>0</v>
      </c>
      <c r="BF248">
        <v>0</v>
      </c>
      <c r="BG248">
        <v>4997.9666666666662</v>
      </c>
      <c r="BH248">
        <v>0.38863643333333342</v>
      </c>
      <c r="BI248">
        <v>0.23344266666666669</v>
      </c>
      <c r="BJ248">
        <v>-0.37988899999999998</v>
      </c>
      <c r="BK248">
        <v>33.348873333333337</v>
      </c>
      <c r="BL248">
        <v>33.684623333333327</v>
      </c>
      <c r="BM248">
        <v>1.3016220000000009</v>
      </c>
      <c r="BN248">
        <v>33.757503333333332</v>
      </c>
      <c r="BO248">
        <v>-2.1634013333333328</v>
      </c>
      <c r="BP248">
        <v>-8.6388856666666666E-2</v>
      </c>
      <c r="BQ248">
        <v>-0.21686966666666671</v>
      </c>
      <c r="BR248">
        <v>-99.900000000000034</v>
      </c>
      <c r="BS248">
        <v>-99.900000000000034</v>
      </c>
      <c r="BT248">
        <v>0</v>
      </c>
      <c r="BU248">
        <v>0</v>
      </c>
      <c r="BV248">
        <v>0</v>
      </c>
      <c r="BW248">
        <v>25</v>
      </c>
      <c r="BX248">
        <v>-1</v>
      </c>
      <c r="BY248">
        <v>1775494916.5</v>
      </c>
      <c r="BZ248" t="s">
        <v>1029</v>
      </c>
      <c r="CA248">
        <v>1775494916.5</v>
      </c>
      <c r="CB248">
        <v>1775480969.5</v>
      </c>
      <c r="CC248">
        <v>233</v>
      </c>
      <c r="CD248">
        <v>1.7999999999999999E-2</v>
      </c>
      <c r="CE248">
        <v>0.19500000000000001</v>
      </c>
      <c r="CF248">
        <v>7.9340000000000002</v>
      </c>
      <c r="CG248">
        <v>-0.98899999999999999</v>
      </c>
      <c r="CH248">
        <v>34</v>
      </c>
      <c r="CI248">
        <v>-3</v>
      </c>
      <c r="CJ248">
        <v>0.2</v>
      </c>
      <c r="CK248">
        <v>0.06</v>
      </c>
      <c r="CL248">
        <v>33.874663934426231</v>
      </c>
      <c r="CM248">
        <v>-0.77815589635108817</v>
      </c>
      <c r="CN248">
        <v>0.1179707660825088</v>
      </c>
      <c r="CO248">
        <v>-1</v>
      </c>
      <c r="CP248">
        <v>500.00636065573769</v>
      </c>
      <c r="CQ248">
        <v>0.1120803807514604</v>
      </c>
      <c r="CR248">
        <v>5.3886046366497749E-2</v>
      </c>
      <c r="CS248">
        <v>-1</v>
      </c>
      <c r="CT248">
        <v>0</v>
      </c>
      <c r="CU248">
        <v>0</v>
      </c>
      <c r="CV248" t="s">
        <v>333</v>
      </c>
      <c r="CW248">
        <v>3.1674799999999999</v>
      </c>
      <c r="CX248">
        <v>2.6591200000000002</v>
      </c>
      <c r="CY248">
        <v>7.5667699999999996E-3</v>
      </c>
      <c r="CZ248">
        <v>1.0015400000000001E-2</v>
      </c>
      <c r="DA248">
        <v>1.0556000000000001E-3</v>
      </c>
      <c r="DB248">
        <v>-2.03828E-2</v>
      </c>
      <c r="DC248">
        <v>21424.3</v>
      </c>
      <c r="DD248">
        <v>21760.400000000001</v>
      </c>
      <c r="DE248">
        <v>23114.400000000001</v>
      </c>
      <c r="DF248">
        <v>22332.6</v>
      </c>
      <c r="DG248">
        <v>29776.2</v>
      </c>
      <c r="DH248">
        <v>27176.6</v>
      </c>
      <c r="DI248">
        <v>40623.4</v>
      </c>
      <c r="DJ248">
        <v>37013</v>
      </c>
      <c r="DK248">
        <v>2.0948199999999999</v>
      </c>
      <c r="DL248">
        <v>1.8056000000000001</v>
      </c>
      <c r="DM248">
        <v>3.2168599999999999E-2</v>
      </c>
      <c r="DN248">
        <v>0</v>
      </c>
      <c r="DO248">
        <v>26.820399999999999</v>
      </c>
      <c r="DP248">
        <v>999.9</v>
      </c>
      <c r="DQ248">
        <v>75.099999999999994</v>
      </c>
      <c r="DR248">
        <v>30.3</v>
      </c>
      <c r="DS248">
        <v>32.4709</v>
      </c>
      <c r="DT248">
        <v>30.7638</v>
      </c>
      <c r="DU248">
        <v>9.7956699999999994</v>
      </c>
      <c r="DV248">
        <v>1</v>
      </c>
      <c r="DW248">
        <v>0.16589999999999999</v>
      </c>
      <c r="DX248">
        <v>-0.46177800000000002</v>
      </c>
      <c r="DY248">
        <v>20.367799999999999</v>
      </c>
      <c r="DZ248">
        <v>5.2140599999999999</v>
      </c>
      <c r="EA248">
        <v>11.8482</v>
      </c>
      <c r="EB248">
        <v>4.9681600000000001</v>
      </c>
      <c r="EC248">
        <v>3.2920400000000001</v>
      </c>
      <c r="ED248">
        <v>894.7</v>
      </c>
      <c r="EE248">
        <v>0</v>
      </c>
      <c r="EF248">
        <v>9999</v>
      </c>
      <c r="EG248">
        <v>112.7</v>
      </c>
      <c r="EH248">
        <v>4.9715999999999996</v>
      </c>
      <c r="EI248">
        <v>1.8717999999999999</v>
      </c>
      <c r="EJ248">
        <v>1.869</v>
      </c>
      <c r="EK248">
        <v>1.87138</v>
      </c>
      <c r="EL248">
        <v>1.8691800000000001</v>
      </c>
      <c r="EM248">
        <v>1.8681300000000001</v>
      </c>
      <c r="EN248">
        <v>1.8699600000000001</v>
      </c>
      <c r="EO248">
        <v>1.8717299999999999</v>
      </c>
      <c r="EP248">
        <v>0</v>
      </c>
      <c r="EQ248">
        <v>0</v>
      </c>
      <c r="ER248">
        <v>0</v>
      </c>
      <c r="ES248">
        <v>0</v>
      </c>
      <c r="ET248" t="s">
        <v>334</v>
      </c>
      <c r="EU248" t="s">
        <v>335</v>
      </c>
      <c r="EV248" t="s">
        <v>336</v>
      </c>
      <c r="EW248" t="s">
        <v>336</v>
      </c>
      <c r="EX248" t="s">
        <v>336</v>
      </c>
      <c r="EY248" t="s">
        <v>336</v>
      </c>
      <c r="EZ248">
        <v>0</v>
      </c>
      <c r="FA248">
        <v>100</v>
      </c>
      <c r="FB248">
        <v>100</v>
      </c>
      <c r="FC248">
        <v>7.9340000000000002</v>
      </c>
      <c r="FD248">
        <v>-0.98929999999999996</v>
      </c>
      <c r="FE248">
        <v>7.9158714285714353</v>
      </c>
      <c r="FF248">
        <v>0</v>
      </c>
      <c r="FG248">
        <v>0</v>
      </c>
      <c r="FH248">
        <v>0</v>
      </c>
      <c r="FI248">
        <v>-0.98927100000000023</v>
      </c>
      <c r="FJ248">
        <v>0</v>
      </c>
      <c r="FK248">
        <v>0</v>
      </c>
      <c r="FL248">
        <v>0</v>
      </c>
      <c r="FM248">
        <v>-1</v>
      </c>
      <c r="FN248">
        <v>-1</v>
      </c>
      <c r="FO248">
        <v>-1</v>
      </c>
      <c r="FP248">
        <v>-1</v>
      </c>
      <c r="FQ248">
        <v>0.7</v>
      </c>
      <c r="FR248">
        <v>232.2</v>
      </c>
      <c r="FS248">
        <v>0.14160200000000001</v>
      </c>
      <c r="FT248">
        <v>4.99756</v>
      </c>
      <c r="FU248">
        <v>1.5979000000000001</v>
      </c>
      <c r="FV248">
        <v>2.1520999999999999</v>
      </c>
      <c r="FW248">
        <v>1.5478499999999999</v>
      </c>
      <c r="FX248">
        <v>2.4328599999999998</v>
      </c>
      <c r="FY248">
        <v>34.6006</v>
      </c>
      <c r="FZ248">
        <v>15.103899999999999</v>
      </c>
      <c r="GA248">
        <v>3</v>
      </c>
      <c r="GB248">
        <v>498.93</v>
      </c>
      <c r="GC248">
        <v>406.08300000000003</v>
      </c>
      <c r="GD248">
        <v>28.152899999999999</v>
      </c>
      <c r="GE248">
        <v>29.412600000000001</v>
      </c>
      <c r="GF248">
        <v>30.0001</v>
      </c>
      <c r="GG248">
        <v>29.7012</v>
      </c>
      <c r="GH248">
        <v>29.7517</v>
      </c>
      <c r="GI248">
        <v>-1</v>
      </c>
      <c r="GJ248">
        <v>0</v>
      </c>
      <c r="GK248">
        <v>100</v>
      </c>
      <c r="GL248">
        <v>28.153099999999998</v>
      </c>
      <c r="GM248">
        <v>432.1</v>
      </c>
      <c r="GN248">
        <v>68.912800000000004</v>
      </c>
      <c r="GO248">
        <v>102.255</v>
      </c>
      <c r="GP248">
        <v>96.578599999999994</v>
      </c>
    </row>
    <row r="249" spans="1:198" x14ac:dyDescent="0.35">
      <c r="A249">
        <v>233</v>
      </c>
      <c r="B249">
        <v>1775494960.5</v>
      </c>
      <c r="C249">
        <v>13922</v>
      </c>
      <c r="D249" t="s">
        <v>1030</v>
      </c>
      <c r="E249" t="s">
        <v>1031</v>
      </c>
      <c r="F249">
        <v>60</v>
      </c>
      <c r="G249">
        <v>1775494952.5</v>
      </c>
      <c r="H249">
        <f t="shared" si="90"/>
        <v>2.1624239981905546E-3</v>
      </c>
      <c r="I249">
        <f t="shared" si="91"/>
        <v>2.1624239981905546</v>
      </c>
      <c r="J249">
        <f t="shared" si="92"/>
        <v>0.73005147463412845</v>
      </c>
      <c r="K249">
        <f t="shared" si="93"/>
        <v>33.283703225806462</v>
      </c>
      <c r="L249">
        <f t="shared" si="94"/>
        <v>11.451679712481765</v>
      </c>
      <c r="M249">
        <f t="shared" si="95"/>
        <v>1.1484075918901031</v>
      </c>
      <c r="N249">
        <f t="shared" si="96"/>
        <v>3.3377861091479706</v>
      </c>
      <c r="O249">
        <f t="shared" si="97"/>
        <v>5.770204436205173E-2</v>
      </c>
      <c r="P249">
        <f t="shared" si="98"/>
        <v>2.3917366762810826</v>
      </c>
      <c r="Q249">
        <f t="shared" si="99"/>
        <v>5.6939685557197584E-2</v>
      </c>
      <c r="R249">
        <f t="shared" si="100"/>
        <v>3.5654959192217631E-2</v>
      </c>
      <c r="S249">
        <f t="shared" si="101"/>
        <v>0</v>
      </c>
      <c r="T249">
        <f t="shared" si="102"/>
        <v>26.62110598823875</v>
      </c>
      <c r="U249">
        <f t="shared" si="103"/>
        <v>27.3497870967742</v>
      </c>
      <c r="V249">
        <f t="shared" si="104"/>
        <v>3.6533521040111188</v>
      </c>
      <c r="W249">
        <f t="shared" si="105"/>
        <v>-2.4000689640524877</v>
      </c>
      <c r="X249">
        <f t="shared" si="106"/>
        <v>-8.7423981512190121E-2</v>
      </c>
      <c r="Y249">
        <f t="shared" si="107"/>
        <v>3.6425612272647272</v>
      </c>
      <c r="Z249">
        <f t="shared" si="108"/>
        <v>3.7407760855233088</v>
      </c>
      <c r="AA249">
        <f t="shared" si="109"/>
        <v>-95.362898320203456</v>
      </c>
      <c r="AB249">
        <f t="shared" si="110"/>
        <v>-6.509973253814767</v>
      </c>
      <c r="AC249">
        <f t="shared" si="111"/>
        <v>-0.58931775926764784</v>
      </c>
      <c r="AD249">
        <f t="shared" si="112"/>
        <v>-102.46218933328586</v>
      </c>
      <c r="AE249">
        <v>12</v>
      </c>
      <c r="AF249">
        <v>2</v>
      </c>
      <c r="AG249">
        <f t="shared" si="113"/>
        <v>1</v>
      </c>
      <c r="AH249">
        <f t="shared" si="114"/>
        <v>0</v>
      </c>
      <c r="AI249">
        <f t="shared" si="115"/>
        <v>25544.047271491985</v>
      </c>
      <c r="AJ249">
        <f t="shared" si="116"/>
        <v>0</v>
      </c>
      <c r="AK249">
        <f t="shared" si="117"/>
        <v>0</v>
      </c>
      <c r="AL249">
        <f t="shared" si="118"/>
        <v>0</v>
      </c>
      <c r="AM249">
        <f t="shared" si="119"/>
        <v>0</v>
      </c>
      <c r="AN249">
        <v>3</v>
      </c>
      <c r="AO249">
        <v>0.5</v>
      </c>
      <c r="AP249" t="s">
        <v>331</v>
      </c>
      <c r="AQ249">
        <v>2</v>
      </c>
      <c r="AR249">
        <v>1775494952.5</v>
      </c>
      <c r="AS249">
        <v>33.283703225806462</v>
      </c>
      <c r="AT249">
        <v>33.764893548387093</v>
      </c>
      <c r="AU249">
        <v>-0.87177361290322586</v>
      </c>
      <c r="AV249">
        <v>-2.1702925806451621</v>
      </c>
      <c r="AW249">
        <v>25.374703225806449</v>
      </c>
      <c r="AX249">
        <v>0.1174973548387097</v>
      </c>
      <c r="AY249">
        <v>500.02561290322581</v>
      </c>
      <c r="AZ249">
        <v>100.2449677419355</v>
      </c>
      <c r="BA249">
        <v>3.7927058064516121E-2</v>
      </c>
      <c r="BB249">
        <v>27.299299999999999</v>
      </c>
      <c r="BC249">
        <v>27.3497870967742</v>
      </c>
      <c r="BD249">
        <v>999.90000000000032</v>
      </c>
      <c r="BE249">
        <v>0</v>
      </c>
      <c r="BF249">
        <v>0</v>
      </c>
      <c r="BG249">
        <v>4997.3064516129034</v>
      </c>
      <c r="BH249">
        <v>0.39242945161290332</v>
      </c>
      <c r="BI249">
        <v>0.22961599999999999</v>
      </c>
      <c r="BJ249">
        <v>-0.45619429032258058</v>
      </c>
      <c r="BK249">
        <v>33.279687096774197</v>
      </c>
      <c r="BL249">
        <v>33.691774193548383</v>
      </c>
      <c r="BM249">
        <v>1.2985180645161289</v>
      </c>
      <c r="BN249">
        <v>33.764893548387093</v>
      </c>
      <c r="BO249">
        <v>-2.1702925806451621</v>
      </c>
      <c r="BP249">
        <v>-8.7390954838709664E-2</v>
      </c>
      <c r="BQ249">
        <v>-0.21756093548387101</v>
      </c>
      <c r="BR249">
        <v>-99.900000000000034</v>
      </c>
      <c r="BS249">
        <v>-99.900000000000034</v>
      </c>
      <c r="BT249">
        <v>0</v>
      </c>
      <c r="BU249">
        <v>0</v>
      </c>
      <c r="BV249">
        <v>0</v>
      </c>
      <c r="BW249">
        <v>25</v>
      </c>
      <c r="BX249">
        <v>-1</v>
      </c>
      <c r="BY249">
        <v>1775494980.5</v>
      </c>
      <c r="BZ249" t="s">
        <v>1032</v>
      </c>
      <c r="CA249">
        <v>1775494980.5</v>
      </c>
      <c r="CB249">
        <v>1775480969.5</v>
      </c>
      <c r="CC249">
        <v>234</v>
      </c>
      <c r="CD249">
        <v>-2.5000000000000001E-2</v>
      </c>
      <c r="CE249">
        <v>0.19500000000000001</v>
      </c>
      <c r="CF249">
        <v>7.9089999999999998</v>
      </c>
      <c r="CG249">
        <v>-0.98899999999999999</v>
      </c>
      <c r="CH249">
        <v>34</v>
      </c>
      <c r="CI249">
        <v>-3</v>
      </c>
      <c r="CJ249">
        <v>0.22</v>
      </c>
      <c r="CK249">
        <v>0.06</v>
      </c>
      <c r="CL249">
        <v>33.806918032786882</v>
      </c>
      <c r="CM249">
        <v>-6.6375674246429928E-2</v>
      </c>
      <c r="CN249">
        <v>9.0254949472739904E-2</v>
      </c>
      <c r="CO249">
        <v>-1</v>
      </c>
      <c r="CP249">
        <v>500.00013114754103</v>
      </c>
      <c r="CQ249">
        <v>0.15188154415724561</v>
      </c>
      <c r="CR249">
        <v>5.3673412965254033E-2</v>
      </c>
      <c r="CS249">
        <v>-1</v>
      </c>
      <c r="CT249">
        <v>0</v>
      </c>
      <c r="CU249">
        <v>0</v>
      </c>
      <c r="CV249" t="s">
        <v>333</v>
      </c>
      <c r="CW249">
        <v>3.1674099999999998</v>
      </c>
      <c r="CX249">
        <v>2.6592199999999999</v>
      </c>
      <c r="CY249">
        <v>7.5748400000000002E-3</v>
      </c>
      <c r="CZ249">
        <v>1.0101300000000001E-2</v>
      </c>
      <c r="DA249">
        <v>9.1234200000000001E-4</v>
      </c>
      <c r="DB249">
        <v>-2.0483600000000001E-2</v>
      </c>
      <c r="DC249">
        <v>21424.1</v>
      </c>
      <c r="DD249">
        <v>21758.5</v>
      </c>
      <c r="DE249">
        <v>23114.3</v>
      </c>
      <c r="DF249">
        <v>22332.5</v>
      </c>
      <c r="DG249">
        <v>29780.5</v>
      </c>
      <c r="DH249">
        <v>27179.1</v>
      </c>
      <c r="DI249">
        <v>40623.4</v>
      </c>
      <c r="DJ249">
        <v>37012.9</v>
      </c>
      <c r="DK249">
        <v>2.0943999999999998</v>
      </c>
      <c r="DL249">
        <v>1.8064199999999999</v>
      </c>
      <c r="DM249">
        <v>3.2520300000000002E-2</v>
      </c>
      <c r="DN249">
        <v>0</v>
      </c>
      <c r="DO249">
        <v>26.8172</v>
      </c>
      <c r="DP249">
        <v>999.9</v>
      </c>
      <c r="DQ249">
        <v>75.099999999999994</v>
      </c>
      <c r="DR249">
        <v>30.3</v>
      </c>
      <c r="DS249">
        <v>32.472499999999997</v>
      </c>
      <c r="DT249">
        <v>30.643799999999999</v>
      </c>
      <c r="DU249">
        <v>9.6153899999999997</v>
      </c>
      <c r="DV249">
        <v>1</v>
      </c>
      <c r="DW249">
        <v>0.166073</v>
      </c>
      <c r="DX249">
        <v>-0.47065800000000002</v>
      </c>
      <c r="DY249">
        <v>20.367599999999999</v>
      </c>
      <c r="DZ249">
        <v>5.2145299999999999</v>
      </c>
      <c r="EA249">
        <v>11.8482</v>
      </c>
      <c r="EB249">
        <v>4.968</v>
      </c>
      <c r="EC249">
        <v>3.2920400000000001</v>
      </c>
      <c r="ED249">
        <v>894.7</v>
      </c>
      <c r="EE249">
        <v>0</v>
      </c>
      <c r="EF249">
        <v>9999</v>
      </c>
      <c r="EG249">
        <v>112.7</v>
      </c>
      <c r="EH249">
        <v>4.9716100000000001</v>
      </c>
      <c r="EI249">
        <v>1.8717999999999999</v>
      </c>
      <c r="EJ249">
        <v>1.869</v>
      </c>
      <c r="EK249">
        <v>1.8713900000000001</v>
      </c>
      <c r="EL249">
        <v>1.8691800000000001</v>
      </c>
      <c r="EM249">
        <v>1.8681300000000001</v>
      </c>
      <c r="EN249">
        <v>1.8699399999999999</v>
      </c>
      <c r="EO249">
        <v>1.8717299999999999</v>
      </c>
      <c r="EP249">
        <v>0</v>
      </c>
      <c r="EQ249">
        <v>0</v>
      </c>
      <c r="ER249">
        <v>0</v>
      </c>
      <c r="ES249">
        <v>0</v>
      </c>
      <c r="ET249" t="s">
        <v>334</v>
      </c>
      <c r="EU249" t="s">
        <v>335</v>
      </c>
      <c r="EV249" t="s">
        <v>336</v>
      </c>
      <c r="EW249" t="s">
        <v>336</v>
      </c>
      <c r="EX249" t="s">
        <v>336</v>
      </c>
      <c r="EY249" t="s">
        <v>336</v>
      </c>
      <c r="EZ249">
        <v>0</v>
      </c>
      <c r="FA249">
        <v>100</v>
      </c>
      <c r="FB249">
        <v>100</v>
      </c>
      <c r="FC249">
        <v>7.9089999999999998</v>
      </c>
      <c r="FD249">
        <v>-0.98929999999999996</v>
      </c>
      <c r="FE249">
        <v>7.9340150000000023</v>
      </c>
      <c r="FF249">
        <v>0</v>
      </c>
      <c r="FG249">
        <v>0</v>
      </c>
      <c r="FH249">
        <v>0</v>
      </c>
      <c r="FI249">
        <v>-0.98927100000000023</v>
      </c>
      <c r="FJ249">
        <v>0</v>
      </c>
      <c r="FK249">
        <v>0</v>
      </c>
      <c r="FL249">
        <v>0</v>
      </c>
      <c r="FM249">
        <v>-1</v>
      </c>
      <c r="FN249">
        <v>-1</v>
      </c>
      <c r="FO249">
        <v>-1</v>
      </c>
      <c r="FP249">
        <v>-1</v>
      </c>
      <c r="FQ249">
        <v>0.7</v>
      </c>
      <c r="FR249">
        <v>233.2</v>
      </c>
      <c r="FS249">
        <v>0.14160200000000001</v>
      </c>
      <c r="FT249">
        <v>4.99756</v>
      </c>
      <c r="FU249">
        <v>1.5979000000000001</v>
      </c>
      <c r="FV249">
        <v>2.1520999999999999</v>
      </c>
      <c r="FW249">
        <v>1.5478499999999999</v>
      </c>
      <c r="FX249">
        <v>2.4597199999999999</v>
      </c>
      <c r="FY249">
        <v>34.6235</v>
      </c>
      <c r="FZ249">
        <v>15.103899999999999</v>
      </c>
      <c r="GA249">
        <v>3</v>
      </c>
      <c r="GB249">
        <v>498.70600000000002</v>
      </c>
      <c r="GC249">
        <v>406.56900000000002</v>
      </c>
      <c r="GD249">
        <v>28.144100000000002</v>
      </c>
      <c r="GE249">
        <v>29.412600000000001</v>
      </c>
      <c r="GF249">
        <v>30.0001</v>
      </c>
      <c r="GG249">
        <v>29.703800000000001</v>
      </c>
      <c r="GH249">
        <v>29.754200000000001</v>
      </c>
      <c r="GI249">
        <v>-1</v>
      </c>
      <c r="GJ249">
        <v>0</v>
      </c>
      <c r="GK249">
        <v>100</v>
      </c>
      <c r="GL249">
        <v>28.1465</v>
      </c>
      <c r="GM249">
        <v>432.1</v>
      </c>
      <c r="GN249">
        <v>68.912800000000004</v>
      </c>
      <c r="GO249">
        <v>102.255</v>
      </c>
      <c r="GP249">
        <v>96.578299999999999</v>
      </c>
    </row>
    <row r="250" spans="1:198" x14ac:dyDescent="0.35">
      <c r="A250">
        <v>234</v>
      </c>
      <c r="B250">
        <v>1775495020.5</v>
      </c>
      <c r="C250">
        <v>13982</v>
      </c>
      <c r="D250" t="s">
        <v>1033</v>
      </c>
      <c r="E250" t="s">
        <v>1034</v>
      </c>
      <c r="F250">
        <v>60</v>
      </c>
      <c r="G250">
        <v>1775495012.5</v>
      </c>
      <c r="H250">
        <f t="shared" si="90"/>
        <v>2.108116431280472E-3</v>
      </c>
      <c r="I250">
        <f t="shared" si="91"/>
        <v>2.1081164312804721</v>
      </c>
      <c r="J250">
        <f t="shared" si="92"/>
        <v>0.82582907437414965</v>
      </c>
      <c r="K250">
        <f t="shared" si="93"/>
        <v>34.31314193548387</v>
      </c>
      <c r="L250">
        <f t="shared" si="94"/>
        <v>9.2270936730633775</v>
      </c>
      <c r="M250">
        <f t="shared" si="95"/>
        <v>0.92531175341074112</v>
      </c>
      <c r="N250">
        <f t="shared" si="96"/>
        <v>3.440991785099452</v>
      </c>
      <c r="O250">
        <f t="shared" si="97"/>
        <v>5.6219884276560557E-2</v>
      </c>
      <c r="P250">
        <f t="shared" si="98"/>
        <v>2.3923373737764075</v>
      </c>
      <c r="Q250">
        <f t="shared" si="99"/>
        <v>5.5496101320534917E-2</v>
      </c>
      <c r="R250">
        <f t="shared" si="100"/>
        <v>3.4749315966760404E-2</v>
      </c>
      <c r="S250">
        <f t="shared" si="101"/>
        <v>0</v>
      </c>
      <c r="T250">
        <f t="shared" si="102"/>
        <v>26.634072093046445</v>
      </c>
      <c r="U250">
        <f t="shared" si="103"/>
        <v>27.339861290322581</v>
      </c>
      <c r="V250">
        <f t="shared" si="104"/>
        <v>3.6512284077789019</v>
      </c>
      <c r="W250">
        <f t="shared" si="105"/>
        <v>-2.4859652977721205</v>
      </c>
      <c r="X250">
        <f t="shared" si="106"/>
        <v>-9.0530437456627116E-2</v>
      </c>
      <c r="Y250">
        <f t="shared" si="107"/>
        <v>3.6416613513374037</v>
      </c>
      <c r="Z250">
        <f t="shared" si="108"/>
        <v>3.741758845235529</v>
      </c>
      <c r="AA250">
        <f t="shared" si="109"/>
        <v>-92.967934619468821</v>
      </c>
      <c r="AB250">
        <f t="shared" si="110"/>
        <v>-5.7751986694310746</v>
      </c>
      <c r="AC250">
        <f t="shared" si="111"/>
        <v>-0.5226338262709227</v>
      </c>
      <c r="AD250">
        <f t="shared" si="112"/>
        <v>-99.265767115170817</v>
      </c>
      <c r="AE250">
        <v>13</v>
      </c>
      <c r="AF250">
        <v>3</v>
      </c>
      <c r="AG250">
        <f t="shared" si="113"/>
        <v>1</v>
      </c>
      <c r="AH250">
        <f t="shared" si="114"/>
        <v>0</v>
      </c>
      <c r="AI250">
        <f t="shared" si="115"/>
        <v>25553.567445616591</v>
      </c>
      <c r="AJ250">
        <f t="shared" si="116"/>
        <v>0</v>
      </c>
      <c r="AK250">
        <f t="shared" si="117"/>
        <v>0</v>
      </c>
      <c r="AL250">
        <f t="shared" si="118"/>
        <v>0</v>
      </c>
      <c r="AM250">
        <f t="shared" si="119"/>
        <v>0</v>
      </c>
      <c r="AN250">
        <v>3</v>
      </c>
      <c r="AO250">
        <v>0.5</v>
      </c>
      <c r="AP250" t="s">
        <v>331</v>
      </c>
      <c r="AQ250">
        <v>2</v>
      </c>
      <c r="AR250">
        <v>1775495012.5</v>
      </c>
      <c r="AS250">
        <v>34.31314193548387</v>
      </c>
      <c r="AT250">
        <v>34.852038709677423</v>
      </c>
      <c r="AU250">
        <v>-0.90275825806451615</v>
      </c>
      <c r="AV250">
        <v>-2.1687645161290319</v>
      </c>
      <c r="AW250">
        <v>26.397141935483869</v>
      </c>
      <c r="AX250">
        <v>8.6512761290322593E-2</v>
      </c>
      <c r="AY250">
        <v>500.00216129032248</v>
      </c>
      <c r="AZ250">
        <v>100.2442580645161</v>
      </c>
      <c r="BA250">
        <v>3.7779399999999998E-2</v>
      </c>
      <c r="BB250">
        <v>27.295083870967741</v>
      </c>
      <c r="BC250">
        <v>27.339861290322581</v>
      </c>
      <c r="BD250">
        <v>999.90000000000032</v>
      </c>
      <c r="BE250">
        <v>0</v>
      </c>
      <c r="BF250">
        <v>0</v>
      </c>
      <c r="BG250">
        <v>4998.8870967741932</v>
      </c>
      <c r="BH250">
        <v>0.35516093548387112</v>
      </c>
      <c r="BI250">
        <v>0.22961599999999999</v>
      </c>
      <c r="BJ250">
        <v>-0.54553138709677418</v>
      </c>
      <c r="BK250">
        <v>34.275561290322592</v>
      </c>
      <c r="BL250">
        <v>34.77662258064516</v>
      </c>
      <c r="BM250">
        <v>1.2660070967741941</v>
      </c>
      <c r="BN250">
        <v>34.852038709677423</v>
      </c>
      <c r="BO250">
        <v>-2.1687645161290319</v>
      </c>
      <c r="BP250">
        <v>-9.0496341935483851E-2</v>
      </c>
      <c r="BQ250">
        <v>-0.2174062903225806</v>
      </c>
      <c r="BR250">
        <v>-99.900000000000034</v>
      </c>
      <c r="BS250">
        <v>-99.900000000000034</v>
      </c>
      <c r="BT250">
        <v>0</v>
      </c>
      <c r="BU250">
        <v>0</v>
      </c>
      <c r="BV250">
        <v>0</v>
      </c>
      <c r="BW250">
        <v>25</v>
      </c>
      <c r="BX250">
        <v>-1</v>
      </c>
      <c r="BY250">
        <v>1775495036.5</v>
      </c>
      <c r="BZ250" t="s">
        <v>1035</v>
      </c>
      <c r="CA250">
        <v>1775495036.5</v>
      </c>
      <c r="CB250">
        <v>1775480969.5</v>
      </c>
      <c r="CC250">
        <v>235</v>
      </c>
      <c r="CD250">
        <v>7.0000000000000001E-3</v>
      </c>
      <c r="CE250">
        <v>0.19500000000000001</v>
      </c>
      <c r="CF250">
        <v>7.9160000000000004</v>
      </c>
      <c r="CG250">
        <v>-0.98899999999999999</v>
      </c>
      <c r="CH250">
        <v>34</v>
      </c>
      <c r="CI250">
        <v>-3</v>
      </c>
      <c r="CJ250">
        <v>0.13</v>
      </c>
      <c r="CK250">
        <v>0.06</v>
      </c>
      <c r="CL250">
        <v>34.753386885245888</v>
      </c>
      <c r="CM250">
        <v>0.79000740349022203</v>
      </c>
      <c r="CN250">
        <v>0.19486612510451659</v>
      </c>
      <c r="CO250">
        <v>-1</v>
      </c>
      <c r="CP250">
        <v>499.99603278688522</v>
      </c>
      <c r="CQ250">
        <v>4.6400846112350458E-2</v>
      </c>
      <c r="CR250">
        <v>7.7660667347693724E-2</v>
      </c>
      <c r="CS250">
        <v>-1</v>
      </c>
      <c r="CT250">
        <v>0</v>
      </c>
      <c r="CU250">
        <v>0</v>
      </c>
      <c r="CV250" t="s">
        <v>333</v>
      </c>
      <c r="CW250">
        <v>3.1673300000000002</v>
      </c>
      <c r="CX250">
        <v>2.6590400000000001</v>
      </c>
      <c r="CY250">
        <v>7.8783099999999995E-3</v>
      </c>
      <c r="CZ250">
        <v>1.03689E-2</v>
      </c>
      <c r="DA250">
        <v>7.1098199999999998E-4</v>
      </c>
      <c r="DB250">
        <v>-2.04751E-2</v>
      </c>
      <c r="DC250">
        <v>21417.200000000001</v>
      </c>
      <c r="DD250">
        <v>21752.6</v>
      </c>
      <c r="DE250">
        <v>23114</v>
      </c>
      <c r="DF250">
        <v>22332.5</v>
      </c>
      <c r="DG250">
        <v>29786.1</v>
      </c>
      <c r="DH250">
        <v>27178.9</v>
      </c>
      <c r="DI250">
        <v>40623</v>
      </c>
      <c r="DJ250">
        <v>37012.9</v>
      </c>
      <c r="DK250">
        <v>2.0942400000000001</v>
      </c>
      <c r="DL250">
        <v>1.8043800000000001</v>
      </c>
      <c r="DM250">
        <v>3.2699100000000002E-2</v>
      </c>
      <c r="DN250">
        <v>0</v>
      </c>
      <c r="DO250">
        <v>26.805800000000001</v>
      </c>
      <c r="DP250">
        <v>999.9</v>
      </c>
      <c r="DQ250">
        <v>75.099999999999994</v>
      </c>
      <c r="DR250">
        <v>30.3</v>
      </c>
      <c r="DS250">
        <v>32.469499999999996</v>
      </c>
      <c r="DT250">
        <v>30.613800000000001</v>
      </c>
      <c r="DU250">
        <v>9.8317300000000003</v>
      </c>
      <c r="DV250">
        <v>1</v>
      </c>
      <c r="DW250">
        <v>0.16611799999999999</v>
      </c>
      <c r="DX250">
        <v>-0.50702800000000003</v>
      </c>
      <c r="DY250">
        <v>20.3675</v>
      </c>
      <c r="DZ250">
        <v>5.2141700000000002</v>
      </c>
      <c r="EA250">
        <v>11.8482</v>
      </c>
      <c r="EB250">
        <v>4.9679599999999997</v>
      </c>
      <c r="EC250">
        <v>3.2921200000000002</v>
      </c>
      <c r="ED250">
        <v>894.7</v>
      </c>
      <c r="EE250">
        <v>0</v>
      </c>
      <c r="EF250">
        <v>9999</v>
      </c>
      <c r="EG250">
        <v>112.7</v>
      </c>
      <c r="EH250">
        <v>4.9716100000000001</v>
      </c>
      <c r="EI250">
        <v>1.8717999999999999</v>
      </c>
      <c r="EJ250">
        <v>1.86897</v>
      </c>
      <c r="EK250">
        <v>1.8713900000000001</v>
      </c>
      <c r="EL250">
        <v>1.86917</v>
      </c>
      <c r="EM250">
        <v>1.8681300000000001</v>
      </c>
      <c r="EN250">
        <v>1.8699600000000001</v>
      </c>
      <c r="EO250">
        <v>1.8717600000000001</v>
      </c>
      <c r="EP250">
        <v>0</v>
      </c>
      <c r="EQ250">
        <v>0</v>
      </c>
      <c r="ER250">
        <v>0</v>
      </c>
      <c r="ES250">
        <v>0</v>
      </c>
      <c r="ET250" t="s">
        <v>334</v>
      </c>
      <c r="EU250" t="s">
        <v>335</v>
      </c>
      <c r="EV250" t="s">
        <v>336</v>
      </c>
      <c r="EW250" t="s">
        <v>336</v>
      </c>
      <c r="EX250" t="s">
        <v>336</v>
      </c>
      <c r="EY250" t="s">
        <v>336</v>
      </c>
      <c r="EZ250">
        <v>0</v>
      </c>
      <c r="FA250">
        <v>100</v>
      </c>
      <c r="FB250">
        <v>100</v>
      </c>
      <c r="FC250">
        <v>7.9160000000000004</v>
      </c>
      <c r="FD250">
        <v>-0.98929999999999996</v>
      </c>
      <c r="FE250">
        <v>7.9093600000000004</v>
      </c>
      <c r="FF250">
        <v>0</v>
      </c>
      <c r="FG250">
        <v>0</v>
      </c>
      <c r="FH250">
        <v>0</v>
      </c>
      <c r="FI250">
        <v>-0.98927100000000023</v>
      </c>
      <c r="FJ250">
        <v>0</v>
      </c>
      <c r="FK250">
        <v>0</v>
      </c>
      <c r="FL250">
        <v>0</v>
      </c>
      <c r="FM250">
        <v>-1</v>
      </c>
      <c r="FN250">
        <v>-1</v>
      </c>
      <c r="FO250">
        <v>-1</v>
      </c>
      <c r="FP250">
        <v>-1</v>
      </c>
      <c r="FQ250">
        <v>0.7</v>
      </c>
      <c r="FR250">
        <v>234.2</v>
      </c>
      <c r="FS250">
        <v>0.14160200000000001</v>
      </c>
      <c r="FT250">
        <v>4.99756</v>
      </c>
      <c r="FU250">
        <v>1.5979000000000001</v>
      </c>
      <c r="FV250">
        <v>2.1533199999999999</v>
      </c>
      <c r="FW250">
        <v>1.5478499999999999</v>
      </c>
      <c r="FX250">
        <v>2.4475099999999999</v>
      </c>
      <c r="FY250">
        <v>34.6235</v>
      </c>
      <c r="FZ250">
        <v>15.0952</v>
      </c>
      <c r="GA250">
        <v>3</v>
      </c>
      <c r="GB250">
        <v>498.63299999999998</v>
      </c>
      <c r="GC250">
        <v>405.41800000000001</v>
      </c>
      <c r="GD250">
        <v>28.175999999999998</v>
      </c>
      <c r="GE250">
        <v>29.415199999999999</v>
      </c>
      <c r="GF250">
        <v>30.0001</v>
      </c>
      <c r="GG250">
        <v>29.706299999999999</v>
      </c>
      <c r="GH250">
        <v>29.756699999999999</v>
      </c>
      <c r="GI250">
        <v>-1</v>
      </c>
      <c r="GJ250">
        <v>0</v>
      </c>
      <c r="GK250">
        <v>100</v>
      </c>
      <c r="GL250">
        <v>28.178100000000001</v>
      </c>
      <c r="GM250">
        <v>432.1</v>
      </c>
      <c r="GN250">
        <v>68.912800000000004</v>
      </c>
      <c r="GO250">
        <v>102.253</v>
      </c>
      <c r="GP250">
        <v>96.578199999999995</v>
      </c>
    </row>
    <row r="251" spans="1:198" x14ac:dyDescent="0.35">
      <c r="A251">
        <v>235</v>
      </c>
      <c r="B251">
        <v>1775495080.5</v>
      </c>
      <c r="C251">
        <v>14042</v>
      </c>
      <c r="D251" t="s">
        <v>1036</v>
      </c>
      <c r="E251" t="s">
        <v>1037</v>
      </c>
      <c r="F251">
        <v>60</v>
      </c>
      <c r="G251">
        <v>1775495072.5</v>
      </c>
      <c r="H251">
        <f t="shared" si="90"/>
        <v>2.1409940106961109E-3</v>
      </c>
      <c r="I251">
        <f t="shared" si="91"/>
        <v>2.1409940106961107</v>
      </c>
      <c r="J251">
        <f t="shared" si="92"/>
        <v>0.49038253387646868</v>
      </c>
      <c r="K251">
        <f t="shared" si="93"/>
        <v>33.962416129032263</v>
      </c>
      <c r="L251">
        <f t="shared" si="94"/>
        <v>18.485657158002574</v>
      </c>
      <c r="M251">
        <f t="shared" si="95"/>
        <v>1.853796295881029</v>
      </c>
      <c r="N251">
        <f t="shared" si="96"/>
        <v>3.4058513950051563</v>
      </c>
      <c r="O251">
        <f t="shared" si="97"/>
        <v>5.7141652071942835E-2</v>
      </c>
      <c r="P251">
        <f t="shared" si="98"/>
        <v>2.3932695858367681</v>
      </c>
      <c r="Q251">
        <f t="shared" si="99"/>
        <v>5.6394397853563899E-2</v>
      </c>
      <c r="R251">
        <f t="shared" si="100"/>
        <v>3.531282229629204E-2</v>
      </c>
      <c r="S251">
        <f t="shared" si="101"/>
        <v>0</v>
      </c>
      <c r="T251">
        <f t="shared" si="102"/>
        <v>26.629644789029825</v>
      </c>
      <c r="U251">
        <f t="shared" si="103"/>
        <v>27.339419354838711</v>
      </c>
      <c r="V251">
        <f t="shared" si="104"/>
        <v>3.6511338776269433</v>
      </c>
      <c r="W251">
        <f t="shared" si="105"/>
        <v>-2.4279245077193514</v>
      </c>
      <c r="X251">
        <f t="shared" si="106"/>
        <v>-8.8446009731960679E-2</v>
      </c>
      <c r="Y251">
        <f t="shared" si="107"/>
        <v>3.6428649017197667</v>
      </c>
      <c r="Z251">
        <f t="shared" si="108"/>
        <v>3.7395798873589041</v>
      </c>
      <c r="AA251">
        <f t="shared" si="109"/>
        <v>-94.417835871698486</v>
      </c>
      <c r="AB251">
        <f t="shared" si="110"/>
        <v>-4.9928880488400846</v>
      </c>
      <c r="AC251">
        <f t="shared" si="111"/>
        <v>-0.45167337415182407</v>
      </c>
      <c r="AD251">
        <f t="shared" si="112"/>
        <v>-99.862397294690396</v>
      </c>
      <c r="AE251">
        <v>12</v>
      </c>
      <c r="AF251">
        <v>2</v>
      </c>
      <c r="AG251">
        <f t="shared" si="113"/>
        <v>1</v>
      </c>
      <c r="AH251">
        <f t="shared" si="114"/>
        <v>0</v>
      </c>
      <c r="AI251">
        <f t="shared" si="115"/>
        <v>25567.239924652607</v>
      </c>
      <c r="AJ251">
        <f t="shared" si="116"/>
        <v>0</v>
      </c>
      <c r="AK251">
        <f t="shared" si="117"/>
        <v>0</v>
      </c>
      <c r="AL251">
        <f t="shared" si="118"/>
        <v>0</v>
      </c>
      <c r="AM251">
        <f t="shared" si="119"/>
        <v>0</v>
      </c>
      <c r="AN251">
        <v>3</v>
      </c>
      <c r="AO251">
        <v>0.5</v>
      </c>
      <c r="AP251" t="s">
        <v>331</v>
      </c>
      <c r="AQ251">
        <v>2</v>
      </c>
      <c r="AR251">
        <v>1775495072.5</v>
      </c>
      <c r="AS251">
        <v>33.962416129032263</v>
      </c>
      <c r="AT251">
        <v>34.300238709677423</v>
      </c>
      <c r="AU251">
        <v>-0.88196454838709659</v>
      </c>
      <c r="AV251">
        <v>-2.1675609677419359</v>
      </c>
      <c r="AW251">
        <v>26.05241612903226</v>
      </c>
      <c r="AX251">
        <v>0.1073064451612903</v>
      </c>
      <c r="AY251">
        <v>500.05170967741952</v>
      </c>
      <c r="AZ251">
        <v>100.2448064516129</v>
      </c>
      <c r="BA251">
        <v>3.8146977419354841E-2</v>
      </c>
      <c r="BB251">
        <v>27.30072258064515</v>
      </c>
      <c r="BC251">
        <v>27.339419354838711</v>
      </c>
      <c r="BD251">
        <v>999.90000000000032</v>
      </c>
      <c r="BE251">
        <v>0</v>
      </c>
      <c r="BF251">
        <v>0</v>
      </c>
      <c r="BG251">
        <v>5001.2580645161288</v>
      </c>
      <c r="BH251">
        <v>0.38598583870967751</v>
      </c>
      <c r="BI251">
        <v>0.23331922580645159</v>
      </c>
      <c r="BJ251">
        <v>-0.33193912903225808</v>
      </c>
      <c r="BK251">
        <v>33.938361290322582</v>
      </c>
      <c r="BL251">
        <v>34.226041935483877</v>
      </c>
      <c r="BM251">
        <v>1.285597741935484</v>
      </c>
      <c r="BN251">
        <v>34.300238709677423</v>
      </c>
      <c r="BO251">
        <v>-2.1675609677419359</v>
      </c>
      <c r="BP251">
        <v>-8.8412380645161284E-2</v>
      </c>
      <c r="BQ251">
        <v>-0.21728677419354839</v>
      </c>
      <c r="BR251">
        <v>-99.900000000000034</v>
      </c>
      <c r="BS251">
        <v>-99.900000000000034</v>
      </c>
      <c r="BT251">
        <v>0</v>
      </c>
      <c r="BU251">
        <v>0</v>
      </c>
      <c r="BV251">
        <v>0</v>
      </c>
      <c r="BW251">
        <v>25</v>
      </c>
      <c r="BX251">
        <v>-1</v>
      </c>
      <c r="BY251">
        <v>1775495098</v>
      </c>
      <c r="BZ251" t="s">
        <v>1038</v>
      </c>
      <c r="CA251">
        <v>1775495098</v>
      </c>
      <c r="CB251">
        <v>1775480969.5</v>
      </c>
      <c r="CC251">
        <v>236</v>
      </c>
      <c r="CD251">
        <v>-6.0000000000000001E-3</v>
      </c>
      <c r="CE251">
        <v>0.19500000000000001</v>
      </c>
      <c r="CF251">
        <v>7.91</v>
      </c>
      <c r="CG251">
        <v>-0.98899999999999999</v>
      </c>
      <c r="CH251">
        <v>34</v>
      </c>
      <c r="CI251">
        <v>-3</v>
      </c>
      <c r="CJ251">
        <v>0.23</v>
      </c>
      <c r="CK251">
        <v>0.06</v>
      </c>
      <c r="CL251">
        <v>34.45342131147541</v>
      </c>
      <c r="CM251">
        <v>-0.92203405605503752</v>
      </c>
      <c r="CN251">
        <v>0.17832329464955951</v>
      </c>
      <c r="CO251">
        <v>-1</v>
      </c>
      <c r="CP251">
        <v>500.02437704918032</v>
      </c>
      <c r="CQ251">
        <v>0.19590269698545679</v>
      </c>
      <c r="CR251">
        <v>5.9036294458781613E-2</v>
      </c>
      <c r="CS251">
        <v>-1</v>
      </c>
      <c r="CT251">
        <v>0</v>
      </c>
      <c r="CU251">
        <v>0</v>
      </c>
      <c r="CV251" t="s">
        <v>333</v>
      </c>
      <c r="CW251">
        <v>3.1674600000000002</v>
      </c>
      <c r="CX251">
        <v>2.6594799999999998</v>
      </c>
      <c r="CY251">
        <v>7.7370499999999997E-3</v>
      </c>
      <c r="CZ251">
        <v>1.02129E-2</v>
      </c>
      <c r="DA251">
        <v>9.7598100000000001E-4</v>
      </c>
      <c r="DB251">
        <v>-2.0362999999999999E-2</v>
      </c>
      <c r="DC251">
        <v>21420.6</v>
      </c>
      <c r="DD251">
        <v>21756.6</v>
      </c>
      <c r="DE251">
        <v>23114.400000000001</v>
      </c>
      <c r="DF251">
        <v>22333.1</v>
      </c>
      <c r="DG251">
        <v>29778.9</v>
      </c>
      <c r="DH251">
        <v>27176.6</v>
      </c>
      <c r="DI251">
        <v>40623.800000000003</v>
      </c>
      <c r="DJ251">
        <v>37013.800000000003</v>
      </c>
      <c r="DK251">
        <v>2.0945</v>
      </c>
      <c r="DL251">
        <v>1.8064800000000001</v>
      </c>
      <c r="DM251">
        <v>3.2410000000000001E-2</v>
      </c>
      <c r="DN251">
        <v>0</v>
      </c>
      <c r="DO251">
        <v>26.8081</v>
      </c>
      <c r="DP251">
        <v>999.9</v>
      </c>
      <c r="DQ251">
        <v>75.099999999999994</v>
      </c>
      <c r="DR251">
        <v>30.3</v>
      </c>
      <c r="DS251">
        <v>32.475700000000003</v>
      </c>
      <c r="DT251">
        <v>30.463799999999999</v>
      </c>
      <c r="DU251">
        <v>9.6674699999999998</v>
      </c>
      <c r="DV251">
        <v>1</v>
      </c>
      <c r="DW251">
        <v>0.166045</v>
      </c>
      <c r="DX251">
        <v>-0.46630300000000002</v>
      </c>
      <c r="DY251">
        <v>20.367899999999999</v>
      </c>
      <c r="DZ251">
        <v>5.2111799999999997</v>
      </c>
      <c r="EA251">
        <v>11.8482</v>
      </c>
      <c r="EB251">
        <v>4.9679599999999997</v>
      </c>
      <c r="EC251">
        <v>3.2920799999999999</v>
      </c>
      <c r="ED251">
        <v>894.7</v>
      </c>
      <c r="EE251">
        <v>0</v>
      </c>
      <c r="EF251">
        <v>9999</v>
      </c>
      <c r="EG251">
        <v>112.7</v>
      </c>
      <c r="EH251">
        <v>4.9716199999999997</v>
      </c>
      <c r="EI251">
        <v>1.8717999999999999</v>
      </c>
      <c r="EJ251">
        <v>1.86896</v>
      </c>
      <c r="EK251">
        <v>1.87137</v>
      </c>
      <c r="EL251">
        <v>1.8691599999999999</v>
      </c>
      <c r="EM251">
        <v>1.86812</v>
      </c>
      <c r="EN251">
        <v>1.86995</v>
      </c>
      <c r="EO251">
        <v>1.87174</v>
      </c>
      <c r="EP251">
        <v>0</v>
      </c>
      <c r="EQ251">
        <v>0</v>
      </c>
      <c r="ER251">
        <v>0</v>
      </c>
      <c r="ES251">
        <v>0</v>
      </c>
      <c r="ET251" t="s">
        <v>334</v>
      </c>
      <c r="EU251" t="s">
        <v>335</v>
      </c>
      <c r="EV251" t="s">
        <v>336</v>
      </c>
      <c r="EW251" t="s">
        <v>336</v>
      </c>
      <c r="EX251" t="s">
        <v>336</v>
      </c>
      <c r="EY251" t="s">
        <v>336</v>
      </c>
      <c r="EZ251">
        <v>0</v>
      </c>
      <c r="FA251">
        <v>100</v>
      </c>
      <c r="FB251">
        <v>100</v>
      </c>
      <c r="FC251">
        <v>7.91</v>
      </c>
      <c r="FD251">
        <v>-0.98929999999999996</v>
      </c>
      <c r="FE251">
        <v>7.9158800000000014</v>
      </c>
      <c r="FF251">
        <v>0</v>
      </c>
      <c r="FG251">
        <v>0</v>
      </c>
      <c r="FH251">
        <v>0</v>
      </c>
      <c r="FI251">
        <v>-0.98927100000000023</v>
      </c>
      <c r="FJ251">
        <v>0</v>
      </c>
      <c r="FK251">
        <v>0</v>
      </c>
      <c r="FL251">
        <v>0</v>
      </c>
      <c r="FM251">
        <v>-1</v>
      </c>
      <c r="FN251">
        <v>-1</v>
      </c>
      <c r="FO251">
        <v>-1</v>
      </c>
      <c r="FP251">
        <v>-1</v>
      </c>
      <c r="FQ251">
        <v>0.7</v>
      </c>
      <c r="FR251">
        <v>235.2</v>
      </c>
      <c r="FS251">
        <v>0.14160200000000001</v>
      </c>
      <c r="FT251">
        <v>4.99756</v>
      </c>
      <c r="FU251">
        <v>1.5979000000000001</v>
      </c>
      <c r="FV251">
        <v>2.1520999999999999</v>
      </c>
      <c r="FW251">
        <v>1.5478499999999999</v>
      </c>
      <c r="FX251">
        <v>2.4731399999999999</v>
      </c>
      <c r="FY251">
        <v>34.6235</v>
      </c>
      <c r="FZ251">
        <v>15.086399999999999</v>
      </c>
      <c r="GA251">
        <v>3</v>
      </c>
      <c r="GB251">
        <v>498.79899999999998</v>
      </c>
      <c r="GC251">
        <v>406.63600000000002</v>
      </c>
      <c r="GD251">
        <v>28.162700000000001</v>
      </c>
      <c r="GE251">
        <v>29.415700000000001</v>
      </c>
      <c r="GF251">
        <v>30.0001</v>
      </c>
      <c r="GG251">
        <v>29.708300000000001</v>
      </c>
      <c r="GH251">
        <v>29.7593</v>
      </c>
      <c r="GI251">
        <v>-1</v>
      </c>
      <c r="GJ251">
        <v>0</v>
      </c>
      <c r="GK251">
        <v>100</v>
      </c>
      <c r="GL251">
        <v>28.160499999999999</v>
      </c>
      <c r="GM251">
        <v>432.1</v>
      </c>
      <c r="GN251">
        <v>68.912800000000004</v>
      </c>
      <c r="GO251">
        <v>102.255</v>
      </c>
      <c r="GP251">
        <v>96.580600000000004</v>
      </c>
    </row>
    <row r="252" spans="1:198" x14ac:dyDescent="0.35">
      <c r="A252">
        <v>236</v>
      </c>
      <c r="B252">
        <v>1775495140.5</v>
      </c>
      <c r="C252">
        <v>14102</v>
      </c>
      <c r="D252" t="s">
        <v>1039</v>
      </c>
      <c r="E252" t="s">
        <v>1040</v>
      </c>
      <c r="F252">
        <v>60</v>
      </c>
      <c r="G252">
        <v>1775495132.75</v>
      </c>
      <c r="H252">
        <f t="shared" si="90"/>
        <v>2.2268805659795892E-3</v>
      </c>
      <c r="I252">
        <f t="shared" si="91"/>
        <v>2.2268805659795894</v>
      </c>
      <c r="J252">
        <f t="shared" si="92"/>
        <v>1.1978836351349706</v>
      </c>
      <c r="K252">
        <f t="shared" si="93"/>
        <v>33.964773333333341</v>
      </c>
      <c r="L252">
        <f t="shared" si="94"/>
        <v>0.31580881586456266</v>
      </c>
      <c r="M252">
        <f t="shared" si="95"/>
        <v>3.1669669183331979E-2</v>
      </c>
      <c r="N252">
        <f t="shared" si="96"/>
        <v>3.4060263086981895</v>
      </c>
      <c r="O252">
        <f t="shared" si="97"/>
        <v>5.9468129320289803E-2</v>
      </c>
      <c r="P252">
        <f t="shared" si="98"/>
        <v>2.393101866562052</v>
      </c>
      <c r="Q252">
        <f t="shared" si="99"/>
        <v>5.8659197289942219E-2</v>
      </c>
      <c r="R252">
        <f t="shared" si="100"/>
        <v>3.6733760873459698E-2</v>
      </c>
      <c r="S252">
        <f t="shared" si="101"/>
        <v>0</v>
      </c>
      <c r="T252">
        <f t="shared" si="102"/>
        <v>26.608600302683865</v>
      </c>
      <c r="U252">
        <f t="shared" si="103"/>
        <v>27.353796666666671</v>
      </c>
      <c r="V252">
        <f t="shared" si="104"/>
        <v>3.6542102853934968</v>
      </c>
      <c r="W252">
        <f t="shared" si="105"/>
        <v>-2.332973972925767</v>
      </c>
      <c r="X252">
        <f t="shared" si="106"/>
        <v>-8.5016565115066833E-2</v>
      </c>
      <c r="Y252">
        <f t="shared" si="107"/>
        <v>3.6441283144041305</v>
      </c>
      <c r="Z252">
        <f t="shared" si="108"/>
        <v>3.7392268505085635</v>
      </c>
      <c r="AA252">
        <f t="shared" si="109"/>
        <v>-98.205432959699891</v>
      </c>
      <c r="AB252">
        <f t="shared" si="110"/>
        <v>-6.084007316908151</v>
      </c>
      <c r="AC252">
        <f t="shared" si="111"/>
        <v>-0.55047404680168943</v>
      </c>
      <c r="AD252">
        <f t="shared" si="112"/>
        <v>-104.83991432340974</v>
      </c>
      <c r="AE252">
        <v>12</v>
      </c>
      <c r="AF252">
        <v>2</v>
      </c>
      <c r="AG252">
        <f t="shared" si="113"/>
        <v>1</v>
      </c>
      <c r="AH252">
        <f t="shared" si="114"/>
        <v>0</v>
      </c>
      <c r="AI252">
        <f t="shared" si="115"/>
        <v>25564.257876523196</v>
      </c>
      <c r="AJ252">
        <f t="shared" si="116"/>
        <v>0</v>
      </c>
      <c r="AK252">
        <f t="shared" si="117"/>
        <v>0</v>
      </c>
      <c r="AL252">
        <f t="shared" si="118"/>
        <v>0</v>
      </c>
      <c r="AM252">
        <f t="shared" si="119"/>
        <v>0</v>
      </c>
      <c r="AN252">
        <v>3</v>
      </c>
      <c r="AO252">
        <v>0.5</v>
      </c>
      <c r="AP252" t="s">
        <v>331</v>
      </c>
      <c r="AQ252">
        <v>2</v>
      </c>
      <c r="AR252">
        <v>1775495132.75</v>
      </c>
      <c r="AS252">
        <v>33.964773333333341</v>
      </c>
      <c r="AT252">
        <v>34.728883333333329</v>
      </c>
      <c r="AU252">
        <v>-0.84778216666666661</v>
      </c>
      <c r="AV252">
        <v>-2.1850406666666671</v>
      </c>
      <c r="AW252">
        <v>26.04877333333334</v>
      </c>
      <c r="AX252">
        <v>0.14148876666666671</v>
      </c>
      <c r="AY252">
        <v>500.00096666666673</v>
      </c>
      <c r="AZ252">
        <v>100.24299999999999</v>
      </c>
      <c r="BA252">
        <v>3.8143503333333342E-2</v>
      </c>
      <c r="BB252">
        <v>27.306640000000002</v>
      </c>
      <c r="BC252">
        <v>27.353796666666671</v>
      </c>
      <c r="BD252">
        <v>999.9000000000002</v>
      </c>
      <c r="BE252">
        <v>0</v>
      </c>
      <c r="BF252">
        <v>0</v>
      </c>
      <c r="BG252">
        <v>5000.916666666667</v>
      </c>
      <c r="BH252">
        <v>0.38487463333333338</v>
      </c>
      <c r="BI252">
        <v>0.23344266666666669</v>
      </c>
      <c r="BJ252">
        <v>-0.77022823333333323</v>
      </c>
      <c r="BK252">
        <v>33.929879999999997</v>
      </c>
      <c r="BL252">
        <v>34.653163333333318</v>
      </c>
      <c r="BM252">
        <v>1.337259666666667</v>
      </c>
      <c r="BN252">
        <v>34.728883333333329</v>
      </c>
      <c r="BO252">
        <v>-2.1850406666666671</v>
      </c>
      <c r="BP252">
        <v>-8.4984213333333364E-2</v>
      </c>
      <c r="BQ252">
        <v>-0.2190351333333333</v>
      </c>
      <c r="BR252">
        <v>-99.900000000000034</v>
      </c>
      <c r="BS252">
        <v>-99.900000000000034</v>
      </c>
      <c r="BT252">
        <v>0</v>
      </c>
      <c r="BU252">
        <v>0</v>
      </c>
      <c r="BV252">
        <v>0</v>
      </c>
      <c r="BW252">
        <v>25</v>
      </c>
      <c r="BX252">
        <v>-1</v>
      </c>
      <c r="BY252">
        <v>1775495161</v>
      </c>
      <c r="BZ252" t="s">
        <v>1041</v>
      </c>
      <c r="CA252">
        <v>1775495161</v>
      </c>
      <c r="CB252">
        <v>1775480969.5</v>
      </c>
      <c r="CC252">
        <v>237</v>
      </c>
      <c r="CD252">
        <v>6.0000000000000001E-3</v>
      </c>
      <c r="CE252">
        <v>0.19500000000000001</v>
      </c>
      <c r="CF252">
        <v>7.9160000000000004</v>
      </c>
      <c r="CG252">
        <v>-0.98899999999999999</v>
      </c>
      <c r="CH252">
        <v>34</v>
      </c>
      <c r="CI252">
        <v>-3</v>
      </c>
      <c r="CJ252">
        <v>0.23</v>
      </c>
      <c r="CK252">
        <v>0.06</v>
      </c>
      <c r="CL252">
        <v>34.452944262295077</v>
      </c>
      <c r="CM252">
        <v>1.655431411951312</v>
      </c>
      <c r="CN252">
        <v>0.25554624202155901</v>
      </c>
      <c r="CO252">
        <v>-1</v>
      </c>
      <c r="CP252">
        <v>499.98500000000013</v>
      </c>
      <c r="CQ252">
        <v>3.167847699621372E-2</v>
      </c>
      <c r="CR252">
        <v>4.9326945384683601E-2</v>
      </c>
      <c r="CS252">
        <v>-1</v>
      </c>
      <c r="CT252">
        <v>0</v>
      </c>
      <c r="CU252">
        <v>0</v>
      </c>
      <c r="CV252" t="s">
        <v>333</v>
      </c>
      <c r="CW252">
        <v>3.1675599999999999</v>
      </c>
      <c r="CX252">
        <v>2.6595499999999999</v>
      </c>
      <c r="CY252">
        <v>7.8407400000000006E-3</v>
      </c>
      <c r="CZ252">
        <v>1.0458200000000001E-2</v>
      </c>
      <c r="DA252">
        <v>1.1510299999999999E-3</v>
      </c>
      <c r="DB252">
        <v>-2.06918E-2</v>
      </c>
      <c r="DC252">
        <v>21418.1</v>
      </c>
      <c r="DD252">
        <v>21750.799999999999</v>
      </c>
      <c r="DE252">
        <v>23114.1</v>
      </c>
      <c r="DF252">
        <v>22332.7</v>
      </c>
      <c r="DG252">
        <v>29773</v>
      </c>
      <c r="DH252">
        <v>27184.9</v>
      </c>
      <c r="DI252">
        <v>40623</v>
      </c>
      <c r="DJ252">
        <v>37013.300000000003</v>
      </c>
      <c r="DK252">
        <v>2.0948199999999999</v>
      </c>
      <c r="DL252">
        <v>1.8066800000000001</v>
      </c>
      <c r="DM252">
        <v>3.2108999999999999E-2</v>
      </c>
      <c r="DN252">
        <v>0</v>
      </c>
      <c r="DO252">
        <v>26.827200000000001</v>
      </c>
      <c r="DP252">
        <v>999.9</v>
      </c>
      <c r="DQ252">
        <v>75</v>
      </c>
      <c r="DR252">
        <v>30.3</v>
      </c>
      <c r="DS252">
        <v>32.427999999999997</v>
      </c>
      <c r="DT252">
        <v>30.823799999999999</v>
      </c>
      <c r="DU252">
        <v>9.5392600000000005</v>
      </c>
      <c r="DV252">
        <v>1</v>
      </c>
      <c r="DW252">
        <v>0.166376</v>
      </c>
      <c r="DX252">
        <v>-0.38813500000000001</v>
      </c>
      <c r="DY252">
        <v>20.368099999999998</v>
      </c>
      <c r="DZ252">
        <v>5.2111799999999997</v>
      </c>
      <c r="EA252">
        <v>11.8482</v>
      </c>
      <c r="EB252">
        <v>4.9678399999999998</v>
      </c>
      <c r="EC252">
        <v>3.2919999999999998</v>
      </c>
      <c r="ED252">
        <v>894.7</v>
      </c>
      <c r="EE252">
        <v>0</v>
      </c>
      <c r="EF252">
        <v>9999</v>
      </c>
      <c r="EG252">
        <v>112.7</v>
      </c>
      <c r="EH252">
        <v>4.9715999999999996</v>
      </c>
      <c r="EI252">
        <v>1.8717999999999999</v>
      </c>
      <c r="EJ252">
        <v>1.8689899999999999</v>
      </c>
      <c r="EK252">
        <v>1.8713900000000001</v>
      </c>
      <c r="EL252">
        <v>1.86917</v>
      </c>
      <c r="EM252">
        <v>1.8681300000000001</v>
      </c>
      <c r="EN252">
        <v>1.8699399999999999</v>
      </c>
      <c r="EO252">
        <v>1.87175</v>
      </c>
      <c r="EP252">
        <v>0</v>
      </c>
      <c r="EQ252">
        <v>0</v>
      </c>
      <c r="ER252">
        <v>0</v>
      </c>
      <c r="ES252">
        <v>0</v>
      </c>
      <c r="ET252" t="s">
        <v>334</v>
      </c>
      <c r="EU252" t="s">
        <v>335</v>
      </c>
      <c r="EV252" t="s">
        <v>336</v>
      </c>
      <c r="EW252" t="s">
        <v>336</v>
      </c>
      <c r="EX252" t="s">
        <v>336</v>
      </c>
      <c r="EY252" t="s">
        <v>336</v>
      </c>
      <c r="EZ252">
        <v>0</v>
      </c>
      <c r="FA252">
        <v>100</v>
      </c>
      <c r="FB252">
        <v>100</v>
      </c>
      <c r="FC252">
        <v>7.9160000000000004</v>
      </c>
      <c r="FD252">
        <v>-0.98929999999999996</v>
      </c>
      <c r="FE252">
        <v>7.9098857142857177</v>
      </c>
      <c r="FF252">
        <v>0</v>
      </c>
      <c r="FG252">
        <v>0</v>
      </c>
      <c r="FH252">
        <v>0</v>
      </c>
      <c r="FI252">
        <v>-0.98927100000000023</v>
      </c>
      <c r="FJ252">
        <v>0</v>
      </c>
      <c r="FK252">
        <v>0</v>
      </c>
      <c r="FL252">
        <v>0</v>
      </c>
      <c r="FM252">
        <v>-1</v>
      </c>
      <c r="FN252">
        <v>-1</v>
      </c>
      <c r="FO252">
        <v>-1</v>
      </c>
      <c r="FP252">
        <v>-1</v>
      </c>
      <c r="FQ252">
        <v>0.7</v>
      </c>
      <c r="FR252">
        <v>236.2</v>
      </c>
      <c r="FS252">
        <v>0.14160200000000001</v>
      </c>
      <c r="FT252">
        <v>4.99756</v>
      </c>
      <c r="FU252">
        <v>1.5979000000000001</v>
      </c>
      <c r="FV252">
        <v>2.1520999999999999</v>
      </c>
      <c r="FW252">
        <v>1.5478499999999999</v>
      </c>
      <c r="FX252">
        <v>2.4523899999999998</v>
      </c>
      <c r="FY252">
        <v>34.6235</v>
      </c>
      <c r="FZ252">
        <v>15.086399999999999</v>
      </c>
      <c r="GA252">
        <v>3</v>
      </c>
      <c r="GB252">
        <v>499.00900000000001</v>
      </c>
      <c r="GC252">
        <v>406.76799999999997</v>
      </c>
      <c r="GD252">
        <v>28.1081</v>
      </c>
      <c r="GE252">
        <v>29.421900000000001</v>
      </c>
      <c r="GF252">
        <v>30.0001</v>
      </c>
      <c r="GG252">
        <v>29.711300000000001</v>
      </c>
      <c r="GH252">
        <v>29.761800000000001</v>
      </c>
      <c r="GI252">
        <v>-1</v>
      </c>
      <c r="GJ252">
        <v>0</v>
      </c>
      <c r="GK252">
        <v>100</v>
      </c>
      <c r="GL252">
        <v>28.104700000000001</v>
      </c>
      <c r="GM252">
        <v>432.1</v>
      </c>
      <c r="GN252">
        <v>68.912800000000004</v>
      </c>
      <c r="GO252">
        <v>102.253</v>
      </c>
      <c r="GP252">
        <v>96.5792</v>
      </c>
    </row>
    <row r="253" spans="1:198" x14ac:dyDescent="0.35">
      <c r="A253">
        <v>237</v>
      </c>
      <c r="B253">
        <v>1775495200.5</v>
      </c>
      <c r="C253">
        <v>14162</v>
      </c>
      <c r="D253" t="s">
        <v>1042</v>
      </c>
      <c r="E253" t="s">
        <v>1043</v>
      </c>
      <c r="F253">
        <v>60</v>
      </c>
      <c r="G253">
        <v>1775495192.75</v>
      </c>
      <c r="H253">
        <f t="shared" si="90"/>
        <v>2.2092571873996566E-3</v>
      </c>
      <c r="I253">
        <f t="shared" si="91"/>
        <v>2.2092571873996567</v>
      </c>
      <c r="J253">
        <f t="shared" si="92"/>
        <v>1.3005836288139283</v>
      </c>
      <c r="K253">
        <f t="shared" si="93"/>
        <v>33.91131</v>
      </c>
      <c r="L253">
        <f t="shared" si="94"/>
        <v>-2.7313432700910258</v>
      </c>
      <c r="M253">
        <f t="shared" si="95"/>
        <v>-0.27390239774381625</v>
      </c>
      <c r="N253">
        <f t="shared" si="96"/>
        <v>3.4006670715264238</v>
      </c>
      <c r="O253">
        <f t="shared" si="97"/>
        <v>5.8976093530003701E-2</v>
      </c>
      <c r="P253">
        <f t="shared" si="98"/>
        <v>2.394893415795901</v>
      </c>
      <c r="Q253">
        <f t="shared" si="99"/>
        <v>5.8180982237755599E-2</v>
      </c>
      <c r="R253">
        <f t="shared" si="100"/>
        <v>3.6433658386416261E-2</v>
      </c>
      <c r="S253">
        <f t="shared" si="101"/>
        <v>0</v>
      </c>
      <c r="T253">
        <f t="shared" si="102"/>
        <v>26.603793456934664</v>
      </c>
      <c r="U253">
        <f t="shared" si="103"/>
        <v>27.347200000000001</v>
      </c>
      <c r="V253">
        <f t="shared" si="104"/>
        <v>3.6527984725779543</v>
      </c>
      <c r="W253">
        <f t="shared" si="105"/>
        <v>-2.3999518177294825</v>
      </c>
      <c r="X253">
        <f t="shared" si="106"/>
        <v>-8.7401990629769652E-2</v>
      </c>
      <c r="Y253">
        <f t="shared" si="107"/>
        <v>3.6418227226102347</v>
      </c>
      <c r="Z253">
        <f t="shared" si="108"/>
        <v>3.7402004632077239</v>
      </c>
      <c r="AA253">
        <f t="shared" si="109"/>
        <v>-97.428241964324855</v>
      </c>
      <c r="AB253">
        <f t="shared" si="110"/>
        <v>-6.6312690432318044</v>
      </c>
      <c r="AC253">
        <f t="shared" si="111"/>
        <v>-0.59948873884901099</v>
      </c>
      <c r="AD253">
        <f t="shared" si="112"/>
        <v>-104.65899974640567</v>
      </c>
      <c r="AE253">
        <v>13</v>
      </c>
      <c r="AF253">
        <v>3</v>
      </c>
      <c r="AG253">
        <f t="shared" si="113"/>
        <v>1</v>
      </c>
      <c r="AH253">
        <f t="shared" si="114"/>
        <v>0</v>
      </c>
      <c r="AI253">
        <f t="shared" si="115"/>
        <v>25592.41177429615</v>
      </c>
      <c r="AJ253">
        <f t="shared" si="116"/>
        <v>0</v>
      </c>
      <c r="AK253">
        <f t="shared" si="117"/>
        <v>0</v>
      </c>
      <c r="AL253">
        <f t="shared" si="118"/>
        <v>0</v>
      </c>
      <c r="AM253">
        <f t="shared" si="119"/>
        <v>0</v>
      </c>
      <c r="AN253">
        <v>3</v>
      </c>
      <c r="AO253">
        <v>0.5</v>
      </c>
      <c r="AP253" t="s">
        <v>331</v>
      </c>
      <c r="AQ253">
        <v>2</v>
      </c>
      <c r="AR253">
        <v>1775495192.75</v>
      </c>
      <c r="AS253">
        <v>33.91131</v>
      </c>
      <c r="AT253">
        <v>34.73657333333334</v>
      </c>
      <c r="AU253">
        <v>-0.87156900000000015</v>
      </c>
      <c r="AV253">
        <v>-2.198217333333333</v>
      </c>
      <c r="AW253">
        <v>26.013310000000001</v>
      </c>
      <c r="AX253">
        <v>0.117702</v>
      </c>
      <c r="AY253">
        <v>500.0231</v>
      </c>
      <c r="AZ253">
        <v>100.2432</v>
      </c>
      <c r="BA253">
        <v>3.8006226666666677E-2</v>
      </c>
      <c r="BB253">
        <v>27.295839999999998</v>
      </c>
      <c r="BC253">
        <v>27.347200000000001</v>
      </c>
      <c r="BD253">
        <v>999.9000000000002</v>
      </c>
      <c r="BE253">
        <v>0</v>
      </c>
      <c r="BF253">
        <v>0</v>
      </c>
      <c r="BG253">
        <v>5005.5166666666664</v>
      </c>
      <c r="BH253">
        <v>0.37958760000000002</v>
      </c>
      <c r="BI253">
        <v>0.22961599999999999</v>
      </c>
      <c r="BJ253">
        <v>-0.80729930000000016</v>
      </c>
      <c r="BK253">
        <v>33.899716666666663</v>
      </c>
      <c r="BL253">
        <v>34.660376666666671</v>
      </c>
      <c r="BM253">
        <v>1.326648666666667</v>
      </c>
      <c r="BN253">
        <v>34.73657333333334</v>
      </c>
      <c r="BO253">
        <v>-2.198217333333333</v>
      </c>
      <c r="BP253">
        <v>-8.7368796666666665E-2</v>
      </c>
      <c r="BQ253">
        <v>-0.22035636666666669</v>
      </c>
      <c r="BR253">
        <v>-99.900000000000034</v>
      </c>
      <c r="BS253">
        <v>-99.900000000000034</v>
      </c>
      <c r="BT253">
        <v>0</v>
      </c>
      <c r="BU253">
        <v>0</v>
      </c>
      <c r="BV253">
        <v>0</v>
      </c>
      <c r="BW253">
        <v>25</v>
      </c>
      <c r="BX253">
        <v>-0.9922223</v>
      </c>
      <c r="BY253">
        <v>1775495223</v>
      </c>
      <c r="BZ253" t="s">
        <v>1044</v>
      </c>
      <c r="CA253">
        <v>1775495223</v>
      </c>
      <c r="CB253">
        <v>1775480969.5</v>
      </c>
      <c r="CC253">
        <v>238</v>
      </c>
      <c r="CD253">
        <v>-1.7999999999999999E-2</v>
      </c>
      <c r="CE253">
        <v>0.19500000000000001</v>
      </c>
      <c r="CF253">
        <v>7.8979999999999997</v>
      </c>
      <c r="CG253">
        <v>-0.98899999999999999</v>
      </c>
      <c r="CH253">
        <v>35</v>
      </c>
      <c r="CI253">
        <v>-3</v>
      </c>
      <c r="CJ253">
        <v>0.36</v>
      </c>
      <c r="CK253">
        <v>0.06</v>
      </c>
      <c r="CL253">
        <v>34.468296721311482</v>
      </c>
      <c r="CM253">
        <v>1.836830037017426</v>
      </c>
      <c r="CN253">
        <v>0.29267348615384869</v>
      </c>
      <c r="CO253">
        <v>-1</v>
      </c>
      <c r="CP253">
        <v>500.02193442622962</v>
      </c>
      <c r="CQ253">
        <v>-1.498889476386151E-2</v>
      </c>
      <c r="CR253">
        <v>6.4727643485826478E-2</v>
      </c>
      <c r="CS253">
        <v>-1</v>
      </c>
      <c r="CT253">
        <v>0</v>
      </c>
      <c r="CU253">
        <v>0</v>
      </c>
      <c r="CV253" t="s">
        <v>333</v>
      </c>
      <c r="CW253">
        <v>3.1675200000000001</v>
      </c>
      <c r="CX253">
        <v>2.65937</v>
      </c>
      <c r="CY253">
        <v>7.8403799999999992E-3</v>
      </c>
      <c r="CZ253">
        <v>1.0392200000000001E-2</v>
      </c>
      <c r="DA253">
        <v>9.1801700000000003E-4</v>
      </c>
      <c r="DB253">
        <v>-2.0780199999999999E-2</v>
      </c>
      <c r="DC253">
        <v>21417.8</v>
      </c>
      <c r="DD253">
        <v>21753.200000000001</v>
      </c>
      <c r="DE253">
        <v>23113.8</v>
      </c>
      <c r="DF253">
        <v>22333.599999999999</v>
      </c>
      <c r="DG253">
        <v>29779.9</v>
      </c>
      <c r="DH253">
        <v>27188.400000000001</v>
      </c>
      <c r="DI253">
        <v>40622.9</v>
      </c>
      <c r="DJ253">
        <v>37014.9</v>
      </c>
      <c r="DK253">
        <v>2.0942400000000001</v>
      </c>
      <c r="DL253">
        <v>1.8069</v>
      </c>
      <c r="DM253">
        <v>3.1030200000000001E-2</v>
      </c>
      <c r="DN253">
        <v>0</v>
      </c>
      <c r="DO253">
        <v>26.8308</v>
      </c>
      <c r="DP253">
        <v>999.9</v>
      </c>
      <c r="DQ253">
        <v>74.900000000000006</v>
      </c>
      <c r="DR253">
        <v>30.3</v>
      </c>
      <c r="DS253">
        <v>32.387099999999997</v>
      </c>
      <c r="DT253">
        <v>30.433800000000002</v>
      </c>
      <c r="DU253">
        <v>9.3229100000000003</v>
      </c>
      <c r="DV253">
        <v>1</v>
      </c>
      <c r="DW253">
        <v>0.1661</v>
      </c>
      <c r="DX253">
        <v>-0.46386300000000003</v>
      </c>
      <c r="DY253">
        <v>20.367699999999999</v>
      </c>
      <c r="DZ253">
        <v>5.2112999999999996</v>
      </c>
      <c r="EA253">
        <v>11.8482</v>
      </c>
      <c r="EB253">
        <v>4.9677600000000002</v>
      </c>
      <c r="EC253">
        <v>3.2921999999999998</v>
      </c>
      <c r="ED253">
        <v>894.7</v>
      </c>
      <c r="EE253">
        <v>0</v>
      </c>
      <c r="EF253">
        <v>9999</v>
      </c>
      <c r="EG253">
        <v>112.8</v>
      </c>
      <c r="EH253">
        <v>4.9716399999999998</v>
      </c>
      <c r="EI253">
        <v>1.8717999999999999</v>
      </c>
      <c r="EJ253">
        <v>1.8690199999999999</v>
      </c>
      <c r="EK253">
        <v>1.8713900000000001</v>
      </c>
      <c r="EL253">
        <v>1.8691500000000001</v>
      </c>
      <c r="EM253">
        <v>1.8681300000000001</v>
      </c>
      <c r="EN253">
        <v>1.86995</v>
      </c>
      <c r="EO253">
        <v>1.8717699999999999</v>
      </c>
      <c r="EP253">
        <v>0</v>
      </c>
      <c r="EQ253">
        <v>0</v>
      </c>
      <c r="ER253">
        <v>0</v>
      </c>
      <c r="ES253">
        <v>0</v>
      </c>
      <c r="ET253" t="s">
        <v>334</v>
      </c>
      <c r="EU253" t="s">
        <v>335</v>
      </c>
      <c r="EV253" t="s">
        <v>336</v>
      </c>
      <c r="EW253" t="s">
        <v>336</v>
      </c>
      <c r="EX253" t="s">
        <v>336</v>
      </c>
      <c r="EY253" t="s">
        <v>336</v>
      </c>
      <c r="EZ253">
        <v>0</v>
      </c>
      <c r="FA253">
        <v>100</v>
      </c>
      <c r="FB253">
        <v>100</v>
      </c>
      <c r="FC253">
        <v>7.8979999999999997</v>
      </c>
      <c r="FD253">
        <v>-0.98929999999999996</v>
      </c>
      <c r="FE253">
        <v>7.9159571428571489</v>
      </c>
      <c r="FF253">
        <v>0</v>
      </c>
      <c r="FG253">
        <v>0</v>
      </c>
      <c r="FH253">
        <v>0</v>
      </c>
      <c r="FI253">
        <v>-0.98927100000000023</v>
      </c>
      <c r="FJ253">
        <v>0</v>
      </c>
      <c r="FK253">
        <v>0</v>
      </c>
      <c r="FL253">
        <v>0</v>
      </c>
      <c r="FM253">
        <v>-1</v>
      </c>
      <c r="FN253">
        <v>-1</v>
      </c>
      <c r="FO253">
        <v>-1</v>
      </c>
      <c r="FP253">
        <v>-1</v>
      </c>
      <c r="FQ253">
        <v>0.7</v>
      </c>
      <c r="FR253">
        <v>237.2</v>
      </c>
      <c r="FS253">
        <v>0.14160200000000001</v>
      </c>
      <c r="FT253">
        <v>4.99756</v>
      </c>
      <c r="FU253">
        <v>1.5979000000000001</v>
      </c>
      <c r="FV253">
        <v>2.1520999999999999</v>
      </c>
      <c r="FW253">
        <v>1.5478499999999999</v>
      </c>
      <c r="FX253">
        <v>2.4328599999999998</v>
      </c>
      <c r="FY253">
        <v>34.6235</v>
      </c>
      <c r="FZ253">
        <v>15.0777</v>
      </c>
      <c r="GA253">
        <v>3</v>
      </c>
      <c r="GB253">
        <v>498.69099999999997</v>
      </c>
      <c r="GC253">
        <v>406.911</v>
      </c>
      <c r="GD253">
        <v>28.139700000000001</v>
      </c>
      <c r="GE253">
        <v>29.4252</v>
      </c>
      <c r="GF253">
        <v>30.0001</v>
      </c>
      <c r="GG253">
        <v>29.713899999999999</v>
      </c>
      <c r="GH253">
        <v>29.764299999999999</v>
      </c>
      <c r="GI253">
        <v>-1</v>
      </c>
      <c r="GJ253">
        <v>0</v>
      </c>
      <c r="GK253">
        <v>100</v>
      </c>
      <c r="GL253">
        <v>28.1432</v>
      </c>
      <c r="GM253">
        <v>432.1</v>
      </c>
      <c r="GN253">
        <v>68.912800000000004</v>
      </c>
      <c r="GO253">
        <v>102.253</v>
      </c>
      <c r="GP253">
        <v>96.583299999999994</v>
      </c>
    </row>
    <row r="254" spans="1:198" x14ac:dyDescent="0.35">
      <c r="A254">
        <v>238</v>
      </c>
      <c r="B254">
        <v>1775495260.5</v>
      </c>
      <c r="C254">
        <v>14222</v>
      </c>
      <c r="D254" t="s">
        <v>1045</v>
      </c>
      <c r="E254" t="s">
        <v>1046</v>
      </c>
      <c r="F254">
        <v>60</v>
      </c>
      <c r="G254">
        <v>1775495252.75</v>
      </c>
      <c r="H254">
        <f t="shared" si="90"/>
        <v>2.1550383359824057E-3</v>
      </c>
      <c r="I254">
        <f t="shared" si="91"/>
        <v>2.1550383359824057</v>
      </c>
      <c r="J254">
        <f t="shared" si="92"/>
        <v>0.67724799566328708</v>
      </c>
      <c r="K254">
        <f t="shared" si="93"/>
        <v>34.368079999999999</v>
      </c>
      <c r="L254">
        <f t="shared" si="94"/>
        <v>13.835708731657002</v>
      </c>
      <c r="M254">
        <f t="shared" si="95"/>
        <v>1.3874540698203242</v>
      </c>
      <c r="N254">
        <f t="shared" si="96"/>
        <v>3.4464539108723851</v>
      </c>
      <c r="O254">
        <f t="shared" si="97"/>
        <v>5.7471256361219226E-2</v>
      </c>
      <c r="P254">
        <f t="shared" si="98"/>
        <v>2.392515620971527</v>
      </c>
      <c r="Q254">
        <f t="shared" si="99"/>
        <v>5.6715183339490473E-2</v>
      </c>
      <c r="R254">
        <f t="shared" si="100"/>
        <v>3.5514091015669269E-2</v>
      </c>
      <c r="S254">
        <f t="shared" si="101"/>
        <v>0</v>
      </c>
      <c r="T254">
        <f t="shared" si="102"/>
        <v>26.616753609835669</v>
      </c>
      <c r="U254">
        <f t="shared" si="103"/>
        <v>27.33627666666667</v>
      </c>
      <c r="V254">
        <f t="shared" si="104"/>
        <v>3.6504617171461557</v>
      </c>
      <c r="W254">
        <f t="shared" si="105"/>
        <v>-2.5365666477994742</v>
      </c>
      <c r="X254">
        <f t="shared" si="106"/>
        <v>-9.235881987965508E-2</v>
      </c>
      <c r="Y254">
        <f t="shared" si="107"/>
        <v>3.6410957291336437</v>
      </c>
      <c r="Z254">
        <f t="shared" si="108"/>
        <v>3.742820537025811</v>
      </c>
      <c r="AA254">
        <f t="shared" si="109"/>
        <v>-95.037190616824091</v>
      </c>
      <c r="AB254">
        <f t="shared" si="110"/>
        <v>-5.6551455976056459</v>
      </c>
      <c r="AC254">
        <f t="shared" si="111"/>
        <v>-0.51171540881996347</v>
      </c>
      <c r="AD254">
        <f t="shared" si="112"/>
        <v>-101.20405162324971</v>
      </c>
      <c r="AE254">
        <v>12</v>
      </c>
      <c r="AF254">
        <v>2</v>
      </c>
      <c r="AG254">
        <f t="shared" si="113"/>
        <v>1</v>
      </c>
      <c r="AH254">
        <f t="shared" si="114"/>
        <v>0</v>
      </c>
      <c r="AI254">
        <f t="shared" si="115"/>
        <v>25556.573223025298</v>
      </c>
      <c r="AJ254">
        <f t="shared" si="116"/>
        <v>0</v>
      </c>
      <c r="AK254">
        <f t="shared" si="117"/>
        <v>0</v>
      </c>
      <c r="AL254">
        <f t="shared" si="118"/>
        <v>0</v>
      </c>
      <c r="AM254">
        <f t="shared" si="119"/>
        <v>0</v>
      </c>
      <c r="AN254">
        <v>3</v>
      </c>
      <c r="AO254">
        <v>0.5</v>
      </c>
      <c r="AP254" t="s">
        <v>331</v>
      </c>
      <c r="AQ254">
        <v>2</v>
      </c>
      <c r="AR254">
        <v>1775495252.75</v>
      </c>
      <c r="AS254">
        <v>34.368079999999999</v>
      </c>
      <c r="AT254">
        <v>34.818856666666662</v>
      </c>
      <c r="AU254">
        <v>-0.92100326666666665</v>
      </c>
      <c r="AV254">
        <v>-2.2151860000000001</v>
      </c>
      <c r="AW254">
        <v>26.478079999999999</v>
      </c>
      <c r="AX254">
        <v>6.8267743333333339E-2</v>
      </c>
      <c r="AY254">
        <v>500.01203333333342</v>
      </c>
      <c r="AZ254">
        <v>100.24250000000001</v>
      </c>
      <c r="BA254">
        <v>3.816481666666667E-2</v>
      </c>
      <c r="BB254">
        <v>27.292433333333339</v>
      </c>
      <c r="BC254">
        <v>27.33627666666667</v>
      </c>
      <c r="BD254">
        <v>999.9000000000002</v>
      </c>
      <c r="BE254">
        <v>0</v>
      </c>
      <c r="BF254">
        <v>0</v>
      </c>
      <c r="BG254">
        <v>4999.4333333333334</v>
      </c>
      <c r="BH254">
        <v>0.37318713333333331</v>
      </c>
      <c r="BI254">
        <v>0.22961599999999999</v>
      </c>
      <c r="BJ254">
        <v>-0.4427035333333334</v>
      </c>
      <c r="BK254">
        <v>34.344523333333328</v>
      </c>
      <c r="BL254">
        <v>34.741906666666672</v>
      </c>
      <c r="BM254">
        <v>1.2941823333333331</v>
      </c>
      <c r="BN254">
        <v>34.818856666666662</v>
      </c>
      <c r="BO254">
        <v>-2.2151860000000001</v>
      </c>
      <c r="BP254">
        <v>-9.2323719999999998E-2</v>
      </c>
      <c r="BQ254">
        <v>-0.2220558333333334</v>
      </c>
      <c r="BR254">
        <v>-99.900000000000034</v>
      </c>
      <c r="BS254">
        <v>-99.900000000000034</v>
      </c>
      <c r="BT254">
        <v>0</v>
      </c>
      <c r="BU254">
        <v>0</v>
      </c>
      <c r="BV254">
        <v>0</v>
      </c>
      <c r="BW254">
        <v>25</v>
      </c>
      <c r="BX254">
        <v>-1</v>
      </c>
      <c r="BY254">
        <v>1775495276.5</v>
      </c>
      <c r="BZ254" t="s">
        <v>1047</v>
      </c>
      <c r="CA254">
        <v>1775495276.5</v>
      </c>
      <c r="CB254">
        <v>1775480969.5</v>
      </c>
      <c r="CC254">
        <v>239</v>
      </c>
      <c r="CD254">
        <v>-8.0000000000000002E-3</v>
      </c>
      <c r="CE254">
        <v>0.19500000000000001</v>
      </c>
      <c r="CF254">
        <v>7.89</v>
      </c>
      <c r="CG254">
        <v>-0.98899999999999999</v>
      </c>
      <c r="CH254">
        <v>35</v>
      </c>
      <c r="CI254">
        <v>-3</v>
      </c>
      <c r="CJ254">
        <v>0.21</v>
      </c>
      <c r="CK254">
        <v>0.06</v>
      </c>
      <c r="CL254">
        <v>34.922990163934429</v>
      </c>
      <c r="CM254">
        <v>-0.89956657852984179</v>
      </c>
      <c r="CN254">
        <v>0.18059119916188421</v>
      </c>
      <c r="CO254">
        <v>-1</v>
      </c>
      <c r="CP254">
        <v>500.12070491803269</v>
      </c>
      <c r="CQ254">
        <v>-1.27496351136973</v>
      </c>
      <c r="CR254">
        <v>0.4000868489429828</v>
      </c>
      <c r="CS254">
        <v>-1</v>
      </c>
      <c r="CT254">
        <v>0</v>
      </c>
      <c r="CU254">
        <v>0</v>
      </c>
      <c r="CV254" t="s">
        <v>333</v>
      </c>
      <c r="CW254">
        <v>3.1674199999999999</v>
      </c>
      <c r="CX254">
        <v>2.6593599999999999</v>
      </c>
      <c r="CY254">
        <v>7.8906199999999992E-3</v>
      </c>
      <c r="CZ254">
        <v>1.0422300000000001E-2</v>
      </c>
      <c r="DA254">
        <v>5.4312999999999996E-4</v>
      </c>
      <c r="DB254">
        <v>-2.0991200000000002E-2</v>
      </c>
      <c r="DC254">
        <v>21417.599999999999</v>
      </c>
      <c r="DD254">
        <v>21752.9</v>
      </c>
      <c r="DE254">
        <v>23114.7</v>
      </c>
      <c r="DF254">
        <v>22334</v>
      </c>
      <c r="DG254">
        <v>29792.1</v>
      </c>
      <c r="DH254">
        <v>27194.3</v>
      </c>
      <c r="DI254">
        <v>40624.300000000003</v>
      </c>
      <c r="DJ254">
        <v>37015.300000000003</v>
      </c>
      <c r="DK254">
        <v>2.0943000000000001</v>
      </c>
      <c r="DL254">
        <v>1.80552</v>
      </c>
      <c r="DM254">
        <v>3.2114999999999998E-2</v>
      </c>
      <c r="DN254">
        <v>0</v>
      </c>
      <c r="DO254">
        <v>26.807600000000001</v>
      </c>
      <c r="DP254">
        <v>999.9</v>
      </c>
      <c r="DQ254">
        <v>74.900000000000006</v>
      </c>
      <c r="DR254">
        <v>30.3</v>
      </c>
      <c r="DS254">
        <v>32.384599999999999</v>
      </c>
      <c r="DT254">
        <v>30.703800000000001</v>
      </c>
      <c r="DU254">
        <v>9.5232399999999995</v>
      </c>
      <c r="DV254">
        <v>1</v>
      </c>
      <c r="DW254">
        <v>0.16553899999999999</v>
      </c>
      <c r="DX254">
        <v>-0.54710700000000001</v>
      </c>
      <c r="DY254">
        <v>20.3674</v>
      </c>
      <c r="DZ254">
        <v>5.2123799999999996</v>
      </c>
      <c r="EA254">
        <v>11.8482</v>
      </c>
      <c r="EB254">
        <v>4.9679599999999997</v>
      </c>
      <c r="EC254">
        <v>3.2920600000000002</v>
      </c>
      <c r="ED254">
        <v>894.7</v>
      </c>
      <c r="EE254">
        <v>0</v>
      </c>
      <c r="EF254">
        <v>9999</v>
      </c>
      <c r="EG254">
        <v>112.8</v>
      </c>
      <c r="EH254">
        <v>4.9716399999999998</v>
      </c>
      <c r="EI254">
        <v>1.8717999999999999</v>
      </c>
      <c r="EJ254">
        <v>1.86903</v>
      </c>
      <c r="EK254">
        <v>1.8714</v>
      </c>
      <c r="EL254">
        <v>1.8691899999999999</v>
      </c>
      <c r="EM254">
        <v>1.8681300000000001</v>
      </c>
      <c r="EN254">
        <v>1.8699600000000001</v>
      </c>
      <c r="EO254">
        <v>1.8717600000000001</v>
      </c>
      <c r="EP254">
        <v>0</v>
      </c>
      <c r="EQ254">
        <v>0</v>
      </c>
      <c r="ER254">
        <v>0</v>
      </c>
      <c r="ES254">
        <v>0</v>
      </c>
      <c r="ET254" t="s">
        <v>334</v>
      </c>
      <c r="EU254" t="s">
        <v>335</v>
      </c>
      <c r="EV254" t="s">
        <v>336</v>
      </c>
      <c r="EW254" t="s">
        <v>336</v>
      </c>
      <c r="EX254" t="s">
        <v>336</v>
      </c>
      <c r="EY254" t="s">
        <v>336</v>
      </c>
      <c r="EZ254">
        <v>0</v>
      </c>
      <c r="FA254">
        <v>100</v>
      </c>
      <c r="FB254">
        <v>100</v>
      </c>
      <c r="FC254">
        <v>7.89</v>
      </c>
      <c r="FD254">
        <v>-0.98929999999999996</v>
      </c>
      <c r="FE254">
        <v>7.8980761904761856</v>
      </c>
      <c r="FF254">
        <v>0</v>
      </c>
      <c r="FG254">
        <v>0</v>
      </c>
      <c r="FH254">
        <v>0</v>
      </c>
      <c r="FI254">
        <v>-0.98927100000000023</v>
      </c>
      <c r="FJ254">
        <v>0</v>
      </c>
      <c r="FK254">
        <v>0</v>
      </c>
      <c r="FL254">
        <v>0</v>
      </c>
      <c r="FM254">
        <v>-1</v>
      </c>
      <c r="FN254">
        <v>-1</v>
      </c>
      <c r="FO254">
        <v>-1</v>
      </c>
      <c r="FP254">
        <v>-1</v>
      </c>
      <c r="FQ254">
        <v>0.6</v>
      </c>
      <c r="FR254">
        <v>238.2</v>
      </c>
      <c r="FS254">
        <v>0.14160200000000001</v>
      </c>
      <c r="FT254">
        <v>4.99756</v>
      </c>
      <c r="FU254">
        <v>1.5979000000000001</v>
      </c>
      <c r="FV254">
        <v>2.1520999999999999</v>
      </c>
      <c r="FW254">
        <v>1.5478499999999999</v>
      </c>
      <c r="FX254">
        <v>2.4340799999999998</v>
      </c>
      <c r="FY254">
        <v>34.6235</v>
      </c>
      <c r="FZ254">
        <v>15.0777</v>
      </c>
      <c r="GA254">
        <v>3</v>
      </c>
      <c r="GB254">
        <v>498.726</v>
      </c>
      <c r="GC254">
        <v>406.11599999999999</v>
      </c>
      <c r="GD254">
        <v>28.211600000000001</v>
      </c>
      <c r="GE254">
        <v>29.422699999999999</v>
      </c>
      <c r="GF254">
        <v>30.0001</v>
      </c>
      <c r="GG254">
        <v>29.713899999999999</v>
      </c>
      <c r="GH254">
        <v>29.7637</v>
      </c>
      <c r="GI254">
        <v>-1</v>
      </c>
      <c r="GJ254">
        <v>0</v>
      </c>
      <c r="GK254">
        <v>100</v>
      </c>
      <c r="GL254">
        <v>28.215</v>
      </c>
      <c r="GM254">
        <v>432.1</v>
      </c>
      <c r="GN254">
        <v>68.912800000000004</v>
      </c>
      <c r="GO254">
        <v>102.25700000000001</v>
      </c>
      <c r="GP254">
        <v>96.584699999999998</v>
      </c>
    </row>
    <row r="255" spans="1:198" x14ac:dyDescent="0.35">
      <c r="A255">
        <v>239</v>
      </c>
      <c r="B255">
        <v>1775495320.5</v>
      </c>
      <c r="C255">
        <v>14282</v>
      </c>
      <c r="D255" t="s">
        <v>1048</v>
      </c>
      <c r="E255" t="s">
        <v>1049</v>
      </c>
      <c r="F255">
        <v>60</v>
      </c>
      <c r="G255">
        <v>1775495312.5</v>
      </c>
      <c r="H255">
        <f t="shared" si="90"/>
        <v>2.1565872654679781E-3</v>
      </c>
      <c r="I255">
        <f t="shared" si="91"/>
        <v>2.1565872654679779</v>
      </c>
      <c r="J255">
        <f t="shared" si="92"/>
        <v>0.72533158881434412</v>
      </c>
      <c r="K255">
        <f t="shared" si="93"/>
        <v>34.099554838709672</v>
      </c>
      <c r="L255">
        <f t="shared" si="94"/>
        <v>12.280995243727618</v>
      </c>
      <c r="M255">
        <f t="shared" si="95"/>
        <v>1.2315370109129131</v>
      </c>
      <c r="N255">
        <f t="shared" si="96"/>
        <v>3.4195000491490197</v>
      </c>
      <c r="O255">
        <f t="shared" si="97"/>
        <v>5.7507535569659735E-2</v>
      </c>
      <c r="P255">
        <f t="shared" si="98"/>
        <v>2.390741758185984</v>
      </c>
      <c r="Q255">
        <f t="shared" si="99"/>
        <v>5.6749960763943119E-2</v>
      </c>
      <c r="R255">
        <f t="shared" si="100"/>
        <v>3.5535959066209571E-2</v>
      </c>
      <c r="S255">
        <f t="shared" si="101"/>
        <v>0</v>
      </c>
      <c r="T255">
        <f t="shared" si="102"/>
        <v>26.624092136860405</v>
      </c>
      <c r="U255">
        <f t="shared" si="103"/>
        <v>27.330161290322579</v>
      </c>
      <c r="V255">
        <f t="shared" si="104"/>
        <v>3.6491540654513202</v>
      </c>
      <c r="W255">
        <f t="shared" si="105"/>
        <v>-2.5828610997155046</v>
      </c>
      <c r="X255">
        <f t="shared" si="106"/>
        <v>-9.4090087102710857E-2</v>
      </c>
      <c r="Y255">
        <f t="shared" si="107"/>
        <v>3.6428628358325055</v>
      </c>
      <c r="Z255">
        <f t="shared" si="108"/>
        <v>3.743244152554031</v>
      </c>
      <c r="AA255">
        <f t="shared" si="109"/>
        <v>-95.10549840713783</v>
      </c>
      <c r="AB255">
        <f t="shared" si="110"/>
        <v>-3.7955928851391807</v>
      </c>
      <c r="AC255">
        <f t="shared" si="111"/>
        <v>-0.34370918326022909</v>
      </c>
      <c r="AD255">
        <f t="shared" si="112"/>
        <v>-99.244800475537247</v>
      </c>
      <c r="AE255">
        <v>12</v>
      </c>
      <c r="AF255">
        <v>2</v>
      </c>
      <c r="AG255">
        <f t="shared" si="113"/>
        <v>1</v>
      </c>
      <c r="AH255">
        <f t="shared" si="114"/>
        <v>0</v>
      </c>
      <c r="AI255">
        <f t="shared" si="115"/>
        <v>25528.938438227276</v>
      </c>
      <c r="AJ255">
        <f t="shared" si="116"/>
        <v>0</v>
      </c>
      <c r="AK255">
        <f t="shared" si="117"/>
        <v>0</v>
      </c>
      <c r="AL255">
        <f t="shared" si="118"/>
        <v>0</v>
      </c>
      <c r="AM255">
        <f t="shared" si="119"/>
        <v>0</v>
      </c>
      <c r="AN255">
        <v>3</v>
      </c>
      <c r="AO255">
        <v>0.5</v>
      </c>
      <c r="AP255" t="s">
        <v>331</v>
      </c>
      <c r="AQ255">
        <v>2</v>
      </c>
      <c r="AR255">
        <v>1775495312.5</v>
      </c>
      <c r="AS255">
        <v>34.099554838709672</v>
      </c>
      <c r="AT255">
        <v>34.578899999999997</v>
      </c>
      <c r="AU255">
        <v>-0.93827461290322589</v>
      </c>
      <c r="AV255">
        <v>-2.2335032258064511</v>
      </c>
      <c r="AW255">
        <v>26.19955483870967</v>
      </c>
      <c r="AX255">
        <v>5.0996370967741927E-2</v>
      </c>
      <c r="AY255">
        <v>499.97600000000011</v>
      </c>
      <c r="AZ255">
        <v>100.24151612903231</v>
      </c>
      <c r="BA255">
        <v>3.8386800000000013E-2</v>
      </c>
      <c r="BB255">
        <v>27.300712903225801</v>
      </c>
      <c r="BC255">
        <v>27.330161290322579</v>
      </c>
      <c r="BD255">
        <v>999.90000000000032</v>
      </c>
      <c r="BE255">
        <v>0</v>
      </c>
      <c r="BF255">
        <v>0</v>
      </c>
      <c r="BG255">
        <v>4994.9193548387093</v>
      </c>
      <c r="BH255">
        <v>0.35913770967741943</v>
      </c>
      <c r="BI255">
        <v>0.22961599999999999</v>
      </c>
      <c r="BJ255">
        <v>-0.48952816129032273</v>
      </c>
      <c r="BK255">
        <v>34.057406451612913</v>
      </c>
      <c r="BL255">
        <v>34.501819354838723</v>
      </c>
      <c r="BM255">
        <v>1.295229032258064</v>
      </c>
      <c r="BN255">
        <v>34.578899999999997</v>
      </c>
      <c r="BO255">
        <v>-2.2335032258064511</v>
      </c>
      <c r="BP255">
        <v>-9.4054054838709669E-2</v>
      </c>
      <c r="BQ255">
        <v>-0.22388964516129031</v>
      </c>
      <c r="BR255">
        <v>-99.900000000000034</v>
      </c>
      <c r="BS255">
        <v>-99.900000000000034</v>
      </c>
      <c r="BT255">
        <v>0</v>
      </c>
      <c r="BU255">
        <v>0</v>
      </c>
      <c r="BV255">
        <v>0</v>
      </c>
      <c r="BW255">
        <v>25</v>
      </c>
      <c r="BX255">
        <v>-1</v>
      </c>
      <c r="BY255">
        <v>1775495337.5</v>
      </c>
      <c r="BZ255" t="s">
        <v>1050</v>
      </c>
      <c r="CA255">
        <v>1775495337.5</v>
      </c>
      <c r="CB255">
        <v>1775480969.5</v>
      </c>
      <c r="CC255">
        <v>240</v>
      </c>
      <c r="CD255">
        <v>0.01</v>
      </c>
      <c r="CE255">
        <v>0.19500000000000001</v>
      </c>
      <c r="CF255">
        <v>7.9</v>
      </c>
      <c r="CG255">
        <v>-0.98899999999999999</v>
      </c>
      <c r="CH255">
        <v>35</v>
      </c>
      <c r="CI255">
        <v>-3</v>
      </c>
      <c r="CJ255">
        <v>0.25</v>
      </c>
      <c r="CK255">
        <v>0.06</v>
      </c>
      <c r="CL255">
        <v>34.593926229508199</v>
      </c>
      <c r="CM255">
        <v>-0.2071316763617401</v>
      </c>
      <c r="CN255">
        <v>8.2477044797751017E-2</v>
      </c>
      <c r="CO255">
        <v>-1</v>
      </c>
      <c r="CP255">
        <v>499.99947540983601</v>
      </c>
      <c r="CQ255">
        <v>-0.11720782654679369</v>
      </c>
      <c r="CR255">
        <v>6.8013886373193111E-2</v>
      </c>
      <c r="CS255">
        <v>-1</v>
      </c>
      <c r="CT255">
        <v>0</v>
      </c>
      <c r="CU255">
        <v>0</v>
      </c>
      <c r="CV255" t="s">
        <v>333</v>
      </c>
      <c r="CW255">
        <v>3.1674099999999998</v>
      </c>
      <c r="CX255">
        <v>2.6595900000000001</v>
      </c>
      <c r="CY255">
        <v>7.8088699999999999E-3</v>
      </c>
      <c r="CZ255">
        <v>1.0391299999999999E-2</v>
      </c>
      <c r="DA255">
        <v>4.1975999999999998E-4</v>
      </c>
      <c r="DB255">
        <v>-2.11913E-2</v>
      </c>
      <c r="DC255">
        <v>21419.8</v>
      </c>
      <c r="DD255">
        <v>21754.2</v>
      </c>
      <c r="DE255">
        <v>23115.200000000001</v>
      </c>
      <c r="DF255">
        <v>22334.6</v>
      </c>
      <c r="DG255">
        <v>29796.2</v>
      </c>
      <c r="DH255">
        <v>27200.2</v>
      </c>
      <c r="DI255">
        <v>40625</v>
      </c>
      <c r="DJ255">
        <v>37016.199999999997</v>
      </c>
      <c r="DK255">
        <v>2.0946600000000002</v>
      </c>
      <c r="DL255">
        <v>1.8053399999999999</v>
      </c>
      <c r="DM255">
        <v>3.33935E-2</v>
      </c>
      <c r="DN255">
        <v>0</v>
      </c>
      <c r="DO255">
        <v>26.787700000000001</v>
      </c>
      <c r="DP255">
        <v>999.9</v>
      </c>
      <c r="DQ255">
        <v>74.900000000000006</v>
      </c>
      <c r="DR255">
        <v>30.3</v>
      </c>
      <c r="DS255">
        <v>32.389600000000002</v>
      </c>
      <c r="DT255">
        <v>30.223800000000001</v>
      </c>
      <c r="DU255">
        <v>9.5753199999999996</v>
      </c>
      <c r="DV255">
        <v>1</v>
      </c>
      <c r="DW255">
        <v>0.164827</v>
      </c>
      <c r="DX255">
        <v>-0.50067300000000003</v>
      </c>
      <c r="DY255">
        <v>20.3674</v>
      </c>
      <c r="DZ255">
        <v>5.2127400000000002</v>
      </c>
      <c r="EA255">
        <v>11.8482</v>
      </c>
      <c r="EB255">
        <v>4.9680799999999996</v>
      </c>
      <c r="EC255">
        <v>3.2920400000000001</v>
      </c>
      <c r="ED255">
        <v>894.7</v>
      </c>
      <c r="EE255">
        <v>0</v>
      </c>
      <c r="EF255">
        <v>9999</v>
      </c>
      <c r="EG255">
        <v>112.8</v>
      </c>
      <c r="EH255">
        <v>4.9716500000000003</v>
      </c>
      <c r="EI255">
        <v>1.8717999999999999</v>
      </c>
      <c r="EJ255">
        <v>1.8690500000000001</v>
      </c>
      <c r="EK255">
        <v>1.8714299999999999</v>
      </c>
      <c r="EL255">
        <v>1.8692</v>
      </c>
      <c r="EM255">
        <v>1.8681300000000001</v>
      </c>
      <c r="EN255">
        <v>1.8699600000000001</v>
      </c>
      <c r="EO255">
        <v>1.87178</v>
      </c>
      <c r="EP255">
        <v>0</v>
      </c>
      <c r="EQ255">
        <v>0</v>
      </c>
      <c r="ER255">
        <v>0</v>
      </c>
      <c r="ES255">
        <v>0</v>
      </c>
      <c r="ET255" t="s">
        <v>334</v>
      </c>
      <c r="EU255" t="s">
        <v>335</v>
      </c>
      <c r="EV255" t="s">
        <v>336</v>
      </c>
      <c r="EW255" t="s">
        <v>336</v>
      </c>
      <c r="EX255" t="s">
        <v>336</v>
      </c>
      <c r="EY255" t="s">
        <v>336</v>
      </c>
      <c r="EZ255">
        <v>0</v>
      </c>
      <c r="FA255">
        <v>100</v>
      </c>
      <c r="FB255">
        <v>100</v>
      </c>
      <c r="FC255">
        <v>7.9</v>
      </c>
      <c r="FD255">
        <v>-0.98929999999999996</v>
      </c>
      <c r="FE255">
        <v>7.889800000000001</v>
      </c>
      <c r="FF255">
        <v>0</v>
      </c>
      <c r="FG255">
        <v>0</v>
      </c>
      <c r="FH255">
        <v>0</v>
      </c>
      <c r="FI255">
        <v>-0.98927100000000023</v>
      </c>
      <c r="FJ255">
        <v>0</v>
      </c>
      <c r="FK255">
        <v>0</v>
      </c>
      <c r="FL255">
        <v>0</v>
      </c>
      <c r="FM255">
        <v>-1</v>
      </c>
      <c r="FN255">
        <v>-1</v>
      </c>
      <c r="FO255">
        <v>-1</v>
      </c>
      <c r="FP255">
        <v>-1</v>
      </c>
      <c r="FQ255">
        <v>0.7</v>
      </c>
      <c r="FR255">
        <v>239.2</v>
      </c>
      <c r="FS255">
        <v>0.14160200000000001</v>
      </c>
      <c r="FT255">
        <v>4.99756</v>
      </c>
      <c r="FU255">
        <v>1.5979000000000001</v>
      </c>
      <c r="FV255">
        <v>2.1520999999999999</v>
      </c>
      <c r="FW255">
        <v>1.5478499999999999</v>
      </c>
      <c r="FX255">
        <v>2.4633799999999999</v>
      </c>
      <c r="FY255">
        <v>34.6235</v>
      </c>
      <c r="FZ255">
        <v>15.068899999999999</v>
      </c>
      <c r="GA255">
        <v>3</v>
      </c>
      <c r="GB255">
        <v>498.887</v>
      </c>
      <c r="GC255">
        <v>405.98</v>
      </c>
      <c r="GD255">
        <v>28.171399999999998</v>
      </c>
      <c r="GE255">
        <v>29.414999999999999</v>
      </c>
      <c r="GF255">
        <v>30</v>
      </c>
      <c r="GG255">
        <v>29.707599999999999</v>
      </c>
      <c r="GH255">
        <v>29.758700000000001</v>
      </c>
      <c r="GI255">
        <v>-1</v>
      </c>
      <c r="GJ255">
        <v>0</v>
      </c>
      <c r="GK255">
        <v>100</v>
      </c>
      <c r="GL255">
        <v>28.175599999999999</v>
      </c>
      <c r="GM255">
        <v>432.1</v>
      </c>
      <c r="GN255">
        <v>68.912800000000004</v>
      </c>
      <c r="GO255">
        <v>102.259</v>
      </c>
      <c r="GP255">
        <v>96.587100000000007</v>
      </c>
    </row>
    <row r="258" spans="15:15" x14ac:dyDescent="0.35">
      <c r="O258" s="1">
        <f>AVERAGE(O17:O255)</f>
        <v>6.746905074743989E-2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  <row r="18" spans="1:2" x14ac:dyDescent="0.35">
      <c r="A18" t="s">
        <v>34</v>
      </c>
      <c r="B18" t="s">
        <v>35</v>
      </c>
    </row>
    <row r="19" spans="1:2" x14ac:dyDescent="0.35">
      <c r="A19" t="s">
        <v>36</v>
      </c>
      <c r="B1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Ozkar Homzah</cp:lastModifiedBy>
  <dcterms:created xsi:type="dcterms:W3CDTF">2026-04-06T17:09:28Z</dcterms:created>
  <dcterms:modified xsi:type="dcterms:W3CDTF">2026-04-07T07:43:51Z</dcterms:modified>
</cp:coreProperties>
</file>