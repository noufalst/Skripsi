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engukuran 2025\Data LiCOR\Penelitian GreenRoof (soil) 2026\"/>
    </mc:Choice>
  </mc:AlternateContent>
  <xr:revisionPtr revIDLastSave="0" documentId="13_ncr:1_{26A7764F-D706-4EF9-B555-CB36835CDA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36" i="1" l="1"/>
  <c r="AL136" i="1"/>
  <c r="AJ136" i="1"/>
  <c r="S136" i="1" s="1"/>
  <c r="AI136" i="1"/>
  <c r="AG136" i="1" s="1"/>
  <c r="Y136" i="1"/>
  <c r="X136" i="1"/>
  <c r="P136" i="1"/>
  <c r="AM135" i="1"/>
  <c r="AL135" i="1"/>
  <c r="AJ135" i="1"/>
  <c r="S135" i="1" s="1"/>
  <c r="AI135" i="1"/>
  <c r="AG135" i="1" s="1"/>
  <c r="AH135" i="1" s="1"/>
  <c r="Y135" i="1"/>
  <c r="X135" i="1"/>
  <c r="P135" i="1"/>
  <c r="AM134" i="1"/>
  <c r="AL134" i="1"/>
  <c r="AJ134" i="1"/>
  <c r="AI134" i="1"/>
  <c r="AG134" i="1"/>
  <c r="N134" i="1" s="1"/>
  <c r="Y134" i="1"/>
  <c r="X134" i="1"/>
  <c r="P134" i="1"/>
  <c r="AM133" i="1"/>
  <c r="AL133" i="1"/>
  <c r="AJ133" i="1"/>
  <c r="AK133" i="1" s="1"/>
  <c r="AI133" i="1"/>
  <c r="AG133" i="1" s="1"/>
  <c r="N133" i="1" s="1"/>
  <c r="Y133" i="1"/>
  <c r="X133" i="1"/>
  <c r="P133" i="1"/>
  <c r="AM132" i="1"/>
  <c r="AL132" i="1"/>
  <c r="AJ132" i="1"/>
  <c r="AI132" i="1"/>
  <c r="AG132" i="1" s="1"/>
  <c r="I132" i="1" s="1"/>
  <c r="H132" i="1" s="1"/>
  <c r="AA132" i="1" s="1"/>
  <c r="Y132" i="1"/>
  <c r="X132" i="1"/>
  <c r="P132" i="1"/>
  <c r="AM131" i="1"/>
  <c r="AL131" i="1"/>
  <c r="AJ131" i="1"/>
  <c r="AI131" i="1"/>
  <c r="AG131" i="1" s="1"/>
  <c r="Y131" i="1"/>
  <c r="X131" i="1"/>
  <c r="P131" i="1"/>
  <c r="AM130" i="1"/>
  <c r="AL130" i="1"/>
  <c r="AJ130" i="1"/>
  <c r="AI130" i="1"/>
  <c r="AG130" i="1" s="1"/>
  <c r="N130" i="1" s="1"/>
  <c r="Y130" i="1"/>
  <c r="X130" i="1"/>
  <c r="P130" i="1"/>
  <c r="AM129" i="1"/>
  <c r="AL129" i="1"/>
  <c r="AJ129" i="1"/>
  <c r="AI129" i="1"/>
  <c r="AG129" i="1" s="1"/>
  <c r="N129" i="1" s="1"/>
  <c r="Y129" i="1"/>
  <c r="X129" i="1"/>
  <c r="P129" i="1"/>
  <c r="AM128" i="1"/>
  <c r="AL128" i="1"/>
  <c r="AJ128" i="1"/>
  <c r="AI128" i="1"/>
  <c r="AG128" i="1" s="1"/>
  <c r="J128" i="1" s="1"/>
  <c r="Y128" i="1"/>
  <c r="X128" i="1"/>
  <c r="P128" i="1"/>
  <c r="AM127" i="1"/>
  <c r="AL127" i="1"/>
  <c r="AJ127" i="1"/>
  <c r="AI127" i="1"/>
  <c r="AG127" i="1" s="1"/>
  <c r="I127" i="1" s="1"/>
  <c r="H127" i="1" s="1"/>
  <c r="Y127" i="1"/>
  <c r="X127" i="1"/>
  <c r="P127" i="1"/>
  <c r="AM126" i="1"/>
  <c r="AL126" i="1"/>
  <c r="AJ126" i="1"/>
  <c r="AI126" i="1"/>
  <c r="AG126" i="1" s="1"/>
  <c r="N126" i="1" s="1"/>
  <c r="Y126" i="1"/>
  <c r="X126" i="1"/>
  <c r="P126" i="1"/>
  <c r="AM125" i="1"/>
  <c r="AL125" i="1"/>
  <c r="AJ125" i="1"/>
  <c r="AI125" i="1"/>
  <c r="AG125" i="1" s="1"/>
  <c r="Y125" i="1"/>
  <c r="X125" i="1"/>
  <c r="P125" i="1"/>
  <c r="AM124" i="1"/>
  <c r="S124" i="1" s="1"/>
  <c r="AL124" i="1"/>
  <c r="AJ124" i="1"/>
  <c r="AI124" i="1"/>
  <c r="AG124" i="1" s="1"/>
  <c r="N124" i="1" s="1"/>
  <c r="Y124" i="1"/>
  <c r="X124" i="1"/>
  <c r="P124" i="1"/>
  <c r="AM123" i="1"/>
  <c r="AL123" i="1"/>
  <c r="AJ123" i="1"/>
  <c r="AI123" i="1"/>
  <c r="AG123" i="1" s="1"/>
  <c r="I123" i="1" s="1"/>
  <c r="H123" i="1" s="1"/>
  <c r="Y123" i="1"/>
  <c r="X123" i="1"/>
  <c r="P123" i="1"/>
  <c r="AM122" i="1"/>
  <c r="AL122" i="1"/>
  <c r="AJ122" i="1"/>
  <c r="AI122" i="1"/>
  <c r="AG122" i="1" s="1"/>
  <c r="Y122" i="1"/>
  <c r="X122" i="1"/>
  <c r="P122" i="1"/>
  <c r="AM121" i="1"/>
  <c r="AL121" i="1"/>
  <c r="AJ121" i="1"/>
  <c r="AI121" i="1"/>
  <c r="AG121" i="1" s="1"/>
  <c r="AH121" i="1" s="1"/>
  <c r="Y121" i="1"/>
  <c r="X121" i="1"/>
  <c r="P121" i="1"/>
  <c r="AM120" i="1"/>
  <c r="AL120" i="1"/>
  <c r="AJ120" i="1"/>
  <c r="AI120" i="1"/>
  <c r="AG120" i="1" s="1"/>
  <c r="J120" i="1" s="1"/>
  <c r="Y120" i="1"/>
  <c r="X120" i="1"/>
  <c r="P120" i="1"/>
  <c r="AM119" i="1"/>
  <c r="AL119" i="1"/>
  <c r="AJ119" i="1"/>
  <c r="AI119" i="1"/>
  <c r="AG119" i="1" s="1"/>
  <c r="AH119" i="1" s="1"/>
  <c r="Y119" i="1"/>
  <c r="X119" i="1"/>
  <c r="P119" i="1"/>
  <c r="AM118" i="1"/>
  <c r="AL118" i="1"/>
  <c r="AJ118" i="1"/>
  <c r="AI118" i="1"/>
  <c r="AG118" i="1" s="1"/>
  <c r="J118" i="1" s="1"/>
  <c r="Y118" i="1"/>
  <c r="X118" i="1"/>
  <c r="P118" i="1"/>
  <c r="AM117" i="1"/>
  <c r="AL117" i="1"/>
  <c r="AJ117" i="1"/>
  <c r="AI117" i="1"/>
  <c r="AG117" i="1" s="1"/>
  <c r="AH117" i="1" s="1"/>
  <c r="Y117" i="1"/>
  <c r="X117" i="1"/>
  <c r="P117" i="1"/>
  <c r="AM116" i="1"/>
  <c r="AL116" i="1"/>
  <c r="AJ116" i="1"/>
  <c r="AI116" i="1"/>
  <c r="AG116" i="1" s="1"/>
  <c r="Y116" i="1"/>
  <c r="X116" i="1"/>
  <c r="P116" i="1"/>
  <c r="AM115" i="1"/>
  <c r="AL115" i="1"/>
  <c r="AJ115" i="1"/>
  <c r="AI115" i="1"/>
  <c r="AG115" i="1" s="1"/>
  <c r="I115" i="1" s="1"/>
  <c r="H115" i="1" s="1"/>
  <c r="AA115" i="1" s="1"/>
  <c r="Y115" i="1"/>
  <c r="X115" i="1"/>
  <c r="P115" i="1"/>
  <c r="AM114" i="1"/>
  <c r="AL114" i="1"/>
  <c r="AJ114" i="1"/>
  <c r="AI114" i="1"/>
  <c r="AG114" i="1" s="1"/>
  <c r="Y114" i="1"/>
  <c r="X114" i="1"/>
  <c r="P114" i="1"/>
  <c r="AM113" i="1"/>
  <c r="AL113" i="1"/>
  <c r="AJ113" i="1"/>
  <c r="AI113" i="1"/>
  <c r="AG113" i="1" s="1"/>
  <c r="AH113" i="1" s="1"/>
  <c r="Y113" i="1"/>
  <c r="X113" i="1"/>
  <c r="P113" i="1"/>
  <c r="AM112" i="1"/>
  <c r="AL112" i="1"/>
  <c r="AJ112" i="1"/>
  <c r="AI112" i="1"/>
  <c r="AG112" i="1" s="1"/>
  <c r="K112" i="1" s="1"/>
  <c r="Y112" i="1"/>
  <c r="X112" i="1"/>
  <c r="P112" i="1"/>
  <c r="AM111" i="1"/>
  <c r="AL111" i="1"/>
  <c r="AJ111" i="1"/>
  <c r="AI111" i="1"/>
  <c r="AG111" i="1" s="1"/>
  <c r="AH111" i="1" s="1"/>
  <c r="Y111" i="1"/>
  <c r="X111" i="1"/>
  <c r="P111" i="1"/>
  <c r="AM110" i="1"/>
  <c r="AL110" i="1"/>
  <c r="AJ110" i="1"/>
  <c r="AI110" i="1"/>
  <c r="AG110" i="1" s="1"/>
  <c r="Y110" i="1"/>
  <c r="X110" i="1"/>
  <c r="P110" i="1"/>
  <c r="AM109" i="1"/>
  <c r="AL109" i="1"/>
  <c r="AJ109" i="1"/>
  <c r="AI109" i="1"/>
  <c r="AG109" i="1" s="1"/>
  <c r="N109" i="1" s="1"/>
  <c r="Y109" i="1"/>
  <c r="X109" i="1"/>
  <c r="P109" i="1"/>
  <c r="AM108" i="1"/>
  <c r="AL108" i="1"/>
  <c r="AJ108" i="1"/>
  <c r="AK108" i="1" s="1"/>
  <c r="AI108" i="1"/>
  <c r="AG108" i="1" s="1"/>
  <c r="AH108" i="1" s="1"/>
  <c r="Y108" i="1"/>
  <c r="X108" i="1"/>
  <c r="P108" i="1"/>
  <c r="AM107" i="1"/>
  <c r="AL107" i="1"/>
  <c r="AJ107" i="1"/>
  <c r="AI107" i="1"/>
  <c r="AG107" i="1" s="1"/>
  <c r="I107" i="1" s="1"/>
  <c r="H107" i="1" s="1"/>
  <c r="Y107" i="1"/>
  <c r="X107" i="1"/>
  <c r="P107" i="1"/>
  <c r="AM106" i="1"/>
  <c r="AL106" i="1"/>
  <c r="AJ106" i="1"/>
  <c r="AI106" i="1"/>
  <c r="AG106" i="1" s="1"/>
  <c r="J106" i="1" s="1"/>
  <c r="Y106" i="1"/>
  <c r="X106" i="1"/>
  <c r="P106" i="1"/>
  <c r="AM105" i="1"/>
  <c r="AL105" i="1"/>
  <c r="AJ105" i="1"/>
  <c r="AI105" i="1"/>
  <c r="AG105" i="1" s="1"/>
  <c r="K105" i="1" s="1"/>
  <c r="Y105" i="1"/>
  <c r="X105" i="1"/>
  <c r="P105" i="1"/>
  <c r="AM104" i="1"/>
  <c r="AL104" i="1"/>
  <c r="AJ104" i="1"/>
  <c r="AI104" i="1"/>
  <c r="AG104" i="1" s="1"/>
  <c r="N104" i="1" s="1"/>
  <c r="Y104" i="1"/>
  <c r="X104" i="1"/>
  <c r="P104" i="1"/>
  <c r="AM103" i="1"/>
  <c r="AL103" i="1"/>
  <c r="AJ103" i="1"/>
  <c r="AI103" i="1"/>
  <c r="AG103" i="1" s="1"/>
  <c r="K103" i="1" s="1"/>
  <c r="Y103" i="1"/>
  <c r="X103" i="1"/>
  <c r="P103" i="1"/>
  <c r="AM102" i="1"/>
  <c r="AL102" i="1"/>
  <c r="AJ102" i="1"/>
  <c r="AI102" i="1"/>
  <c r="AG102" i="1" s="1"/>
  <c r="I102" i="1" s="1"/>
  <c r="H102" i="1" s="1"/>
  <c r="AA102" i="1" s="1"/>
  <c r="Y102" i="1"/>
  <c r="X102" i="1"/>
  <c r="P102" i="1"/>
  <c r="AM101" i="1"/>
  <c r="AL101" i="1"/>
  <c r="AJ101" i="1"/>
  <c r="AI101" i="1"/>
  <c r="AG101" i="1" s="1"/>
  <c r="K101" i="1" s="1"/>
  <c r="Y101" i="1"/>
  <c r="X101" i="1"/>
  <c r="P101" i="1"/>
  <c r="AM100" i="1"/>
  <c r="AL100" i="1"/>
  <c r="AJ100" i="1"/>
  <c r="AI100" i="1"/>
  <c r="AG100" i="1" s="1"/>
  <c r="N100" i="1" s="1"/>
  <c r="Y100" i="1"/>
  <c r="X100" i="1"/>
  <c r="P100" i="1"/>
  <c r="AM99" i="1"/>
  <c r="AL99" i="1"/>
  <c r="AJ99" i="1"/>
  <c r="AI99" i="1"/>
  <c r="AG99" i="1" s="1"/>
  <c r="K99" i="1" s="1"/>
  <c r="Y99" i="1"/>
  <c r="X99" i="1"/>
  <c r="P99" i="1"/>
  <c r="AM98" i="1"/>
  <c r="AL98" i="1"/>
  <c r="AJ98" i="1"/>
  <c r="AI98" i="1"/>
  <c r="AG98" i="1" s="1"/>
  <c r="J98" i="1" s="1"/>
  <c r="Y98" i="1"/>
  <c r="X98" i="1"/>
  <c r="P98" i="1"/>
  <c r="AM97" i="1"/>
  <c r="AL97" i="1"/>
  <c r="AJ97" i="1"/>
  <c r="AI97" i="1"/>
  <c r="AG97" i="1" s="1"/>
  <c r="K97" i="1" s="1"/>
  <c r="Y97" i="1"/>
  <c r="X97" i="1"/>
  <c r="P97" i="1"/>
  <c r="AM96" i="1"/>
  <c r="AL96" i="1"/>
  <c r="AJ96" i="1"/>
  <c r="AI96" i="1"/>
  <c r="AG96" i="1" s="1"/>
  <c r="Y96" i="1"/>
  <c r="X96" i="1"/>
  <c r="P96" i="1"/>
  <c r="AM95" i="1"/>
  <c r="AL95" i="1"/>
  <c r="AJ95" i="1"/>
  <c r="AI95" i="1"/>
  <c r="AG95" i="1" s="1"/>
  <c r="K95" i="1" s="1"/>
  <c r="Y95" i="1"/>
  <c r="X95" i="1"/>
  <c r="P95" i="1"/>
  <c r="AM94" i="1"/>
  <c r="AL94" i="1"/>
  <c r="AJ94" i="1"/>
  <c r="AI94" i="1"/>
  <c r="AG94" i="1" s="1"/>
  <c r="Y94" i="1"/>
  <c r="X94" i="1"/>
  <c r="P94" i="1"/>
  <c r="AM93" i="1"/>
  <c r="AL93" i="1"/>
  <c r="AJ93" i="1"/>
  <c r="AI93" i="1"/>
  <c r="AG93" i="1" s="1"/>
  <c r="K93" i="1" s="1"/>
  <c r="Y93" i="1"/>
  <c r="X93" i="1"/>
  <c r="P93" i="1"/>
  <c r="AM92" i="1"/>
  <c r="AL92" i="1"/>
  <c r="AJ92" i="1"/>
  <c r="AI92" i="1"/>
  <c r="AG92" i="1" s="1"/>
  <c r="N92" i="1" s="1"/>
  <c r="Y92" i="1"/>
  <c r="X92" i="1"/>
  <c r="P92" i="1"/>
  <c r="AM91" i="1"/>
  <c r="AL91" i="1"/>
  <c r="AJ91" i="1"/>
  <c r="AI91" i="1"/>
  <c r="AG91" i="1" s="1"/>
  <c r="K91" i="1" s="1"/>
  <c r="Y91" i="1"/>
  <c r="X91" i="1"/>
  <c r="W91" i="1" s="1"/>
  <c r="P91" i="1"/>
  <c r="AM90" i="1"/>
  <c r="AL90" i="1"/>
  <c r="AJ90" i="1"/>
  <c r="AI90" i="1"/>
  <c r="AG90" i="1" s="1"/>
  <c r="I90" i="1" s="1"/>
  <c r="H90" i="1" s="1"/>
  <c r="AA90" i="1" s="1"/>
  <c r="Y90" i="1"/>
  <c r="X90" i="1"/>
  <c r="P90" i="1"/>
  <c r="AM89" i="1"/>
  <c r="AL89" i="1"/>
  <c r="AJ89" i="1"/>
  <c r="AI89" i="1"/>
  <c r="AG89" i="1" s="1"/>
  <c r="AH89" i="1" s="1"/>
  <c r="Y89" i="1"/>
  <c r="X89" i="1"/>
  <c r="P89" i="1"/>
  <c r="AM88" i="1"/>
  <c r="AL88" i="1"/>
  <c r="AJ88" i="1"/>
  <c r="AI88" i="1"/>
  <c r="AG88" i="1" s="1"/>
  <c r="Y88" i="1"/>
  <c r="X88" i="1"/>
  <c r="W88" i="1" s="1"/>
  <c r="P88" i="1"/>
  <c r="AM87" i="1"/>
  <c r="AL87" i="1"/>
  <c r="AJ87" i="1"/>
  <c r="AI87" i="1"/>
  <c r="AG87" i="1" s="1"/>
  <c r="AH87" i="1" s="1"/>
  <c r="Y87" i="1"/>
  <c r="X87" i="1"/>
  <c r="P87" i="1"/>
  <c r="AM86" i="1"/>
  <c r="AL86" i="1"/>
  <c r="AJ86" i="1"/>
  <c r="AI86" i="1"/>
  <c r="AG86" i="1" s="1"/>
  <c r="N86" i="1" s="1"/>
  <c r="Y86" i="1"/>
  <c r="X86" i="1"/>
  <c r="P86" i="1"/>
  <c r="AM85" i="1"/>
  <c r="AL85" i="1"/>
  <c r="AJ85" i="1"/>
  <c r="AI85" i="1"/>
  <c r="AG85" i="1" s="1"/>
  <c r="AH85" i="1" s="1"/>
  <c r="Y85" i="1"/>
  <c r="X85" i="1"/>
  <c r="P85" i="1"/>
  <c r="I85" i="1"/>
  <c r="H85" i="1" s="1"/>
  <c r="AM84" i="1"/>
  <c r="AL84" i="1"/>
  <c r="AJ84" i="1"/>
  <c r="AI84" i="1"/>
  <c r="AG84" i="1" s="1"/>
  <c r="J84" i="1" s="1"/>
  <c r="Y84" i="1"/>
  <c r="X84" i="1"/>
  <c r="P84" i="1"/>
  <c r="AM83" i="1"/>
  <c r="AL83" i="1"/>
  <c r="AJ83" i="1"/>
  <c r="AI83" i="1"/>
  <c r="AG83" i="1" s="1"/>
  <c r="Y83" i="1"/>
  <c r="X83" i="1"/>
  <c r="P83" i="1"/>
  <c r="AM82" i="1"/>
  <c r="AL82" i="1"/>
  <c r="AJ82" i="1"/>
  <c r="AI82" i="1"/>
  <c r="AG82" i="1" s="1"/>
  <c r="I82" i="1" s="1"/>
  <c r="H82" i="1" s="1"/>
  <c r="Y82" i="1"/>
  <c r="X82" i="1"/>
  <c r="P82" i="1"/>
  <c r="AM81" i="1"/>
  <c r="AL81" i="1"/>
  <c r="AJ81" i="1"/>
  <c r="AI81" i="1"/>
  <c r="AG81" i="1" s="1"/>
  <c r="N81" i="1" s="1"/>
  <c r="Y81" i="1"/>
  <c r="X81" i="1"/>
  <c r="P81" i="1"/>
  <c r="AM80" i="1"/>
  <c r="AL80" i="1"/>
  <c r="AJ80" i="1"/>
  <c r="AI80" i="1"/>
  <c r="AG80" i="1" s="1"/>
  <c r="Y80" i="1"/>
  <c r="X80" i="1"/>
  <c r="P80" i="1"/>
  <c r="AM79" i="1"/>
  <c r="AL79" i="1"/>
  <c r="AJ79" i="1"/>
  <c r="AI79" i="1"/>
  <c r="AG79" i="1" s="1"/>
  <c r="K79" i="1" s="1"/>
  <c r="Y79" i="1"/>
  <c r="X79" i="1"/>
  <c r="P79" i="1"/>
  <c r="AM78" i="1"/>
  <c r="AL78" i="1"/>
  <c r="AJ78" i="1"/>
  <c r="AI78" i="1"/>
  <c r="AG78" i="1" s="1"/>
  <c r="K78" i="1" s="1"/>
  <c r="Y78" i="1"/>
  <c r="X78" i="1"/>
  <c r="P78" i="1"/>
  <c r="AM77" i="1"/>
  <c r="AL77" i="1"/>
  <c r="AJ77" i="1"/>
  <c r="AI77" i="1"/>
  <c r="AG77" i="1" s="1"/>
  <c r="K77" i="1" s="1"/>
  <c r="Y77" i="1"/>
  <c r="X77" i="1"/>
  <c r="P77" i="1"/>
  <c r="AM76" i="1"/>
  <c r="AL76" i="1"/>
  <c r="AJ76" i="1"/>
  <c r="AK76" i="1" s="1"/>
  <c r="AI76" i="1"/>
  <c r="AG76" i="1" s="1"/>
  <c r="Y76" i="1"/>
  <c r="X76" i="1"/>
  <c r="P76" i="1"/>
  <c r="AM75" i="1"/>
  <c r="AL75" i="1"/>
  <c r="AJ75" i="1"/>
  <c r="AI75" i="1"/>
  <c r="AG75" i="1" s="1"/>
  <c r="K75" i="1" s="1"/>
  <c r="Y75" i="1"/>
  <c r="X75" i="1"/>
  <c r="P75" i="1"/>
  <c r="AM74" i="1"/>
  <c r="AL74" i="1"/>
  <c r="AJ74" i="1"/>
  <c r="AI74" i="1"/>
  <c r="AG74" i="1" s="1"/>
  <c r="Y74" i="1"/>
  <c r="X74" i="1"/>
  <c r="P74" i="1"/>
  <c r="AM73" i="1"/>
  <c r="AL73" i="1"/>
  <c r="AJ73" i="1"/>
  <c r="AI73" i="1"/>
  <c r="AG73" i="1" s="1"/>
  <c r="AH73" i="1" s="1"/>
  <c r="Y73" i="1"/>
  <c r="X73" i="1"/>
  <c r="P73" i="1"/>
  <c r="AM72" i="1"/>
  <c r="AL72" i="1"/>
  <c r="AJ72" i="1"/>
  <c r="AI72" i="1"/>
  <c r="AG72" i="1" s="1"/>
  <c r="N72" i="1" s="1"/>
  <c r="Y72" i="1"/>
  <c r="X72" i="1"/>
  <c r="P72" i="1"/>
  <c r="AM71" i="1"/>
  <c r="AL71" i="1"/>
  <c r="AJ71" i="1"/>
  <c r="AI71" i="1"/>
  <c r="AG71" i="1" s="1"/>
  <c r="I71" i="1" s="1"/>
  <c r="H71" i="1" s="1"/>
  <c r="Y71" i="1"/>
  <c r="X71" i="1"/>
  <c r="P71" i="1"/>
  <c r="AM70" i="1"/>
  <c r="AL70" i="1"/>
  <c r="AJ70" i="1"/>
  <c r="AI70" i="1"/>
  <c r="AG70" i="1" s="1"/>
  <c r="N70" i="1" s="1"/>
  <c r="Y70" i="1"/>
  <c r="X70" i="1"/>
  <c r="W70" i="1" s="1"/>
  <c r="P70" i="1"/>
  <c r="AM69" i="1"/>
  <c r="AL69" i="1"/>
  <c r="AJ69" i="1"/>
  <c r="AI69" i="1"/>
  <c r="AG69" i="1" s="1"/>
  <c r="I69" i="1" s="1"/>
  <c r="H69" i="1" s="1"/>
  <c r="Y69" i="1"/>
  <c r="X69" i="1"/>
  <c r="P69" i="1"/>
  <c r="AM68" i="1"/>
  <c r="AL68" i="1"/>
  <c r="AJ68" i="1"/>
  <c r="AI68" i="1"/>
  <c r="AG68" i="1" s="1"/>
  <c r="N68" i="1" s="1"/>
  <c r="Y68" i="1"/>
  <c r="X68" i="1"/>
  <c r="P68" i="1"/>
  <c r="AM67" i="1"/>
  <c r="AL67" i="1"/>
  <c r="AJ67" i="1"/>
  <c r="AI67" i="1"/>
  <c r="AG67" i="1" s="1"/>
  <c r="I67" i="1" s="1"/>
  <c r="H67" i="1" s="1"/>
  <c r="Y67" i="1"/>
  <c r="X67" i="1"/>
  <c r="P67" i="1"/>
  <c r="AM66" i="1"/>
  <c r="AL66" i="1"/>
  <c r="AJ66" i="1"/>
  <c r="AI66" i="1"/>
  <c r="AG66" i="1" s="1"/>
  <c r="Y66" i="1"/>
  <c r="X66" i="1"/>
  <c r="P66" i="1"/>
  <c r="AM65" i="1"/>
  <c r="AL65" i="1"/>
  <c r="AJ65" i="1"/>
  <c r="AI65" i="1"/>
  <c r="AG65" i="1" s="1"/>
  <c r="Y65" i="1"/>
  <c r="X65" i="1"/>
  <c r="P65" i="1"/>
  <c r="AM64" i="1"/>
  <c r="AL64" i="1"/>
  <c r="AJ64" i="1"/>
  <c r="AI64" i="1"/>
  <c r="AG64" i="1" s="1"/>
  <c r="Y64" i="1"/>
  <c r="X64" i="1"/>
  <c r="P64" i="1"/>
  <c r="AM63" i="1"/>
  <c r="AL63" i="1"/>
  <c r="AJ63" i="1"/>
  <c r="AI63" i="1"/>
  <c r="AG63" i="1" s="1"/>
  <c r="Y63" i="1"/>
  <c r="X63" i="1"/>
  <c r="P63" i="1"/>
  <c r="AM62" i="1"/>
  <c r="AL62" i="1"/>
  <c r="AJ62" i="1"/>
  <c r="AI62" i="1"/>
  <c r="AG62" i="1" s="1"/>
  <c r="Y62" i="1"/>
  <c r="X62" i="1"/>
  <c r="P62" i="1"/>
  <c r="AM61" i="1"/>
  <c r="AL61" i="1"/>
  <c r="AJ61" i="1"/>
  <c r="AI61" i="1"/>
  <c r="AG61" i="1" s="1"/>
  <c r="AH61" i="1" s="1"/>
  <c r="Y61" i="1"/>
  <c r="X61" i="1"/>
  <c r="P61" i="1"/>
  <c r="AM60" i="1"/>
  <c r="AL60" i="1"/>
  <c r="AJ60" i="1"/>
  <c r="AI60" i="1"/>
  <c r="AG60" i="1" s="1"/>
  <c r="I60" i="1" s="1"/>
  <c r="H60" i="1" s="1"/>
  <c r="AA60" i="1" s="1"/>
  <c r="Y60" i="1"/>
  <c r="X60" i="1"/>
  <c r="W60" i="1" s="1"/>
  <c r="P60" i="1"/>
  <c r="AM59" i="1"/>
  <c r="AL59" i="1"/>
  <c r="AJ59" i="1"/>
  <c r="AI59" i="1"/>
  <c r="AG59" i="1" s="1"/>
  <c r="K59" i="1" s="1"/>
  <c r="Y59" i="1"/>
  <c r="X59" i="1"/>
  <c r="P59" i="1"/>
  <c r="N59" i="1"/>
  <c r="AM58" i="1"/>
  <c r="AL58" i="1"/>
  <c r="AJ58" i="1"/>
  <c r="AI58" i="1"/>
  <c r="AG58" i="1" s="1"/>
  <c r="I58" i="1" s="1"/>
  <c r="H58" i="1" s="1"/>
  <c r="Y58" i="1"/>
  <c r="X58" i="1"/>
  <c r="P58" i="1"/>
  <c r="AM57" i="1"/>
  <c r="AL57" i="1"/>
  <c r="AJ57" i="1"/>
  <c r="AI57" i="1"/>
  <c r="AG57" i="1" s="1"/>
  <c r="K57" i="1" s="1"/>
  <c r="Y57" i="1"/>
  <c r="X57" i="1"/>
  <c r="P57" i="1"/>
  <c r="AM56" i="1"/>
  <c r="AL56" i="1"/>
  <c r="AJ56" i="1"/>
  <c r="AI56" i="1"/>
  <c r="AG56" i="1" s="1"/>
  <c r="Y56" i="1"/>
  <c r="X56" i="1"/>
  <c r="P56" i="1"/>
  <c r="AM55" i="1"/>
  <c r="AL55" i="1"/>
  <c r="AJ55" i="1"/>
  <c r="AI55" i="1"/>
  <c r="AG55" i="1" s="1"/>
  <c r="K55" i="1" s="1"/>
  <c r="Y55" i="1"/>
  <c r="X55" i="1"/>
  <c r="P55" i="1"/>
  <c r="AM54" i="1"/>
  <c r="AL54" i="1"/>
  <c r="AJ54" i="1"/>
  <c r="AI54" i="1"/>
  <c r="AG54" i="1" s="1"/>
  <c r="N54" i="1" s="1"/>
  <c r="Y54" i="1"/>
  <c r="X54" i="1"/>
  <c r="P54" i="1"/>
  <c r="AM53" i="1"/>
  <c r="AL53" i="1"/>
  <c r="AJ53" i="1"/>
  <c r="AI53" i="1"/>
  <c r="AG53" i="1" s="1"/>
  <c r="AH53" i="1" s="1"/>
  <c r="Y53" i="1"/>
  <c r="X53" i="1"/>
  <c r="P53" i="1"/>
  <c r="AM52" i="1"/>
  <c r="AL52" i="1"/>
  <c r="AJ52" i="1"/>
  <c r="AI52" i="1"/>
  <c r="AG52" i="1" s="1"/>
  <c r="J52" i="1" s="1"/>
  <c r="Y52" i="1"/>
  <c r="X52" i="1"/>
  <c r="P52" i="1"/>
  <c r="AM51" i="1"/>
  <c r="AL51" i="1"/>
  <c r="AJ51" i="1"/>
  <c r="AI51" i="1"/>
  <c r="AG51" i="1" s="1"/>
  <c r="AH51" i="1" s="1"/>
  <c r="Y51" i="1"/>
  <c r="X51" i="1"/>
  <c r="W51" i="1" s="1"/>
  <c r="P51" i="1"/>
  <c r="AM50" i="1"/>
  <c r="AL50" i="1"/>
  <c r="AJ50" i="1"/>
  <c r="AI50" i="1"/>
  <c r="AG50" i="1" s="1"/>
  <c r="N50" i="1" s="1"/>
  <c r="Y50" i="1"/>
  <c r="X50" i="1"/>
  <c r="P50" i="1"/>
  <c r="AM49" i="1"/>
  <c r="AL49" i="1"/>
  <c r="AJ49" i="1"/>
  <c r="AI49" i="1"/>
  <c r="AG49" i="1" s="1"/>
  <c r="AH49" i="1" s="1"/>
  <c r="Y49" i="1"/>
  <c r="X49" i="1"/>
  <c r="P49" i="1"/>
  <c r="AM48" i="1"/>
  <c r="AL48" i="1"/>
  <c r="AJ48" i="1"/>
  <c r="AI48" i="1"/>
  <c r="AG48" i="1" s="1"/>
  <c r="Y48" i="1"/>
  <c r="X48" i="1"/>
  <c r="P48" i="1"/>
  <c r="AM47" i="1"/>
  <c r="AL47" i="1"/>
  <c r="AJ47" i="1"/>
  <c r="S47" i="1" s="1"/>
  <c r="AI47" i="1"/>
  <c r="AG47" i="1" s="1"/>
  <c r="AH47" i="1" s="1"/>
  <c r="Y47" i="1"/>
  <c r="X47" i="1"/>
  <c r="P47" i="1"/>
  <c r="AM46" i="1"/>
  <c r="AL46" i="1"/>
  <c r="AJ46" i="1"/>
  <c r="AI46" i="1"/>
  <c r="AG46" i="1" s="1"/>
  <c r="Y46" i="1"/>
  <c r="X46" i="1"/>
  <c r="P46" i="1"/>
  <c r="AM45" i="1"/>
  <c r="AL45" i="1"/>
  <c r="AJ45" i="1"/>
  <c r="AI45" i="1"/>
  <c r="AG45" i="1" s="1"/>
  <c r="AH45" i="1" s="1"/>
  <c r="Y45" i="1"/>
  <c r="X45" i="1"/>
  <c r="P45" i="1"/>
  <c r="AM44" i="1"/>
  <c r="AL44" i="1"/>
  <c r="AJ44" i="1"/>
  <c r="AI44" i="1"/>
  <c r="AG44" i="1" s="1"/>
  <c r="N44" i="1" s="1"/>
  <c r="Y44" i="1"/>
  <c r="X44" i="1"/>
  <c r="P44" i="1"/>
  <c r="AM43" i="1"/>
  <c r="AL43" i="1"/>
  <c r="AJ43" i="1"/>
  <c r="AI43" i="1"/>
  <c r="AG43" i="1" s="1"/>
  <c r="Y43" i="1"/>
  <c r="X43" i="1"/>
  <c r="P43" i="1"/>
  <c r="AM42" i="1"/>
  <c r="AL42" i="1"/>
  <c r="AJ42" i="1"/>
  <c r="AI42" i="1"/>
  <c r="AG42" i="1" s="1"/>
  <c r="Y42" i="1"/>
  <c r="X42" i="1"/>
  <c r="P42" i="1"/>
  <c r="AM41" i="1"/>
  <c r="AL41" i="1"/>
  <c r="AJ41" i="1"/>
  <c r="AI41" i="1"/>
  <c r="AG41" i="1" s="1"/>
  <c r="Y41" i="1"/>
  <c r="X41" i="1"/>
  <c r="P41" i="1"/>
  <c r="AM40" i="1"/>
  <c r="AL40" i="1"/>
  <c r="AJ40" i="1"/>
  <c r="AI40" i="1"/>
  <c r="AG40" i="1" s="1"/>
  <c r="AH40" i="1" s="1"/>
  <c r="Y40" i="1"/>
  <c r="X40" i="1"/>
  <c r="P40" i="1"/>
  <c r="AM39" i="1"/>
  <c r="AL39" i="1"/>
  <c r="AJ39" i="1"/>
  <c r="AI39" i="1"/>
  <c r="AG39" i="1" s="1"/>
  <c r="Y39" i="1"/>
  <c r="X39" i="1"/>
  <c r="P39" i="1"/>
  <c r="AM38" i="1"/>
  <c r="AL38" i="1"/>
  <c r="AJ38" i="1"/>
  <c r="AI38" i="1"/>
  <c r="AG38" i="1" s="1"/>
  <c r="I38" i="1" s="1"/>
  <c r="H38" i="1" s="1"/>
  <c r="Y38" i="1"/>
  <c r="X38" i="1"/>
  <c r="P38" i="1"/>
  <c r="AM37" i="1"/>
  <c r="AL37" i="1"/>
  <c r="AJ37" i="1"/>
  <c r="AI37" i="1"/>
  <c r="AG37" i="1" s="1"/>
  <c r="Y37" i="1"/>
  <c r="X37" i="1"/>
  <c r="P37" i="1"/>
  <c r="AM36" i="1"/>
  <c r="AL36" i="1"/>
  <c r="AJ36" i="1"/>
  <c r="AI36" i="1"/>
  <c r="AG36" i="1" s="1"/>
  <c r="N36" i="1" s="1"/>
  <c r="Y36" i="1"/>
  <c r="X36" i="1"/>
  <c r="P36" i="1"/>
  <c r="AM35" i="1"/>
  <c r="AL35" i="1"/>
  <c r="AJ35" i="1"/>
  <c r="AI35" i="1"/>
  <c r="AG35" i="1" s="1"/>
  <c r="Y35" i="1"/>
  <c r="X35" i="1"/>
  <c r="P35" i="1"/>
  <c r="AM34" i="1"/>
  <c r="S34" i="1" s="1"/>
  <c r="AL34" i="1"/>
  <c r="AJ34" i="1"/>
  <c r="AI34" i="1"/>
  <c r="AG34" i="1" s="1"/>
  <c r="I34" i="1" s="1"/>
  <c r="H34" i="1" s="1"/>
  <c r="Y34" i="1"/>
  <c r="X34" i="1"/>
  <c r="P34" i="1"/>
  <c r="AM33" i="1"/>
  <c r="AL33" i="1"/>
  <c r="AJ33" i="1"/>
  <c r="AI33" i="1"/>
  <c r="AG33" i="1" s="1"/>
  <c r="Y33" i="1"/>
  <c r="X33" i="1"/>
  <c r="P33" i="1"/>
  <c r="AM32" i="1"/>
  <c r="AL32" i="1"/>
  <c r="AJ32" i="1"/>
  <c r="AI32" i="1"/>
  <c r="AG32" i="1" s="1"/>
  <c r="N32" i="1" s="1"/>
  <c r="Y32" i="1"/>
  <c r="X32" i="1"/>
  <c r="P32" i="1"/>
  <c r="AM31" i="1"/>
  <c r="AL31" i="1"/>
  <c r="AJ31" i="1"/>
  <c r="AI31" i="1"/>
  <c r="AG31" i="1" s="1"/>
  <c r="Y31" i="1"/>
  <c r="X31" i="1"/>
  <c r="P31" i="1"/>
  <c r="AM30" i="1"/>
  <c r="AL30" i="1"/>
  <c r="AJ30" i="1"/>
  <c r="AI30" i="1"/>
  <c r="AG30" i="1" s="1"/>
  <c r="Y30" i="1"/>
  <c r="X30" i="1"/>
  <c r="P30" i="1"/>
  <c r="AM29" i="1"/>
  <c r="AL29" i="1"/>
  <c r="AJ29" i="1"/>
  <c r="AI29" i="1"/>
  <c r="AG29" i="1" s="1"/>
  <c r="Y29" i="1"/>
  <c r="X29" i="1"/>
  <c r="P29" i="1"/>
  <c r="AM28" i="1"/>
  <c r="AL28" i="1"/>
  <c r="AJ28" i="1"/>
  <c r="AI28" i="1"/>
  <c r="AG28" i="1" s="1"/>
  <c r="K28" i="1" s="1"/>
  <c r="Y28" i="1"/>
  <c r="X28" i="1"/>
  <c r="P28" i="1"/>
  <c r="AM27" i="1"/>
  <c r="AL27" i="1"/>
  <c r="AJ27" i="1"/>
  <c r="AI27" i="1"/>
  <c r="AG27" i="1" s="1"/>
  <c r="Y27" i="1"/>
  <c r="X27" i="1"/>
  <c r="P27" i="1"/>
  <c r="AM26" i="1"/>
  <c r="AL26" i="1"/>
  <c r="AJ26" i="1"/>
  <c r="AI26" i="1"/>
  <c r="AG26" i="1"/>
  <c r="I26" i="1" s="1"/>
  <c r="H26" i="1" s="1"/>
  <c r="Y26" i="1"/>
  <c r="X26" i="1"/>
  <c r="P26" i="1"/>
  <c r="AM25" i="1"/>
  <c r="AL25" i="1"/>
  <c r="AJ25" i="1"/>
  <c r="AI25" i="1"/>
  <c r="AG25" i="1" s="1"/>
  <c r="Y25" i="1"/>
  <c r="X25" i="1"/>
  <c r="P25" i="1"/>
  <c r="AM24" i="1"/>
  <c r="AL24" i="1"/>
  <c r="AJ24" i="1"/>
  <c r="AK24" i="1" s="1"/>
  <c r="AI24" i="1"/>
  <c r="AG24" i="1" s="1"/>
  <c r="K24" i="1" s="1"/>
  <c r="Y24" i="1"/>
  <c r="X24" i="1"/>
  <c r="P24" i="1"/>
  <c r="AM23" i="1"/>
  <c r="AL23" i="1"/>
  <c r="AJ23" i="1"/>
  <c r="AI23" i="1"/>
  <c r="AG23" i="1" s="1"/>
  <c r="Y23" i="1"/>
  <c r="X23" i="1"/>
  <c r="P23" i="1"/>
  <c r="AM22" i="1"/>
  <c r="AL22" i="1"/>
  <c r="AJ22" i="1"/>
  <c r="AI22" i="1"/>
  <c r="AG22" i="1" s="1"/>
  <c r="Y22" i="1"/>
  <c r="X22" i="1"/>
  <c r="P22" i="1"/>
  <c r="AM21" i="1"/>
  <c r="AL21" i="1"/>
  <c r="AJ21" i="1"/>
  <c r="AI21" i="1"/>
  <c r="AG21" i="1" s="1"/>
  <c r="Y21" i="1"/>
  <c r="X21" i="1"/>
  <c r="P21" i="1"/>
  <c r="AM20" i="1"/>
  <c r="AL20" i="1"/>
  <c r="AJ20" i="1"/>
  <c r="AI20" i="1"/>
  <c r="AG20" i="1" s="1"/>
  <c r="K20" i="1" s="1"/>
  <c r="Y20" i="1"/>
  <c r="X20" i="1"/>
  <c r="P20" i="1"/>
  <c r="AM19" i="1"/>
  <c r="AL19" i="1"/>
  <c r="AJ19" i="1"/>
  <c r="AI19" i="1"/>
  <c r="AG19" i="1" s="1"/>
  <c r="Y19" i="1"/>
  <c r="X19" i="1"/>
  <c r="P19" i="1"/>
  <c r="AM18" i="1"/>
  <c r="AL18" i="1"/>
  <c r="AJ18" i="1"/>
  <c r="AI18" i="1"/>
  <c r="AG18" i="1" s="1"/>
  <c r="Y18" i="1"/>
  <c r="X18" i="1"/>
  <c r="P18" i="1"/>
  <c r="AM17" i="1"/>
  <c r="AL17" i="1"/>
  <c r="AJ17" i="1"/>
  <c r="AI17" i="1"/>
  <c r="AG17" i="1" s="1"/>
  <c r="Y17" i="1"/>
  <c r="X17" i="1"/>
  <c r="P17" i="1"/>
  <c r="I92" i="1" l="1"/>
  <c r="H92" i="1" s="1"/>
  <c r="AK128" i="1"/>
  <c r="W81" i="1"/>
  <c r="J61" i="1"/>
  <c r="W98" i="1"/>
  <c r="W34" i="1"/>
  <c r="W86" i="1"/>
  <c r="W87" i="1"/>
  <c r="AK23" i="1"/>
  <c r="AK32" i="1"/>
  <c r="W101" i="1"/>
  <c r="AK117" i="1"/>
  <c r="S97" i="1"/>
  <c r="S43" i="1"/>
  <c r="N75" i="1"/>
  <c r="W130" i="1"/>
  <c r="S26" i="1"/>
  <c r="AK60" i="1"/>
  <c r="W84" i="1"/>
  <c r="W85" i="1"/>
  <c r="W95" i="1"/>
  <c r="W103" i="1"/>
  <c r="S131" i="1"/>
  <c r="N57" i="1"/>
  <c r="AH67" i="1"/>
  <c r="S105" i="1"/>
  <c r="AK123" i="1"/>
  <c r="W32" i="1"/>
  <c r="S36" i="1"/>
  <c r="W41" i="1"/>
  <c r="I59" i="1"/>
  <c r="H59" i="1" s="1"/>
  <c r="AA59" i="1" s="1"/>
  <c r="W64" i="1"/>
  <c r="S103" i="1"/>
  <c r="W117" i="1"/>
  <c r="AK121" i="1"/>
  <c r="W126" i="1"/>
  <c r="AK129" i="1"/>
  <c r="W134" i="1"/>
  <c r="W20" i="1"/>
  <c r="AK119" i="1"/>
  <c r="W18" i="1"/>
  <c r="AK22" i="1"/>
  <c r="AH57" i="1"/>
  <c r="AH75" i="1"/>
  <c r="S99" i="1"/>
  <c r="AK31" i="1"/>
  <c r="W37" i="1"/>
  <c r="S40" i="1"/>
  <c r="S56" i="1"/>
  <c r="AK87" i="1"/>
  <c r="W113" i="1"/>
  <c r="W26" i="1"/>
  <c r="W27" i="1"/>
  <c r="W44" i="1"/>
  <c r="AK58" i="1"/>
  <c r="S62" i="1"/>
  <c r="W68" i="1"/>
  <c r="AK84" i="1"/>
  <c r="AK85" i="1"/>
  <c r="W93" i="1"/>
  <c r="AK97" i="1"/>
  <c r="AK107" i="1"/>
  <c r="W112" i="1"/>
  <c r="AK132" i="1"/>
  <c r="W62" i="1"/>
  <c r="W76" i="1"/>
  <c r="I41" i="1"/>
  <c r="H41" i="1" s="1"/>
  <c r="N41" i="1"/>
  <c r="I56" i="1"/>
  <c r="H56" i="1" s="1"/>
  <c r="AA56" i="1" s="1"/>
  <c r="K56" i="1"/>
  <c r="S80" i="1"/>
  <c r="W22" i="1"/>
  <c r="AK53" i="1"/>
  <c r="AK63" i="1"/>
  <c r="AK64" i="1"/>
  <c r="W74" i="1"/>
  <c r="I89" i="1"/>
  <c r="H89" i="1" s="1"/>
  <c r="AA89" i="1" s="1"/>
  <c r="S101" i="1"/>
  <c r="AK104" i="1"/>
  <c r="AK111" i="1"/>
  <c r="W128" i="1"/>
  <c r="W17" i="1"/>
  <c r="AK21" i="1"/>
  <c r="W30" i="1"/>
  <c r="W43" i="1"/>
  <c r="N52" i="1"/>
  <c r="W56" i="1"/>
  <c r="W58" i="1"/>
  <c r="J59" i="1"/>
  <c r="W66" i="1"/>
  <c r="W72" i="1"/>
  <c r="J102" i="1"/>
  <c r="AK120" i="1"/>
  <c r="AK131" i="1"/>
  <c r="AK105" i="1"/>
  <c r="S24" i="1"/>
  <c r="W53" i="1"/>
  <c r="AH71" i="1"/>
  <c r="W80" i="1"/>
  <c r="AH90" i="1"/>
  <c r="K107" i="1"/>
  <c r="W124" i="1"/>
  <c r="S127" i="1"/>
  <c r="T127" i="1" s="1"/>
  <c r="U127" i="1" s="1"/>
  <c r="Q127" i="1" s="1"/>
  <c r="O127" i="1" s="1"/>
  <c r="R127" i="1" s="1"/>
  <c r="AK34" i="1"/>
  <c r="S95" i="1"/>
  <c r="S108" i="1"/>
  <c r="N120" i="1"/>
  <c r="K51" i="1"/>
  <c r="AK17" i="1"/>
  <c r="W23" i="1"/>
  <c r="W24" i="1"/>
  <c r="W25" i="1"/>
  <c r="AK30" i="1"/>
  <c r="W48" i="1"/>
  <c r="W61" i="1"/>
  <c r="AK68" i="1"/>
  <c r="AK70" i="1"/>
  <c r="AK90" i="1"/>
  <c r="S93" i="1"/>
  <c r="W107" i="1"/>
  <c r="W108" i="1"/>
  <c r="W110" i="1"/>
  <c r="AK113" i="1"/>
  <c r="W118" i="1"/>
  <c r="W121" i="1"/>
  <c r="AH123" i="1"/>
  <c r="W133" i="1"/>
  <c r="S78" i="1"/>
  <c r="I73" i="1"/>
  <c r="H73" i="1" s="1"/>
  <c r="AA73" i="1" s="1"/>
  <c r="AK78" i="1"/>
  <c r="K90" i="1"/>
  <c r="N112" i="1"/>
  <c r="J90" i="1"/>
  <c r="AK35" i="1"/>
  <c r="AK18" i="1"/>
  <c r="AK20" i="1"/>
  <c r="AK27" i="1"/>
  <c r="AK28" i="1"/>
  <c r="S35" i="1"/>
  <c r="W38" i="1"/>
  <c r="W49" i="1"/>
  <c r="W50" i="1"/>
  <c r="W52" i="1"/>
  <c r="AH55" i="1"/>
  <c r="J57" i="1"/>
  <c r="AK65" i="1"/>
  <c r="AH69" i="1"/>
  <c r="I75" i="1"/>
  <c r="H75" i="1" s="1"/>
  <c r="AA75" i="1" s="1"/>
  <c r="AH79" i="1"/>
  <c r="N90" i="1"/>
  <c r="AK103" i="1"/>
  <c r="S119" i="1"/>
  <c r="S123" i="1"/>
  <c r="AK124" i="1"/>
  <c r="W31" i="1"/>
  <c r="W36" i="1"/>
  <c r="W47" i="1"/>
  <c r="W78" i="1"/>
  <c r="I79" i="1"/>
  <c r="H79" i="1" s="1"/>
  <c r="AA79" i="1" s="1"/>
  <c r="N91" i="1"/>
  <c r="W99" i="1"/>
  <c r="I104" i="1"/>
  <c r="H104" i="1" s="1"/>
  <c r="AA104" i="1" s="1"/>
  <c r="AK116" i="1"/>
  <c r="S128" i="1"/>
  <c r="W129" i="1"/>
  <c r="AK136" i="1"/>
  <c r="S115" i="1"/>
  <c r="T115" i="1" s="1"/>
  <c r="U115" i="1" s="1"/>
  <c r="J132" i="1"/>
  <c r="S51" i="1"/>
  <c r="J79" i="1"/>
  <c r="S84" i="1"/>
  <c r="W19" i="1"/>
  <c r="W28" i="1"/>
  <c r="W29" i="1"/>
  <c r="W35" i="1"/>
  <c r="AK38" i="1"/>
  <c r="W45" i="1"/>
  <c r="W46" i="1"/>
  <c r="S53" i="1"/>
  <c r="S55" i="1"/>
  <c r="I61" i="1"/>
  <c r="H61" i="1" s="1"/>
  <c r="AA61" i="1" s="1"/>
  <c r="N79" i="1"/>
  <c r="W97" i="1"/>
  <c r="N107" i="1"/>
  <c r="I108" i="1"/>
  <c r="H108" i="1" s="1"/>
  <c r="S111" i="1"/>
  <c r="AK112" i="1"/>
  <c r="K120" i="1"/>
  <c r="W125" i="1"/>
  <c r="AH127" i="1"/>
  <c r="I30" i="1"/>
  <c r="H30" i="1" s="1"/>
  <c r="AA30" i="1" s="1"/>
  <c r="K30" i="1"/>
  <c r="J30" i="1"/>
  <c r="I18" i="1"/>
  <c r="H18" i="1" s="1"/>
  <c r="AA18" i="1" s="1"/>
  <c r="K18" i="1"/>
  <c r="J18" i="1"/>
  <c r="N66" i="1"/>
  <c r="K66" i="1"/>
  <c r="J66" i="1"/>
  <c r="J43" i="1"/>
  <c r="K43" i="1"/>
  <c r="N43" i="1"/>
  <c r="AH43" i="1"/>
  <c r="J64" i="1"/>
  <c r="N64" i="1"/>
  <c r="K64" i="1"/>
  <c r="I22" i="1"/>
  <c r="H22" i="1" s="1"/>
  <c r="AA22" i="1" s="1"/>
  <c r="K22" i="1"/>
  <c r="J22" i="1"/>
  <c r="N125" i="1"/>
  <c r="AH125" i="1"/>
  <c r="I116" i="1"/>
  <c r="H116" i="1" s="1"/>
  <c r="AH116" i="1"/>
  <c r="K116" i="1"/>
  <c r="J116" i="1"/>
  <c r="N116" i="1"/>
  <c r="AH136" i="1"/>
  <c r="N136" i="1"/>
  <c r="K136" i="1"/>
  <c r="J136" i="1"/>
  <c r="I136" i="1"/>
  <c r="H136" i="1" s="1"/>
  <c r="AA136" i="1" s="1"/>
  <c r="K74" i="1"/>
  <c r="J74" i="1"/>
  <c r="AK37" i="1"/>
  <c r="I77" i="1"/>
  <c r="H77" i="1" s="1"/>
  <c r="AK99" i="1"/>
  <c r="W39" i="1"/>
  <c r="I50" i="1"/>
  <c r="H50" i="1" s="1"/>
  <c r="AA50" i="1" s="1"/>
  <c r="AK29" i="1"/>
  <c r="J34" i="1"/>
  <c r="AK39" i="1"/>
  <c r="J50" i="1"/>
  <c r="S28" i="1"/>
  <c r="S29" i="1"/>
  <c r="K34" i="1"/>
  <c r="S38" i="1"/>
  <c r="S39" i="1"/>
  <c r="S41" i="1"/>
  <c r="T41" i="1" s="1"/>
  <c r="U41" i="1" s="1"/>
  <c r="AK56" i="1"/>
  <c r="AH59" i="1"/>
  <c r="S60" i="1"/>
  <c r="J68" i="1"/>
  <c r="J72" i="1"/>
  <c r="S72" i="1"/>
  <c r="S75" i="1"/>
  <c r="K84" i="1"/>
  <c r="S90" i="1"/>
  <c r="T90" i="1" s="1"/>
  <c r="U90" i="1" s="1"/>
  <c r="Q90" i="1" s="1"/>
  <c r="O90" i="1" s="1"/>
  <c r="R90" i="1" s="1"/>
  <c r="W104" i="1"/>
  <c r="W105" i="1"/>
  <c r="J107" i="1"/>
  <c r="AH107" i="1"/>
  <c r="K108" i="1"/>
  <c r="W109" i="1"/>
  <c r="J112" i="1"/>
  <c r="S120" i="1"/>
  <c r="W122" i="1"/>
  <c r="AK125" i="1"/>
  <c r="K128" i="1"/>
  <c r="W131" i="1"/>
  <c r="N132" i="1"/>
  <c r="AK36" i="1"/>
  <c r="AH105" i="1"/>
  <c r="S31" i="1"/>
  <c r="S20" i="1"/>
  <c r="N28" i="1"/>
  <c r="S32" i="1"/>
  <c r="S58" i="1"/>
  <c r="S64" i="1"/>
  <c r="AK19" i="1"/>
  <c r="W21" i="1"/>
  <c r="N24" i="1"/>
  <c r="AK25" i="1"/>
  <c r="W33" i="1"/>
  <c r="N40" i="1"/>
  <c r="W67" i="1"/>
  <c r="K72" i="1"/>
  <c r="AH77" i="1"/>
  <c r="AH81" i="1"/>
  <c r="W82" i="1"/>
  <c r="W83" i="1"/>
  <c r="AK89" i="1"/>
  <c r="W90" i="1"/>
  <c r="W94" i="1"/>
  <c r="AK100" i="1"/>
  <c r="N108" i="1"/>
  <c r="N128" i="1"/>
  <c r="S132" i="1"/>
  <c r="T132" i="1" s="1"/>
  <c r="U132" i="1" s="1"/>
  <c r="AB132" i="1" s="1"/>
  <c r="AK130" i="1"/>
  <c r="W132" i="1"/>
  <c r="N20" i="1"/>
  <c r="J26" i="1"/>
  <c r="S30" i="1"/>
  <c r="S37" i="1"/>
  <c r="AK43" i="1"/>
  <c r="AK47" i="1"/>
  <c r="AK49" i="1"/>
  <c r="K58" i="1"/>
  <c r="AH58" i="1"/>
  <c r="J77" i="1"/>
  <c r="N93" i="1"/>
  <c r="S107" i="1"/>
  <c r="T107" i="1" s="1"/>
  <c r="U107" i="1" s="1"/>
  <c r="V107" i="1" s="1"/>
  <c r="Z107" i="1" s="1"/>
  <c r="AK115" i="1"/>
  <c r="S116" i="1"/>
  <c r="AK134" i="1"/>
  <c r="AK62" i="1"/>
  <c r="K26" i="1"/>
  <c r="AK33" i="1"/>
  <c r="J38" i="1"/>
  <c r="W42" i="1"/>
  <c r="S49" i="1"/>
  <c r="W54" i="1"/>
  <c r="W55" i="1"/>
  <c r="N56" i="1"/>
  <c r="AH56" i="1"/>
  <c r="N58" i="1"/>
  <c r="J60" i="1"/>
  <c r="AH60" i="1"/>
  <c r="AK67" i="1"/>
  <c r="AK71" i="1"/>
  <c r="N77" i="1"/>
  <c r="J86" i="1"/>
  <c r="AK93" i="1"/>
  <c r="AK96" i="1"/>
  <c r="AK101" i="1"/>
  <c r="J109" i="1"/>
  <c r="W116" i="1"/>
  <c r="W120" i="1"/>
  <c r="AK127" i="1"/>
  <c r="W96" i="1"/>
  <c r="S33" i="1"/>
  <c r="K38" i="1"/>
  <c r="K60" i="1"/>
  <c r="S70" i="1"/>
  <c r="K82" i="1"/>
  <c r="K86" i="1"/>
  <c r="AK135" i="1"/>
  <c r="AK51" i="1"/>
  <c r="S76" i="1"/>
  <c r="N82" i="1"/>
  <c r="W92" i="1"/>
  <c r="AK95" i="1"/>
  <c r="W100" i="1"/>
  <c r="J108" i="1"/>
  <c r="S112" i="1"/>
  <c r="W114" i="1"/>
  <c r="AH129" i="1"/>
  <c r="K132" i="1"/>
  <c r="AH132" i="1"/>
  <c r="W136" i="1"/>
  <c r="K35" i="1"/>
  <c r="J35" i="1"/>
  <c r="I35" i="1"/>
  <c r="H35" i="1" s="1"/>
  <c r="T35" i="1" s="1"/>
  <c r="U35" i="1" s="1"/>
  <c r="AH35" i="1"/>
  <c r="N35" i="1"/>
  <c r="K19" i="1"/>
  <c r="I19" i="1"/>
  <c r="H19" i="1" s="1"/>
  <c r="J19" i="1"/>
  <c r="AH19" i="1"/>
  <c r="N19" i="1"/>
  <c r="N25" i="1"/>
  <c r="K25" i="1"/>
  <c r="I25" i="1"/>
  <c r="H25" i="1" s="1"/>
  <c r="J25" i="1"/>
  <c r="AH25" i="1"/>
  <c r="K31" i="1"/>
  <c r="J31" i="1"/>
  <c r="I31" i="1"/>
  <c r="H31" i="1" s="1"/>
  <c r="AH31" i="1"/>
  <c r="N31" i="1"/>
  <c r="AH37" i="1"/>
  <c r="N37" i="1"/>
  <c r="K37" i="1"/>
  <c r="I37" i="1"/>
  <c r="H37" i="1" s="1"/>
  <c r="J37" i="1"/>
  <c r="Q26" i="1"/>
  <c r="O26" i="1" s="1"/>
  <c r="R26" i="1" s="1"/>
  <c r="AA26" i="1"/>
  <c r="K27" i="1"/>
  <c r="J27" i="1"/>
  <c r="I27" i="1"/>
  <c r="H27" i="1" s="1"/>
  <c r="AH27" i="1"/>
  <c r="N27" i="1"/>
  <c r="I21" i="1"/>
  <c r="H21" i="1" s="1"/>
  <c r="N21" i="1"/>
  <c r="AH21" i="1"/>
  <c r="K21" i="1"/>
  <c r="J21" i="1"/>
  <c r="AH33" i="1"/>
  <c r="N33" i="1"/>
  <c r="I33" i="1"/>
  <c r="H33" i="1" s="1"/>
  <c r="K33" i="1"/>
  <c r="J33" i="1"/>
  <c r="AA38" i="1"/>
  <c r="T26" i="1"/>
  <c r="U26" i="1" s="1"/>
  <c r="K23" i="1"/>
  <c r="I23" i="1"/>
  <c r="H23" i="1" s="1"/>
  <c r="J23" i="1"/>
  <c r="AH23" i="1"/>
  <c r="N23" i="1"/>
  <c r="AH29" i="1"/>
  <c r="N29" i="1"/>
  <c r="K29" i="1"/>
  <c r="J29" i="1"/>
  <c r="I29" i="1"/>
  <c r="H29" i="1" s="1"/>
  <c r="K39" i="1"/>
  <c r="J39" i="1"/>
  <c r="I39" i="1"/>
  <c r="H39" i="1" s="1"/>
  <c r="AH39" i="1"/>
  <c r="N39" i="1"/>
  <c r="N17" i="1"/>
  <c r="AH17" i="1"/>
  <c r="K17" i="1"/>
  <c r="J17" i="1"/>
  <c r="I17" i="1"/>
  <c r="H17" i="1" s="1"/>
  <c r="AA34" i="1"/>
  <c r="S18" i="1"/>
  <c r="S22" i="1"/>
  <c r="AK26" i="1"/>
  <c r="AH46" i="1"/>
  <c r="K46" i="1"/>
  <c r="AH20" i="1"/>
  <c r="AH24" i="1"/>
  <c r="AH28" i="1"/>
  <c r="AH32" i="1"/>
  <c r="T34" i="1"/>
  <c r="U34" i="1" s="1"/>
  <c r="Q34" i="1" s="1"/>
  <c r="O34" i="1" s="1"/>
  <c r="R34" i="1" s="1"/>
  <c r="AH36" i="1"/>
  <c r="T38" i="1"/>
  <c r="U38" i="1" s="1"/>
  <c r="AK40" i="1"/>
  <c r="AK42" i="1"/>
  <c r="S42" i="1"/>
  <c r="AK46" i="1"/>
  <c r="S46" i="1"/>
  <c r="AK48" i="1"/>
  <c r="S48" i="1"/>
  <c r="I54" i="1"/>
  <c r="H54" i="1" s="1"/>
  <c r="I62" i="1"/>
  <c r="H62" i="1" s="1"/>
  <c r="AH62" i="1"/>
  <c r="J62" i="1"/>
  <c r="I70" i="1"/>
  <c r="H70" i="1" s="1"/>
  <c r="AH70" i="1"/>
  <c r="K70" i="1"/>
  <c r="J70" i="1"/>
  <c r="AA82" i="1"/>
  <c r="AH42" i="1"/>
  <c r="K42" i="1"/>
  <c r="T58" i="1"/>
  <c r="U58" i="1" s="1"/>
  <c r="Q58" i="1" s="1"/>
  <c r="O58" i="1" s="1"/>
  <c r="R58" i="1" s="1"/>
  <c r="N65" i="1"/>
  <c r="K65" i="1"/>
  <c r="J65" i="1"/>
  <c r="AH65" i="1"/>
  <c r="S17" i="1"/>
  <c r="I20" i="1"/>
  <c r="H20" i="1" s="1"/>
  <c r="S21" i="1"/>
  <c r="I24" i="1"/>
  <c r="H24" i="1" s="1"/>
  <c r="S25" i="1"/>
  <c r="I28" i="1"/>
  <c r="H28" i="1" s="1"/>
  <c r="I32" i="1"/>
  <c r="H32" i="1" s="1"/>
  <c r="I36" i="1"/>
  <c r="H36" i="1" s="1"/>
  <c r="I40" i="1"/>
  <c r="H40" i="1" s="1"/>
  <c r="I42" i="1"/>
  <c r="H42" i="1" s="1"/>
  <c r="K44" i="1"/>
  <c r="I44" i="1"/>
  <c r="H44" i="1" s="1"/>
  <c r="AH44" i="1"/>
  <c r="AK45" i="1"/>
  <c r="J54" i="1"/>
  <c r="K62" i="1"/>
  <c r="AA67" i="1"/>
  <c r="I76" i="1"/>
  <c r="H76" i="1" s="1"/>
  <c r="J76" i="1"/>
  <c r="N76" i="1"/>
  <c r="AH76" i="1"/>
  <c r="K76" i="1"/>
  <c r="K48" i="1"/>
  <c r="I48" i="1"/>
  <c r="H48" i="1" s="1"/>
  <c r="AH48" i="1"/>
  <c r="N18" i="1"/>
  <c r="J20" i="1"/>
  <c r="N22" i="1"/>
  <c r="J24" i="1"/>
  <c r="N26" i="1"/>
  <c r="J28" i="1"/>
  <c r="N30" i="1"/>
  <c r="J32" i="1"/>
  <c r="N34" i="1"/>
  <c r="J36" i="1"/>
  <c r="N38" i="1"/>
  <c r="J40" i="1"/>
  <c r="J42" i="1"/>
  <c r="AK44" i="1"/>
  <c r="S44" i="1"/>
  <c r="N53" i="1"/>
  <c r="K53" i="1"/>
  <c r="J53" i="1"/>
  <c r="I53" i="1"/>
  <c r="H53" i="1" s="1"/>
  <c r="T53" i="1" s="1"/>
  <c r="U53" i="1" s="1"/>
  <c r="J55" i="1"/>
  <c r="I55" i="1"/>
  <c r="H55" i="1" s="1"/>
  <c r="N55" i="1"/>
  <c r="N62" i="1"/>
  <c r="I65" i="1"/>
  <c r="H65" i="1" s="1"/>
  <c r="I80" i="1"/>
  <c r="H80" i="1" s="1"/>
  <c r="AH80" i="1"/>
  <c r="J80" i="1"/>
  <c r="N80" i="1"/>
  <c r="K80" i="1"/>
  <c r="K83" i="1"/>
  <c r="N83" i="1"/>
  <c r="AH83" i="1"/>
  <c r="J83" i="1"/>
  <c r="I83" i="1"/>
  <c r="H83" i="1" s="1"/>
  <c r="K36" i="1"/>
  <c r="K40" i="1"/>
  <c r="AA41" i="1"/>
  <c r="J48" i="1"/>
  <c r="AH54" i="1"/>
  <c r="K54" i="1"/>
  <c r="AA69" i="1"/>
  <c r="AA85" i="1"/>
  <c r="AH18" i="1"/>
  <c r="AH22" i="1"/>
  <c r="AH26" i="1"/>
  <c r="AH30" i="1"/>
  <c r="AH34" i="1"/>
  <c r="AH38" i="1"/>
  <c r="J41" i="1"/>
  <c r="AH41" i="1"/>
  <c r="N42" i="1"/>
  <c r="I46" i="1"/>
  <c r="H46" i="1" s="1"/>
  <c r="K47" i="1"/>
  <c r="N49" i="1"/>
  <c r="K49" i="1"/>
  <c r="J49" i="1"/>
  <c r="I49" i="1"/>
  <c r="H49" i="1" s="1"/>
  <c r="J51" i="1"/>
  <c r="I51" i="1"/>
  <c r="H51" i="1" s="1"/>
  <c r="N51" i="1"/>
  <c r="AK54" i="1"/>
  <c r="S54" i="1"/>
  <c r="AK72" i="1"/>
  <c r="AK74" i="1"/>
  <c r="S74" i="1"/>
  <c r="K32" i="1"/>
  <c r="S19" i="1"/>
  <c r="S23" i="1"/>
  <c r="S27" i="1"/>
  <c r="K41" i="1"/>
  <c r="J44" i="1"/>
  <c r="J46" i="1"/>
  <c r="N48" i="1"/>
  <c r="AH50" i="1"/>
  <c r="K50" i="1"/>
  <c r="K52" i="1"/>
  <c r="I52" i="1"/>
  <c r="H52" i="1" s="1"/>
  <c r="AH52" i="1"/>
  <c r="K63" i="1"/>
  <c r="J63" i="1"/>
  <c r="N63" i="1"/>
  <c r="AH63" i="1"/>
  <c r="I63" i="1"/>
  <c r="H63" i="1" s="1"/>
  <c r="W65" i="1"/>
  <c r="AK69" i="1"/>
  <c r="AA71" i="1"/>
  <c r="N73" i="1"/>
  <c r="K73" i="1"/>
  <c r="J73" i="1"/>
  <c r="W40" i="1"/>
  <c r="AK41" i="1"/>
  <c r="N45" i="1"/>
  <c r="K45" i="1"/>
  <c r="J45" i="1"/>
  <c r="I45" i="1"/>
  <c r="H45" i="1" s="1"/>
  <c r="N46" i="1"/>
  <c r="J47" i="1"/>
  <c r="I47" i="1"/>
  <c r="H47" i="1" s="1"/>
  <c r="T47" i="1" s="1"/>
  <c r="U47" i="1" s="1"/>
  <c r="N47" i="1"/>
  <c r="AK50" i="1"/>
  <c r="S50" i="1"/>
  <c r="AK52" i="1"/>
  <c r="S52" i="1"/>
  <c r="AA58" i="1"/>
  <c r="T60" i="1"/>
  <c r="U60" i="1" s="1"/>
  <c r="S66" i="1"/>
  <c r="AK66" i="1"/>
  <c r="S86" i="1"/>
  <c r="AK86" i="1"/>
  <c r="I64" i="1"/>
  <c r="H64" i="1" s="1"/>
  <c r="T64" i="1" s="1"/>
  <c r="U64" i="1" s="1"/>
  <c r="AH64" i="1"/>
  <c r="K67" i="1"/>
  <c r="J67" i="1"/>
  <c r="N67" i="1"/>
  <c r="W69" i="1"/>
  <c r="AK73" i="1"/>
  <c r="J56" i="1"/>
  <c r="J58" i="1"/>
  <c r="N61" i="1"/>
  <c r="K61" i="1"/>
  <c r="W63" i="1"/>
  <c r="I74" i="1"/>
  <c r="H74" i="1" s="1"/>
  <c r="AH74" i="1"/>
  <c r="I78" i="1"/>
  <c r="H78" i="1" s="1"/>
  <c r="J78" i="1"/>
  <c r="N78" i="1"/>
  <c r="AH78" i="1"/>
  <c r="S45" i="1"/>
  <c r="I57" i="1"/>
  <c r="H57" i="1" s="1"/>
  <c r="AK61" i="1"/>
  <c r="S68" i="1"/>
  <c r="I68" i="1"/>
  <c r="H68" i="1" s="1"/>
  <c r="AH68" i="1"/>
  <c r="K71" i="1"/>
  <c r="J71" i="1"/>
  <c r="N71" i="1"/>
  <c r="W73" i="1"/>
  <c r="AA77" i="1"/>
  <c r="I43" i="1"/>
  <c r="H43" i="1" s="1"/>
  <c r="N60" i="1"/>
  <c r="I72" i="1"/>
  <c r="H72" i="1" s="1"/>
  <c r="AH72" i="1"/>
  <c r="AK55" i="1"/>
  <c r="W57" i="1"/>
  <c r="AK57" i="1"/>
  <c r="S57" i="1"/>
  <c r="W59" i="1"/>
  <c r="AK59" i="1"/>
  <c r="S59" i="1"/>
  <c r="I66" i="1"/>
  <c r="H66" i="1" s="1"/>
  <c r="AH66" i="1"/>
  <c r="K68" i="1"/>
  <c r="N69" i="1"/>
  <c r="K69" i="1"/>
  <c r="J69" i="1"/>
  <c r="W71" i="1"/>
  <c r="N74" i="1"/>
  <c r="AK82" i="1"/>
  <c r="S82" i="1"/>
  <c r="K88" i="1"/>
  <c r="I88" i="1"/>
  <c r="H88" i="1" s="1"/>
  <c r="AH88" i="1"/>
  <c r="N88" i="1"/>
  <c r="J88" i="1"/>
  <c r="AK83" i="1"/>
  <c r="S83" i="1"/>
  <c r="K87" i="1"/>
  <c r="J87" i="1"/>
  <c r="N87" i="1"/>
  <c r="AA92" i="1"/>
  <c r="AH82" i="1"/>
  <c r="AK88" i="1"/>
  <c r="S88" i="1"/>
  <c r="AK98" i="1"/>
  <c r="S98" i="1"/>
  <c r="S61" i="1"/>
  <c r="S65" i="1"/>
  <c r="S69" i="1"/>
  <c r="S73" i="1"/>
  <c r="W75" i="1"/>
  <c r="AK75" i="1"/>
  <c r="W77" i="1"/>
  <c r="AK77" i="1"/>
  <c r="S77" i="1"/>
  <c r="W79" i="1"/>
  <c r="AK79" i="1"/>
  <c r="S79" i="1"/>
  <c r="AK80" i="1"/>
  <c r="J82" i="1"/>
  <c r="K85" i="1"/>
  <c r="J85" i="1"/>
  <c r="W89" i="1"/>
  <c r="AA123" i="1"/>
  <c r="T123" i="1"/>
  <c r="U123" i="1" s="1"/>
  <c r="AH94" i="1"/>
  <c r="N94" i="1"/>
  <c r="K94" i="1"/>
  <c r="J94" i="1"/>
  <c r="I94" i="1"/>
  <c r="H94" i="1" s="1"/>
  <c r="I84" i="1"/>
  <c r="H84" i="1" s="1"/>
  <c r="AH84" i="1"/>
  <c r="I87" i="1"/>
  <c r="H87" i="1" s="1"/>
  <c r="J75" i="1"/>
  <c r="K81" i="1"/>
  <c r="J81" i="1"/>
  <c r="I86" i="1"/>
  <c r="H86" i="1" s="1"/>
  <c r="AH86" i="1"/>
  <c r="AK91" i="1"/>
  <c r="S91" i="1"/>
  <c r="K96" i="1"/>
  <c r="J96" i="1"/>
  <c r="AH96" i="1"/>
  <c r="N96" i="1"/>
  <c r="I96" i="1"/>
  <c r="H96" i="1" s="1"/>
  <c r="S63" i="1"/>
  <c r="S67" i="1"/>
  <c r="S71" i="1"/>
  <c r="I81" i="1"/>
  <c r="H81" i="1" s="1"/>
  <c r="AK81" i="1"/>
  <c r="N84" i="1"/>
  <c r="N85" i="1"/>
  <c r="N89" i="1"/>
  <c r="K89" i="1"/>
  <c r="J89" i="1"/>
  <c r="AH118" i="1"/>
  <c r="K118" i="1"/>
  <c r="N118" i="1"/>
  <c r="I118" i="1"/>
  <c r="H118" i="1" s="1"/>
  <c r="I91" i="1"/>
  <c r="H91" i="1" s="1"/>
  <c r="AH91" i="1"/>
  <c r="AK94" i="1"/>
  <c r="S94" i="1"/>
  <c r="W106" i="1"/>
  <c r="J111" i="1"/>
  <c r="N111" i="1"/>
  <c r="K111" i="1"/>
  <c r="I111" i="1"/>
  <c r="H111" i="1" s="1"/>
  <c r="AK114" i="1"/>
  <c r="S114" i="1"/>
  <c r="AK126" i="1"/>
  <c r="S126" i="1"/>
  <c r="S81" i="1"/>
  <c r="S85" i="1"/>
  <c r="S89" i="1"/>
  <c r="J91" i="1"/>
  <c r="W102" i="1"/>
  <c r="I106" i="1"/>
  <c r="H106" i="1" s="1"/>
  <c r="T108" i="1"/>
  <c r="U108" i="1" s="1"/>
  <c r="Q108" i="1" s="1"/>
  <c r="O108" i="1" s="1"/>
  <c r="R108" i="1" s="1"/>
  <c r="AK109" i="1"/>
  <c r="S109" i="1"/>
  <c r="I134" i="1"/>
  <c r="H134" i="1" s="1"/>
  <c r="AH134" i="1"/>
  <c r="K134" i="1"/>
  <c r="J134" i="1"/>
  <c r="N105" i="1"/>
  <c r="J105" i="1"/>
  <c r="I105" i="1"/>
  <c r="H105" i="1" s="1"/>
  <c r="T105" i="1" s="1"/>
  <c r="U105" i="1" s="1"/>
  <c r="I98" i="1"/>
  <c r="H98" i="1" s="1"/>
  <c r="I100" i="1"/>
  <c r="H100" i="1" s="1"/>
  <c r="N101" i="1"/>
  <c r="J101" i="1"/>
  <c r="I101" i="1"/>
  <c r="H101" i="1" s="1"/>
  <c r="AH110" i="1"/>
  <c r="K110" i="1"/>
  <c r="N110" i="1"/>
  <c r="J110" i="1"/>
  <c r="J115" i="1"/>
  <c r="N115" i="1"/>
  <c r="AH115" i="1"/>
  <c r="AA127" i="1"/>
  <c r="K131" i="1"/>
  <c r="J131" i="1"/>
  <c r="N131" i="1"/>
  <c r="I131" i="1"/>
  <c r="H131" i="1" s="1"/>
  <c r="AH131" i="1"/>
  <c r="K92" i="1"/>
  <c r="J92" i="1"/>
  <c r="AH92" i="1"/>
  <c r="J93" i="1"/>
  <c r="I93" i="1"/>
  <c r="H93" i="1" s="1"/>
  <c r="N97" i="1"/>
  <c r="J97" i="1"/>
  <c r="I97" i="1"/>
  <c r="H97" i="1" s="1"/>
  <c r="AH101" i="1"/>
  <c r="J103" i="1"/>
  <c r="I103" i="1"/>
  <c r="H103" i="1" s="1"/>
  <c r="AH103" i="1"/>
  <c r="N103" i="1"/>
  <c r="AH106" i="1"/>
  <c r="N106" i="1"/>
  <c r="K106" i="1"/>
  <c r="I110" i="1"/>
  <c r="H110" i="1" s="1"/>
  <c r="K115" i="1"/>
  <c r="AK122" i="1"/>
  <c r="S122" i="1"/>
  <c r="S87" i="1"/>
  <c r="AK92" i="1"/>
  <c r="AH93" i="1"/>
  <c r="AH97" i="1"/>
  <c r="J99" i="1"/>
  <c r="I99" i="1"/>
  <c r="H99" i="1" s="1"/>
  <c r="AH99" i="1"/>
  <c r="N99" i="1"/>
  <c r="AH102" i="1"/>
  <c r="N102" i="1"/>
  <c r="K102" i="1"/>
  <c r="K104" i="1"/>
  <c r="J104" i="1"/>
  <c r="AH104" i="1"/>
  <c r="AK106" i="1"/>
  <c r="S106" i="1"/>
  <c r="AA107" i="1"/>
  <c r="AA108" i="1"/>
  <c r="J95" i="1"/>
  <c r="I95" i="1"/>
  <c r="H95" i="1" s="1"/>
  <c r="T95" i="1" s="1"/>
  <c r="U95" i="1" s="1"/>
  <c r="AH95" i="1"/>
  <c r="N95" i="1"/>
  <c r="AH98" i="1"/>
  <c r="N98" i="1"/>
  <c r="K98" i="1"/>
  <c r="K100" i="1"/>
  <c r="J100" i="1"/>
  <c r="AH100" i="1"/>
  <c r="AK102" i="1"/>
  <c r="S102" i="1"/>
  <c r="AH114" i="1"/>
  <c r="K114" i="1"/>
  <c r="AK118" i="1"/>
  <c r="S118" i="1"/>
  <c r="J119" i="1"/>
  <c r="N119" i="1"/>
  <c r="AH122" i="1"/>
  <c r="K122" i="1"/>
  <c r="K123" i="1"/>
  <c r="J123" i="1"/>
  <c r="N123" i="1"/>
  <c r="I124" i="1"/>
  <c r="H124" i="1" s="1"/>
  <c r="T124" i="1" s="1"/>
  <c r="U124" i="1" s="1"/>
  <c r="AH124" i="1"/>
  <c r="I126" i="1"/>
  <c r="H126" i="1" s="1"/>
  <c r="AH126" i="1"/>
  <c r="K126" i="1"/>
  <c r="K127" i="1"/>
  <c r="J127" i="1"/>
  <c r="N127" i="1"/>
  <c r="I128" i="1"/>
  <c r="H128" i="1" s="1"/>
  <c r="T128" i="1" s="1"/>
  <c r="U128" i="1" s="1"/>
  <c r="AH128" i="1"/>
  <c r="W135" i="1"/>
  <c r="W111" i="1"/>
  <c r="K109" i="1"/>
  <c r="I109" i="1"/>
  <c r="H109" i="1" s="1"/>
  <c r="I114" i="1"/>
  <c r="H114" i="1" s="1"/>
  <c r="N117" i="1"/>
  <c r="K117" i="1"/>
  <c r="J117" i="1"/>
  <c r="I117" i="1"/>
  <c r="H117" i="1" s="1"/>
  <c r="W119" i="1"/>
  <c r="I122" i="1"/>
  <c r="H122" i="1" s="1"/>
  <c r="K135" i="1"/>
  <c r="J135" i="1"/>
  <c r="N135" i="1"/>
  <c r="S92" i="1"/>
  <c r="S96" i="1"/>
  <c r="S100" i="1"/>
  <c r="S104" i="1"/>
  <c r="AH109" i="1"/>
  <c r="AK110" i="1"/>
  <c r="S110" i="1"/>
  <c r="I112" i="1"/>
  <c r="H112" i="1" s="1"/>
  <c r="AH112" i="1"/>
  <c r="J114" i="1"/>
  <c r="I119" i="1"/>
  <c r="H119" i="1" s="1"/>
  <c r="I120" i="1"/>
  <c r="H120" i="1" s="1"/>
  <c r="AH120" i="1"/>
  <c r="J122" i="1"/>
  <c r="W123" i="1"/>
  <c r="J124" i="1"/>
  <c r="W127" i="1"/>
  <c r="I135" i="1"/>
  <c r="H135" i="1" s="1"/>
  <c r="N113" i="1"/>
  <c r="K113" i="1"/>
  <c r="J113" i="1"/>
  <c r="I113" i="1"/>
  <c r="H113" i="1" s="1"/>
  <c r="N114" i="1"/>
  <c r="W115" i="1"/>
  <c r="K119" i="1"/>
  <c r="N121" i="1"/>
  <c r="K121" i="1"/>
  <c r="J121" i="1"/>
  <c r="I121" i="1"/>
  <c r="H121" i="1" s="1"/>
  <c r="N122" i="1"/>
  <c r="K124" i="1"/>
  <c r="J126" i="1"/>
  <c r="I130" i="1"/>
  <c r="H130" i="1" s="1"/>
  <c r="AH130" i="1"/>
  <c r="K130" i="1"/>
  <c r="J130" i="1"/>
  <c r="AH133" i="1"/>
  <c r="I125" i="1"/>
  <c r="H125" i="1" s="1"/>
  <c r="I129" i="1"/>
  <c r="H129" i="1" s="1"/>
  <c r="S130" i="1"/>
  <c r="I133" i="1"/>
  <c r="H133" i="1" s="1"/>
  <c r="S134" i="1"/>
  <c r="J125" i="1"/>
  <c r="J129" i="1"/>
  <c r="J133" i="1"/>
  <c r="S113" i="1"/>
  <c r="S117" i="1"/>
  <c r="S121" i="1"/>
  <c r="K125" i="1"/>
  <c r="S125" i="1"/>
  <c r="K129" i="1"/>
  <c r="S129" i="1"/>
  <c r="K133" i="1"/>
  <c r="S133" i="1"/>
  <c r="T75" i="1" l="1"/>
  <c r="U75" i="1" s="1"/>
  <c r="Q75" i="1" s="1"/>
  <c r="O75" i="1" s="1"/>
  <c r="R75" i="1" s="1"/>
  <c r="AC107" i="1"/>
  <c r="L90" i="1"/>
  <c r="M90" i="1" s="1"/>
  <c r="T136" i="1"/>
  <c r="U136" i="1" s="1"/>
  <c r="AB136" i="1" s="1"/>
  <c r="T62" i="1"/>
  <c r="U62" i="1" s="1"/>
  <c r="T56" i="1"/>
  <c r="U56" i="1" s="1"/>
  <c r="Q56" i="1" s="1"/>
  <c r="O56" i="1" s="1"/>
  <c r="R56" i="1" s="1"/>
  <c r="L56" i="1" s="1"/>
  <c r="M56" i="1" s="1"/>
  <c r="T36" i="1"/>
  <c r="U36" i="1" s="1"/>
  <c r="AB36" i="1" s="1"/>
  <c r="T70" i="1"/>
  <c r="U70" i="1" s="1"/>
  <c r="AC70" i="1" s="1"/>
  <c r="T32" i="1"/>
  <c r="U32" i="1" s="1"/>
  <c r="AB32" i="1" s="1"/>
  <c r="T80" i="1"/>
  <c r="U80" i="1" s="1"/>
  <c r="T76" i="1"/>
  <c r="U76" i="1" s="1"/>
  <c r="AC76" i="1" s="1"/>
  <c r="T24" i="1"/>
  <c r="U24" i="1" s="1"/>
  <c r="AB24" i="1" s="1"/>
  <c r="T31" i="1"/>
  <c r="U31" i="1" s="1"/>
  <c r="Q31" i="1" s="1"/>
  <c r="O31" i="1" s="1"/>
  <c r="R31" i="1" s="1"/>
  <c r="L31" i="1" s="1"/>
  <c r="M31" i="1" s="1"/>
  <c r="T39" i="1"/>
  <c r="U39" i="1" s="1"/>
  <c r="AC39" i="1" s="1"/>
  <c r="T111" i="1"/>
  <c r="U111" i="1" s="1"/>
  <c r="Q111" i="1" s="1"/>
  <c r="O111" i="1" s="1"/>
  <c r="R111" i="1" s="1"/>
  <c r="L111" i="1" s="1"/>
  <c r="M111" i="1" s="1"/>
  <c r="T20" i="1"/>
  <c r="U20" i="1" s="1"/>
  <c r="V20" i="1" s="1"/>
  <c r="Z20" i="1" s="1"/>
  <c r="T29" i="1"/>
  <c r="U29" i="1" s="1"/>
  <c r="V29" i="1" s="1"/>
  <c r="Z29" i="1" s="1"/>
  <c r="T30" i="1"/>
  <c r="U30" i="1" s="1"/>
  <c r="Q30" i="1" s="1"/>
  <c r="O30" i="1" s="1"/>
  <c r="R30" i="1" s="1"/>
  <c r="L30" i="1" s="1"/>
  <c r="M30" i="1" s="1"/>
  <c r="T72" i="1"/>
  <c r="U72" i="1" s="1"/>
  <c r="AC72" i="1" s="1"/>
  <c r="T120" i="1"/>
  <c r="U120" i="1" s="1"/>
  <c r="AC120" i="1" s="1"/>
  <c r="L108" i="1"/>
  <c r="M108" i="1" s="1"/>
  <c r="L75" i="1"/>
  <c r="M75" i="1" s="1"/>
  <c r="L34" i="1"/>
  <c r="M34" i="1" s="1"/>
  <c r="L26" i="1"/>
  <c r="M26" i="1" s="1"/>
  <c r="L58" i="1"/>
  <c r="M58" i="1" s="1"/>
  <c r="Q41" i="1"/>
  <c r="O41" i="1" s="1"/>
  <c r="R41" i="1" s="1"/>
  <c r="L41" i="1" s="1"/>
  <c r="M41" i="1" s="1"/>
  <c r="AB41" i="1"/>
  <c r="AA116" i="1"/>
  <c r="Q132" i="1"/>
  <c r="O132" i="1" s="1"/>
  <c r="R132" i="1" s="1"/>
  <c r="L132" i="1" s="1"/>
  <c r="M132" i="1" s="1"/>
  <c r="Q136" i="1"/>
  <c r="O136" i="1" s="1"/>
  <c r="R136" i="1" s="1"/>
  <c r="L136" i="1" s="1"/>
  <c r="M136" i="1" s="1"/>
  <c r="T37" i="1"/>
  <c r="U37" i="1" s="1"/>
  <c r="V37" i="1" s="1"/>
  <c r="Z37" i="1" s="1"/>
  <c r="AB107" i="1"/>
  <c r="AD107" i="1" s="1"/>
  <c r="Q107" i="1"/>
  <c r="O107" i="1" s="1"/>
  <c r="R107" i="1" s="1"/>
  <c r="L107" i="1" s="1"/>
  <c r="M107" i="1" s="1"/>
  <c r="T116" i="1"/>
  <c r="U116" i="1" s="1"/>
  <c r="V105" i="1"/>
  <c r="Z105" i="1" s="1"/>
  <c r="AC105" i="1"/>
  <c r="AB105" i="1"/>
  <c r="V47" i="1"/>
  <c r="Z47" i="1" s="1"/>
  <c r="AC47" i="1"/>
  <c r="AB47" i="1"/>
  <c r="AB76" i="1"/>
  <c r="AB35" i="1"/>
  <c r="AC35" i="1"/>
  <c r="V35" i="1"/>
  <c r="Z35" i="1" s="1"/>
  <c r="AA113" i="1"/>
  <c r="AA126" i="1"/>
  <c r="AA118" i="1"/>
  <c r="T52" i="1"/>
  <c r="U52" i="1" s="1"/>
  <c r="Q52" i="1" s="1"/>
  <c r="O52" i="1" s="1"/>
  <c r="R52" i="1" s="1"/>
  <c r="L52" i="1" s="1"/>
  <c r="M52" i="1" s="1"/>
  <c r="AA112" i="1"/>
  <c r="AA131" i="1"/>
  <c r="T131" i="1"/>
  <c r="U131" i="1" s="1"/>
  <c r="Q131" i="1" s="1"/>
  <c r="O131" i="1" s="1"/>
  <c r="R131" i="1" s="1"/>
  <c r="L131" i="1" s="1"/>
  <c r="M131" i="1" s="1"/>
  <c r="AC80" i="1"/>
  <c r="AB80" i="1"/>
  <c r="V80" i="1"/>
  <c r="Z80" i="1" s="1"/>
  <c r="T66" i="1"/>
  <c r="U66" i="1" s="1"/>
  <c r="Q66" i="1" s="1"/>
  <c r="O66" i="1" s="1"/>
  <c r="R66" i="1" s="1"/>
  <c r="L66" i="1" s="1"/>
  <c r="M66" i="1" s="1"/>
  <c r="T17" i="1"/>
  <c r="U17" i="1" s="1"/>
  <c r="Q17" i="1" s="1"/>
  <c r="O17" i="1" s="1"/>
  <c r="T125" i="1"/>
  <c r="U125" i="1" s="1"/>
  <c r="Q125" i="1" s="1"/>
  <c r="O125" i="1" s="1"/>
  <c r="R125" i="1" s="1"/>
  <c r="L125" i="1" s="1"/>
  <c r="M125" i="1" s="1"/>
  <c r="T134" i="1"/>
  <c r="U134" i="1" s="1"/>
  <c r="Q134" i="1" s="1"/>
  <c r="O134" i="1" s="1"/>
  <c r="R134" i="1" s="1"/>
  <c r="L134" i="1" s="1"/>
  <c r="M134" i="1" s="1"/>
  <c r="T110" i="1"/>
  <c r="U110" i="1" s="1"/>
  <c r="Q110" i="1" s="1"/>
  <c r="O110" i="1" s="1"/>
  <c r="R110" i="1" s="1"/>
  <c r="L110" i="1" s="1"/>
  <c r="M110" i="1" s="1"/>
  <c r="AC124" i="1"/>
  <c r="V124" i="1"/>
  <c r="Z124" i="1" s="1"/>
  <c r="Q128" i="1"/>
  <c r="O128" i="1" s="1"/>
  <c r="R128" i="1" s="1"/>
  <c r="L128" i="1" s="1"/>
  <c r="M128" i="1" s="1"/>
  <c r="AA128" i="1"/>
  <c r="Q124" i="1"/>
  <c r="O124" i="1" s="1"/>
  <c r="R124" i="1" s="1"/>
  <c r="L124" i="1" s="1"/>
  <c r="M124" i="1" s="1"/>
  <c r="AA124" i="1"/>
  <c r="T118" i="1"/>
  <c r="U118" i="1" s="1"/>
  <c r="Q118" i="1" s="1"/>
  <c r="O118" i="1" s="1"/>
  <c r="R118" i="1" s="1"/>
  <c r="L118" i="1" s="1"/>
  <c r="M118" i="1" s="1"/>
  <c r="T112" i="1"/>
  <c r="U112" i="1" s="1"/>
  <c r="AA93" i="1"/>
  <c r="AA106" i="1"/>
  <c r="AA81" i="1"/>
  <c r="T77" i="1"/>
  <c r="U77" i="1" s="1"/>
  <c r="T61" i="1"/>
  <c r="U61" i="1" s="1"/>
  <c r="AC60" i="1"/>
  <c r="V60" i="1"/>
  <c r="Z60" i="1" s="1"/>
  <c r="T50" i="1"/>
  <c r="U50" i="1" s="1"/>
  <c r="T23" i="1"/>
  <c r="U23" i="1" s="1"/>
  <c r="Q23" i="1" s="1"/>
  <c r="O23" i="1" s="1"/>
  <c r="R23" i="1" s="1"/>
  <c r="L23" i="1" s="1"/>
  <c r="M23" i="1" s="1"/>
  <c r="AA46" i="1"/>
  <c r="T44" i="1"/>
  <c r="U44" i="1" s="1"/>
  <c r="AA48" i="1"/>
  <c r="AA36" i="1"/>
  <c r="AB58" i="1"/>
  <c r="AA54" i="1"/>
  <c r="AA17" i="1"/>
  <c r="AC41" i="1"/>
  <c r="V41" i="1"/>
  <c r="Z41" i="1" s="1"/>
  <c r="AA121" i="1"/>
  <c r="T92" i="1"/>
  <c r="U92" i="1" s="1"/>
  <c r="T69" i="1"/>
  <c r="U69" i="1" s="1"/>
  <c r="AC64" i="1"/>
  <c r="V64" i="1"/>
  <c r="Z64" i="1" s="1"/>
  <c r="AA65" i="1"/>
  <c r="AC128" i="1"/>
  <c r="V128" i="1"/>
  <c r="Z128" i="1" s="1"/>
  <c r="AA101" i="1"/>
  <c r="V95" i="1"/>
  <c r="Z95" i="1" s="1"/>
  <c r="AC95" i="1"/>
  <c r="AB95" i="1"/>
  <c r="AA63" i="1"/>
  <c r="T27" i="1"/>
  <c r="U27" i="1" s="1"/>
  <c r="Q62" i="1"/>
  <c r="O62" i="1" s="1"/>
  <c r="R62" i="1" s="1"/>
  <c r="L62" i="1" s="1"/>
  <c r="M62" i="1" s="1"/>
  <c r="AA62" i="1"/>
  <c r="AA27" i="1"/>
  <c r="AA133" i="1"/>
  <c r="T102" i="1"/>
  <c r="U102" i="1" s="1"/>
  <c r="Q95" i="1"/>
  <c r="O95" i="1" s="1"/>
  <c r="R95" i="1" s="1"/>
  <c r="L95" i="1" s="1"/>
  <c r="M95" i="1" s="1"/>
  <c r="AA95" i="1"/>
  <c r="T93" i="1"/>
  <c r="U93" i="1" s="1"/>
  <c r="Q93" i="1" s="1"/>
  <c r="O93" i="1" s="1"/>
  <c r="R93" i="1" s="1"/>
  <c r="L93" i="1" s="1"/>
  <c r="M93" i="1" s="1"/>
  <c r="AA134" i="1"/>
  <c r="T126" i="1"/>
  <c r="U126" i="1" s="1"/>
  <c r="T71" i="1"/>
  <c r="U71" i="1" s="1"/>
  <c r="AA87" i="1"/>
  <c r="T98" i="1"/>
  <c r="U98" i="1" s="1"/>
  <c r="Q98" i="1" s="1"/>
  <c r="O98" i="1" s="1"/>
  <c r="R98" i="1" s="1"/>
  <c r="L98" i="1" s="1"/>
  <c r="M98" i="1" s="1"/>
  <c r="AA66" i="1"/>
  <c r="Q60" i="1"/>
  <c r="O60" i="1" s="1"/>
  <c r="R60" i="1" s="1"/>
  <c r="L60" i="1" s="1"/>
  <c r="M60" i="1" s="1"/>
  <c r="T19" i="1"/>
  <c r="U19" i="1" s="1"/>
  <c r="Q19" i="1" s="1"/>
  <c r="O19" i="1" s="1"/>
  <c r="R19" i="1" s="1"/>
  <c r="L19" i="1" s="1"/>
  <c r="M19" i="1" s="1"/>
  <c r="AB64" i="1"/>
  <c r="T51" i="1"/>
  <c r="U51" i="1" s="1"/>
  <c r="Q51" i="1" s="1"/>
  <c r="O51" i="1" s="1"/>
  <c r="R51" i="1" s="1"/>
  <c r="L51" i="1" s="1"/>
  <c r="M51" i="1" s="1"/>
  <c r="AA51" i="1"/>
  <c r="AA32" i="1"/>
  <c r="T48" i="1"/>
  <c r="U48" i="1" s="1"/>
  <c r="Q48" i="1" s="1"/>
  <c r="O48" i="1" s="1"/>
  <c r="R48" i="1" s="1"/>
  <c r="L48" i="1" s="1"/>
  <c r="M48" i="1" s="1"/>
  <c r="AA39" i="1"/>
  <c r="V123" i="1"/>
  <c r="Z123" i="1" s="1"/>
  <c r="AC123" i="1"/>
  <c r="AB123" i="1"/>
  <c r="T83" i="1"/>
  <c r="U83" i="1" s="1"/>
  <c r="Q83" i="1" s="1"/>
  <c r="O83" i="1" s="1"/>
  <c r="R83" i="1" s="1"/>
  <c r="L83" i="1" s="1"/>
  <c r="M83" i="1" s="1"/>
  <c r="T45" i="1"/>
  <c r="U45" i="1" s="1"/>
  <c r="Q45" i="1" s="1"/>
  <c r="O45" i="1" s="1"/>
  <c r="R45" i="1" s="1"/>
  <c r="L45" i="1" s="1"/>
  <c r="M45" i="1" s="1"/>
  <c r="AC75" i="1"/>
  <c r="V75" i="1"/>
  <c r="Z75" i="1" s="1"/>
  <c r="AA94" i="1"/>
  <c r="T65" i="1"/>
  <c r="U65" i="1" s="1"/>
  <c r="Q65" i="1" s="1"/>
  <c r="O65" i="1" s="1"/>
  <c r="R65" i="1" s="1"/>
  <c r="L65" i="1" s="1"/>
  <c r="M65" i="1" s="1"/>
  <c r="AA43" i="1"/>
  <c r="AA45" i="1"/>
  <c r="V72" i="1"/>
  <c r="Z72" i="1" s="1"/>
  <c r="AA40" i="1"/>
  <c r="T42" i="1"/>
  <c r="U42" i="1" s="1"/>
  <c r="Q42" i="1" s="1"/>
  <c r="O42" i="1" s="1"/>
  <c r="R42" i="1" s="1"/>
  <c r="L42" i="1" s="1"/>
  <c r="M42" i="1" s="1"/>
  <c r="T18" i="1"/>
  <c r="U18" i="1" s="1"/>
  <c r="T121" i="1"/>
  <c r="U121" i="1" s="1"/>
  <c r="Q121" i="1" s="1"/>
  <c r="O121" i="1" s="1"/>
  <c r="R121" i="1" s="1"/>
  <c r="L121" i="1" s="1"/>
  <c r="M121" i="1" s="1"/>
  <c r="T130" i="1"/>
  <c r="U130" i="1" s="1"/>
  <c r="Q130" i="1" s="1"/>
  <c r="O130" i="1" s="1"/>
  <c r="R130" i="1" s="1"/>
  <c r="L130" i="1" s="1"/>
  <c r="M130" i="1" s="1"/>
  <c r="AA130" i="1"/>
  <c r="AA120" i="1"/>
  <c r="AA110" i="1"/>
  <c r="T103" i="1"/>
  <c r="U103" i="1" s="1"/>
  <c r="Q103" i="1" s="1"/>
  <c r="O103" i="1" s="1"/>
  <c r="R103" i="1" s="1"/>
  <c r="L103" i="1" s="1"/>
  <c r="M103" i="1" s="1"/>
  <c r="AA103" i="1"/>
  <c r="AA100" i="1"/>
  <c r="T109" i="1"/>
  <c r="U109" i="1" s="1"/>
  <c r="Q109" i="1" s="1"/>
  <c r="O109" i="1" s="1"/>
  <c r="R109" i="1" s="1"/>
  <c r="L109" i="1" s="1"/>
  <c r="M109" i="1" s="1"/>
  <c r="T94" i="1"/>
  <c r="U94" i="1" s="1"/>
  <c r="T67" i="1"/>
  <c r="U67" i="1" s="1"/>
  <c r="T91" i="1"/>
  <c r="U91" i="1" s="1"/>
  <c r="Q91" i="1" s="1"/>
  <c r="O91" i="1" s="1"/>
  <c r="R91" i="1" s="1"/>
  <c r="L91" i="1" s="1"/>
  <c r="M91" i="1" s="1"/>
  <c r="T59" i="1"/>
  <c r="U59" i="1" s="1"/>
  <c r="AA68" i="1"/>
  <c r="AB60" i="1"/>
  <c r="AA55" i="1"/>
  <c r="AA28" i="1"/>
  <c r="V38" i="1"/>
  <c r="Z38" i="1" s="1"/>
  <c r="AC38" i="1"/>
  <c r="AB38" i="1"/>
  <c r="T40" i="1"/>
  <c r="U40" i="1" s="1"/>
  <c r="V26" i="1"/>
  <c r="Z26" i="1" s="1"/>
  <c r="AC26" i="1"/>
  <c r="AB26" i="1"/>
  <c r="T28" i="1"/>
  <c r="U28" i="1" s="1"/>
  <c r="AC132" i="1"/>
  <c r="AD132" i="1" s="1"/>
  <c r="V132" i="1"/>
  <c r="Z132" i="1" s="1"/>
  <c r="AA35" i="1"/>
  <c r="Q35" i="1"/>
  <c r="O35" i="1" s="1"/>
  <c r="R35" i="1" s="1"/>
  <c r="L35" i="1" s="1"/>
  <c r="M35" i="1" s="1"/>
  <c r="T129" i="1"/>
  <c r="U129" i="1" s="1"/>
  <c r="AA117" i="1"/>
  <c r="AA52" i="1"/>
  <c r="AA129" i="1"/>
  <c r="AA119" i="1"/>
  <c r="T119" i="1"/>
  <c r="U119" i="1" s="1"/>
  <c r="Q119" i="1" s="1"/>
  <c r="O119" i="1" s="1"/>
  <c r="R119" i="1" s="1"/>
  <c r="L119" i="1" s="1"/>
  <c r="M119" i="1" s="1"/>
  <c r="L127" i="1"/>
  <c r="M127" i="1" s="1"/>
  <c r="AA98" i="1"/>
  <c r="T89" i="1"/>
  <c r="U89" i="1" s="1"/>
  <c r="T114" i="1"/>
  <c r="U114" i="1" s="1"/>
  <c r="Q114" i="1" s="1"/>
  <c r="O114" i="1" s="1"/>
  <c r="R114" i="1" s="1"/>
  <c r="L114" i="1" s="1"/>
  <c r="M114" i="1" s="1"/>
  <c r="AA84" i="1"/>
  <c r="T84" i="1"/>
  <c r="U84" i="1" s="1"/>
  <c r="Q84" i="1" s="1"/>
  <c r="O84" i="1" s="1"/>
  <c r="R84" i="1" s="1"/>
  <c r="L84" i="1" s="1"/>
  <c r="M84" i="1" s="1"/>
  <c r="AB75" i="1"/>
  <c r="AA78" i="1"/>
  <c r="Q64" i="1"/>
  <c r="O64" i="1" s="1"/>
  <c r="R64" i="1" s="1"/>
  <c r="L64" i="1" s="1"/>
  <c r="M64" i="1" s="1"/>
  <c r="AA64" i="1"/>
  <c r="T78" i="1"/>
  <c r="U78" i="1" s="1"/>
  <c r="Q78" i="1" s="1"/>
  <c r="O78" i="1" s="1"/>
  <c r="R78" i="1" s="1"/>
  <c r="L78" i="1" s="1"/>
  <c r="M78" i="1" s="1"/>
  <c r="AA49" i="1"/>
  <c r="T49" i="1"/>
  <c r="U49" i="1" s="1"/>
  <c r="Q49" i="1" s="1"/>
  <c r="O49" i="1" s="1"/>
  <c r="R49" i="1" s="1"/>
  <c r="L49" i="1" s="1"/>
  <c r="M49" i="1" s="1"/>
  <c r="T46" i="1"/>
  <c r="U46" i="1" s="1"/>
  <c r="Q46" i="1" s="1"/>
  <c r="O46" i="1" s="1"/>
  <c r="R46" i="1" s="1"/>
  <c r="L46" i="1" s="1"/>
  <c r="M46" i="1" s="1"/>
  <c r="AA33" i="1"/>
  <c r="T133" i="1"/>
  <c r="U133" i="1" s="1"/>
  <c r="Q133" i="1" s="1"/>
  <c r="O133" i="1" s="1"/>
  <c r="R133" i="1" s="1"/>
  <c r="L133" i="1" s="1"/>
  <c r="M133" i="1" s="1"/>
  <c r="T113" i="1"/>
  <c r="U113" i="1" s="1"/>
  <c r="Q113" i="1" s="1"/>
  <c r="O113" i="1" s="1"/>
  <c r="R113" i="1" s="1"/>
  <c r="L113" i="1" s="1"/>
  <c r="M113" i="1" s="1"/>
  <c r="AA125" i="1"/>
  <c r="V115" i="1"/>
  <c r="Z115" i="1" s="1"/>
  <c r="AC115" i="1"/>
  <c r="AB115" i="1"/>
  <c r="Q115" i="1"/>
  <c r="O115" i="1" s="1"/>
  <c r="R115" i="1" s="1"/>
  <c r="L115" i="1" s="1"/>
  <c r="M115" i="1" s="1"/>
  <c r="T100" i="1"/>
  <c r="U100" i="1" s="1"/>
  <c r="Q100" i="1" s="1"/>
  <c r="O100" i="1" s="1"/>
  <c r="R100" i="1" s="1"/>
  <c r="L100" i="1" s="1"/>
  <c r="M100" i="1" s="1"/>
  <c r="AA122" i="1"/>
  <c r="AA109" i="1"/>
  <c r="T101" i="1"/>
  <c r="U101" i="1" s="1"/>
  <c r="AB124" i="1"/>
  <c r="V127" i="1"/>
  <c r="Z127" i="1" s="1"/>
  <c r="AC127" i="1"/>
  <c r="AB127" i="1"/>
  <c r="AB128" i="1"/>
  <c r="T85" i="1"/>
  <c r="U85" i="1" s="1"/>
  <c r="Q47" i="1"/>
  <c r="O47" i="1" s="1"/>
  <c r="R47" i="1" s="1"/>
  <c r="L47" i="1" s="1"/>
  <c r="M47" i="1" s="1"/>
  <c r="AA47" i="1"/>
  <c r="V53" i="1"/>
  <c r="Z53" i="1" s="1"/>
  <c r="AC53" i="1"/>
  <c r="AB53" i="1"/>
  <c r="T55" i="1"/>
  <c r="U55" i="1" s="1"/>
  <c r="AA83" i="1"/>
  <c r="AA53" i="1"/>
  <c r="Q53" i="1"/>
  <c r="O53" i="1" s="1"/>
  <c r="R53" i="1" s="1"/>
  <c r="L53" i="1" s="1"/>
  <c r="M53" i="1" s="1"/>
  <c r="AA24" i="1"/>
  <c r="AA70" i="1"/>
  <c r="V34" i="1"/>
  <c r="Z34" i="1" s="1"/>
  <c r="AC34" i="1"/>
  <c r="AB34" i="1"/>
  <c r="AA31" i="1"/>
  <c r="AA19" i="1"/>
  <c r="T117" i="1"/>
  <c r="U117" i="1" s="1"/>
  <c r="Q117" i="1" s="1"/>
  <c r="O117" i="1" s="1"/>
  <c r="R117" i="1" s="1"/>
  <c r="L117" i="1" s="1"/>
  <c r="M117" i="1" s="1"/>
  <c r="AA135" i="1"/>
  <c r="T135" i="1"/>
  <c r="U135" i="1" s="1"/>
  <c r="Q135" i="1" s="1"/>
  <c r="O135" i="1" s="1"/>
  <c r="R135" i="1" s="1"/>
  <c r="L135" i="1" s="1"/>
  <c r="M135" i="1" s="1"/>
  <c r="T104" i="1"/>
  <c r="U104" i="1" s="1"/>
  <c r="AA114" i="1"/>
  <c r="T87" i="1"/>
  <c r="U87" i="1" s="1"/>
  <c r="Q87" i="1" s="1"/>
  <c r="O87" i="1" s="1"/>
  <c r="R87" i="1" s="1"/>
  <c r="L87" i="1" s="1"/>
  <c r="M87" i="1" s="1"/>
  <c r="Q105" i="1"/>
  <c r="O105" i="1" s="1"/>
  <c r="R105" i="1" s="1"/>
  <c r="L105" i="1" s="1"/>
  <c r="M105" i="1" s="1"/>
  <c r="AA105" i="1"/>
  <c r="AC90" i="1"/>
  <c r="AB90" i="1"/>
  <c r="V90" i="1"/>
  <c r="Z90" i="1" s="1"/>
  <c r="T63" i="1"/>
  <c r="U63" i="1" s="1"/>
  <c r="Q63" i="1" s="1"/>
  <c r="O63" i="1" s="1"/>
  <c r="R63" i="1" s="1"/>
  <c r="L63" i="1" s="1"/>
  <c r="M63" i="1" s="1"/>
  <c r="T88" i="1"/>
  <c r="U88" i="1" s="1"/>
  <c r="AA88" i="1"/>
  <c r="T68" i="1"/>
  <c r="U68" i="1" s="1"/>
  <c r="Q68" i="1" s="1"/>
  <c r="O68" i="1" s="1"/>
  <c r="R68" i="1" s="1"/>
  <c r="L68" i="1" s="1"/>
  <c r="M68" i="1" s="1"/>
  <c r="AC62" i="1"/>
  <c r="AB62" i="1"/>
  <c r="V62" i="1"/>
  <c r="Z62" i="1" s="1"/>
  <c r="AA44" i="1"/>
  <c r="T25" i="1"/>
  <c r="U25" i="1" s="1"/>
  <c r="Q25" i="1" s="1"/>
  <c r="O25" i="1" s="1"/>
  <c r="R25" i="1" s="1"/>
  <c r="L25" i="1" s="1"/>
  <c r="M25" i="1" s="1"/>
  <c r="AA21" i="1"/>
  <c r="T96" i="1"/>
  <c r="U96" i="1" s="1"/>
  <c r="Q96" i="1" s="1"/>
  <c r="O96" i="1" s="1"/>
  <c r="R96" i="1" s="1"/>
  <c r="L96" i="1" s="1"/>
  <c r="M96" i="1" s="1"/>
  <c r="AC136" i="1"/>
  <c r="AD136" i="1" s="1"/>
  <c r="V136" i="1"/>
  <c r="Z136" i="1" s="1"/>
  <c r="AA99" i="1"/>
  <c r="T99" i="1"/>
  <c r="U99" i="1" s="1"/>
  <c r="Q99" i="1" s="1"/>
  <c r="O99" i="1" s="1"/>
  <c r="R99" i="1" s="1"/>
  <c r="L99" i="1" s="1"/>
  <c r="M99" i="1" s="1"/>
  <c r="T122" i="1"/>
  <c r="U122" i="1" s="1"/>
  <c r="AA97" i="1"/>
  <c r="AC108" i="1"/>
  <c r="AB108" i="1"/>
  <c r="V108" i="1"/>
  <c r="Z108" i="1" s="1"/>
  <c r="T81" i="1"/>
  <c r="U81" i="1" s="1"/>
  <c r="AA111" i="1"/>
  <c r="AA91" i="1"/>
  <c r="AA96" i="1"/>
  <c r="AA86" i="1"/>
  <c r="T97" i="1"/>
  <c r="U97" i="1" s="1"/>
  <c r="Q97" i="1" s="1"/>
  <c r="O97" i="1" s="1"/>
  <c r="R97" i="1" s="1"/>
  <c r="L97" i="1" s="1"/>
  <c r="M97" i="1" s="1"/>
  <c r="Q123" i="1"/>
  <c r="O123" i="1" s="1"/>
  <c r="R123" i="1" s="1"/>
  <c r="L123" i="1" s="1"/>
  <c r="M123" i="1" s="1"/>
  <c r="T79" i="1"/>
  <c r="U79" i="1" s="1"/>
  <c r="T73" i="1"/>
  <c r="U73" i="1" s="1"/>
  <c r="T82" i="1"/>
  <c r="U82" i="1" s="1"/>
  <c r="T57" i="1"/>
  <c r="U57" i="1" s="1"/>
  <c r="Q57" i="1" s="1"/>
  <c r="O57" i="1" s="1"/>
  <c r="R57" i="1" s="1"/>
  <c r="L57" i="1" s="1"/>
  <c r="M57" i="1" s="1"/>
  <c r="Q72" i="1"/>
  <c r="O72" i="1" s="1"/>
  <c r="R72" i="1" s="1"/>
  <c r="L72" i="1" s="1"/>
  <c r="M72" i="1" s="1"/>
  <c r="AA72" i="1"/>
  <c r="AA57" i="1"/>
  <c r="T86" i="1"/>
  <c r="U86" i="1" s="1"/>
  <c r="Q86" i="1" s="1"/>
  <c r="O86" i="1" s="1"/>
  <c r="R86" i="1" s="1"/>
  <c r="L86" i="1" s="1"/>
  <c r="M86" i="1" s="1"/>
  <c r="T74" i="1"/>
  <c r="U74" i="1" s="1"/>
  <c r="Q74" i="1" s="1"/>
  <c r="O74" i="1" s="1"/>
  <c r="R74" i="1" s="1"/>
  <c r="L74" i="1" s="1"/>
  <c r="M74" i="1" s="1"/>
  <c r="T54" i="1"/>
  <c r="U54" i="1" s="1"/>
  <c r="Q54" i="1" s="1"/>
  <c r="O54" i="1" s="1"/>
  <c r="R54" i="1" s="1"/>
  <c r="L54" i="1" s="1"/>
  <c r="M54" i="1" s="1"/>
  <c r="Q80" i="1"/>
  <c r="O80" i="1" s="1"/>
  <c r="R80" i="1" s="1"/>
  <c r="L80" i="1" s="1"/>
  <c r="M80" i="1" s="1"/>
  <c r="AA80" i="1"/>
  <c r="T43" i="1"/>
  <c r="U43" i="1" s="1"/>
  <c r="Q43" i="1" s="1"/>
  <c r="O43" i="1" s="1"/>
  <c r="R43" i="1" s="1"/>
  <c r="L43" i="1" s="1"/>
  <c r="M43" i="1" s="1"/>
  <c r="T21" i="1"/>
  <c r="U21" i="1" s="1"/>
  <c r="Q21" i="1" s="1"/>
  <c r="O21" i="1" s="1"/>
  <c r="R21" i="1" s="1"/>
  <c r="L21" i="1" s="1"/>
  <c r="M21" i="1" s="1"/>
  <c r="AA29" i="1"/>
  <c r="Q38" i="1"/>
  <c r="O38" i="1" s="1"/>
  <c r="R38" i="1" s="1"/>
  <c r="L38" i="1" s="1"/>
  <c r="M38" i="1" s="1"/>
  <c r="AA25" i="1"/>
  <c r="T106" i="1"/>
  <c r="U106" i="1" s="1"/>
  <c r="AA74" i="1"/>
  <c r="AA76" i="1"/>
  <c r="AA42" i="1"/>
  <c r="AA20" i="1"/>
  <c r="AC58" i="1"/>
  <c r="V58" i="1"/>
  <c r="Z58" i="1" s="1"/>
  <c r="V30" i="1"/>
  <c r="Z30" i="1" s="1"/>
  <c r="AC30" i="1"/>
  <c r="AB30" i="1"/>
  <c r="T22" i="1"/>
  <c r="U22" i="1" s="1"/>
  <c r="AA23" i="1"/>
  <c r="T33" i="1"/>
  <c r="U33" i="1" s="1"/>
  <c r="Q33" i="1" s="1"/>
  <c r="O33" i="1" s="1"/>
  <c r="R33" i="1" s="1"/>
  <c r="L33" i="1" s="1"/>
  <c r="M33" i="1" s="1"/>
  <c r="AA37" i="1"/>
  <c r="AB70" i="1" l="1"/>
  <c r="V70" i="1"/>
  <c r="Z70" i="1" s="1"/>
  <c r="Q70" i="1"/>
  <c r="O70" i="1" s="1"/>
  <c r="R70" i="1" s="1"/>
  <c r="L70" i="1" s="1"/>
  <c r="M70" i="1" s="1"/>
  <c r="V56" i="1"/>
  <c r="Z56" i="1" s="1"/>
  <c r="AB39" i="1"/>
  <c r="AD39" i="1" s="1"/>
  <c r="AB56" i="1"/>
  <c r="AC56" i="1"/>
  <c r="Q36" i="1"/>
  <c r="O36" i="1" s="1"/>
  <c r="R36" i="1" s="1"/>
  <c r="L36" i="1" s="1"/>
  <c r="M36" i="1" s="1"/>
  <c r="AC36" i="1"/>
  <c r="AD36" i="1" s="1"/>
  <c r="AD58" i="1"/>
  <c r="V36" i="1"/>
  <c r="Z36" i="1" s="1"/>
  <c r="Q29" i="1"/>
  <c r="O29" i="1" s="1"/>
  <c r="R29" i="1" s="1"/>
  <c r="L29" i="1" s="1"/>
  <c r="M29" i="1" s="1"/>
  <c r="Q32" i="1"/>
  <c r="O32" i="1" s="1"/>
  <c r="R32" i="1" s="1"/>
  <c r="L32" i="1" s="1"/>
  <c r="M32" i="1" s="1"/>
  <c r="V32" i="1"/>
  <c r="Z32" i="1" s="1"/>
  <c r="AB20" i="1"/>
  <c r="AC20" i="1"/>
  <c r="AD20" i="1" s="1"/>
  <c r="AB29" i="1"/>
  <c r="AC32" i="1"/>
  <c r="AD32" i="1" s="1"/>
  <c r="AC29" i="1"/>
  <c r="AD29" i="1" s="1"/>
  <c r="Q76" i="1"/>
  <c r="O76" i="1" s="1"/>
  <c r="R76" i="1" s="1"/>
  <c r="L76" i="1" s="1"/>
  <c r="M76" i="1" s="1"/>
  <c r="AC24" i="1"/>
  <c r="AD24" i="1" s="1"/>
  <c r="AB72" i="1"/>
  <c r="AD72" i="1" s="1"/>
  <c r="V24" i="1"/>
  <c r="Z24" i="1" s="1"/>
  <c r="Q24" i="1"/>
  <c r="O24" i="1" s="1"/>
  <c r="R24" i="1" s="1"/>
  <c r="L24" i="1" s="1"/>
  <c r="M24" i="1" s="1"/>
  <c r="V76" i="1"/>
  <c r="Z76" i="1" s="1"/>
  <c r="AD41" i="1"/>
  <c r="AB120" i="1"/>
  <c r="V120" i="1"/>
  <c r="Z120" i="1" s="1"/>
  <c r="V31" i="1"/>
  <c r="Z31" i="1" s="1"/>
  <c r="AB111" i="1"/>
  <c r="AB37" i="1"/>
  <c r="V111" i="1"/>
  <c r="Z111" i="1" s="1"/>
  <c r="AC111" i="1"/>
  <c r="AD105" i="1"/>
  <c r="Q20" i="1"/>
  <c r="O20" i="1" s="1"/>
  <c r="R20" i="1" s="1"/>
  <c r="L20" i="1" s="1"/>
  <c r="M20" i="1" s="1"/>
  <c r="AD123" i="1"/>
  <c r="AD90" i="1"/>
  <c r="AC31" i="1"/>
  <c r="AB31" i="1"/>
  <c r="Q39" i="1"/>
  <c r="O39" i="1" s="1"/>
  <c r="R39" i="1" s="1"/>
  <c r="L39" i="1" s="1"/>
  <c r="M39" i="1" s="1"/>
  <c r="V39" i="1"/>
  <c r="Z39" i="1" s="1"/>
  <c r="AD115" i="1"/>
  <c r="AD34" i="1"/>
  <c r="AD30" i="1"/>
  <c r="Q120" i="1"/>
  <c r="O120" i="1" s="1"/>
  <c r="R120" i="1" s="1"/>
  <c r="L120" i="1" s="1"/>
  <c r="M120" i="1" s="1"/>
  <c r="AD26" i="1"/>
  <c r="R17" i="1"/>
  <c r="L17" i="1" s="1"/>
  <c r="M17" i="1" s="1"/>
  <c r="AC37" i="1"/>
  <c r="Q37" i="1"/>
  <c r="O37" i="1" s="1"/>
  <c r="R37" i="1" s="1"/>
  <c r="L37" i="1" s="1"/>
  <c r="M37" i="1" s="1"/>
  <c r="AD75" i="1"/>
  <c r="V116" i="1"/>
  <c r="Z116" i="1" s="1"/>
  <c r="AB116" i="1"/>
  <c r="AC116" i="1"/>
  <c r="Q116" i="1"/>
  <c r="O116" i="1" s="1"/>
  <c r="R116" i="1" s="1"/>
  <c r="L116" i="1" s="1"/>
  <c r="M116" i="1" s="1"/>
  <c r="AD62" i="1"/>
  <c r="V106" i="1"/>
  <c r="Z106" i="1" s="1"/>
  <c r="AC106" i="1"/>
  <c r="AB106" i="1"/>
  <c r="AC88" i="1"/>
  <c r="AB88" i="1"/>
  <c r="V88" i="1"/>
  <c r="Z88" i="1" s="1"/>
  <c r="V129" i="1"/>
  <c r="Z129" i="1" s="1"/>
  <c r="AB129" i="1"/>
  <c r="AC129" i="1"/>
  <c r="AD129" i="1" s="1"/>
  <c r="V59" i="1"/>
  <c r="Z59" i="1" s="1"/>
  <c r="AC59" i="1"/>
  <c r="AB59" i="1"/>
  <c r="Q59" i="1"/>
  <c r="O59" i="1" s="1"/>
  <c r="R59" i="1" s="1"/>
  <c r="L59" i="1" s="1"/>
  <c r="M59" i="1" s="1"/>
  <c r="AC126" i="1"/>
  <c r="AB126" i="1"/>
  <c r="V126" i="1"/>
  <c r="Z126" i="1" s="1"/>
  <c r="AB27" i="1"/>
  <c r="V27" i="1"/>
  <c r="Z27" i="1" s="1"/>
  <c r="AC27" i="1"/>
  <c r="V61" i="1"/>
  <c r="Z61" i="1" s="1"/>
  <c r="AC61" i="1"/>
  <c r="Q61" i="1"/>
  <c r="O61" i="1" s="1"/>
  <c r="R61" i="1" s="1"/>
  <c r="L61" i="1" s="1"/>
  <c r="M61" i="1" s="1"/>
  <c r="AB61" i="1"/>
  <c r="AD47" i="1"/>
  <c r="AC82" i="1"/>
  <c r="V82" i="1"/>
  <c r="Z82" i="1" s="1"/>
  <c r="Q82" i="1"/>
  <c r="O82" i="1" s="1"/>
  <c r="R82" i="1" s="1"/>
  <c r="L82" i="1" s="1"/>
  <c r="M82" i="1" s="1"/>
  <c r="AB82" i="1"/>
  <c r="V81" i="1"/>
  <c r="Z81" i="1" s="1"/>
  <c r="AC81" i="1"/>
  <c r="AB81" i="1"/>
  <c r="V99" i="1"/>
  <c r="Z99" i="1" s="1"/>
  <c r="AC99" i="1"/>
  <c r="AB99" i="1"/>
  <c r="V85" i="1"/>
  <c r="Z85" i="1" s="1"/>
  <c r="AC85" i="1"/>
  <c r="Q85" i="1"/>
  <c r="O85" i="1" s="1"/>
  <c r="R85" i="1" s="1"/>
  <c r="L85" i="1" s="1"/>
  <c r="M85" i="1" s="1"/>
  <c r="AB85" i="1"/>
  <c r="AC114" i="1"/>
  <c r="AB114" i="1"/>
  <c r="V114" i="1"/>
  <c r="Z114" i="1" s="1"/>
  <c r="V28" i="1"/>
  <c r="Z28" i="1" s="1"/>
  <c r="AC28" i="1"/>
  <c r="AB28" i="1"/>
  <c r="Q28" i="1"/>
  <c r="O28" i="1" s="1"/>
  <c r="R28" i="1" s="1"/>
  <c r="L28" i="1" s="1"/>
  <c r="M28" i="1" s="1"/>
  <c r="V109" i="1"/>
  <c r="Z109" i="1" s="1"/>
  <c r="AC109" i="1"/>
  <c r="AB109" i="1"/>
  <c r="V18" i="1"/>
  <c r="Z18" i="1" s="1"/>
  <c r="AC18" i="1"/>
  <c r="AB18" i="1"/>
  <c r="Q18" i="1"/>
  <c r="O18" i="1" s="1"/>
  <c r="R18" i="1" s="1"/>
  <c r="L18" i="1" s="1"/>
  <c r="M18" i="1" s="1"/>
  <c r="V51" i="1"/>
  <c r="Z51" i="1" s="1"/>
  <c r="AC51" i="1"/>
  <c r="AB51" i="1"/>
  <c r="V98" i="1"/>
  <c r="Z98" i="1" s="1"/>
  <c r="AC98" i="1"/>
  <c r="AB98" i="1"/>
  <c r="AD128" i="1"/>
  <c r="V92" i="1"/>
  <c r="Z92" i="1" s="1"/>
  <c r="AB92" i="1"/>
  <c r="AC92" i="1"/>
  <c r="Q92" i="1"/>
  <c r="O92" i="1" s="1"/>
  <c r="R92" i="1" s="1"/>
  <c r="L92" i="1" s="1"/>
  <c r="M92" i="1" s="1"/>
  <c r="AC17" i="1"/>
  <c r="V17" i="1"/>
  <c r="Z17" i="1" s="1"/>
  <c r="AB17" i="1"/>
  <c r="V131" i="1"/>
  <c r="Z131" i="1" s="1"/>
  <c r="AC131" i="1"/>
  <c r="AB131" i="1"/>
  <c r="AC86" i="1"/>
  <c r="V86" i="1"/>
  <c r="Z86" i="1" s="1"/>
  <c r="AB86" i="1"/>
  <c r="AC122" i="1"/>
  <c r="AB122" i="1"/>
  <c r="V122" i="1"/>
  <c r="Z122" i="1" s="1"/>
  <c r="V73" i="1"/>
  <c r="Z73" i="1" s="1"/>
  <c r="AC73" i="1"/>
  <c r="AB73" i="1"/>
  <c r="Q73" i="1"/>
  <c r="O73" i="1" s="1"/>
  <c r="R73" i="1" s="1"/>
  <c r="L73" i="1" s="1"/>
  <c r="M73" i="1" s="1"/>
  <c r="V25" i="1"/>
  <c r="Z25" i="1" s="1"/>
  <c r="AC25" i="1"/>
  <c r="AB25" i="1"/>
  <c r="AC68" i="1"/>
  <c r="V68" i="1"/>
  <c r="Z68" i="1" s="1"/>
  <c r="AB68" i="1"/>
  <c r="V55" i="1"/>
  <c r="Z55" i="1" s="1"/>
  <c r="AC55" i="1"/>
  <c r="AB55" i="1"/>
  <c r="Q122" i="1"/>
  <c r="O122" i="1" s="1"/>
  <c r="R122" i="1" s="1"/>
  <c r="L122" i="1" s="1"/>
  <c r="M122" i="1" s="1"/>
  <c r="V89" i="1"/>
  <c r="Z89" i="1" s="1"/>
  <c r="AC89" i="1"/>
  <c r="Q89" i="1"/>
  <c r="O89" i="1" s="1"/>
  <c r="R89" i="1" s="1"/>
  <c r="L89" i="1" s="1"/>
  <c r="M89" i="1" s="1"/>
  <c r="AB89" i="1"/>
  <c r="Q129" i="1"/>
  <c r="O129" i="1" s="1"/>
  <c r="R129" i="1" s="1"/>
  <c r="L129" i="1" s="1"/>
  <c r="M129" i="1" s="1"/>
  <c r="V91" i="1"/>
  <c r="Z91" i="1" s="1"/>
  <c r="AC91" i="1"/>
  <c r="AB91" i="1"/>
  <c r="AC77" i="1"/>
  <c r="V77" i="1"/>
  <c r="Z77" i="1" s="1"/>
  <c r="Q77" i="1"/>
  <c r="O77" i="1" s="1"/>
  <c r="R77" i="1" s="1"/>
  <c r="L77" i="1" s="1"/>
  <c r="M77" i="1" s="1"/>
  <c r="AB77" i="1"/>
  <c r="V112" i="1"/>
  <c r="Z112" i="1" s="1"/>
  <c r="AC112" i="1"/>
  <c r="AB112" i="1"/>
  <c r="AD124" i="1"/>
  <c r="Q126" i="1"/>
  <c r="O126" i="1" s="1"/>
  <c r="R126" i="1" s="1"/>
  <c r="L126" i="1" s="1"/>
  <c r="M126" i="1" s="1"/>
  <c r="V57" i="1"/>
  <c r="Z57" i="1" s="1"/>
  <c r="AC57" i="1"/>
  <c r="AB57" i="1"/>
  <c r="Q88" i="1"/>
  <c r="O88" i="1" s="1"/>
  <c r="R88" i="1" s="1"/>
  <c r="L88" i="1" s="1"/>
  <c r="M88" i="1" s="1"/>
  <c r="AB104" i="1"/>
  <c r="Q104" i="1"/>
  <c r="O104" i="1" s="1"/>
  <c r="R104" i="1" s="1"/>
  <c r="L104" i="1" s="1"/>
  <c r="M104" i="1" s="1"/>
  <c r="AC104" i="1"/>
  <c r="V104" i="1"/>
  <c r="Z104" i="1" s="1"/>
  <c r="AC46" i="1"/>
  <c r="AB46" i="1"/>
  <c r="V46" i="1"/>
  <c r="Z46" i="1" s="1"/>
  <c r="V45" i="1"/>
  <c r="Z45" i="1" s="1"/>
  <c r="AC45" i="1"/>
  <c r="AB45" i="1"/>
  <c r="Q27" i="1"/>
  <c r="O27" i="1" s="1"/>
  <c r="R27" i="1" s="1"/>
  <c r="L27" i="1" s="1"/>
  <c r="M27" i="1" s="1"/>
  <c r="V44" i="1"/>
  <c r="Z44" i="1" s="1"/>
  <c r="AC44" i="1"/>
  <c r="AB44" i="1"/>
  <c r="AB23" i="1"/>
  <c r="AC23" i="1"/>
  <c r="V23" i="1"/>
  <c r="Z23" i="1" s="1"/>
  <c r="AC110" i="1"/>
  <c r="V110" i="1"/>
  <c r="Z110" i="1" s="1"/>
  <c r="AB110" i="1"/>
  <c r="V33" i="1"/>
  <c r="Z33" i="1" s="1"/>
  <c r="AC33" i="1"/>
  <c r="AB33" i="1"/>
  <c r="AC42" i="1"/>
  <c r="AB42" i="1"/>
  <c r="V42" i="1"/>
  <c r="Z42" i="1" s="1"/>
  <c r="AC54" i="1"/>
  <c r="AB54" i="1"/>
  <c r="V54" i="1"/>
  <c r="Z54" i="1" s="1"/>
  <c r="AD108" i="1"/>
  <c r="Q44" i="1"/>
  <c r="O44" i="1" s="1"/>
  <c r="R44" i="1" s="1"/>
  <c r="L44" i="1" s="1"/>
  <c r="M44" i="1" s="1"/>
  <c r="AD53" i="1"/>
  <c r="AD127" i="1"/>
  <c r="V113" i="1"/>
  <c r="Z113" i="1" s="1"/>
  <c r="AC113" i="1"/>
  <c r="AB113" i="1"/>
  <c r="V49" i="1"/>
  <c r="Z49" i="1" s="1"/>
  <c r="AC49" i="1"/>
  <c r="AB49" i="1"/>
  <c r="Q55" i="1"/>
  <c r="O55" i="1" s="1"/>
  <c r="R55" i="1" s="1"/>
  <c r="L55" i="1" s="1"/>
  <c r="M55" i="1" s="1"/>
  <c r="V67" i="1"/>
  <c r="Z67" i="1" s="1"/>
  <c r="AC67" i="1"/>
  <c r="Q67" i="1"/>
  <c r="O67" i="1" s="1"/>
  <c r="R67" i="1" s="1"/>
  <c r="L67" i="1" s="1"/>
  <c r="M67" i="1" s="1"/>
  <c r="AB67" i="1"/>
  <c r="AB19" i="1"/>
  <c r="AC19" i="1"/>
  <c r="V19" i="1"/>
  <c r="Z19" i="1" s="1"/>
  <c r="AC93" i="1"/>
  <c r="V93" i="1"/>
  <c r="Z93" i="1" s="1"/>
  <c r="AB93" i="1"/>
  <c r="AD95" i="1"/>
  <c r="Q81" i="1"/>
  <c r="O81" i="1" s="1"/>
  <c r="R81" i="1" s="1"/>
  <c r="L81" i="1" s="1"/>
  <c r="M81" i="1" s="1"/>
  <c r="AC118" i="1"/>
  <c r="AB118" i="1"/>
  <c r="V118" i="1"/>
  <c r="Z118" i="1" s="1"/>
  <c r="AC66" i="1"/>
  <c r="AB66" i="1"/>
  <c r="V66" i="1"/>
  <c r="Z66" i="1" s="1"/>
  <c r="Q112" i="1"/>
  <c r="O112" i="1" s="1"/>
  <c r="R112" i="1" s="1"/>
  <c r="L112" i="1" s="1"/>
  <c r="M112" i="1" s="1"/>
  <c r="V21" i="1"/>
  <c r="Z21" i="1" s="1"/>
  <c r="AC21" i="1"/>
  <c r="AB21" i="1"/>
  <c r="AC79" i="1"/>
  <c r="V79" i="1"/>
  <c r="Z79" i="1" s="1"/>
  <c r="AB79" i="1"/>
  <c r="Q79" i="1"/>
  <c r="O79" i="1" s="1"/>
  <c r="R79" i="1" s="1"/>
  <c r="L79" i="1" s="1"/>
  <c r="M79" i="1" s="1"/>
  <c r="V135" i="1"/>
  <c r="Z135" i="1" s="1"/>
  <c r="AC135" i="1"/>
  <c r="AB135" i="1"/>
  <c r="AB100" i="1"/>
  <c r="AC100" i="1"/>
  <c r="V100" i="1"/>
  <c r="Z100" i="1" s="1"/>
  <c r="AC84" i="1"/>
  <c r="V84" i="1"/>
  <c r="Z84" i="1" s="1"/>
  <c r="AB84" i="1"/>
  <c r="V40" i="1"/>
  <c r="Z40" i="1" s="1"/>
  <c r="AC40" i="1"/>
  <c r="AB40" i="1"/>
  <c r="V103" i="1"/>
  <c r="Z103" i="1" s="1"/>
  <c r="AC103" i="1"/>
  <c r="AB103" i="1"/>
  <c r="Q40" i="1"/>
  <c r="O40" i="1" s="1"/>
  <c r="R40" i="1" s="1"/>
  <c r="L40" i="1" s="1"/>
  <c r="M40" i="1" s="1"/>
  <c r="V65" i="1"/>
  <c r="Z65" i="1" s="1"/>
  <c r="AC65" i="1"/>
  <c r="AB65" i="1"/>
  <c r="V83" i="1"/>
  <c r="Z83" i="1" s="1"/>
  <c r="AC83" i="1"/>
  <c r="AB83" i="1"/>
  <c r="AC48" i="1"/>
  <c r="V48" i="1"/>
  <c r="Z48" i="1" s="1"/>
  <c r="AB48" i="1"/>
  <c r="V71" i="1"/>
  <c r="Z71" i="1" s="1"/>
  <c r="AC71" i="1"/>
  <c r="AB71" i="1"/>
  <c r="Q71" i="1"/>
  <c r="O71" i="1" s="1"/>
  <c r="R71" i="1" s="1"/>
  <c r="L71" i="1" s="1"/>
  <c r="M71" i="1" s="1"/>
  <c r="AD64" i="1"/>
  <c r="AC50" i="1"/>
  <c r="AB50" i="1"/>
  <c r="Q50" i="1"/>
  <c r="O50" i="1" s="1"/>
  <c r="R50" i="1" s="1"/>
  <c r="L50" i="1" s="1"/>
  <c r="M50" i="1" s="1"/>
  <c r="V50" i="1"/>
  <c r="Z50" i="1" s="1"/>
  <c r="AC74" i="1"/>
  <c r="AB74" i="1"/>
  <c r="V74" i="1"/>
  <c r="Z74" i="1" s="1"/>
  <c r="V87" i="1"/>
  <c r="Z87" i="1" s="1"/>
  <c r="AC87" i="1"/>
  <c r="AB87" i="1"/>
  <c r="V133" i="1"/>
  <c r="Z133" i="1" s="1"/>
  <c r="AC133" i="1"/>
  <c r="AB133" i="1"/>
  <c r="V94" i="1"/>
  <c r="Z94" i="1" s="1"/>
  <c r="AC94" i="1"/>
  <c r="AB94" i="1"/>
  <c r="AC130" i="1"/>
  <c r="AB130" i="1"/>
  <c r="V130" i="1"/>
  <c r="Z130" i="1" s="1"/>
  <c r="V69" i="1"/>
  <c r="Z69" i="1" s="1"/>
  <c r="AC69" i="1"/>
  <c r="AB69" i="1"/>
  <c r="Q69" i="1"/>
  <c r="O69" i="1" s="1"/>
  <c r="R69" i="1" s="1"/>
  <c r="L69" i="1" s="1"/>
  <c r="M69" i="1" s="1"/>
  <c r="Q106" i="1"/>
  <c r="O106" i="1" s="1"/>
  <c r="R106" i="1" s="1"/>
  <c r="L106" i="1" s="1"/>
  <c r="M106" i="1" s="1"/>
  <c r="AC134" i="1"/>
  <c r="AB134" i="1"/>
  <c r="V134" i="1"/>
  <c r="Z134" i="1" s="1"/>
  <c r="AC52" i="1"/>
  <c r="V52" i="1"/>
  <c r="Z52" i="1" s="1"/>
  <c r="AB52" i="1"/>
  <c r="AD35" i="1"/>
  <c r="AD76" i="1"/>
  <c r="V22" i="1"/>
  <c r="Z22" i="1" s="1"/>
  <c r="AC22" i="1"/>
  <c r="AB22" i="1"/>
  <c r="Q22" i="1"/>
  <c r="O22" i="1" s="1"/>
  <c r="R22" i="1" s="1"/>
  <c r="L22" i="1" s="1"/>
  <c r="M22" i="1" s="1"/>
  <c r="V43" i="1"/>
  <c r="Z43" i="1" s="1"/>
  <c r="AC43" i="1"/>
  <c r="AB43" i="1"/>
  <c r="V97" i="1"/>
  <c r="Z97" i="1" s="1"/>
  <c r="AC97" i="1"/>
  <c r="AB97" i="1"/>
  <c r="AB96" i="1"/>
  <c r="AC96" i="1"/>
  <c r="V96" i="1"/>
  <c r="Z96" i="1" s="1"/>
  <c r="V63" i="1"/>
  <c r="Z63" i="1" s="1"/>
  <c r="AC63" i="1"/>
  <c r="AB63" i="1"/>
  <c r="V117" i="1"/>
  <c r="Z117" i="1" s="1"/>
  <c r="AC117" i="1"/>
  <c r="AB117" i="1"/>
  <c r="V101" i="1"/>
  <c r="Z101" i="1" s="1"/>
  <c r="AC101" i="1"/>
  <c r="AB101" i="1"/>
  <c r="AC78" i="1"/>
  <c r="V78" i="1"/>
  <c r="Z78" i="1" s="1"/>
  <c r="AB78" i="1"/>
  <c r="V119" i="1"/>
  <c r="Z119" i="1" s="1"/>
  <c r="AC119" i="1"/>
  <c r="AB119" i="1"/>
  <c r="AD38" i="1"/>
  <c r="V121" i="1"/>
  <c r="Z121" i="1" s="1"/>
  <c r="AC121" i="1"/>
  <c r="AB121" i="1"/>
  <c r="Q94" i="1"/>
  <c r="O94" i="1" s="1"/>
  <c r="R94" i="1" s="1"/>
  <c r="L94" i="1" s="1"/>
  <c r="M94" i="1" s="1"/>
  <c r="V102" i="1"/>
  <c r="Z102" i="1" s="1"/>
  <c r="AC102" i="1"/>
  <c r="Q102" i="1"/>
  <c r="O102" i="1" s="1"/>
  <c r="R102" i="1" s="1"/>
  <c r="L102" i="1" s="1"/>
  <c r="M102" i="1" s="1"/>
  <c r="AB102" i="1"/>
  <c r="Q101" i="1"/>
  <c r="O101" i="1" s="1"/>
  <c r="R101" i="1" s="1"/>
  <c r="L101" i="1" s="1"/>
  <c r="M101" i="1" s="1"/>
  <c r="AD31" i="1"/>
  <c r="AD70" i="1"/>
  <c r="AD60" i="1"/>
  <c r="V125" i="1"/>
  <c r="Z125" i="1" s="1"/>
  <c r="AC125" i="1"/>
  <c r="AB125" i="1"/>
  <c r="AD80" i="1"/>
  <c r="AD120" i="1"/>
  <c r="AD56" i="1" l="1"/>
  <c r="AD37" i="1"/>
  <c r="AD100" i="1"/>
  <c r="AD111" i="1"/>
  <c r="AD23" i="1"/>
  <c r="AD117" i="1"/>
  <c r="AD22" i="1"/>
  <c r="AD44" i="1"/>
  <c r="AD46" i="1"/>
  <c r="AD73" i="1"/>
  <c r="AD48" i="1"/>
  <c r="AD42" i="1"/>
  <c r="AD55" i="1"/>
  <c r="AD97" i="1"/>
  <c r="AD134" i="1"/>
  <c r="AD130" i="1"/>
  <c r="AD87" i="1"/>
  <c r="AD50" i="1"/>
  <c r="AD113" i="1"/>
  <c r="AD54" i="1"/>
  <c r="AD131" i="1"/>
  <c r="AD85" i="1"/>
  <c r="AD61" i="1"/>
  <c r="AD121" i="1"/>
  <c r="AD63" i="1"/>
  <c r="AD94" i="1"/>
  <c r="AD83" i="1"/>
  <c r="AD18" i="1"/>
  <c r="AD59" i="1"/>
  <c r="AD79" i="1"/>
  <c r="AD66" i="1"/>
  <c r="AD93" i="1"/>
  <c r="AD25" i="1"/>
  <c r="AD122" i="1"/>
  <c r="AD98" i="1"/>
  <c r="AD99" i="1"/>
  <c r="AD82" i="1"/>
  <c r="AD106" i="1"/>
  <c r="AD77" i="1"/>
  <c r="AD17" i="1"/>
  <c r="AD78" i="1"/>
  <c r="AD110" i="1"/>
  <c r="AD96" i="1"/>
  <c r="AD19" i="1"/>
  <c r="O138" i="1"/>
  <c r="AD116" i="1"/>
  <c r="AD101" i="1"/>
  <c r="AD52" i="1"/>
  <c r="AD133" i="1"/>
  <c r="AD65" i="1"/>
  <c r="AD21" i="1"/>
  <c r="AD112" i="1"/>
  <c r="AD109" i="1"/>
  <c r="AD114" i="1"/>
  <c r="AD125" i="1"/>
  <c r="AD102" i="1"/>
  <c r="AD119" i="1"/>
  <c r="AD135" i="1"/>
  <c r="AD118" i="1"/>
  <c r="AD33" i="1"/>
  <c r="AD57" i="1"/>
  <c r="AD86" i="1"/>
  <c r="AD92" i="1"/>
  <c r="AD51" i="1"/>
  <c r="AD81" i="1"/>
  <c r="AD69" i="1"/>
  <c r="AD74" i="1"/>
  <c r="AD40" i="1"/>
  <c r="AD49" i="1"/>
  <c r="AD126" i="1"/>
  <c r="AD103" i="1"/>
  <c r="AD84" i="1"/>
  <c r="AD67" i="1"/>
  <c r="AD104" i="1"/>
  <c r="AD89" i="1"/>
  <c r="AD68" i="1"/>
  <c r="AD28" i="1"/>
  <c r="AD88" i="1"/>
  <c r="AD27" i="1"/>
  <c r="AD43" i="1"/>
  <c r="AD45" i="1"/>
  <c r="AD71" i="1"/>
  <c r="AD91" i="1"/>
</calcChain>
</file>

<file path=xl/sharedStrings.xml><?xml version="1.0" encoding="utf-8"?>
<sst xmlns="http://schemas.openxmlformats.org/spreadsheetml/2006/main" count="1951" uniqueCount="684">
  <si>
    <t>File opened</t>
  </si>
  <si>
    <t>2026-04-06 15:19:11</t>
  </si>
  <si>
    <t>Console s/n</t>
  </si>
  <si>
    <t>68C-373388</t>
  </si>
  <si>
    <t>Console ver</t>
  </si>
  <si>
    <t>Bluestem v.2.1.13</t>
  </si>
  <si>
    <t>Scripts ver</t>
  </si>
  <si>
    <t>2024.01  2.1.13, Apr 2024</t>
  </si>
  <si>
    <t>Head s/n</t>
  </si>
  <si>
    <t>68H-413376</t>
  </si>
  <si>
    <t>Head ver</t>
  </si>
  <si>
    <t>1.4.23</t>
  </si>
  <si>
    <t>Head cal</t>
  </si>
  <si>
    <t>{"oxygen": "20", "co2azero": "1.06539", "co2aspan1": "1.00014", "co2aspan2": "-0.028185", "co2aspan2a": "0.309472", "co2aspan2b": "0.306816", "co2aspanconc1": "2492", "co2aspanconc2": "285.6", "co2bzero": "1.01236", "co2bspan1": "0.999964", "co2bspan2": "-0.0275681", "co2bspan2a": "0.309881", "co2bspan2b": "0.307222", "co2bspanconc1": "2492", "co2bspanconc2": "285.6", "h2oazero": "1.36093", "h2oaspan1": "0.999718", "h2oaspan2": "0", "h2oaspan2a": "0.067854", "h2oaspan2b": "0.0678349", "h2oaspanconc1": "12.33", "h2oaspanconc2": "0", "h2obzero": "1.38818", "h2obspan1": "1.00595", "h2obspan2": "0", "h2obspan2a": "0.0676005", "h2obspan2b": "0.0680027", "h2obspanconc1": "12.33", "h2obspanconc2": "0", "tazero": "0.374474", "tbzero": "0.565647", "flowmeterzero": "2.48912", "flowazero": "0.306", "flowbzero": "0.29676", "chamberpressurezero": "2.60812", "ssa_ref": "31166.2", "ssb_ref": "30724"}</t>
  </si>
  <si>
    <t>Factory cal date</t>
  </si>
  <si>
    <t>22 Sep 2025</t>
  </si>
  <si>
    <t>CO2 rangematch</t>
  </si>
  <si>
    <t>Mon Apr  6 09:12</t>
  </si>
  <si>
    <t>H2O rangematch</t>
  </si>
  <si>
    <t>Tue Mar 31 10:54</t>
  </si>
  <si>
    <t>Chamber type</t>
  </si>
  <si>
    <t>6800-12A</t>
  </si>
  <si>
    <t>Chamber s/n</t>
  </si>
  <si>
    <t>CHM-11636</t>
  </si>
  <si>
    <t>Chamber rev</t>
  </si>
  <si>
    <t>0</t>
  </si>
  <si>
    <t>Chamber cal</t>
  </si>
  <si>
    <t>8</t>
  </si>
  <si>
    <t>15:19:11</t>
  </si>
  <si>
    <t>Stability Definition:	Flow (Meas): Per=15	CO2_r (Meas): Per=15</t>
  </si>
  <si>
    <t>SysConst</t>
  </si>
  <si>
    <t>AvgTime</t>
  </si>
  <si>
    <t>5</t>
  </si>
  <si>
    <t>Oxygen</t>
  </si>
  <si>
    <t>20</t>
  </si>
  <si>
    <t>ChambConst</t>
  </si>
  <si>
    <t>Chamber</t>
  </si>
  <si>
    <t>Aperture</t>
  </si>
  <si>
    <t>1x3 FB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</si>
  <si>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</si>
  <si>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</si>
  <si>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</si>
  <si>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</si>
  <si>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</si>
  <si>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</si>
  <si>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</si>
  <si>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</si>
  <si>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</si>
  <si>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</si>
  <si>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</si>
  <si>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</si>
  <si>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</si>
  <si>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</si>
  <si>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</si>
  <si>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</si>
  <si>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</si>
  <si>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</si>
  <si>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</si>
  <si>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</si>
  <si>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</si>
  <si>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</si>
  <si>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</si>
  <si>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</si>
  <si>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</si>
  <si>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</si>
  <si>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</si>
  <si>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</si>
  <si>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</si>
  <si>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</si>
  <si>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</si>
  <si>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</si>
  <si>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</si>
  <si>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</si>
  <si>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</si>
  <si>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</si>
  <si>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</si>
  <si>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</si>
  <si>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</si>
  <si>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</si>
  <si>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</si>
  <si>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</si>
  <si>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</si>
  <si>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</si>
  <si>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4.02522 183.792 385.01 627.907 856.524 1063.12 1226.53 1366.19</t>
  </si>
  <si>
    <t>Fs_true</t>
  </si>
  <si>
    <t>0.748862 192.321 388.559 599.92 801.584 1000.8 1200.46 1400.86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</si>
  <si>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</si>
  <si>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</si>
  <si>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</si>
  <si>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</si>
  <si>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</si>
  <si>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</si>
  <si>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</si>
  <si>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</si>
  <si>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</si>
  <si>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</si>
  <si>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</si>
  <si>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</si>
  <si>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</si>
  <si>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</si>
  <si>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</si>
  <si>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</si>
  <si>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</si>
  <si>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</si>
  <si>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</si>
  <si>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</si>
  <si>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</si>
  <si>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</si>
  <si>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</si>
  <si>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</si>
  <si>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</si>
  <si>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</si>
  <si>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</si>
  <si>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</si>
  <si>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</si>
  <si>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</si>
  <si>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</si>
  <si>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</si>
  <si>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</si>
  <si>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</si>
  <si>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</si>
  <si>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</si>
  <si>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</si>
  <si>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</si>
  <si>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</si>
  <si>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</si>
  <si>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</si>
  <si>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</si>
  <si>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</si>
  <si>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</si>
  <si>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</si>
  <si>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</si>
  <si>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</si>
  <si>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</si>
  <si>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</si>
  <si>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</si>
  <si>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</si>
  <si>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</si>
  <si>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</si>
  <si>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</si>
  <si>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</si>
  <si>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</si>
  <si>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</si>
  <si>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</si>
  <si>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</si>
  <si>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</si>
  <si>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</si>
  <si>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</si>
  <si>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</si>
  <si>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</si>
  <si>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</si>
  <si>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</si>
  <si>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</si>
  <si>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</si>
  <si>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</si>
  <si>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</si>
  <si>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</si>
  <si>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</si>
  <si>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</si>
  <si>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</si>
  <si>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</si>
  <si>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</si>
  <si>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</si>
  <si>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</si>
  <si>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</si>
  <si>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</si>
  <si>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</si>
  <si>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</si>
  <si>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</si>
  <si>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</si>
  <si>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</si>
  <si>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</si>
  <si>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</si>
  <si>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</si>
  <si>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</si>
  <si>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</si>
  <si>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</si>
  <si>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</si>
  <si>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</si>
  <si>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</si>
  <si>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</si>
  <si>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</si>
  <si>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CO2_r:MN</t>
  </si>
  <si>
    <t>CO2_r:SLP</t>
  </si>
  <si>
    <t>CO2_r:SD</t>
  </si>
  <si>
    <t>CO2_r:OK</t>
  </si>
  <si>
    <t>Flow:MN</t>
  </si>
  <si>
    <t>Flow:SLP</t>
  </si>
  <si>
    <t>Flow:SD</t>
  </si>
  <si>
    <t>Flow:OK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</si>
  <si>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</si>
  <si>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</si>
  <si>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</si>
  <si>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</si>
  <si>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</si>
  <si>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</si>
  <si>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</si>
  <si>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</si>
  <si>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</si>
  <si>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</si>
  <si>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</si>
  <si>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</si>
  <si>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</si>
  <si>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</si>
  <si>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</si>
  <si>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</si>
  <si>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</si>
  <si>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</si>
  <si>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</si>
  <si>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</si>
  <si>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</si>
  <si>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</si>
  <si>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</si>
  <si>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</si>
  <si>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</si>
  <si>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</si>
  <si>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</si>
  <si>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</si>
  <si>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</si>
  <si>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</si>
  <si>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</si>
  <si>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</si>
  <si>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</si>
  <si>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</si>
  <si>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</si>
  <si>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</si>
  <si>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</si>
  <si>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</si>
  <si>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</si>
  <si>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</si>
  <si>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</si>
  <si>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</si>
  <si>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</si>
  <si>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</si>
  <si>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</si>
  <si>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</si>
  <si>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</si>
  <si>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</si>
  <si>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</si>
  <si>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</si>
  <si>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</si>
  <si>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</si>
  <si>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</si>
  <si>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</si>
  <si>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</si>
  <si>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</si>
  <si>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</si>
  <si>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</si>
  <si>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</si>
  <si>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</si>
  <si>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</si>
  <si>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</si>
  <si>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</si>
  <si>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</si>
  <si>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</si>
  <si>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</si>
  <si>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</si>
  <si>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</si>
  <si>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</si>
  <si>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</si>
  <si>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</si>
  <si>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</si>
  <si>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</si>
  <si>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</si>
  <si>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</si>
  <si>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</si>
  <si>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</si>
  <si>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</si>
  <si>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</si>
  <si>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</si>
  <si>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</si>
  <si>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</si>
  <si>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</si>
  <si>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</si>
  <si>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</si>
  <si>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</si>
  <si>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</si>
  <si>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</si>
  <si>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</si>
  <si>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</si>
  <si>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</si>
  <si>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</si>
  <si>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</si>
  <si>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</si>
  <si>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</si>
  <si>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</si>
  <si>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</si>
  <si>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</si>
  <si>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</si>
  <si>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</si>
  <si>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</si>
  <si>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</si>
  <si>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</si>
  <si>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</si>
  <si>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</si>
  <si>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</si>
  <si>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</si>
  <si>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</si>
  <si>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</si>
  <si>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</si>
  <si>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</si>
  <si>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</si>
  <si>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</si>
  <si>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</si>
  <si>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</si>
  <si>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</si>
  <si>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</si>
  <si>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</si>
  <si>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>µmol mol⁻¹ min⁻¹</t>
  </si>
  <si>
    <t>µmol s⁻¹ min⁻¹</t>
  </si>
  <si>
    <t>V</t>
  </si>
  <si>
    <t>mV</t>
  </si>
  <si>
    <t>mg</t>
  </si>
  <si>
    <t>hrs</t>
  </si>
  <si>
    <t>min</t>
  </si>
  <si>
    <t>20260406 15:25:56</t>
  </si>
  <si>
    <t>15:25:56</t>
  </si>
  <si>
    <t>0: Broadleaf</t>
  </si>
  <si>
    <t>15:26:15</t>
  </si>
  <si>
    <t>0/0</t>
  </si>
  <si>
    <t>11111111</t>
  </si>
  <si>
    <t>oooooooo</t>
  </si>
  <si>
    <t>on</t>
  </si>
  <si>
    <t>20260406 15:28:33</t>
  </si>
  <si>
    <t>15:28:33</t>
  </si>
  <si>
    <t>15:28:54</t>
  </si>
  <si>
    <t>20260406 15:29:33</t>
  </si>
  <si>
    <t>15:29:33</t>
  </si>
  <si>
    <t>15:29:56</t>
  </si>
  <si>
    <t>20260406 15:30:33</t>
  </si>
  <si>
    <t>15:30:33</t>
  </si>
  <si>
    <t>15:30:58</t>
  </si>
  <si>
    <t>15:27:01</t>
  </si>
  <si>
    <t>Stability Definition:	Flow (Meas): Per=15	CO2_r (Meas): Per=30</t>
  </si>
  <si>
    <t>15:27:03</t>
  </si>
  <si>
    <t>Stability Definition:	Flow (Meas): Per=30	CO2_r (Meas): Per=30</t>
  </si>
  <si>
    <t>20260406 15:31:33</t>
  </si>
  <si>
    <t>15:31:33</t>
  </si>
  <si>
    <t>15:31:56</t>
  </si>
  <si>
    <t>20260406 15:32:33</t>
  </si>
  <si>
    <t>15:32:33</t>
  </si>
  <si>
    <t>15:32:58</t>
  </si>
  <si>
    <t>20260406 15:33:33</t>
  </si>
  <si>
    <t>15:33:33</t>
  </si>
  <si>
    <t>15:33:57</t>
  </si>
  <si>
    <t>20260406 15:34:33</t>
  </si>
  <si>
    <t>15:34:33</t>
  </si>
  <si>
    <t>15:35:05</t>
  </si>
  <si>
    <t>20260406 15:35:33</t>
  </si>
  <si>
    <t>15:35:33</t>
  </si>
  <si>
    <t>15:35:54</t>
  </si>
  <si>
    <t>20260406 15:36:33</t>
  </si>
  <si>
    <t>15:36:33</t>
  </si>
  <si>
    <t>15:37:04</t>
  </si>
  <si>
    <t>20260406 15:37:33</t>
  </si>
  <si>
    <t>15:37:33</t>
  </si>
  <si>
    <t>15:38:14</t>
  </si>
  <si>
    <t>20260406 15:38:33</t>
  </si>
  <si>
    <t>15:38:33</t>
  </si>
  <si>
    <t>15:39:01</t>
  </si>
  <si>
    <t>20260406 15:39:33</t>
  </si>
  <si>
    <t>15:39:33</t>
  </si>
  <si>
    <t>15:39:59</t>
  </si>
  <si>
    <t>20260406 15:40:33</t>
  </si>
  <si>
    <t>15:40:33</t>
  </si>
  <si>
    <t>15:40:57</t>
  </si>
  <si>
    <t>20260406 15:41:33</t>
  </si>
  <si>
    <t>15:41:33</t>
  </si>
  <si>
    <t>15:42:00</t>
  </si>
  <si>
    <t>20260406 15:42:33</t>
  </si>
  <si>
    <t>15:42:33</t>
  </si>
  <si>
    <t>15:43:03</t>
  </si>
  <si>
    <t>20260406 15:43:33</t>
  </si>
  <si>
    <t>15:43:33</t>
  </si>
  <si>
    <t>15:43:57</t>
  </si>
  <si>
    <t>20260406 15:44:33</t>
  </si>
  <si>
    <t>15:44:33</t>
  </si>
  <si>
    <t>15:44:56</t>
  </si>
  <si>
    <t>20260406 15:45:33</t>
  </si>
  <si>
    <t>15:45:33</t>
  </si>
  <si>
    <t>15:46:04</t>
  </si>
  <si>
    <t>20260406 15:46:33</t>
  </si>
  <si>
    <t>15:46:33</t>
  </si>
  <si>
    <t>15:47:14</t>
  </si>
  <si>
    <t>20260406 15:47:34</t>
  </si>
  <si>
    <t>15:47:34</t>
  </si>
  <si>
    <t>15:48:14</t>
  </si>
  <si>
    <t>20260406 15:48:34</t>
  </si>
  <si>
    <t>15:48:34</t>
  </si>
  <si>
    <t>15:49:13</t>
  </si>
  <si>
    <t>20260406 15:49:34</t>
  </si>
  <si>
    <t>15:49:34</t>
  </si>
  <si>
    <t>15:50:14</t>
  </si>
  <si>
    <t>20260406 15:50:34</t>
  </si>
  <si>
    <t>15:50:34</t>
  </si>
  <si>
    <t>15:51:04</t>
  </si>
  <si>
    <t>20260406 15:51:34</t>
  </si>
  <si>
    <t>15:51:34</t>
  </si>
  <si>
    <t>15:52:06</t>
  </si>
  <si>
    <t>20260406 15:52:34</t>
  </si>
  <si>
    <t>15:52:34</t>
  </si>
  <si>
    <t>15:52:58</t>
  </si>
  <si>
    <t>20260406 15:53:34</t>
  </si>
  <si>
    <t>15:53:34</t>
  </si>
  <si>
    <t>15:53:57</t>
  </si>
  <si>
    <t>20260406 15:54:34</t>
  </si>
  <si>
    <t>15:54:34</t>
  </si>
  <si>
    <t>15:55:08</t>
  </si>
  <si>
    <t>20260406 15:55:34</t>
  </si>
  <si>
    <t>15:55:34</t>
  </si>
  <si>
    <t>15:56:00</t>
  </si>
  <si>
    <t>20260406 15:56:34</t>
  </si>
  <si>
    <t>15:56:34</t>
  </si>
  <si>
    <t>15:56:55</t>
  </si>
  <si>
    <t>20260406 15:57:34</t>
  </si>
  <si>
    <t>15:57:34</t>
  </si>
  <si>
    <t>15:57:58</t>
  </si>
  <si>
    <t>20260406 15:58:34</t>
  </si>
  <si>
    <t>15:58:34</t>
  </si>
  <si>
    <t>15:58:59</t>
  </si>
  <si>
    <t>20260406 15:59:34</t>
  </si>
  <si>
    <t>15:59:34</t>
  </si>
  <si>
    <t>16:00:06</t>
  </si>
  <si>
    <t>20260406 16:00:34</t>
  </si>
  <si>
    <t>16:00:34</t>
  </si>
  <si>
    <t>16:00:59</t>
  </si>
  <si>
    <t>20260406 16:01:34</t>
  </si>
  <si>
    <t>16:01:34</t>
  </si>
  <si>
    <t>16:01:58</t>
  </si>
  <si>
    <t>20260406 16:02:34</t>
  </si>
  <si>
    <t>16:02:34</t>
  </si>
  <si>
    <t>16:02:57</t>
  </si>
  <si>
    <t>20260406 16:03:34</t>
  </si>
  <si>
    <t>16:03:34</t>
  </si>
  <si>
    <t>16:03:58</t>
  </si>
  <si>
    <t>20260406 16:04:34</t>
  </si>
  <si>
    <t>16:04:34</t>
  </si>
  <si>
    <t>16:04:57</t>
  </si>
  <si>
    <t>20260406 16:05:34</t>
  </si>
  <si>
    <t>16:05:34</t>
  </si>
  <si>
    <t>16:06:03</t>
  </si>
  <si>
    <t>20260406 16:06:34</t>
  </si>
  <si>
    <t>16:06:34</t>
  </si>
  <si>
    <t>16:06:55</t>
  </si>
  <si>
    <t>20260406 16:07:34</t>
  </si>
  <si>
    <t>16:07:34</t>
  </si>
  <si>
    <t>16:07:57</t>
  </si>
  <si>
    <t>20260406 16:08:34</t>
  </si>
  <si>
    <t>16:08:34</t>
  </si>
  <si>
    <t>16:09:03</t>
  </si>
  <si>
    <t>20260406 16:09:34</t>
  </si>
  <si>
    <t>16:09:34</t>
  </si>
  <si>
    <t>16:10:13</t>
  </si>
  <si>
    <t>20260406 16:10:34</t>
  </si>
  <si>
    <t>16:10:34</t>
  </si>
  <si>
    <t>16:10:59</t>
  </si>
  <si>
    <t>20260406 16:11:34</t>
  </si>
  <si>
    <t>16:11:34</t>
  </si>
  <si>
    <t>16:12:10</t>
  </si>
  <si>
    <t>20260406 16:12:34</t>
  </si>
  <si>
    <t>16:12:34</t>
  </si>
  <si>
    <t>16:13:02</t>
  </si>
  <si>
    <t>20260406 16:13:34</t>
  </si>
  <si>
    <t>16:13:34</t>
  </si>
  <si>
    <t>16:13:58</t>
  </si>
  <si>
    <t>20260406 16:14:34</t>
  </si>
  <si>
    <t>16:14:34</t>
  </si>
  <si>
    <t>16:15:06</t>
  </si>
  <si>
    <t>20260406 16:15:34</t>
  </si>
  <si>
    <t>16:15:34</t>
  </si>
  <si>
    <t>16:15:58</t>
  </si>
  <si>
    <t>20260406 16:16:34</t>
  </si>
  <si>
    <t>16:16:34</t>
  </si>
  <si>
    <t>16:17:03</t>
  </si>
  <si>
    <t>20260406 16:17:34</t>
  </si>
  <si>
    <t>16:17:34</t>
  </si>
  <si>
    <t>16:18:01</t>
  </si>
  <si>
    <t>20260406 16:18:34</t>
  </si>
  <si>
    <t>16:18:34</t>
  </si>
  <si>
    <t>16:19:06</t>
  </si>
  <si>
    <t>20260406 16:19:34</t>
  </si>
  <si>
    <t>16:19:34</t>
  </si>
  <si>
    <t>16:20:00</t>
  </si>
  <si>
    <t>20260406 16:20:34</t>
  </si>
  <si>
    <t>16:20:34</t>
  </si>
  <si>
    <t>16:21:01</t>
  </si>
  <si>
    <t>20260406 16:21:34</t>
  </si>
  <si>
    <t>16:21:34</t>
  </si>
  <si>
    <t>16:21:58</t>
  </si>
  <si>
    <t>20260406 16:22:34</t>
  </si>
  <si>
    <t>16:22:34</t>
  </si>
  <si>
    <t>16:23:12</t>
  </si>
  <si>
    <t>20260406 16:23:34</t>
  </si>
  <si>
    <t>16:23:34</t>
  </si>
  <si>
    <t>16:23:58</t>
  </si>
  <si>
    <t>20260406 16:24:34</t>
  </si>
  <si>
    <t>16:24:34</t>
  </si>
  <si>
    <t>16:24:58</t>
  </si>
  <si>
    <t>20260406 16:25:34</t>
  </si>
  <si>
    <t>16:25:34</t>
  </si>
  <si>
    <t>16:26:03</t>
  </si>
  <si>
    <t>20260406 16:26:34</t>
  </si>
  <si>
    <t>16:26:34</t>
  </si>
  <si>
    <t>16:27:01</t>
  </si>
  <si>
    <t>20260406 16:27:34</t>
  </si>
  <si>
    <t>16:27:34</t>
  </si>
  <si>
    <t>16:28:01</t>
  </si>
  <si>
    <t>20260406 16:28:34</t>
  </si>
  <si>
    <t>16:28:34</t>
  </si>
  <si>
    <t>16:28:58</t>
  </si>
  <si>
    <t>20260406 16:29:34</t>
  </si>
  <si>
    <t>16:29:34</t>
  </si>
  <si>
    <t>16:29:59</t>
  </si>
  <si>
    <t>20260406 16:30:34</t>
  </si>
  <si>
    <t>16:30:34</t>
  </si>
  <si>
    <t>16:30:58</t>
  </si>
  <si>
    <t>20260406 16:31:34</t>
  </si>
  <si>
    <t>16:31:34</t>
  </si>
  <si>
    <t>16:32:03</t>
  </si>
  <si>
    <t>20260406 16:32:34</t>
  </si>
  <si>
    <t>16:32:34</t>
  </si>
  <si>
    <t>16:32:58</t>
  </si>
  <si>
    <t>20260406 16:33:34</t>
  </si>
  <si>
    <t>16:33:34</t>
  </si>
  <si>
    <t>16:34:00</t>
  </si>
  <si>
    <t>20260406 16:34:34</t>
  </si>
  <si>
    <t>16:34:34</t>
  </si>
  <si>
    <t>16:34:57</t>
  </si>
  <si>
    <t>20260406 16:35:34</t>
  </si>
  <si>
    <t>16:35:34</t>
  </si>
  <si>
    <t>16:36:00</t>
  </si>
  <si>
    <t>20260406 16:36:34</t>
  </si>
  <si>
    <t>16:36:34</t>
  </si>
  <si>
    <t>16:37:03</t>
  </si>
  <si>
    <t>20260406 16:37:34</t>
  </si>
  <si>
    <t>16:37:34</t>
  </si>
  <si>
    <t>16:37:58</t>
  </si>
  <si>
    <t>20260406 16:38:34</t>
  </si>
  <si>
    <t>16:38:34</t>
  </si>
  <si>
    <t>16:39:00</t>
  </si>
  <si>
    <t>20260406 16:39:34</t>
  </si>
  <si>
    <t>16:39:34</t>
  </si>
  <si>
    <t>16:39:59</t>
  </si>
  <si>
    <t>20260406 16:40:34</t>
  </si>
  <si>
    <t>16:40:34</t>
  </si>
  <si>
    <t>16:40:58</t>
  </si>
  <si>
    <t>20260406 16:41:34</t>
  </si>
  <si>
    <t>16:41:34</t>
  </si>
  <si>
    <t>16:42:00</t>
  </si>
  <si>
    <t>20260406 16:42:34</t>
  </si>
  <si>
    <t>16:42:34</t>
  </si>
  <si>
    <t>16:43:01</t>
  </si>
  <si>
    <t>20260406 16:43:34</t>
  </si>
  <si>
    <t>16:43:34</t>
  </si>
  <si>
    <t>16:44:00</t>
  </si>
  <si>
    <t>20260406 16:44:34</t>
  </si>
  <si>
    <t>16:44:34</t>
  </si>
  <si>
    <t>16:44:59</t>
  </si>
  <si>
    <t>20260406 16:45:34</t>
  </si>
  <si>
    <t>16:45:34</t>
  </si>
  <si>
    <t>16:46:01</t>
  </si>
  <si>
    <t>20260406 16:46:34</t>
  </si>
  <si>
    <t>16:46:34</t>
  </si>
  <si>
    <t>16:47:02</t>
  </si>
  <si>
    <t>20260406 16:47:34</t>
  </si>
  <si>
    <t>16:47:34</t>
  </si>
  <si>
    <t>16:47:59</t>
  </si>
  <si>
    <t>20260406 16:48:34</t>
  </si>
  <si>
    <t>16:48:34</t>
  </si>
  <si>
    <t>16:49:02</t>
  </si>
  <si>
    <t>20260406 16:49:34</t>
  </si>
  <si>
    <t>16:49:34</t>
  </si>
  <si>
    <t>16:49:59</t>
  </si>
  <si>
    <t>20260406 16:50:34</t>
  </si>
  <si>
    <t>16:50:34</t>
  </si>
  <si>
    <t>16:51:02</t>
  </si>
  <si>
    <t>20260406 16:51:34</t>
  </si>
  <si>
    <t>16:51:34</t>
  </si>
  <si>
    <t>16:51:57</t>
  </si>
  <si>
    <t>20260406 16:52:34</t>
  </si>
  <si>
    <t>16:52:34</t>
  </si>
  <si>
    <t>16:53:00</t>
  </si>
  <si>
    <t>20260406 16:53:34</t>
  </si>
  <si>
    <t>16:53:34</t>
  </si>
  <si>
    <t>16:54:03</t>
  </si>
  <si>
    <t>20260406 16:54:34</t>
  </si>
  <si>
    <t>16:54:34</t>
  </si>
  <si>
    <t>16:54:58</t>
  </si>
  <si>
    <t>20260406 16:55:34</t>
  </si>
  <si>
    <t>16:55:34</t>
  </si>
  <si>
    <t>16:56:00</t>
  </si>
  <si>
    <t>20260406 16:56:34</t>
  </si>
  <si>
    <t>16:56:34</t>
  </si>
  <si>
    <t>16:57:03</t>
  </si>
  <si>
    <t>20260406 16:57:34</t>
  </si>
  <si>
    <t>16:57:34</t>
  </si>
  <si>
    <t>16:58:15</t>
  </si>
  <si>
    <t>20260406 16:58:34</t>
  </si>
  <si>
    <t>16:58:34</t>
  </si>
  <si>
    <t>16:58:59</t>
  </si>
  <si>
    <t>20260406 16:59:34</t>
  </si>
  <si>
    <t>16:59:34</t>
  </si>
  <si>
    <t>16:59:58</t>
  </si>
  <si>
    <t>20260406 17:00:34</t>
  </si>
  <si>
    <t>17:00:34</t>
  </si>
  <si>
    <t>17:01:10</t>
  </si>
  <si>
    <t>20260406 17:01:34</t>
  </si>
  <si>
    <t>17:01:34</t>
  </si>
  <si>
    <t>17:02:00</t>
  </si>
  <si>
    <t>20260406 17:02:34</t>
  </si>
  <si>
    <t>17:02:34</t>
  </si>
  <si>
    <t>17:03:06</t>
  </si>
  <si>
    <t>20260406 17:03:34</t>
  </si>
  <si>
    <t>17:03:34</t>
  </si>
  <si>
    <t>17:03:53</t>
  </si>
  <si>
    <t>20260406 17:04:34</t>
  </si>
  <si>
    <t>17:04:34</t>
  </si>
  <si>
    <t>17:04:52</t>
  </si>
  <si>
    <t>20260406 17:05:34</t>
  </si>
  <si>
    <t>17:05:34</t>
  </si>
  <si>
    <t>17:05:55</t>
  </si>
  <si>
    <t>20260406 17:06:34</t>
  </si>
  <si>
    <t>17:06:34</t>
  </si>
  <si>
    <t>17:06:56</t>
  </si>
  <si>
    <t>20260406 17:07:34</t>
  </si>
  <si>
    <t>17:07:34</t>
  </si>
  <si>
    <t>17:07:46</t>
  </si>
  <si>
    <t>20260406 17:08:34</t>
  </si>
  <si>
    <t>17:08:34</t>
  </si>
  <si>
    <t>17:08:51</t>
  </si>
  <si>
    <t>20260406 17:09:34</t>
  </si>
  <si>
    <t>17:09:34</t>
  </si>
  <si>
    <t>17:09:52</t>
  </si>
  <si>
    <t>20260406 17:10:34</t>
  </si>
  <si>
    <t>17:10:34</t>
  </si>
  <si>
    <t>17:10:50</t>
  </si>
  <si>
    <t>20260406 17:11:34</t>
  </si>
  <si>
    <t>17:11:34</t>
  </si>
  <si>
    <t>17:11:51</t>
  </si>
  <si>
    <t>20260406 17:12:34</t>
  </si>
  <si>
    <t>17:12:34</t>
  </si>
  <si>
    <t>17:12:53</t>
  </si>
  <si>
    <t>20260406 17:13:34</t>
  </si>
  <si>
    <t>17:13:34</t>
  </si>
  <si>
    <t>17:13:51</t>
  </si>
  <si>
    <t>20260406 17:14:34</t>
  </si>
  <si>
    <t>17:14:34</t>
  </si>
  <si>
    <t>17:14:54</t>
  </si>
  <si>
    <t>20260406 17:15:34</t>
  </si>
  <si>
    <t>17:15:34</t>
  </si>
  <si>
    <t>17:15:48</t>
  </si>
  <si>
    <t>20260406 17:16:34</t>
  </si>
  <si>
    <t>17:16:34</t>
  </si>
  <si>
    <t>17:16:51</t>
  </si>
  <si>
    <t>20260406 17:17:34</t>
  </si>
  <si>
    <t>17:17:34</t>
  </si>
  <si>
    <t>17:17:50</t>
  </si>
  <si>
    <t>20260406 17:18:34</t>
  </si>
  <si>
    <t>17:18:34</t>
  </si>
  <si>
    <t>17:18:50</t>
  </si>
  <si>
    <t>20260406 17:19:34</t>
  </si>
  <si>
    <t>17:19:34</t>
  </si>
  <si>
    <t>17:19:48</t>
  </si>
  <si>
    <t>20260406 17:20:34</t>
  </si>
  <si>
    <t>17:20:34</t>
  </si>
  <si>
    <t>17:20:49</t>
  </si>
  <si>
    <t>20260406 17:21:34</t>
  </si>
  <si>
    <t>17:21:34</t>
  </si>
  <si>
    <t>17:21:51</t>
  </si>
  <si>
    <t>20260406 17:22:34</t>
  </si>
  <si>
    <t>17:22:34</t>
  </si>
  <si>
    <t>17:22:51</t>
  </si>
  <si>
    <t>20260406 17:23:34</t>
  </si>
  <si>
    <t>17:23:34</t>
  </si>
  <si>
    <t>17:23:46</t>
  </si>
  <si>
    <t>20260406 17:24:34</t>
  </si>
  <si>
    <t>17:24:34</t>
  </si>
  <si>
    <t>17:24:54</t>
  </si>
  <si>
    <t>20260406 17:25:34</t>
  </si>
  <si>
    <t>17:25:34</t>
  </si>
  <si>
    <t>17:25:56</t>
  </si>
  <si>
    <t>20260406 17:26:34</t>
  </si>
  <si>
    <t>17:26:34</t>
  </si>
  <si>
    <t>17:26:56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</si>
</sst>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K138"/>
  <sheetViews>
    <sheetView tabSelected="1" topLeftCell="A130" workbookViewId="0">
      <selection activeCell="O138" sqref="O138"/>
    </sheetView>
  </sheetViews>
  <sheetFormatPr defaultRowHeight="14.5" x14ac:dyDescent="0.35"/>
  <sheetData>
    <row r="2" spans="1:193" x14ac:dyDescent="0.35">
      <c r="A2" t="s">
        <v>30</v>
      </c>
      <c r="B2" t="s">
        <v>31</v>
      </c>
      <c r="C2" t="s">
        <v>33</v>
      </c>
    </row>
    <row r="3" spans="1:193" x14ac:dyDescent="0.35">
      <c r="B3" t="s">
        <v>32</v>
      </c>
      <c r="C3" t="s">
        <v>34</v>
      </c>
    </row>
    <row r="4" spans="1:193" x14ac:dyDescent="0.35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193" x14ac:dyDescent="0.35">
      <c r="B5" t="s">
        <v>21</v>
      </c>
      <c r="C5" t="s">
        <v>38</v>
      </c>
      <c r="D5">
        <v>0.188</v>
      </c>
      <c r="E5">
        <v>0.57954090000000003</v>
      </c>
      <c r="F5">
        <v>-1.15295E-2</v>
      </c>
      <c r="G5">
        <v>0</v>
      </c>
      <c r="H5">
        <v>-9.7259000000000009E-3</v>
      </c>
      <c r="I5">
        <v>1</v>
      </c>
      <c r="J5">
        <v>3</v>
      </c>
      <c r="K5">
        <v>96.7</v>
      </c>
    </row>
    <row r="6" spans="1:193" x14ac:dyDescent="0.35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193" x14ac:dyDescent="0.35">
      <c r="B7">
        <v>0</v>
      </c>
      <c r="C7">
        <v>1</v>
      </c>
      <c r="D7">
        <v>0</v>
      </c>
      <c r="E7">
        <v>0</v>
      </c>
    </row>
    <row r="8" spans="1:193" x14ac:dyDescent="0.35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193" x14ac:dyDescent="0.35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193" x14ac:dyDescent="0.3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193" x14ac:dyDescent="0.35">
      <c r="B11">
        <v>1</v>
      </c>
      <c r="C11">
        <v>0</v>
      </c>
      <c r="D11">
        <v>0</v>
      </c>
      <c r="E11">
        <v>0</v>
      </c>
      <c r="F11">
        <v>0</v>
      </c>
    </row>
    <row r="12" spans="1:193" x14ac:dyDescent="0.3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193" x14ac:dyDescent="0.35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193" x14ac:dyDescent="0.35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91</v>
      </c>
      <c r="AO14" t="s">
        <v>91</v>
      </c>
      <c r="AP14" t="s">
        <v>91</v>
      </c>
      <c r="AQ14" t="s">
        <v>91</v>
      </c>
      <c r="AR14" t="s">
        <v>92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96</v>
      </c>
      <c r="CS14" t="s">
        <v>96</v>
      </c>
      <c r="CT14" t="s">
        <v>96</v>
      </c>
      <c r="CU14" t="s">
        <v>96</v>
      </c>
      <c r="CV14" t="s">
        <v>96</v>
      </c>
      <c r="CW14" t="s">
        <v>96</v>
      </c>
      <c r="CX14" t="s">
        <v>96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97</v>
      </c>
      <c r="DK14" t="s">
        <v>97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101</v>
      </c>
      <c r="GB14" t="s">
        <v>101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</row>
    <row r="15" spans="1:193" x14ac:dyDescent="0.3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89</v>
      </c>
      <c r="AF15" t="s">
        <v>132</v>
      </c>
      <c r="AG15" t="s">
        <v>133</v>
      </c>
      <c r="AH15" t="s">
        <v>134</v>
      </c>
      <c r="AI15" t="s">
        <v>135</v>
      </c>
      <c r="AJ15" t="s">
        <v>136</v>
      </c>
      <c r="AK15" t="s">
        <v>137</v>
      </c>
      <c r="AL15" t="s">
        <v>138</v>
      </c>
      <c r="AM15" t="s">
        <v>139</v>
      </c>
      <c r="AN15" t="s">
        <v>140</v>
      </c>
      <c r="AO15" t="s">
        <v>141</v>
      </c>
      <c r="AP15" t="s">
        <v>142</v>
      </c>
      <c r="AQ15" t="s">
        <v>143</v>
      </c>
      <c r="AR15" t="s">
        <v>108</v>
      </c>
      <c r="AS15" t="s">
        <v>144</v>
      </c>
      <c r="AT15" t="s">
        <v>145</v>
      </c>
      <c r="AU15" t="s">
        <v>146</v>
      </c>
      <c r="AV15" t="s">
        <v>147</v>
      </c>
      <c r="AW15" t="s">
        <v>148</v>
      </c>
      <c r="AX15" t="s">
        <v>149</v>
      </c>
      <c r="AY15" t="s">
        <v>150</v>
      </c>
      <c r="AZ15" t="s">
        <v>151</v>
      </c>
      <c r="BA15" t="s">
        <v>152</v>
      </c>
      <c r="BB15" t="s">
        <v>153</v>
      </c>
      <c r="BC15" t="s">
        <v>154</v>
      </c>
      <c r="BD15" t="s">
        <v>155</v>
      </c>
      <c r="BE15" t="s">
        <v>156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167</v>
      </c>
      <c r="BQ15" t="s">
        <v>168</v>
      </c>
      <c r="BR15" t="s">
        <v>169</v>
      </c>
      <c r="BS15" t="s">
        <v>170</v>
      </c>
      <c r="BT15" t="s">
        <v>103</v>
      </c>
      <c r="BU15" t="s">
        <v>106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182</v>
      </c>
      <c r="CH15" t="s">
        <v>183</v>
      </c>
      <c r="CI15" t="s">
        <v>184</v>
      </c>
      <c r="CJ15" t="s">
        <v>185</v>
      </c>
      <c r="CK15" t="s">
        <v>186</v>
      </c>
      <c r="CL15" t="s">
        <v>187</v>
      </c>
      <c r="CM15" t="s">
        <v>188</v>
      </c>
      <c r="CN15" t="s">
        <v>189</v>
      </c>
      <c r="CO15" t="s">
        <v>190</v>
      </c>
      <c r="CP15" t="s">
        <v>191</v>
      </c>
      <c r="CQ15" t="s">
        <v>192</v>
      </c>
      <c r="CR15" t="s">
        <v>193</v>
      </c>
      <c r="CS15" t="s">
        <v>194</v>
      </c>
      <c r="CT15" t="s">
        <v>195</v>
      </c>
      <c r="CU15" t="s">
        <v>196</v>
      </c>
      <c r="CV15" t="s">
        <v>197</v>
      </c>
      <c r="CW15" t="s">
        <v>198</v>
      </c>
      <c r="CX15" t="s">
        <v>199</v>
      </c>
      <c r="CY15" t="s">
        <v>200</v>
      </c>
      <c r="CZ15" t="s">
        <v>201</v>
      </c>
      <c r="DA15" t="s">
        <v>202</v>
      </c>
      <c r="DB15" t="s">
        <v>203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244</v>
      </c>
      <c r="ER15" t="s">
        <v>245</v>
      </c>
      <c r="ES15" t="s">
        <v>246</v>
      </c>
      <c r="ET15" t="s">
        <v>247</v>
      </c>
      <c r="EU15" t="s">
        <v>248</v>
      </c>
      <c r="EV15" t="s">
        <v>249</v>
      </c>
      <c r="EW15" t="s">
        <v>250</v>
      </c>
      <c r="EX15" t="s">
        <v>251</v>
      </c>
      <c r="EY15" t="s">
        <v>252</v>
      </c>
      <c r="EZ15" t="s">
        <v>253</v>
      </c>
      <c r="FA15" t="s">
        <v>254</v>
      </c>
      <c r="FB15" t="s">
        <v>255</v>
      </c>
      <c r="FC15" t="s">
        <v>256</v>
      </c>
      <c r="FD15" t="s">
        <v>257</v>
      </c>
      <c r="FE15" t="s">
        <v>258</v>
      </c>
      <c r="FF15" t="s">
        <v>259</v>
      </c>
      <c r="FG15" t="s">
        <v>260</v>
      </c>
      <c r="FH15" t="s">
        <v>261</v>
      </c>
      <c r="FI15" t="s">
        <v>262</v>
      </c>
      <c r="FJ15" t="s">
        <v>263</v>
      </c>
      <c r="FK15" t="s">
        <v>264</v>
      </c>
      <c r="FL15" t="s">
        <v>265</v>
      </c>
      <c r="FM15" t="s">
        <v>266</v>
      </c>
      <c r="FN15" t="s">
        <v>267</v>
      </c>
      <c r="FO15" t="s">
        <v>268</v>
      </c>
      <c r="FP15" t="s">
        <v>269</v>
      </c>
      <c r="FQ15" t="s">
        <v>270</v>
      </c>
      <c r="FR15" t="s">
        <v>271</v>
      </c>
      <c r="FS15" t="s">
        <v>272</v>
      </c>
      <c r="FT15" t="s">
        <v>273</v>
      </c>
      <c r="FU15" t="s">
        <v>274</v>
      </c>
      <c r="FV15" t="s">
        <v>275</v>
      </c>
      <c r="FW15" t="s">
        <v>276</v>
      </c>
      <c r="FX15" t="s">
        <v>277</v>
      </c>
      <c r="FY15" t="s">
        <v>278</v>
      </c>
      <c r="FZ15" t="s">
        <v>279</v>
      </c>
      <c r="GA15" t="s">
        <v>280</v>
      </c>
      <c r="GB15" t="s">
        <v>281</v>
      </c>
      <c r="GC15" t="s">
        <v>282</v>
      </c>
      <c r="GD15" t="s">
        <v>283</v>
      </c>
      <c r="GE15" t="s">
        <v>284</v>
      </c>
      <c r="GF15" t="s">
        <v>285</v>
      </c>
      <c r="GG15" t="s">
        <v>286</v>
      </c>
      <c r="GH15" t="s">
        <v>287</v>
      </c>
      <c r="GI15" t="s">
        <v>288</v>
      </c>
      <c r="GJ15" t="s">
        <v>289</v>
      </c>
      <c r="GK15" t="s">
        <v>290</v>
      </c>
    </row>
    <row r="16" spans="1:193" x14ac:dyDescent="0.35">
      <c r="B16" t="s">
        <v>291</v>
      </c>
      <c r="C16" t="s">
        <v>291</v>
      </c>
      <c r="F16" t="s">
        <v>291</v>
      </c>
      <c r="G16" t="s">
        <v>291</v>
      </c>
      <c r="H16" t="s">
        <v>292</v>
      </c>
      <c r="I16" t="s">
        <v>293</v>
      </c>
      <c r="J16" t="s">
        <v>294</v>
      </c>
      <c r="K16" t="s">
        <v>295</v>
      </c>
      <c r="L16" t="s">
        <v>295</v>
      </c>
      <c r="M16" t="s">
        <v>151</v>
      </c>
      <c r="N16" t="s">
        <v>151</v>
      </c>
      <c r="O16" t="s">
        <v>292</v>
      </c>
      <c r="P16" t="s">
        <v>292</v>
      </c>
      <c r="Q16" t="s">
        <v>292</v>
      </c>
      <c r="R16" t="s">
        <v>292</v>
      </c>
      <c r="S16" t="s">
        <v>296</v>
      </c>
      <c r="T16" t="s">
        <v>297</v>
      </c>
      <c r="U16" t="s">
        <v>297</v>
      </c>
      <c r="V16" t="s">
        <v>298</v>
      </c>
      <c r="W16" t="s">
        <v>299</v>
      </c>
      <c r="X16" t="s">
        <v>298</v>
      </c>
      <c r="Y16" t="s">
        <v>298</v>
      </c>
      <c r="Z16" t="s">
        <v>298</v>
      </c>
      <c r="AA16" t="s">
        <v>296</v>
      </c>
      <c r="AB16" t="s">
        <v>296</v>
      </c>
      <c r="AC16" t="s">
        <v>296</v>
      </c>
      <c r="AD16" t="s">
        <v>296</v>
      </c>
      <c r="AE16" t="s">
        <v>300</v>
      </c>
      <c r="AF16" t="s">
        <v>299</v>
      </c>
      <c r="AH16" t="s">
        <v>299</v>
      </c>
      <c r="AI16" t="s">
        <v>300</v>
      </c>
      <c r="AJ16" t="s">
        <v>294</v>
      </c>
      <c r="AK16" t="s">
        <v>294</v>
      </c>
      <c r="AM16" t="s">
        <v>301</v>
      </c>
      <c r="AN16" t="s">
        <v>302</v>
      </c>
      <c r="AQ16" t="s">
        <v>292</v>
      </c>
      <c r="AR16" t="s">
        <v>291</v>
      </c>
      <c r="AS16" t="s">
        <v>295</v>
      </c>
      <c r="AT16" t="s">
        <v>295</v>
      </c>
      <c r="AU16" t="s">
        <v>303</v>
      </c>
      <c r="AV16" t="s">
        <v>303</v>
      </c>
      <c r="AW16" t="s">
        <v>295</v>
      </c>
      <c r="AX16" t="s">
        <v>303</v>
      </c>
      <c r="AY16" t="s">
        <v>300</v>
      </c>
      <c r="AZ16" t="s">
        <v>298</v>
      </c>
      <c r="BA16" t="s">
        <v>298</v>
      </c>
      <c r="BB16" t="s">
        <v>297</v>
      </c>
      <c r="BC16" t="s">
        <v>297</v>
      </c>
      <c r="BD16" t="s">
        <v>297</v>
      </c>
      <c r="BE16" t="s">
        <v>297</v>
      </c>
      <c r="BF16" t="s">
        <v>297</v>
      </c>
      <c r="BG16" t="s">
        <v>304</v>
      </c>
      <c r="BH16" t="s">
        <v>294</v>
      </c>
      <c r="BI16" t="s">
        <v>294</v>
      </c>
      <c r="BJ16" t="s">
        <v>295</v>
      </c>
      <c r="BK16" t="s">
        <v>295</v>
      </c>
      <c r="BL16" t="s">
        <v>295</v>
      </c>
      <c r="BM16" t="s">
        <v>303</v>
      </c>
      <c r="BN16" t="s">
        <v>295</v>
      </c>
      <c r="BO16" t="s">
        <v>303</v>
      </c>
      <c r="BP16" t="s">
        <v>298</v>
      </c>
      <c r="BQ16" t="s">
        <v>298</v>
      </c>
      <c r="BR16" t="s">
        <v>297</v>
      </c>
      <c r="BS16" t="s">
        <v>297</v>
      </c>
      <c r="BT16" t="s">
        <v>305</v>
      </c>
      <c r="BV16" t="s">
        <v>291</v>
      </c>
      <c r="BW16" t="s">
        <v>291</v>
      </c>
      <c r="BY16" t="s">
        <v>306</v>
      </c>
      <c r="BZ16" t="s">
        <v>307</v>
      </c>
      <c r="CA16" t="s">
        <v>306</v>
      </c>
      <c r="CB16" t="s">
        <v>307</v>
      </c>
      <c r="CC16" t="s">
        <v>306</v>
      </c>
      <c r="CD16" t="s">
        <v>307</v>
      </c>
      <c r="CE16" t="s">
        <v>299</v>
      </c>
      <c r="CF16" t="s">
        <v>299</v>
      </c>
      <c r="CG16" t="s">
        <v>295</v>
      </c>
      <c r="CH16" t="s">
        <v>308</v>
      </c>
      <c r="CI16" t="s">
        <v>295</v>
      </c>
      <c r="CK16" t="s">
        <v>300</v>
      </c>
      <c r="CL16" t="s">
        <v>309</v>
      </c>
      <c r="CM16" t="s">
        <v>300</v>
      </c>
      <c r="CR16" t="s">
        <v>310</v>
      </c>
      <c r="CS16" t="s">
        <v>310</v>
      </c>
      <c r="DF16" t="s">
        <v>310</v>
      </c>
      <c r="DG16" t="s">
        <v>310</v>
      </c>
      <c r="DH16" t="s">
        <v>311</v>
      </c>
      <c r="DI16" t="s">
        <v>311</v>
      </c>
      <c r="DJ16" t="s">
        <v>297</v>
      </c>
      <c r="DK16" t="s">
        <v>297</v>
      </c>
      <c r="DL16" t="s">
        <v>299</v>
      </c>
      <c r="DM16" t="s">
        <v>297</v>
      </c>
      <c r="DN16" t="s">
        <v>303</v>
      </c>
      <c r="DO16" t="s">
        <v>299</v>
      </c>
      <c r="DP16" t="s">
        <v>299</v>
      </c>
      <c r="DR16" t="s">
        <v>310</v>
      </c>
      <c r="DS16" t="s">
        <v>310</v>
      </c>
      <c r="DT16" t="s">
        <v>310</v>
      </c>
      <c r="DU16" t="s">
        <v>310</v>
      </c>
      <c r="DV16" t="s">
        <v>310</v>
      </c>
      <c r="DW16" t="s">
        <v>310</v>
      </c>
      <c r="DX16" t="s">
        <v>310</v>
      </c>
      <c r="DY16" t="s">
        <v>312</v>
      </c>
      <c r="DZ16" t="s">
        <v>312</v>
      </c>
      <c r="EA16" t="s">
        <v>312</v>
      </c>
      <c r="EB16" t="s">
        <v>313</v>
      </c>
      <c r="EC16" t="s">
        <v>310</v>
      </c>
      <c r="ED16" t="s">
        <v>310</v>
      </c>
      <c r="EE16" t="s">
        <v>310</v>
      </c>
      <c r="EF16" t="s">
        <v>310</v>
      </c>
      <c r="EG16" t="s">
        <v>310</v>
      </c>
      <c r="EH16" t="s">
        <v>310</v>
      </c>
      <c r="EI16" t="s">
        <v>310</v>
      </c>
      <c r="EJ16" t="s">
        <v>310</v>
      </c>
      <c r="EK16" t="s">
        <v>310</v>
      </c>
      <c r="EL16" t="s">
        <v>310</v>
      </c>
      <c r="EM16" t="s">
        <v>310</v>
      </c>
      <c r="EN16" t="s">
        <v>310</v>
      </c>
      <c r="EU16" t="s">
        <v>310</v>
      </c>
      <c r="EV16" t="s">
        <v>299</v>
      </c>
      <c r="EW16" t="s">
        <v>299</v>
      </c>
      <c r="EX16" t="s">
        <v>306</v>
      </c>
      <c r="EY16" t="s">
        <v>307</v>
      </c>
      <c r="EZ16" t="s">
        <v>306</v>
      </c>
      <c r="FD16" t="s">
        <v>307</v>
      </c>
      <c r="FH16" t="s">
        <v>295</v>
      </c>
      <c r="FI16" t="s">
        <v>295</v>
      </c>
      <c r="FJ16" t="s">
        <v>303</v>
      </c>
      <c r="FK16" t="s">
        <v>303</v>
      </c>
      <c r="FL16" t="s">
        <v>314</v>
      </c>
      <c r="FM16" t="s">
        <v>314</v>
      </c>
      <c r="FN16" t="s">
        <v>310</v>
      </c>
      <c r="FO16" t="s">
        <v>310</v>
      </c>
      <c r="FP16" t="s">
        <v>310</v>
      </c>
      <c r="FQ16" t="s">
        <v>310</v>
      </c>
      <c r="FR16" t="s">
        <v>310</v>
      </c>
      <c r="FS16" t="s">
        <v>310</v>
      </c>
      <c r="FT16" t="s">
        <v>297</v>
      </c>
      <c r="FU16" t="s">
        <v>310</v>
      </c>
      <c r="FW16" t="s">
        <v>300</v>
      </c>
      <c r="FX16" t="s">
        <v>300</v>
      </c>
      <c r="FY16" t="s">
        <v>297</v>
      </c>
      <c r="FZ16" t="s">
        <v>297</v>
      </c>
      <c r="GA16" t="s">
        <v>297</v>
      </c>
      <c r="GB16" t="s">
        <v>297</v>
      </c>
      <c r="GC16" t="s">
        <v>297</v>
      </c>
      <c r="GD16" t="s">
        <v>299</v>
      </c>
      <c r="GE16" t="s">
        <v>299</v>
      </c>
      <c r="GF16" t="s">
        <v>299</v>
      </c>
      <c r="GG16" t="s">
        <v>297</v>
      </c>
      <c r="GH16" t="s">
        <v>295</v>
      </c>
      <c r="GI16" t="s">
        <v>303</v>
      </c>
      <c r="GJ16" t="s">
        <v>299</v>
      </c>
      <c r="GK16" t="s">
        <v>299</v>
      </c>
    </row>
    <row r="17" spans="1:193" x14ac:dyDescent="0.35">
      <c r="A17">
        <v>1</v>
      </c>
      <c r="B17">
        <v>1775463956.0999999</v>
      </c>
      <c r="C17">
        <v>0</v>
      </c>
      <c r="D17" t="s">
        <v>315</v>
      </c>
      <c r="E17" t="s">
        <v>316</v>
      </c>
      <c r="F17">
        <v>15</v>
      </c>
      <c r="G17">
        <v>1775463948.349999</v>
      </c>
      <c r="H17">
        <f t="shared" ref="H17:H48" si="0">(I17)/1000</f>
        <v>-2.7396260860582749E-3</v>
      </c>
      <c r="I17">
        <f>1000*AY17*AG17*(AU17-AV17)/(100*AN17*(1000-AG17*AU17))</f>
        <v>-2.7396260860582751</v>
      </c>
      <c r="J17">
        <f>AY17*AG17*(AT17-AS17*(1000-AG17*AV17)/(1000-AG17*AU17))/(100*AN17)</f>
        <v>-2.5609045905209973</v>
      </c>
      <c r="K17">
        <f t="shared" ref="K17:K48" si="1">AS17 - IF(AG17&gt;1, J17*AN17*100/(AI17), 0)</f>
        <v>11.921659333333331</v>
      </c>
      <c r="L17">
        <f t="shared" ref="L17:L48" si="2">((R17-H17/2)*K17-J17)/(R17+H17/2)</f>
        <v>-41.106318259839739</v>
      </c>
      <c r="M17">
        <f>L17*(AZ17+BA17)/1000</f>
        <v>-4.1117838734407979</v>
      </c>
      <c r="N17">
        <f>(AS17 - IF(AG17&gt;1, J17*AN17*100/(AI17), 0))*(AZ17+BA17)/1000</f>
        <v>1.1925000502744143</v>
      </c>
      <c r="O17">
        <f t="shared" ref="O17:O48" si="3">2/((1/Q17-1/P17)+SIGN(Q17)*SQRT((1/Q17-1/P17)*(1/Q17-1/P17) + 4*AO17/((AO17+1)*(AO17+1))*(2*1/Q17*1/P17-1/P17*1/P17)))</f>
        <v>-7.4925809972522642E-2</v>
      </c>
      <c r="P17">
        <f>IF(LEFT(AP17,1)&lt;&gt;"0",IF(LEFT(AP17,1)="1",3,AQ17),$D$5+$E$5*(BG17*AZ17/($K$5*1000))+$F$5*(BG17*AZ17/($K$5*1000))*MAX(MIN(AN17,$J$5),$I$5)*MAX(MIN(AN17,$J$5),$I$5)+$G$5*MAX(MIN(AN17,$J$5),$I$5)*(BG17*AZ17/($K$5*1000))+$H$5*(BG17*AZ17/($K$5*1000))*(BG17*AZ17/($K$5*1000)))</f>
        <v>2.386215302872106</v>
      </c>
      <c r="Q17">
        <f>H17*(1000-(1000*0.61365*EXP(17.502*U17/(240.97+U17))/(AZ17+BA17)+AU17)/2)/(1000*0.61365*EXP(17.502*U17/(240.97+U17))/(AZ17+BA17)-AU17)</f>
        <v>-7.6257946182988479E-2</v>
      </c>
      <c r="R17">
        <f t="shared" ref="R17:R48" si="4">1/((AO17+1)/(O17/1.6)+1/(P17/1.37)) + AO17/((AO17+1)/(O17/1.6) + AO17/(P17/1.37))</f>
        <v>-4.7539566441841097E-2</v>
      </c>
      <c r="S17">
        <f t="shared" ref="S17:S48" si="5">(AJ17*AM17)</f>
        <v>0.12583290993000001</v>
      </c>
      <c r="T17">
        <f>(BB17+(S17+2*0.95*0.0000000567*(((BB17+$B$7)+273)^4-(BB17+273)^4)-44100*H17)/(1.84*29.3*P17+8*0.95*0.0000000567*(BB17+273)^3))</f>
        <v>26.36416833066481</v>
      </c>
      <c r="U17">
        <f>($C$7*BC17+$D$7*BD17+$E$7*T17)</f>
        <v>25.537466666666671</v>
      </c>
      <c r="V17">
        <f t="shared" ref="V17:V48" si="6">0.61365*EXP(17.502*U17/(240.97+U17))</f>
        <v>3.2830026877170222</v>
      </c>
      <c r="W17">
        <f t="shared" ref="W17:W48" si="7">(X17/Y17*100)</f>
        <v>-7.8211449408052598</v>
      </c>
      <c r="X17">
        <f>AU17*(AZ17+BA17)/1000</f>
        <v>-0.25621211933414739</v>
      </c>
      <c r="Y17">
        <f t="shared" ref="Y17:Y48" si="8">0.61365*EXP(17.502*BB17/(240.97+BB17))</f>
        <v>3.2758901832570819</v>
      </c>
      <c r="Z17">
        <f>(V17-AU17*(AZ17+BA17)/1000)</f>
        <v>3.5392148070511698</v>
      </c>
      <c r="AA17">
        <f t="shared" ref="AA17:AA48" si="9">(-H17*44100)</f>
        <v>120.81751039516992</v>
      </c>
      <c r="AB17">
        <f>2*29.3*P17*0.92*(BB17-U17)</f>
        <v>-4.6981387511961934</v>
      </c>
      <c r="AC17">
        <f>2*0.95*0.0000000567*(((BB17+$B$7)+273)^4-(U17+273)^4)</f>
        <v>-0.4186434088311094</v>
      </c>
      <c r="AD17">
        <f t="shared" ref="AD17:AD48" si="10">S17+AC17+AA17+AB17</f>
        <v>115.82656114507262</v>
      </c>
      <c r="AE17">
        <v>26</v>
      </c>
      <c r="AF17">
        <v>5</v>
      </c>
      <c r="AG17">
        <f t="shared" ref="AG17:AG48" si="11">IF(AE17*$H$13&gt;=AI17,1,(AI17/(AI17-AE17*$H$13)))</f>
        <v>1</v>
      </c>
      <c r="AH17">
        <f t="shared" ref="AH17:AH48" si="12">(AG17-1)*100</f>
        <v>0</v>
      </c>
      <c r="AI17">
        <f t="shared" ref="AI17:AI48" si="13">MAX(0,($B$13+$C$13*BG17)/(1+$D$13*BG17)*AZ17/(BB17+273)*$E$13)</f>
        <v>25623.938212830642</v>
      </c>
      <c r="AJ17">
        <f t="shared" ref="AJ17:AJ48" si="14">$B$11*BH17+$C$11*BI17</f>
        <v>0.65846630000000017</v>
      </c>
      <c r="AK17">
        <f t="shared" ref="AK17:AK48" si="15">AJ17*AL17</f>
        <v>0.52677304000000014</v>
      </c>
      <c r="AL17">
        <f t="shared" ref="AL17:AL48" si="16">($B$11*$D$9+$C$11*$D$9)/($B$11+$C$11)</f>
        <v>0.8</v>
      </c>
      <c r="AM17">
        <f t="shared" ref="AM17:AM48" si="17">($B$11*$K$9+$C$11*$K$9)/($B$11+$C$11)</f>
        <v>0.19109999999999999</v>
      </c>
      <c r="AN17">
        <v>3</v>
      </c>
      <c r="AO17">
        <v>0.5</v>
      </c>
      <c r="AP17" t="s">
        <v>317</v>
      </c>
      <c r="AQ17">
        <v>2</v>
      </c>
      <c r="AR17">
        <v>1775463948.349999</v>
      </c>
      <c r="AS17">
        <v>11.921659333333331</v>
      </c>
      <c r="AT17">
        <v>10.36548</v>
      </c>
      <c r="AU17">
        <v>-2.5614033333333328</v>
      </c>
      <c r="AV17">
        <v>-0.91337489999999988</v>
      </c>
      <c r="AW17">
        <v>3.364659333333333</v>
      </c>
      <c r="AX17">
        <v>-1.320007666666666</v>
      </c>
      <c r="AY17">
        <v>499.98713333333342</v>
      </c>
      <c r="AZ17">
        <v>99.984976666666654</v>
      </c>
      <c r="BA17">
        <v>4.3049376666666653E-2</v>
      </c>
      <c r="BB17">
        <v>25.500946666666671</v>
      </c>
      <c r="BC17">
        <v>25.537466666666671</v>
      </c>
      <c r="BD17">
        <v>999.9000000000002</v>
      </c>
      <c r="BE17">
        <v>0</v>
      </c>
      <c r="BF17">
        <v>0</v>
      </c>
      <c r="BG17">
        <v>4996.0666666666666</v>
      </c>
      <c r="BH17">
        <v>0.65846630000000017</v>
      </c>
      <c r="BI17">
        <v>173.61396666666661</v>
      </c>
      <c r="BJ17">
        <v>1.4926896666666669</v>
      </c>
      <c r="BK17">
        <v>11.827866666666671</v>
      </c>
      <c r="BL17">
        <v>10.35601333333333</v>
      </c>
      <c r="BM17">
        <v>-1.648028</v>
      </c>
      <c r="BN17">
        <v>10.36548</v>
      </c>
      <c r="BO17">
        <v>-0.91337489999999988</v>
      </c>
      <c r="BP17">
        <v>-0.25610176666666662</v>
      </c>
      <c r="BQ17">
        <v>-9.132377333333333E-2</v>
      </c>
      <c r="BR17">
        <v>-99.900000000000034</v>
      </c>
      <c r="BS17">
        <v>-99.900000000000034</v>
      </c>
      <c r="BT17">
        <v>1775463975.5999999</v>
      </c>
      <c r="BU17" t="s">
        <v>318</v>
      </c>
      <c r="BV17">
        <v>1775463975.5999999</v>
      </c>
      <c r="BW17">
        <v>1775463888.0999999</v>
      </c>
      <c r="BX17">
        <v>2</v>
      </c>
      <c r="BY17">
        <v>6.4000000000000001E-2</v>
      </c>
      <c r="BZ17">
        <v>0.315</v>
      </c>
      <c r="CA17">
        <v>8.5570000000000004</v>
      </c>
      <c r="CB17">
        <v>-1.2410000000000001</v>
      </c>
      <c r="CC17">
        <v>11</v>
      </c>
      <c r="CD17">
        <v>-1</v>
      </c>
      <c r="CE17">
        <v>0.45</v>
      </c>
      <c r="CF17">
        <v>0.2</v>
      </c>
      <c r="CG17">
        <v>10.35786333333334</v>
      </c>
      <c r="CH17">
        <v>-1.168575750834246</v>
      </c>
      <c r="CI17">
        <v>0.16185758036688369</v>
      </c>
      <c r="CJ17">
        <v>-1</v>
      </c>
      <c r="CK17">
        <v>499.98723333333328</v>
      </c>
      <c r="CL17">
        <v>5.555506117852247E-2</v>
      </c>
      <c r="CM17">
        <v>5.485355250320674E-2</v>
      </c>
      <c r="CN17">
        <v>-1</v>
      </c>
      <c r="CO17">
        <v>0</v>
      </c>
      <c r="CP17">
        <v>0</v>
      </c>
      <c r="CQ17" t="s">
        <v>319</v>
      </c>
      <c r="CR17">
        <v>3.1676000000000002</v>
      </c>
      <c r="CS17">
        <v>2.6644999999999999</v>
      </c>
      <c r="CT17">
        <v>9.8647600000000002E-4</v>
      </c>
      <c r="CU17">
        <v>3.1360200000000002E-3</v>
      </c>
      <c r="CV17">
        <v>-1.1461300000000001E-2</v>
      </c>
      <c r="CW17">
        <v>-7.8365399999999995E-3</v>
      </c>
      <c r="CX17">
        <v>21586.1</v>
      </c>
      <c r="CY17">
        <v>21894</v>
      </c>
      <c r="CZ17">
        <v>23136.9</v>
      </c>
      <c r="DA17">
        <v>22315.599999999999</v>
      </c>
      <c r="DB17">
        <v>30175.599999999999</v>
      </c>
      <c r="DC17">
        <v>26830.3</v>
      </c>
      <c r="DD17">
        <v>40661.1</v>
      </c>
      <c r="DE17">
        <v>36992.6</v>
      </c>
      <c r="DF17">
        <v>2.0697999999999999</v>
      </c>
      <c r="DG17">
        <v>1.7882199999999999</v>
      </c>
      <c r="DH17">
        <v>-6.8008899999999997E-2</v>
      </c>
      <c r="DI17">
        <v>0</v>
      </c>
      <c r="DJ17">
        <v>26.7211</v>
      </c>
      <c r="DK17">
        <v>999.9</v>
      </c>
      <c r="DL17">
        <v>71.8</v>
      </c>
      <c r="DM17">
        <v>31.8</v>
      </c>
      <c r="DN17">
        <v>33.904200000000003</v>
      </c>
      <c r="DO17">
        <v>30.73</v>
      </c>
      <c r="DP17">
        <v>10.4247</v>
      </c>
      <c r="DQ17">
        <v>1</v>
      </c>
      <c r="DR17">
        <v>0.19960600000000001</v>
      </c>
      <c r="DS17">
        <v>3.3772700000000002</v>
      </c>
      <c r="DT17">
        <v>20.325399999999998</v>
      </c>
      <c r="DU17">
        <v>5.2133399999999996</v>
      </c>
      <c r="DV17">
        <v>11.8531</v>
      </c>
      <c r="DW17">
        <v>4.9682399999999998</v>
      </c>
      <c r="DX17">
        <v>3.2927399999999998</v>
      </c>
      <c r="DY17">
        <v>894.7</v>
      </c>
      <c r="DZ17">
        <v>9999</v>
      </c>
      <c r="EA17">
        <v>9999</v>
      </c>
      <c r="EB17">
        <v>106.6</v>
      </c>
      <c r="EC17">
        <v>4.9715800000000003</v>
      </c>
      <c r="ED17">
        <v>1.8717999999999999</v>
      </c>
      <c r="EE17">
        <v>1.8689</v>
      </c>
      <c r="EF17">
        <v>1.87134</v>
      </c>
      <c r="EG17">
        <v>1.8691</v>
      </c>
      <c r="EH17">
        <v>1.8680300000000001</v>
      </c>
      <c r="EI17">
        <v>1.8698300000000001</v>
      </c>
      <c r="EJ17">
        <v>1.87168</v>
      </c>
      <c r="EK17">
        <v>0</v>
      </c>
      <c r="EL17">
        <v>0</v>
      </c>
      <c r="EM17">
        <v>0</v>
      </c>
      <c r="EN17">
        <v>0</v>
      </c>
      <c r="EO17" t="s">
        <v>320</v>
      </c>
      <c r="EP17" t="s">
        <v>321</v>
      </c>
      <c r="EQ17" t="s">
        <v>322</v>
      </c>
      <c r="ER17" t="s">
        <v>322</v>
      </c>
      <c r="ES17" t="s">
        <v>322</v>
      </c>
      <c r="ET17" t="s">
        <v>322</v>
      </c>
      <c r="EU17">
        <v>0</v>
      </c>
      <c r="EV17">
        <v>100</v>
      </c>
      <c r="EW17">
        <v>100</v>
      </c>
      <c r="EX17">
        <v>8.5570000000000004</v>
      </c>
      <c r="EY17">
        <v>-1.2414000000000001</v>
      </c>
      <c r="EZ17">
        <v>8.4935055000000013</v>
      </c>
      <c r="FA17">
        <v>0</v>
      </c>
      <c r="FB17">
        <v>0</v>
      </c>
      <c r="FC17">
        <v>0</v>
      </c>
      <c r="FD17">
        <v>-1.241395666666667</v>
      </c>
      <c r="FE17">
        <v>0</v>
      </c>
      <c r="FF17">
        <v>0</v>
      </c>
      <c r="FG17">
        <v>0</v>
      </c>
      <c r="FH17">
        <v>-1</v>
      </c>
      <c r="FI17">
        <v>-1</v>
      </c>
      <c r="FJ17">
        <v>-1</v>
      </c>
      <c r="FK17">
        <v>-1</v>
      </c>
      <c r="FL17">
        <v>1.4</v>
      </c>
      <c r="FM17">
        <v>1.1000000000000001</v>
      </c>
      <c r="FN17">
        <v>0.142822</v>
      </c>
      <c r="FO17">
        <v>4.99756</v>
      </c>
      <c r="FP17">
        <v>1.5979000000000001</v>
      </c>
      <c r="FQ17">
        <v>2.1606399999999999</v>
      </c>
      <c r="FR17">
        <v>1.5478499999999999</v>
      </c>
      <c r="FS17">
        <v>2.4365199999999998</v>
      </c>
      <c r="FT17">
        <v>33.221600000000002</v>
      </c>
      <c r="FU17">
        <v>15.988300000000001</v>
      </c>
      <c r="FV17">
        <v>2</v>
      </c>
      <c r="FW17">
        <v>483.73399999999998</v>
      </c>
      <c r="FX17">
        <v>394.90899999999999</v>
      </c>
      <c r="FY17">
        <v>25.401199999999999</v>
      </c>
      <c r="FZ17">
        <v>29.758299999999998</v>
      </c>
      <c r="GA17">
        <v>30.003499999999999</v>
      </c>
      <c r="GB17">
        <v>29.590800000000002</v>
      </c>
      <c r="GC17">
        <v>29.5472</v>
      </c>
      <c r="GD17">
        <v>-1</v>
      </c>
      <c r="GE17">
        <v>0</v>
      </c>
      <c r="GF17">
        <v>100</v>
      </c>
      <c r="GG17">
        <v>25.0853</v>
      </c>
      <c r="GH17">
        <v>432.1</v>
      </c>
      <c r="GI17">
        <v>78.840199999999996</v>
      </c>
      <c r="GJ17">
        <v>102.351</v>
      </c>
      <c r="GK17">
        <v>96.517700000000005</v>
      </c>
    </row>
    <row r="18" spans="1:193" x14ac:dyDescent="0.35">
      <c r="A18">
        <v>2</v>
      </c>
      <c r="B18">
        <v>1775464113.5999999</v>
      </c>
      <c r="C18">
        <v>157.5</v>
      </c>
      <c r="D18" t="s">
        <v>323</v>
      </c>
      <c r="E18" t="s">
        <v>324</v>
      </c>
      <c r="F18">
        <v>30</v>
      </c>
      <c r="G18">
        <v>1775464113.0999999</v>
      </c>
      <c r="H18">
        <f t="shared" si="0"/>
        <v>2.8388805323564963E-3</v>
      </c>
      <c r="I18">
        <f>1000*AY18*AG18*(AU18-AV18)/(100*AN18*(1000-AG18*AU18))</f>
        <v>2.8388805323564963</v>
      </c>
      <c r="J18">
        <f>AY18*AG18*(AT18-AS18*(1000-AG18*AV18)/(1000-AG18*AU18))/(100*AN18)</f>
        <v>2.4703510141895437</v>
      </c>
      <c r="K18">
        <f t="shared" si="1"/>
        <v>8.9139300000000006</v>
      </c>
      <c r="L18">
        <f t="shared" si="2"/>
        <v>-35.782934157805357</v>
      </c>
      <c r="M18">
        <f>L18*(AZ18+BA18)/1000</f>
        <v>-3.5802747275797331</v>
      </c>
      <c r="N18">
        <f>(AS18 - IF(AG18&gt;1, J18*AN18*100/(AI18), 0))*(AZ18+BA18)/1000</f>
        <v>0.89188656697827906</v>
      </c>
      <c r="O18">
        <f t="shared" si="3"/>
        <v>8.859412987746916E-2</v>
      </c>
      <c r="P18">
        <f>IF(LEFT(AP18,1)&lt;&gt;"0",IF(LEFT(AP18,1)="1",3,AQ18),$D$5+$E$5*(BG18*AZ18/($K$5*1000))+$F$5*(BG18*AZ18/($K$5*1000))*MAX(MIN(AN18,$J$5),$I$5)*MAX(MIN(AN18,$J$5),$I$5)+$G$5*MAX(MIN(AN18,$J$5),$I$5)*(BG18*AZ18/($K$5*1000))+$H$5*(BG18*AZ18/($K$5*1000))*(BG18*AZ18/($K$5*1000)))</f>
        <v>2.3964782549316386</v>
      </c>
      <c r="Q18">
        <f>H18*(1000-(1000*0.61365*EXP(17.502*U18/(240.97+U18))/(AZ18+BA18)+AU18)/2)/(1000*0.61365*EXP(17.502*U18/(240.97+U18))/(AZ18+BA18)-AU18)</f>
        <v>8.6814022375706582E-2</v>
      </c>
      <c r="R18">
        <f t="shared" si="4"/>
        <v>5.4415720512042007E-2</v>
      </c>
      <c r="S18">
        <f t="shared" si="5"/>
        <v>0.1214016258</v>
      </c>
      <c r="T18">
        <f>(BB18+(S18+2*0.95*0.0000000567*(((BB18+$B$7)+273)^4-(BB18+273)^4)-44100*H18)/(1.84*29.3*P18+8*0.95*0.0000000567*(BB18+273)^3))</f>
        <v>24.608410712394026</v>
      </c>
      <c r="U18">
        <f>($C$7*BC18+$D$7*BD18+$E$7*T18)</f>
        <v>25.611000000000001</v>
      </c>
      <c r="V18">
        <f t="shared" si="6"/>
        <v>3.297364716538064</v>
      </c>
      <c r="W18">
        <f t="shared" si="7"/>
        <v>2.464414532266932</v>
      </c>
      <c r="X18">
        <f>AU18*(AZ18+BA18)/1000</f>
        <v>8.071546766397239E-2</v>
      </c>
      <c r="Y18">
        <f t="shared" si="8"/>
        <v>3.2752390722889042</v>
      </c>
      <c r="Z18">
        <f>(V18-AU18*(AZ18+BA18)/1000)</f>
        <v>3.2166492488740914</v>
      </c>
      <c r="AA18">
        <f t="shared" si="9"/>
        <v>-125.19463147692149</v>
      </c>
      <c r="AB18">
        <f>2*29.3*P18*0.92*(BB18-U18)</f>
        <v>-14.651159306098048</v>
      </c>
      <c r="AC18">
        <f>2*0.95*0.0000000567*(((BB18+$B$7)+273)^4-(U18+273)^4)</f>
        <v>-1.3004082413396769</v>
      </c>
      <c r="AD18">
        <f t="shared" si="10"/>
        <v>-141.0247973985592</v>
      </c>
      <c r="AE18">
        <v>303</v>
      </c>
      <c r="AF18">
        <v>61</v>
      </c>
      <c r="AG18">
        <f t="shared" si="11"/>
        <v>1</v>
      </c>
      <c r="AH18">
        <f t="shared" si="12"/>
        <v>0</v>
      </c>
      <c r="AI18">
        <f t="shared" si="13"/>
        <v>25780.714142770335</v>
      </c>
      <c r="AJ18">
        <f t="shared" si="14"/>
        <v>0.63527800000000001</v>
      </c>
      <c r="AK18">
        <f t="shared" si="15"/>
        <v>0.50822240000000007</v>
      </c>
      <c r="AL18">
        <f t="shared" si="16"/>
        <v>0.8</v>
      </c>
      <c r="AM18">
        <f t="shared" si="17"/>
        <v>0.19109999999999999</v>
      </c>
      <c r="AN18">
        <v>3</v>
      </c>
      <c r="AO18">
        <v>0.5</v>
      </c>
      <c r="AP18" t="s">
        <v>317</v>
      </c>
      <c r="AQ18">
        <v>2</v>
      </c>
      <c r="AR18">
        <v>1775464113.0999999</v>
      </c>
      <c r="AS18">
        <v>8.9139300000000006</v>
      </c>
      <c r="AT18">
        <v>10.411300000000001</v>
      </c>
      <c r="AU18">
        <v>0.80670799999999998</v>
      </c>
      <c r="AV18">
        <v>-0.89521899999999999</v>
      </c>
      <c r="AW18">
        <v>1.90493</v>
      </c>
      <c r="AX18">
        <v>0.34070800000000001</v>
      </c>
      <c r="AY18">
        <v>500.00799999999998</v>
      </c>
      <c r="AZ18">
        <v>99.995599999999996</v>
      </c>
      <c r="BA18">
        <v>5.9770299999999998E-2</v>
      </c>
      <c r="BB18">
        <v>25.497599999999998</v>
      </c>
      <c r="BC18">
        <v>25.611000000000001</v>
      </c>
      <c r="BD18">
        <v>999.9</v>
      </c>
      <c r="BE18">
        <v>0</v>
      </c>
      <c r="BF18">
        <v>0</v>
      </c>
      <c r="BG18">
        <v>5022</v>
      </c>
      <c r="BH18">
        <v>0.63527800000000001</v>
      </c>
      <c r="BI18">
        <v>174.50800000000001</v>
      </c>
      <c r="BJ18">
        <v>5.0802199999999999E-2</v>
      </c>
      <c r="BK18">
        <v>10.4527</v>
      </c>
      <c r="BL18">
        <v>10.401999999999999</v>
      </c>
      <c r="BM18">
        <v>-5.4687900000000003E-3</v>
      </c>
      <c r="BN18">
        <v>10.411300000000001</v>
      </c>
      <c r="BO18">
        <v>-0.89521899999999999</v>
      </c>
      <c r="BP18">
        <v>-9.0064900000000003E-2</v>
      </c>
      <c r="BQ18">
        <v>-8.9518E-2</v>
      </c>
      <c r="BR18">
        <v>-99.9</v>
      </c>
      <c r="BS18">
        <v>-99.9</v>
      </c>
      <c r="BT18">
        <v>1775464134.5999999</v>
      </c>
      <c r="BU18" t="s">
        <v>325</v>
      </c>
      <c r="BV18">
        <v>1775464134.5999999</v>
      </c>
      <c r="BW18">
        <v>1775464131.5999999</v>
      </c>
      <c r="BX18">
        <v>3</v>
      </c>
      <c r="BY18">
        <v>-1.548</v>
      </c>
      <c r="BZ18">
        <v>1.708</v>
      </c>
      <c r="CA18">
        <v>7.0090000000000003</v>
      </c>
      <c r="CB18">
        <v>0.46600000000000003</v>
      </c>
      <c r="CC18">
        <v>11</v>
      </c>
      <c r="CD18">
        <v>-1</v>
      </c>
      <c r="CE18">
        <v>0.84</v>
      </c>
      <c r="CF18">
        <v>0.15</v>
      </c>
      <c r="CG18">
        <v>10.599410000000001</v>
      </c>
      <c r="CH18">
        <v>-0.51016952169079277</v>
      </c>
      <c r="CI18">
        <v>0.21604467956111931</v>
      </c>
      <c r="CJ18">
        <v>-1</v>
      </c>
      <c r="CK18">
        <v>500.04676666666671</v>
      </c>
      <c r="CL18">
        <v>-0.36437819799669369</v>
      </c>
      <c r="CM18">
        <v>6.5054174005634707E-2</v>
      </c>
      <c r="CN18">
        <v>-1</v>
      </c>
      <c r="CO18">
        <v>0</v>
      </c>
      <c r="CP18">
        <v>0</v>
      </c>
      <c r="CQ18" t="s">
        <v>319</v>
      </c>
      <c r="CR18">
        <v>3.1682700000000001</v>
      </c>
      <c r="CS18">
        <v>2.6804100000000002</v>
      </c>
      <c r="CT18">
        <v>5.6275300000000004E-4</v>
      </c>
      <c r="CU18">
        <v>3.0959500000000001E-3</v>
      </c>
      <c r="CV18">
        <v>2.71463E-3</v>
      </c>
      <c r="CW18">
        <v>-7.6922099999999997E-3</v>
      </c>
      <c r="CX18">
        <v>21572.7</v>
      </c>
      <c r="CY18">
        <v>21878.2</v>
      </c>
      <c r="CZ18">
        <v>23114</v>
      </c>
      <c r="DA18">
        <v>22299.4</v>
      </c>
      <c r="DB18">
        <v>29725.9</v>
      </c>
      <c r="DC18">
        <v>26806.6</v>
      </c>
      <c r="DD18">
        <v>40623.5</v>
      </c>
      <c r="DE18">
        <v>36965.5</v>
      </c>
      <c r="DF18">
        <v>1.3452</v>
      </c>
      <c r="DG18">
        <v>1.3061400000000001</v>
      </c>
      <c r="DH18">
        <v>-4.5481300000000002E-2</v>
      </c>
      <c r="DI18">
        <v>0</v>
      </c>
      <c r="DJ18">
        <v>26.353999999999999</v>
      </c>
      <c r="DK18">
        <v>999.9</v>
      </c>
      <c r="DL18">
        <v>73.5</v>
      </c>
      <c r="DM18">
        <v>31.7</v>
      </c>
      <c r="DN18">
        <v>34.5062</v>
      </c>
      <c r="DO18">
        <v>30.32</v>
      </c>
      <c r="DP18">
        <v>12.556100000000001</v>
      </c>
      <c r="DQ18">
        <v>1</v>
      </c>
      <c r="DR18">
        <v>0.226713</v>
      </c>
      <c r="DS18">
        <v>1.60642</v>
      </c>
      <c r="DT18">
        <v>20.3584</v>
      </c>
      <c r="DU18">
        <v>5.2091399999999997</v>
      </c>
      <c r="DV18">
        <v>11.849399999999999</v>
      </c>
      <c r="DW18">
        <v>4.9676799999999997</v>
      </c>
      <c r="DX18">
        <v>3.2924600000000002</v>
      </c>
      <c r="DY18">
        <v>894.7</v>
      </c>
      <c r="DZ18">
        <v>9999</v>
      </c>
      <c r="EA18">
        <v>9999</v>
      </c>
      <c r="EB18">
        <v>106.7</v>
      </c>
      <c r="EC18">
        <v>4.97159</v>
      </c>
      <c r="ED18">
        <v>1.8717999999999999</v>
      </c>
      <c r="EE18">
        <v>1.86894</v>
      </c>
      <c r="EF18">
        <v>1.8713599999999999</v>
      </c>
      <c r="EG18">
        <v>1.8691599999999999</v>
      </c>
      <c r="EH18">
        <v>1.86809</v>
      </c>
      <c r="EI18">
        <v>1.8698900000000001</v>
      </c>
      <c r="EJ18">
        <v>1.87174</v>
      </c>
      <c r="EK18">
        <v>0</v>
      </c>
      <c r="EL18">
        <v>0</v>
      </c>
      <c r="EM18">
        <v>0</v>
      </c>
      <c r="EN18">
        <v>0</v>
      </c>
      <c r="EO18" t="s">
        <v>320</v>
      </c>
      <c r="EP18" t="s">
        <v>321</v>
      </c>
      <c r="EQ18" t="s">
        <v>322</v>
      </c>
      <c r="ER18" t="s">
        <v>322</v>
      </c>
      <c r="ES18" t="s">
        <v>322</v>
      </c>
      <c r="ET18" t="s">
        <v>322</v>
      </c>
      <c r="EU18">
        <v>0</v>
      </c>
      <c r="EV18">
        <v>100</v>
      </c>
      <c r="EW18">
        <v>100</v>
      </c>
      <c r="EX18">
        <v>7.0090000000000003</v>
      </c>
      <c r="EY18">
        <v>0.46600000000000003</v>
      </c>
      <c r="EZ18">
        <v>8.5571871428571438</v>
      </c>
      <c r="FA18">
        <v>0</v>
      </c>
      <c r="FB18">
        <v>0</v>
      </c>
      <c r="FC18">
        <v>0</v>
      </c>
      <c r="FD18">
        <v>-1.241395666666667</v>
      </c>
      <c r="FE18">
        <v>0</v>
      </c>
      <c r="FF18">
        <v>0</v>
      </c>
      <c r="FG18">
        <v>0</v>
      </c>
      <c r="FH18">
        <v>-1</v>
      </c>
      <c r="FI18">
        <v>-1</v>
      </c>
      <c r="FJ18">
        <v>-1</v>
      </c>
      <c r="FK18">
        <v>-1</v>
      </c>
      <c r="FL18">
        <v>2.2999999999999998</v>
      </c>
      <c r="FM18">
        <v>3.8</v>
      </c>
      <c r="FN18">
        <v>0.142822</v>
      </c>
      <c r="FO18">
        <v>4.99756</v>
      </c>
      <c r="FP18">
        <v>1.5979000000000001</v>
      </c>
      <c r="FQ18">
        <v>2.1606399999999999</v>
      </c>
      <c r="FR18">
        <v>1.5478499999999999</v>
      </c>
      <c r="FS18">
        <v>2.3913600000000002</v>
      </c>
      <c r="FT18">
        <v>33.760599999999997</v>
      </c>
      <c r="FU18">
        <v>16.014600000000002</v>
      </c>
      <c r="FV18">
        <v>2</v>
      </c>
      <c r="FW18">
        <v>189.559</v>
      </c>
      <c r="FX18">
        <v>190.03</v>
      </c>
      <c r="FY18">
        <v>25.198499999999999</v>
      </c>
      <c r="FZ18">
        <v>30.083400000000001</v>
      </c>
      <c r="GA18">
        <v>30.000599999999999</v>
      </c>
      <c r="GB18">
        <v>30.081800000000001</v>
      </c>
      <c r="GC18">
        <v>30.0608</v>
      </c>
      <c r="GD18">
        <v>-1</v>
      </c>
      <c r="GE18">
        <v>0</v>
      </c>
      <c r="GF18">
        <v>100</v>
      </c>
      <c r="GG18">
        <v>25.202999999999999</v>
      </c>
      <c r="GH18">
        <v>432.1</v>
      </c>
      <c r="GI18">
        <v>78.840199999999996</v>
      </c>
      <c r="GJ18">
        <v>102.254</v>
      </c>
      <c r="GK18">
        <v>96.447199999999995</v>
      </c>
    </row>
    <row r="19" spans="1:193" s="1" customFormat="1" x14ac:dyDescent="0.35">
      <c r="A19" s="1">
        <v>3</v>
      </c>
      <c r="B19" s="1">
        <v>1775464173.5999999</v>
      </c>
      <c r="C19" s="1">
        <v>217.5</v>
      </c>
      <c r="D19" s="1" t="s">
        <v>326</v>
      </c>
      <c r="E19" s="1" t="s">
        <v>327</v>
      </c>
      <c r="F19" s="1">
        <v>30</v>
      </c>
      <c r="G19" s="1">
        <v>1775464158.1000011</v>
      </c>
      <c r="H19" s="1">
        <f t="shared" si="0"/>
        <v>2.839376042483922E-3</v>
      </c>
      <c r="I19" s="1">
        <f>1000*AY19*AG19*(AU19-AV19)/(100*AN19*(1000-AG19*AU19))</f>
        <v>2.8393760424839218</v>
      </c>
      <c r="J19" s="1">
        <f>AY19*AG19*(AT19-AS19*(1000-AG19*AV19)/(1000-AG19*AU19))/(100*AN19)</f>
        <v>-3.2101007498057452</v>
      </c>
      <c r="K19" s="1">
        <f t="shared" si="1"/>
        <v>11.467726721311481</v>
      </c>
      <c r="L19" s="1">
        <f t="shared" si="2"/>
        <v>71.193426117476193</v>
      </c>
      <c r="M19" s="1">
        <f>L19*(AZ19+BA19)/1000</f>
        <v>7.1224135436845124</v>
      </c>
      <c r="N19" s="1">
        <f>(AS19 - IF(AG19&gt;1, J19*AN19*100/(AI19), 0))*(AZ19+BA19)/1000</f>
        <v>1.1472673330872583</v>
      </c>
      <c r="O19" s="1">
        <f t="shared" si="3"/>
        <v>8.424109134068479E-2</v>
      </c>
      <c r="P19" s="1">
        <f>IF(LEFT(AP19,1)&lt;&gt;"0",IF(LEFT(AP19,1)="1",3,AQ19),$D$5+$E$5*(BG19*AZ19/($K$5*1000))+$F$5*(BG19*AZ19/($K$5*1000))*MAX(MIN(AN19,$J$5),$I$5)*MAX(MIN(AN19,$J$5),$I$5)+$G$5*MAX(MIN(AN19,$J$5),$I$5)*(BG19*AZ19/($K$5*1000))+$H$5*(BG19*AZ19/($K$5*1000))*(BG19*AZ19/($K$5*1000)))</f>
        <v>2.3870558680604033</v>
      </c>
      <c r="Q19" s="1">
        <f>H19*(1000-(1000*0.61365*EXP(17.502*U19/(240.97+U19))/(AZ19+BA19)+AU19)/2)/(1000*0.61365*EXP(17.502*U19/(240.97+U19))/(AZ19+BA19)-AU19)</f>
        <v>8.2623673553277835E-2</v>
      </c>
      <c r="R19" s="1">
        <f t="shared" si="4"/>
        <v>5.1782527999949521E-2</v>
      </c>
      <c r="S19" s="1">
        <f t="shared" si="5"/>
        <v>0.12346681843770488</v>
      </c>
      <c r="T19" s="1">
        <f>(BB19+(S19+2*0.95*0.0000000567*(((BB19+$B$7)+273)^4-(BB19+273)^4)-44100*H19)/(1.84*29.3*P19+8*0.95*0.0000000567*(BB19+273)^3))</f>
        <v>24.59218970415181</v>
      </c>
      <c r="U19" s="1">
        <f>($C$7*BC19+$D$7*BD19+$E$7*T19)</f>
        <v>25.58118032786885</v>
      </c>
      <c r="V19" s="1">
        <f t="shared" si="6"/>
        <v>3.2915339394689789</v>
      </c>
      <c r="W19" s="1">
        <f t="shared" si="7"/>
        <v>-2.7951970451148331</v>
      </c>
      <c r="X19" s="1">
        <f>AU19*(AZ19+BA19)/1000</f>
        <v>-9.1479547652259713E-2</v>
      </c>
      <c r="Y19" s="1">
        <f t="shared" si="8"/>
        <v>3.272740568044695</v>
      </c>
      <c r="Z19" s="1">
        <f>(V19-AU19*(AZ19+BA19)/1000)</f>
        <v>3.3830134871212385</v>
      </c>
      <c r="AA19" s="1">
        <f t="shared" si="9"/>
        <v>-125.21648347354096</v>
      </c>
      <c r="AB19" s="1">
        <f>2*29.3*P19*0.92*(BB19-U19)</f>
        <v>-12.409394623699692</v>
      </c>
      <c r="AC19" s="1">
        <f>2*0.95*0.0000000567*(((BB19+$B$7)+273)^4-(U19+273)^4)</f>
        <v>-1.105544224668477</v>
      </c>
      <c r="AD19" s="1">
        <f t="shared" si="10"/>
        <v>-138.60795550347143</v>
      </c>
      <c r="AE19" s="1">
        <v>24</v>
      </c>
      <c r="AF19" s="1">
        <v>5</v>
      </c>
      <c r="AG19" s="1">
        <f t="shared" si="11"/>
        <v>1</v>
      </c>
      <c r="AH19" s="1">
        <f t="shared" si="12"/>
        <v>0</v>
      </c>
      <c r="AI19" s="1">
        <f t="shared" si="13"/>
        <v>25637.609183634995</v>
      </c>
      <c r="AJ19" s="1">
        <f t="shared" si="14"/>
        <v>0.64608486885245886</v>
      </c>
      <c r="AK19" s="1">
        <f t="shared" si="15"/>
        <v>0.51686789508196707</v>
      </c>
      <c r="AL19" s="1">
        <f t="shared" si="16"/>
        <v>0.8</v>
      </c>
      <c r="AM19" s="1">
        <f t="shared" si="17"/>
        <v>0.19109999999999999</v>
      </c>
      <c r="AN19" s="1">
        <v>3</v>
      </c>
      <c r="AO19" s="1">
        <v>0.5</v>
      </c>
      <c r="AP19" s="1" t="s">
        <v>317</v>
      </c>
      <c r="AQ19" s="1">
        <v>2</v>
      </c>
      <c r="AR19" s="1">
        <v>1775464158.1000011</v>
      </c>
      <c r="AS19" s="1">
        <v>11.467726721311481</v>
      </c>
      <c r="AT19" s="1">
        <v>9.5611836065573801</v>
      </c>
      <c r="AU19" s="1">
        <v>-0.91440104918032783</v>
      </c>
      <c r="AV19" s="1">
        <v>-2.6196018032786879</v>
      </c>
      <c r="AW19" s="1">
        <v>2.9427267213114749</v>
      </c>
      <c r="AX19" s="1">
        <v>-1.396601803278688</v>
      </c>
      <c r="AY19" s="1">
        <v>499.99491803278693</v>
      </c>
      <c r="AZ19" s="1">
        <v>99.999149180327862</v>
      </c>
      <c r="BA19" s="1">
        <v>4.3985868852459017E-2</v>
      </c>
      <c r="BB19" s="1">
        <v>25.484752459016391</v>
      </c>
      <c r="BC19" s="1">
        <v>25.58118032786885</v>
      </c>
      <c r="BD19" s="1">
        <v>999.9</v>
      </c>
      <c r="BE19" s="1">
        <v>0</v>
      </c>
      <c r="BF19" s="1">
        <v>0</v>
      </c>
      <c r="BG19" s="1">
        <v>4997.5245901639346</v>
      </c>
      <c r="BH19" s="1">
        <v>0.64608486885245886</v>
      </c>
      <c r="BI19" s="1">
        <v>174.72724590163929</v>
      </c>
      <c r="BJ19" s="1">
        <v>0.39028862032786882</v>
      </c>
      <c r="BK19" s="1">
        <v>9.9422208196721318</v>
      </c>
      <c r="BL19" s="1">
        <v>9.5524493442622962</v>
      </c>
      <c r="BM19" s="1">
        <v>-1.607275340983607E-2</v>
      </c>
      <c r="BN19" s="1">
        <v>9.5611836065573801</v>
      </c>
      <c r="BO19" s="1">
        <v>-0.91440104918032783</v>
      </c>
      <c r="BP19" s="1">
        <v>-9.3046595081967207E-2</v>
      </c>
      <c r="BQ19" s="1">
        <v>-9.1439339344262294E-2</v>
      </c>
      <c r="BR19" s="1">
        <v>-99.899999999999963</v>
      </c>
      <c r="BS19" s="1">
        <v>-99.899999999999963</v>
      </c>
      <c r="BT19" s="1">
        <v>1775464196.5999999</v>
      </c>
      <c r="BU19" s="1" t="s">
        <v>328</v>
      </c>
      <c r="BV19" s="1">
        <v>1775464191.5999999</v>
      </c>
      <c r="BW19" s="1">
        <v>1775464196.5999999</v>
      </c>
      <c r="BX19" s="1">
        <v>4</v>
      </c>
      <c r="BY19" s="1">
        <v>1.516</v>
      </c>
      <c r="BZ19" s="1">
        <v>-1.6890000000000001</v>
      </c>
      <c r="CA19" s="1">
        <v>8.5250000000000004</v>
      </c>
      <c r="CB19" s="1">
        <v>-1.2230000000000001</v>
      </c>
      <c r="CC19" s="1">
        <v>10</v>
      </c>
      <c r="CD19" s="1">
        <v>-1</v>
      </c>
      <c r="CE19" s="1">
        <v>0.13</v>
      </c>
      <c r="CF19" s="1">
        <v>0.13</v>
      </c>
      <c r="CG19" s="1">
        <v>9.5054474193548373</v>
      </c>
      <c r="CH19" s="1">
        <v>2.151083709677438</v>
      </c>
      <c r="CI19" s="1">
        <v>0.19328135969679919</v>
      </c>
      <c r="CJ19" s="1">
        <v>-1</v>
      </c>
      <c r="CK19" s="1">
        <v>500.00006451612899</v>
      </c>
      <c r="CL19" s="1">
        <v>-6.5370967741288991E-2</v>
      </c>
      <c r="CM19" s="1">
        <v>5.1957759198168682E-2</v>
      </c>
      <c r="CN19" s="1">
        <v>-1</v>
      </c>
      <c r="CO19" s="1">
        <v>0</v>
      </c>
      <c r="CP19" s="1">
        <v>0</v>
      </c>
      <c r="CQ19" s="1" t="s">
        <v>319</v>
      </c>
      <c r="CR19" s="1">
        <v>3.1676099999999998</v>
      </c>
      <c r="CS19" s="1">
        <v>2.6653699999999998</v>
      </c>
      <c r="CT19" s="1">
        <v>7.9392500000000001E-4</v>
      </c>
      <c r="CU19" s="1">
        <v>2.8458699999999999E-3</v>
      </c>
      <c r="CV19" s="1">
        <v>-1.2485100000000001E-2</v>
      </c>
      <c r="CW19" s="1">
        <v>-8.0952899999999998E-3</v>
      </c>
      <c r="CX19" s="1">
        <v>21568.5</v>
      </c>
      <c r="CY19" s="1">
        <v>21881.3</v>
      </c>
      <c r="CZ19" s="1">
        <v>23115</v>
      </c>
      <c r="DA19" s="1">
        <v>22297.200000000001</v>
      </c>
      <c r="DB19" s="1">
        <v>30180.3</v>
      </c>
      <c r="DC19" s="1">
        <v>26814.400000000001</v>
      </c>
      <c r="DD19" s="1">
        <v>40627</v>
      </c>
      <c r="DE19" s="1">
        <v>36961.599999999999</v>
      </c>
      <c r="DF19" s="1">
        <v>2.0657800000000002</v>
      </c>
      <c r="DG19" s="1">
        <v>1.78264</v>
      </c>
      <c r="DH19" s="1">
        <v>-4.2250799999999998E-2</v>
      </c>
      <c r="DI19" s="1">
        <v>0</v>
      </c>
      <c r="DJ19" s="1">
        <v>26.2652</v>
      </c>
      <c r="DK19" s="1">
        <v>999.9</v>
      </c>
      <c r="DL19" s="1">
        <v>73.900000000000006</v>
      </c>
      <c r="DM19" s="1">
        <v>31.6</v>
      </c>
      <c r="DN19" s="1">
        <v>34.497300000000003</v>
      </c>
      <c r="DO19" s="1">
        <v>30.59</v>
      </c>
      <c r="DP19" s="1">
        <v>10.3566</v>
      </c>
      <c r="DQ19" s="1">
        <v>1</v>
      </c>
      <c r="DR19" s="1">
        <v>0.230211</v>
      </c>
      <c r="DS19" s="1">
        <v>1.45556</v>
      </c>
      <c r="DT19" s="1">
        <v>20.3612</v>
      </c>
      <c r="DU19" s="1">
        <v>5.2109399999999999</v>
      </c>
      <c r="DV19" s="1">
        <v>11.851100000000001</v>
      </c>
      <c r="DW19" s="1">
        <v>4.9682399999999998</v>
      </c>
      <c r="DX19" s="1">
        <v>3.2929200000000001</v>
      </c>
      <c r="DY19" s="1">
        <v>894.7</v>
      </c>
      <c r="DZ19" s="1">
        <v>0</v>
      </c>
      <c r="EA19" s="1">
        <v>6.3</v>
      </c>
      <c r="EB19" s="1">
        <v>106.7</v>
      </c>
      <c r="EC19" s="1">
        <v>4.9716100000000001</v>
      </c>
      <c r="ED19" s="1">
        <v>1.8717999999999999</v>
      </c>
      <c r="EE19" s="1">
        <v>1.86894</v>
      </c>
      <c r="EF19" s="1">
        <v>1.8713599999999999</v>
      </c>
      <c r="EG19" s="1">
        <v>1.8691599999999999</v>
      </c>
      <c r="EH19" s="1">
        <v>1.8681099999999999</v>
      </c>
      <c r="EI19" s="1">
        <v>1.8699399999999999</v>
      </c>
      <c r="EJ19" s="1">
        <v>1.8717299999999999</v>
      </c>
      <c r="EK19" s="1">
        <v>0</v>
      </c>
      <c r="EL19" s="1">
        <v>0</v>
      </c>
      <c r="EM19" s="1">
        <v>0</v>
      </c>
      <c r="EN19" s="1">
        <v>0</v>
      </c>
      <c r="EO19" s="1" t="s">
        <v>320</v>
      </c>
      <c r="EP19" s="1" t="s">
        <v>321</v>
      </c>
      <c r="EQ19" s="1" t="s">
        <v>322</v>
      </c>
      <c r="ER19" s="1" t="s">
        <v>322</v>
      </c>
      <c r="ES19" s="1" t="s">
        <v>322</v>
      </c>
      <c r="ET19" s="1" t="s">
        <v>322</v>
      </c>
      <c r="EU19" s="1">
        <v>0</v>
      </c>
      <c r="EV19" s="1">
        <v>100</v>
      </c>
      <c r="EW19" s="1">
        <v>100</v>
      </c>
      <c r="EX19" s="1">
        <v>8.5250000000000004</v>
      </c>
      <c r="EY19" s="1">
        <v>-1.2230000000000001</v>
      </c>
      <c r="EZ19" s="1">
        <v>7.0087455000000016</v>
      </c>
      <c r="FA19" s="1">
        <v>0</v>
      </c>
      <c r="FB19" s="1">
        <v>0</v>
      </c>
      <c r="FC19" s="1">
        <v>0</v>
      </c>
      <c r="FD19" s="1">
        <v>0.46612809999999988</v>
      </c>
      <c r="FE19" s="1">
        <v>0</v>
      </c>
      <c r="FF19" s="1">
        <v>0</v>
      </c>
      <c r="FG19" s="1">
        <v>0</v>
      </c>
      <c r="FH19" s="1">
        <v>-1</v>
      </c>
      <c r="FI19" s="1">
        <v>-1</v>
      </c>
      <c r="FJ19" s="1">
        <v>-1</v>
      </c>
      <c r="FK19" s="1">
        <v>-1</v>
      </c>
      <c r="FL19" s="1">
        <v>0.7</v>
      </c>
      <c r="FM19" s="1">
        <v>0.7</v>
      </c>
      <c r="FN19" s="1">
        <v>0.142822</v>
      </c>
      <c r="FO19" s="1">
        <v>4.99756</v>
      </c>
      <c r="FP19" s="1">
        <v>1.5979000000000001</v>
      </c>
      <c r="FQ19" s="1">
        <v>2.1594199999999999</v>
      </c>
      <c r="FR19" s="1">
        <v>1.5478499999999999</v>
      </c>
      <c r="FS19" s="1">
        <v>2.4279799999999998</v>
      </c>
      <c r="FT19" s="1">
        <v>33.918700000000001</v>
      </c>
      <c r="FU19" s="1">
        <v>16.040800000000001</v>
      </c>
      <c r="FV19" s="1">
        <v>2</v>
      </c>
      <c r="FW19" s="1">
        <v>485.471</v>
      </c>
      <c r="FX19" s="1">
        <v>395.358</v>
      </c>
      <c r="FY19" s="1">
        <v>25.159400000000002</v>
      </c>
      <c r="FZ19" s="1">
        <v>30.115600000000001</v>
      </c>
      <c r="GA19" s="1">
        <v>30.000299999999999</v>
      </c>
      <c r="GB19" s="1">
        <v>30.126000000000001</v>
      </c>
      <c r="GC19" s="1">
        <v>30.105</v>
      </c>
      <c r="GD19" s="1">
        <v>-1</v>
      </c>
      <c r="GE19" s="1">
        <v>0</v>
      </c>
      <c r="GF19" s="1">
        <v>100</v>
      </c>
      <c r="GG19" s="1">
        <v>25.1768</v>
      </c>
      <c r="GH19" s="1">
        <v>432.1</v>
      </c>
      <c r="GI19" s="1">
        <v>78.840199999999996</v>
      </c>
      <c r="GJ19" s="1">
        <v>102.261</v>
      </c>
      <c r="GK19" s="1">
        <v>96.437200000000004</v>
      </c>
    </row>
    <row r="20" spans="1:193" x14ac:dyDescent="0.35">
      <c r="A20">
        <v>4</v>
      </c>
      <c r="B20">
        <v>1775464233.5999999</v>
      </c>
      <c r="C20">
        <v>277.5</v>
      </c>
      <c r="D20" t="s">
        <v>329</v>
      </c>
      <c r="E20" t="s">
        <v>330</v>
      </c>
      <c r="F20">
        <v>30</v>
      </c>
      <c r="G20">
        <v>1775464218.1000011</v>
      </c>
      <c r="H20">
        <f t="shared" si="0"/>
        <v>2.512693092049198E-3</v>
      </c>
      <c r="I20">
        <f>1000*AY20*AG20*(AU20-AV20)/(100*AN20*(1000-AG20*AU20))</f>
        <v>2.5126930920491981</v>
      </c>
      <c r="J20">
        <f>AY20*AG20*(AT20-AS20*(1000-AG20*AV20)/(1000-AG20*AU20))/(100*AN20)</f>
        <v>-2.8188380985705899</v>
      </c>
      <c r="K20">
        <f t="shared" si="1"/>
        <v>11.140665245901641</v>
      </c>
      <c r="L20">
        <f t="shared" si="2"/>
        <v>70.682956379984546</v>
      </c>
      <c r="M20">
        <f>L20*(AZ20+BA20)/1000</f>
        <v>7.0715256691531625</v>
      </c>
      <c r="N20">
        <f>(AS20 - IF(AG20&gt;1, J20*AN20*100/(AI20), 0))*(AZ20+BA20)/1000</f>
        <v>1.1145756246288634</v>
      </c>
      <c r="O20">
        <f t="shared" si="3"/>
        <v>7.4060261108336869E-2</v>
      </c>
      <c r="P20">
        <f>IF(LEFT(AP20,1)&lt;&gt;"0",IF(LEFT(AP20,1)="1",3,AQ20),$D$5+$E$5*(BG20*AZ20/($K$5*1000))+$F$5*(BG20*AZ20/($K$5*1000))*MAX(MIN(AN20,$J$5),$I$5)*MAX(MIN(AN20,$J$5),$I$5)+$G$5*MAX(MIN(AN20,$J$5),$I$5)*(BG20*AZ20/($K$5*1000))+$H$5*(BG20*AZ20/($K$5*1000))*(BG20*AZ20/($K$5*1000)))</f>
        <v>2.3873203886533383</v>
      </c>
      <c r="Q20">
        <f>H20*(1000-(1000*0.61365*EXP(17.502*U20/(240.97+U20))/(AZ20+BA20)+AU20)/2)/(1000*0.61365*EXP(17.502*U20/(240.97+U20))/(AZ20+BA20)-AU20)</f>
        <v>7.280716297109277E-2</v>
      </c>
      <c r="R20">
        <f t="shared" si="4"/>
        <v>4.5615296664373438E-2</v>
      </c>
      <c r="S20">
        <f t="shared" si="5"/>
        <v>0.1224042335163934</v>
      </c>
      <c r="T20">
        <f>(BB20+(S20+2*0.95*0.0000000567*(((BB20+$B$7)+273)^4-(BB20+273)^4)-44100*H20)/(1.84*29.3*P20+8*0.95*0.0000000567*(BB20+273)^3))</f>
        <v>24.698705451523196</v>
      </c>
      <c r="U20">
        <f>($C$7*BC20+$D$7*BD20+$E$7*T20)</f>
        <v>25.595408196721319</v>
      </c>
      <c r="V20">
        <f t="shared" si="6"/>
        <v>3.2943148552944308</v>
      </c>
      <c r="W20">
        <f t="shared" si="7"/>
        <v>-3.1575770868816821</v>
      </c>
      <c r="X20">
        <f>AU20*(AZ20+BA20)/1000</f>
        <v>-0.10336168913490677</v>
      </c>
      <c r="Y20">
        <f t="shared" si="8"/>
        <v>3.2734494294479228</v>
      </c>
      <c r="Z20">
        <f>(V20-AU20*(AZ20+BA20)/1000)</f>
        <v>3.3976765444293378</v>
      </c>
      <c r="AA20">
        <f t="shared" si="9"/>
        <v>-110.80976535936964</v>
      </c>
      <c r="AB20">
        <f>2*29.3*P20*0.92*(BB20-U20)</f>
        <v>-13.772724149812182</v>
      </c>
      <c r="AC20">
        <f>2*0.95*0.0000000567*(((BB20+$B$7)+273)^4-(U20+273)^4)</f>
        <v>-1.226976530159603</v>
      </c>
      <c r="AD20">
        <f t="shared" si="10"/>
        <v>-125.68706180582502</v>
      </c>
      <c r="AE20">
        <v>24</v>
      </c>
      <c r="AF20">
        <v>5</v>
      </c>
      <c r="AG20">
        <f t="shared" si="11"/>
        <v>1</v>
      </c>
      <c r="AH20">
        <f t="shared" si="12"/>
        <v>0</v>
      </c>
      <c r="AI20">
        <f t="shared" si="13"/>
        <v>25641.246511701662</v>
      </c>
      <c r="AJ20">
        <f t="shared" si="14"/>
        <v>0.64052450819672113</v>
      </c>
      <c r="AK20">
        <f t="shared" si="15"/>
        <v>0.51241960655737695</v>
      </c>
      <c r="AL20">
        <f t="shared" si="16"/>
        <v>0.8</v>
      </c>
      <c r="AM20">
        <f t="shared" si="17"/>
        <v>0.19109999999999999</v>
      </c>
      <c r="AN20">
        <v>3</v>
      </c>
      <c r="AO20">
        <v>0.5</v>
      </c>
      <c r="AP20" t="s">
        <v>317</v>
      </c>
      <c r="AQ20">
        <v>2</v>
      </c>
      <c r="AR20">
        <v>1775464218.1000011</v>
      </c>
      <c r="AS20">
        <v>11.140665245901641</v>
      </c>
      <c r="AT20">
        <v>9.4665047540983593</v>
      </c>
      <c r="AU20">
        <v>-1.0331447704918031</v>
      </c>
      <c r="AV20">
        <v>-2.5420059016393441</v>
      </c>
      <c r="AW20">
        <v>2.6496652459016392</v>
      </c>
      <c r="AX20">
        <v>-1.3290059016393441</v>
      </c>
      <c r="AY20">
        <v>500.10349180327859</v>
      </c>
      <c r="AZ20">
        <v>100.00147213114749</v>
      </c>
      <c r="BA20">
        <v>4.4225322950819677E-2</v>
      </c>
      <c r="BB20">
        <v>25.48839836065574</v>
      </c>
      <c r="BC20">
        <v>25.595408196721319</v>
      </c>
      <c r="BD20">
        <v>999.9</v>
      </c>
      <c r="BE20">
        <v>0</v>
      </c>
      <c r="BF20">
        <v>0</v>
      </c>
      <c r="BG20">
        <v>4998.0901639344274</v>
      </c>
      <c r="BH20">
        <v>0.64052450819672113</v>
      </c>
      <c r="BI20">
        <v>175.14901639344259</v>
      </c>
      <c r="BJ20">
        <v>1.707884655737705</v>
      </c>
      <c r="BK20">
        <v>11.14595081967213</v>
      </c>
      <c r="BL20">
        <v>9.4567437704918031</v>
      </c>
      <c r="BM20">
        <v>-1.518868360655738</v>
      </c>
      <c r="BN20">
        <v>9.4665047540983593</v>
      </c>
      <c r="BO20">
        <v>-1.0331447704918031</v>
      </c>
      <c r="BP20">
        <v>-0.25520488524590162</v>
      </c>
      <c r="BQ20">
        <v>-0.1033160196721311</v>
      </c>
      <c r="BR20">
        <v>-99.899999999999963</v>
      </c>
      <c r="BS20">
        <v>-99.899999999999963</v>
      </c>
      <c r="BT20">
        <v>1775464258.0999999</v>
      </c>
      <c r="BU20" t="s">
        <v>331</v>
      </c>
      <c r="BV20">
        <v>1775464250.5999999</v>
      </c>
      <c r="BW20">
        <v>1775464258.0999999</v>
      </c>
      <c r="BX20">
        <v>5</v>
      </c>
      <c r="BY20">
        <v>-3.3000000000000002E-2</v>
      </c>
      <c r="BZ20">
        <v>0.01</v>
      </c>
      <c r="CA20">
        <v>8.4909999999999997</v>
      </c>
      <c r="CB20">
        <v>-1.2130000000000001</v>
      </c>
      <c r="CC20">
        <v>10</v>
      </c>
      <c r="CD20">
        <v>-1</v>
      </c>
      <c r="CE20">
        <v>0.24</v>
      </c>
      <c r="CF20">
        <v>0.06</v>
      </c>
      <c r="CG20">
        <v>9.1055235483870973</v>
      </c>
      <c r="CH20">
        <v>3.6362777419354568</v>
      </c>
      <c r="CI20">
        <v>0.33913332165263682</v>
      </c>
      <c r="CJ20">
        <v>-1</v>
      </c>
      <c r="CK20">
        <v>499.9924838709677</v>
      </c>
      <c r="CL20">
        <v>-2.0419354838920021E-2</v>
      </c>
      <c r="CM20">
        <v>4.9715883726363028E-2</v>
      </c>
      <c r="CN20">
        <v>-1</v>
      </c>
      <c r="CO20">
        <v>0</v>
      </c>
      <c r="CP20">
        <v>0</v>
      </c>
      <c r="CQ20" t="s">
        <v>319</v>
      </c>
      <c r="CR20">
        <v>3.1676000000000002</v>
      </c>
      <c r="CS20">
        <v>2.6655099999999998</v>
      </c>
      <c r="CT20">
        <v>6.87551E-4</v>
      </c>
      <c r="CU20">
        <v>2.9778500000000002E-3</v>
      </c>
      <c r="CV20">
        <v>-1.1750999999999999E-2</v>
      </c>
      <c r="CW20">
        <v>-9.2477500000000008E-3</v>
      </c>
      <c r="CX20">
        <v>21568.7</v>
      </c>
      <c r="CY20">
        <v>21878.2</v>
      </c>
      <c r="CZ20">
        <v>23112.9</v>
      </c>
      <c r="DA20">
        <v>22296.9</v>
      </c>
      <c r="DB20">
        <v>30155.9</v>
      </c>
      <c r="DC20">
        <v>26844.400000000001</v>
      </c>
      <c r="DD20">
        <v>40623.5</v>
      </c>
      <c r="DE20">
        <v>36960.9</v>
      </c>
      <c r="DF20">
        <v>2.0659399999999999</v>
      </c>
      <c r="DG20">
        <v>1.7818000000000001</v>
      </c>
      <c r="DH20">
        <v>-3.5107100000000002E-2</v>
      </c>
      <c r="DI20">
        <v>0</v>
      </c>
      <c r="DJ20">
        <v>26.170200000000001</v>
      </c>
      <c r="DK20">
        <v>999.9</v>
      </c>
      <c r="DL20">
        <v>74.099999999999994</v>
      </c>
      <c r="DM20">
        <v>31.6</v>
      </c>
      <c r="DN20">
        <v>34.588000000000001</v>
      </c>
      <c r="DO20">
        <v>30.41</v>
      </c>
      <c r="DP20">
        <v>10.5168</v>
      </c>
      <c r="DQ20">
        <v>1</v>
      </c>
      <c r="DR20">
        <v>0.23103099999999999</v>
      </c>
      <c r="DS20">
        <v>1.25417</v>
      </c>
      <c r="DT20">
        <v>20.3626</v>
      </c>
      <c r="DU20">
        <v>5.2080700000000002</v>
      </c>
      <c r="DV20">
        <v>11.8499</v>
      </c>
      <c r="DW20">
        <v>4.9673600000000002</v>
      </c>
      <c r="DX20">
        <v>3.2921999999999998</v>
      </c>
      <c r="DY20">
        <v>894.7</v>
      </c>
      <c r="DZ20">
        <v>0</v>
      </c>
      <c r="EA20">
        <v>40.5</v>
      </c>
      <c r="EB20">
        <v>106.7</v>
      </c>
      <c r="EC20">
        <v>4.9716300000000002</v>
      </c>
      <c r="ED20">
        <v>1.8717999999999999</v>
      </c>
      <c r="EE20">
        <v>1.8690199999999999</v>
      </c>
      <c r="EF20">
        <v>1.8714500000000001</v>
      </c>
      <c r="EG20">
        <v>1.8691800000000001</v>
      </c>
      <c r="EH20">
        <v>1.8681099999999999</v>
      </c>
      <c r="EI20">
        <v>1.8699600000000001</v>
      </c>
      <c r="EJ20">
        <v>1.8717299999999999</v>
      </c>
      <c r="EK20">
        <v>0</v>
      </c>
      <c r="EL20">
        <v>0</v>
      </c>
      <c r="EM20">
        <v>0</v>
      </c>
      <c r="EN20">
        <v>0</v>
      </c>
      <c r="EO20" t="s">
        <v>320</v>
      </c>
      <c r="EP20" t="s">
        <v>321</v>
      </c>
      <c r="EQ20" t="s">
        <v>322</v>
      </c>
      <c r="ER20" t="s">
        <v>322</v>
      </c>
      <c r="ES20" t="s">
        <v>322</v>
      </c>
      <c r="ET20" t="s">
        <v>322</v>
      </c>
      <c r="EU20">
        <v>0</v>
      </c>
      <c r="EV20">
        <v>100</v>
      </c>
      <c r="EW20">
        <v>100</v>
      </c>
      <c r="EX20">
        <v>8.4909999999999997</v>
      </c>
      <c r="EY20">
        <v>-1.2130000000000001</v>
      </c>
      <c r="EZ20">
        <v>8.5247270000000004</v>
      </c>
      <c r="FA20">
        <v>0</v>
      </c>
      <c r="FB20">
        <v>0</v>
      </c>
      <c r="FC20">
        <v>0</v>
      </c>
      <c r="FD20">
        <v>-1.2230059</v>
      </c>
      <c r="FE20">
        <v>0</v>
      </c>
      <c r="FF20">
        <v>0</v>
      </c>
      <c r="FG20">
        <v>0</v>
      </c>
      <c r="FH20">
        <v>-1</v>
      </c>
      <c r="FI20">
        <v>-1</v>
      </c>
      <c r="FJ20">
        <v>-1</v>
      </c>
      <c r="FK20">
        <v>-1</v>
      </c>
      <c r="FL20">
        <v>0.7</v>
      </c>
      <c r="FM20">
        <v>0.6</v>
      </c>
      <c r="FN20">
        <v>0.142822</v>
      </c>
      <c r="FO20">
        <v>4.99756</v>
      </c>
      <c r="FP20">
        <v>1.5979000000000001</v>
      </c>
      <c r="FQ20">
        <v>2.1581999999999999</v>
      </c>
      <c r="FR20">
        <v>1.5478499999999999</v>
      </c>
      <c r="FS20">
        <v>2.4316399999999998</v>
      </c>
      <c r="FT20">
        <v>34.031799999999997</v>
      </c>
      <c r="FU20">
        <v>16.040800000000001</v>
      </c>
      <c r="FV20">
        <v>2</v>
      </c>
      <c r="FW20">
        <v>486.09699999999998</v>
      </c>
      <c r="FX20">
        <v>395.43799999999999</v>
      </c>
      <c r="FY20">
        <v>25.3001</v>
      </c>
      <c r="FZ20">
        <v>30.1236</v>
      </c>
      <c r="GA20">
        <v>30</v>
      </c>
      <c r="GB20">
        <v>30.197399999999998</v>
      </c>
      <c r="GC20">
        <v>30.191600000000001</v>
      </c>
      <c r="GD20">
        <v>-1</v>
      </c>
      <c r="GE20">
        <v>0</v>
      </c>
      <c r="GF20">
        <v>100</v>
      </c>
      <c r="GG20">
        <v>25.3064</v>
      </c>
      <c r="GH20">
        <v>432.1</v>
      </c>
      <c r="GI20">
        <v>78.840199999999996</v>
      </c>
      <c r="GJ20">
        <v>102.252</v>
      </c>
      <c r="GK20">
        <v>96.435699999999997</v>
      </c>
    </row>
    <row r="21" spans="1:193" x14ac:dyDescent="0.35">
      <c r="A21">
        <v>5</v>
      </c>
      <c r="B21">
        <v>1775464293.5999999</v>
      </c>
      <c r="C21">
        <v>337.5</v>
      </c>
      <c r="D21" t="s">
        <v>336</v>
      </c>
      <c r="E21" t="s">
        <v>337</v>
      </c>
      <c r="F21">
        <v>30</v>
      </c>
      <c r="G21">
        <v>1775464278.3500011</v>
      </c>
      <c r="H21">
        <f t="shared" si="0"/>
        <v>2.4563975477950332E-3</v>
      </c>
      <c r="I21">
        <f>1000*AY21*AG21*(AU21-AV21)/(100*AN21*(1000-AG21*AU21))</f>
        <v>2.4563975477950333</v>
      </c>
      <c r="J21">
        <f>AY21*AG21*(AT21-AS21*(1000-AG21*AV21)/(1000-AG21*AU21))/(100*AN21)</f>
        <v>-2.0024679744838561</v>
      </c>
      <c r="K21">
        <f t="shared" si="1"/>
        <v>12.19282183333333</v>
      </c>
      <c r="L21">
        <f t="shared" si="2"/>
        <v>55.265825818692456</v>
      </c>
      <c r="M21">
        <f>L21*(AZ21+BA21)/1000</f>
        <v>5.5293701825705428</v>
      </c>
      <c r="N21">
        <f>(AS21 - IF(AG21&gt;1, J21*AN21*100/(AI21), 0))*(AZ21+BA21)/1000</f>
        <v>1.2198971876002538</v>
      </c>
      <c r="O21">
        <f t="shared" si="3"/>
        <v>7.2332984397907724E-2</v>
      </c>
      <c r="P21">
        <f>IF(LEFT(AP21,1)&lt;&gt;"0",IF(LEFT(AP21,1)="1",3,AQ21),$D$5+$E$5*(BG21*AZ21/($K$5*1000))+$F$5*(BG21*AZ21/($K$5*1000))*MAX(MIN(AN21,$J$5),$I$5)*MAX(MIN(AN21,$J$5),$I$5)+$G$5*MAX(MIN(AN21,$J$5),$I$5)*(BG21*AZ21/($K$5*1000))+$H$5*(BG21*AZ21/($K$5*1000))*(BG21*AZ21/($K$5*1000)))</f>
        <v>2.3874808940149137</v>
      </c>
      <c r="Q21">
        <f>H21*(1000-(1000*0.61365*EXP(17.502*U21/(240.97+U21))/(AZ21+BA21)+AU21)/2)/(1000*0.61365*EXP(17.502*U21/(240.97+U21))/(AZ21+BA21)-AU21)</f>
        <v>7.1137225841167495E-2</v>
      </c>
      <c r="R21">
        <f t="shared" si="4"/>
        <v>4.4566553723565383E-2</v>
      </c>
      <c r="S21">
        <f t="shared" si="5"/>
        <v>0.12436873676500002</v>
      </c>
      <c r="T21">
        <f>(BB21+(S21+2*0.95*0.0000000567*(((BB21+$B$7)+273)^4-(BB21+273)^4)-44100*H21)/(1.84*29.3*P21+8*0.95*0.0000000567*(BB21+273)^3))</f>
        <v>24.714354627149351</v>
      </c>
      <c r="U21">
        <f>($C$7*BC21+$D$7*BD21+$E$7*T21)</f>
        <v>25.581793333333341</v>
      </c>
      <c r="V21">
        <f t="shared" si="6"/>
        <v>3.2916537124953829</v>
      </c>
      <c r="W21">
        <f t="shared" si="7"/>
        <v>-3.3047409797303509</v>
      </c>
      <c r="X21">
        <f>AU21*(AZ21+BA21)/1000</f>
        <v>-0.10816538096498848</v>
      </c>
      <c r="Y21">
        <f t="shared" si="8"/>
        <v>3.273036574679272</v>
      </c>
      <c r="Z21">
        <f>(V21-AU21*(AZ21+BA21)/1000)</f>
        <v>3.3998190934603714</v>
      </c>
      <c r="AA21">
        <f t="shared" si="9"/>
        <v>-108.32713185776096</v>
      </c>
      <c r="AB21">
        <f>2*29.3*P21*0.92*(BB21-U21)</f>
        <v>-12.294534335285238</v>
      </c>
      <c r="AC21">
        <f>2*0.95*0.0000000567*(((BB21+$B$7)+273)^4-(U21+273)^4)</f>
        <v>-1.0951281624536089</v>
      </c>
      <c r="AD21">
        <f t="shared" si="10"/>
        <v>-121.59242561873481</v>
      </c>
      <c r="AE21">
        <v>23</v>
      </c>
      <c r="AF21">
        <v>5</v>
      </c>
      <c r="AG21">
        <f t="shared" si="11"/>
        <v>1</v>
      </c>
      <c r="AH21">
        <f t="shared" si="12"/>
        <v>0</v>
      </c>
      <c r="AI21">
        <f t="shared" si="13"/>
        <v>25643.665717198852</v>
      </c>
      <c r="AJ21">
        <f t="shared" si="14"/>
        <v>0.65080448333333341</v>
      </c>
      <c r="AK21">
        <f t="shared" si="15"/>
        <v>0.52064358666666677</v>
      </c>
      <c r="AL21">
        <f t="shared" si="16"/>
        <v>0.8</v>
      </c>
      <c r="AM21">
        <f t="shared" si="17"/>
        <v>0.19109999999999999</v>
      </c>
      <c r="AN21">
        <v>3</v>
      </c>
      <c r="AO21">
        <v>0.5</v>
      </c>
      <c r="AP21" t="s">
        <v>317</v>
      </c>
      <c r="AQ21">
        <v>2</v>
      </c>
      <c r="AR21">
        <v>1775464278.3500011</v>
      </c>
      <c r="AS21">
        <v>12.19282183333333</v>
      </c>
      <c r="AT21">
        <v>11.0099</v>
      </c>
      <c r="AU21">
        <v>-1.0811085</v>
      </c>
      <c r="AV21">
        <v>-2.5558065000000001</v>
      </c>
      <c r="AW21">
        <v>3.695821833333333</v>
      </c>
      <c r="AX21">
        <v>-1.3408065</v>
      </c>
      <c r="AY21">
        <v>500.24883333333332</v>
      </c>
      <c r="AZ21">
        <v>100.00688333333331</v>
      </c>
      <c r="BA21">
        <v>4.3556530000000003E-2</v>
      </c>
      <c r="BB21">
        <v>25.486274999999999</v>
      </c>
      <c r="BC21">
        <v>25.581793333333341</v>
      </c>
      <c r="BD21">
        <v>999.9</v>
      </c>
      <c r="BE21">
        <v>0</v>
      </c>
      <c r="BF21">
        <v>0</v>
      </c>
      <c r="BG21">
        <v>4998.2333333333336</v>
      </c>
      <c r="BH21">
        <v>0.65080448333333341</v>
      </c>
      <c r="BI21">
        <v>175.70003333333329</v>
      </c>
      <c r="BJ21">
        <v>1.177379616666667</v>
      </c>
      <c r="BK21">
        <v>12.156226666666671</v>
      </c>
      <c r="BL21">
        <v>10.998010000000001</v>
      </c>
      <c r="BM21">
        <v>-1.473128500000001</v>
      </c>
      <c r="BN21">
        <v>11.0099</v>
      </c>
      <c r="BO21">
        <v>-1.0811085</v>
      </c>
      <c r="BP21">
        <v>-0.25544146666666673</v>
      </c>
      <c r="BQ21">
        <v>-0.1081183666666667</v>
      </c>
      <c r="BR21">
        <v>-99.899999999999963</v>
      </c>
      <c r="BS21">
        <v>-99.899999999999963</v>
      </c>
      <c r="BT21">
        <v>1775464316.5999999</v>
      </c>
      <c r="BU21" t="s">
        <v>338</v>
      </c>
      <c r="BV21">
        <v>1775464310.5999999</v>
      </c>
      <c r="BW21">
        <v>1775464316.5999999</v>
      </c>
      <c r="BX21">
        <v>6</v>
      </c>
      <c r="BY21">
        <v>6.0000000000000001E-3</v>
      </c>
      <c r="BZ21">
        <v>-2E-3</v>
      </c>
      <c r="CA21">
        <v>8.4969999999999999</v>
      </c>
      <c r="CB21">
        <v>-1.2150000000000001</v>
      </c>
      <c r="CC21">
        <v>11</v>
      </c>
      <c r="CD21">
        <v>-1</v>
      </c>
      <c r="CE21">
        <v>0.18</v>
      </c>
      <c r="CF21">
        <v>0.05</v>
      </c>
      <c r="CG21">
        <v>11.26702</v>
      </c>
      <c r="CH21">
        <v>0.9750620689655215</v>
      </c>
      <c r="CI21">
        <v>0.107731228527294</v>
      </c>
      <c r="CJ21">
        <v>-1</v>
      </c>
      <c r="CK21">
        <v>500.0061</v>
      </c>
      <c r="CL21">
        <v>-1.8340378196391859E-2</v>
      </c>
      <c r="CM21">
        <v>4.7473747131086937E-2</v>
      </c>
      <c r="CN21">
        <v>-1</v>
      </c>
      <c r="CO21">
        <v>0</v>
      </c>
      <c r="CP21">
        <v>0</v>
      </c>
      <c r="CQ21" t="s">
        <v>319</v>
      </c>
      <c r="CR21">
        <v>3.1675300000000002</v>
      </c>
      <c r="CS21">
        <v>2.6658900000000001</v>
      </c>
      <c r="CT21">
        <v>1.2459700000000001E-3</v>
      </c>
      <c r="CU21">
        <v>3.3649000000000001E-3</v>
      </c>
      <c r="CV21">
        <v>-1.1972699999999999E-2</v>
      </c>
      <c r="CW21">
        <v>-9.19354E-3</v>
      </c>
      <c r="CX21">
        <v>21556.1</v>
      </c>
      <c r="CY21">
        <v>21869.8</v>
      </c>
      <c r="CZ21">
        <v>23112.2</v>
      </c>
      <c r="DA21">
        <v>22297</v>
      </c>
      <c r="DB21">
        <v>30161.8</v>
      </c>
      <c r="DC21">
        <v>26842.7</v>
      </c>
      <c r="DD21">
        <v>40622.6</v>
      </c>
      <c r="DE21">
        <v>36960.5</v>
      </c>
      <c r="DF21">
        <v>2.0660599999999998</v>
      </c>
      <c r="DG21">
        <v>1.7810600000000001</v>
      </c>
      <c r="DH21">
        <v>-3.2031499999999997E-2</v>
      </c>
      <c r="DI21">
        <v>0</v>
      </c>
      <c r="DJ21">
        <v>26.111000000000001</v>
      </c>
      <c r="DK21">
        <v>999.9</v>
      </c>
      <c r="DL21">
        <v>74.3</v>
      </c>
      <c r="DM21">
        <v>31.6</v>
      </c>
      <c r="DN21">
        <v>34.6815</v>
      </c>
      <c r="DO21">
        <v>30.59</v>
      </c>
      <c r="DP21">
        <v>10.520799999999999</v>
      </c>
      <c r="DQ21">
        <v>1</v>
      </c>
      <c r="DR21">
        <v>0.23075599999999999</v>
      </c>
      <c r="DS21">
        <v>1.2361800000000001</v>
      </c>
      <c r="DT21">
        <v>20.3626</v>
      </c>
      <c r="DU21">
        <v>5.2084200000000003</v>
      </c>
      <c r="DV21">
        <v>11.850899999999999</v>
      </c>
      <c r="DW21">
        <v>4.9672000000000001</v>
      </c>
      <c r="DX21">
        <v>3.29216</v>
      </c>
      <c r="DY21">
        <v>894.7</v>
      </c>
      <c r="DZ21">
        <v>0</v>
      </c>
      <c r="EA21">
        <v>68.8</v>
      </c>
      <c r="EB21">
        <v>106.7</v>
      </c>
      <c r="EC21">
        <v>4.9715999999999996</v>
      </c>
      <c r="ED21">
        <v>1.8717999999999999</v>
      </c>
      <c r="EE21">
        <v>1.869</v>
      </c>
      <c r="EF21">
        <v>1.8714</v>
      </c>
      <c r="EG21">
        <v>1.8691899999999999</v>
      </c>
      <c r="EH21">
        <v>1.86809</v>
      </c>
      <c r="EI21">
        <v>1.8699300000000001</v>
      </c>
      <c r="EJ21">
        <v>1.8717200000000001</v>
      </c>
      <c r="EK21">
        <v>0</v>
      </c>
      <c r="EL21">
        <v>0</v>
      </c>
      <c r="EM21">
        <v>0</v>
      </c>
      <c r="EN21">
        <v>0</v>
      </c>
      <c r="EO21" t="s">
        <v>320</v>
      </c>
      <c r="EP21" t="s">
        <v>321</v>
      </c>
      <c r="EQ21" t="s">
        <v>322</v>
      </c>
      <c r="ER21" t="s">
        <v>322</v>
      </c>
      <c r="ES21" t="s">
        <v>322</v>
      </c>
      <c r="ET21" t="s">
        <v>322</v>
      </c>
      <c r="EU21">
        <v>0</v>
      </c>
      <c r="EV21">
        <v>100</v>
      </c>
      <c r="EW21">
        <v>100</v>
      </c>
      <c r="EX21">
        <v>8.4969999999999999</v>
      </c>
      <c r="EY21">
        <v>-1.2150000000000001</v>
      </c>
      <c r="EZ21">
        <v>8.4914544999999997</v>
      </c>
      <c r="FA21">
        <v>0</v>
      </c>
      <c r="FB21">
        <v>0</v>
      </c>
      <c r="FC21">
        <v>0</v>
      </c>
      <c r="FD21">
        <v>-1.2134316666666669</v>
      </c>
      <c r="FE21">
        <v>0</v>
      </c>
      <c r="FF21">
        <v>0</v>
      </c>
      <c r="FG21">
        <v>0</v>
      </c>
      <c r="FH21">
        <v>-1</v>
      </c>
      <c r="FI21">
        <v>-1</v>
      </c>
      <c r="FJ21">
        <v>-1</v>
      </c>
      <c r="FK21">
        <v>-1</v>
      </c>
      <c r="FL21">
        <v>0.7</v>
      </c>
      <c r="FM21">
        <v>0.6</v>
      </c>
      <c r="FN21">
        <v>0.142822</v>
      </c>
      <c r="FO21">
        <v>4.99756</v>
      </c>
      <c r="FP21">
        <v>1.5979000000000001</v>
      </c>
      <c r="FQ21">
        <v>2.1594199999999999</v>
      </c>
      <c r="FR21">
        <v>1.5478499999999999</v>
      </c>
      <c r="FS21">
        <v>2.3730500000000001</v>
      </c>
      <c r="FT21">
        <v>34.145200000000003</v>
      </c>
      <c r="FU21">
        <v>16.023299999999999</v>
      </c>
      <c r="FV21">
        <v>2</v>
      </c>
      <c r="FW21">
        <v>486.52499999999998</v>
      </c>
      <c r="FX21">
        <v>395.42599999999999</v>
      </c>
      <c r="FY21">
        <v>25.2546</v>
      </c>
      <c r="FZ21">
        <v>30.115400000000001</v>
      </c>
      <c r="GA21">
        <v>30</v>
      </c>
      <c r="GB21">
        <v>30.2455</v>
      </c>
      <c r="GC21">
        <v>30.254999999999999</v>
      </c>
      <c r="GD21">
        <v>-1</v>
      </c>
      <c r="GE21">
        <v>0</v>
      </c>
      <c r="GF21">
        <v>100</v>
      </c>
      <c r="GG21">
        <v>25.262899999999998</v>
      </c>
      <c r="GH21">
        <v>432.1</v>
      </c>
      <c r="GI21">
        <v>78.840199999999996</v>
      </c>
      <c r="GJ21">
        <v>102.25</v>
      </c>
      <c r="GK21">
        <v>96.435199999999995</v>
      </c>
    </row>
    <row r="22" spans="1:193" x14ac:dyDescent="0.35">
      <c r="A22">
        <v>6</v>
      </c>
      <c r="B22">
        <v>1775464353.5999999</v>
      </c>
      <c r="C22">
        <v>397.5</v>
      </c>
      <c r="D22" t="s">
        <v>339</v>
      </c>
      <c r="E22" t="s">
        <v>340</v>
      </c>
      <c r="F22">
        <v>30</v>
      </c>
      <c r="G22">
        <v>1775464338.1000011</v>
      </c>
      <c r="H22">
        <f t="shared" si="0"/>
        <v>2.3742105364613032E-3</v>
      </c>
      <c r="I22">
        <f>1000*AY22*AG22*(AU22-AV22)/(100*AN22*(1000-AG22*AU22))</f>
        <v>2.3742105364613031</v>
      </c>
      <c r="J22">
        <f>AY22*AG22*(AT22-AS22*(1000-AG22*AV22)/(1000-AG22*AU22))/(100*AN22)</f>
        <v>-2.6798031528460444</v>
      </c>
      <c r="K22">
        <f t="shared" si="1"/>
        <v>12.239834754098361</v>
      </c>
      <c r="L22">
        <f t="shared" si="2"/>
        <v>72.17516816379829</v>
      </c>
      <c r="M22">
        <f>L22*(AZ22+BA22)/1000</f>
        <v>7.2213474472892729</v>
      </c>
      <c r="N22">
        <f>(AS22 - IF(AG22&gt;1, J22*AN22*100/(AI22), 0))*(AZ22+BA22)/1000</f>
        <v>1.2246330934229059</v>
      </c>
      <c r="O22">
        <f t="shared" si="3"/>
        <v>6.9819536407571908E-2</v>
      </c>
      <c r="P22">
        <f>IF(LEFT(AP22,1)&lt;&gt;"0",IF(LEFT(AP22,1)="1",3,AQ22),$D$5+$E$5*(BG22*AZ22/($K$5*1000))+$F$5*(BG22*AZ22/($K$5*1000))*MAX(MIN(AN22,$J$5),$I$5)*MAX(MIN(AN22,$J$5),$I$5)+$G$5*MAX(MIN(AN22,$J$5),$I$5)*(BG22*AZ22/($K$5*1000))+$H$5*(BG22*AZ22/($K$5*1000))*(BG22*AZ22/($K$5*1000)))</f>
        <v>2.3893962804229361</v>
      </c>
      <c r="Q22">
        <f>H22*(1000-(1000*0.61365*EXP(17.502*U22/(240.97+U22))/(AZ22+BA22)+AU22)/2)/(1000*0.61365*EXP(17.502*U22/(240.97+U22))/(AZ22+BA22)-AU22)</f>
        <v>6.8705623045676609E-2</v>
      </c>
      <c r="R22">
        <f t="shared" si="4"/>
        <v>4.3039614721606306E-2</v>
      </c>
      <c r="S22">
        <f t="shared" si="5"/>
        <v>0.12526306132131143</v>
      </c>
      <c r="T22">
        <f>(BB22+(S22+2*0.95*0.0000000567*(((BB22+$B$7)+273)^4-(BB22+273)^4)-44100*H22)/(1.84*29.3*P22+8*0.95*0.0000000567*(BB22+273)^3))</f>
        <v>24.750230649342431</v>
      </c>
      <c r="U22">
        <f>($C$7*BC22+$D$7*BD22+$E$7*T22)</f>
        <v>25.589604918032791</v>
      </c>
      <c r="V22">
        <f t="shared" si="6"/>
        <v>3.2931803245541618</v>
      </c>
      <c r="W22">
        <f t="shared" si="7"/>
        <v>-3.3365953867848503</v>
      </c>
      <c r="X22">
        <f>AU22*(AZ22+BA22)/1000</f>
        <v>-0.10926935638888653</v>
      </c>
      <c r="Y22">
        <f t="shared" si="8"/>
        <v>3.2748758456499183</v>
      </c>
      <c r="Z22">
        <f>(V22-AU22*(AZ22+BA22)/1000)</f>
        <v>3.4024496809430484</v>
      </c>
      <c r="AA22">
        <f t="shared" si="9"/>
        <v>-104.70268465794346</v>
      </c>
      <c r="AB22">
        <f>2*29.3*P22*0.92*(BB22-U22)</f>
        <v>-12.092338734514838</v>
      </c>
      <c r="AC22">
        <f>2*0.95*0.0000000567*(((BB22+$B$7)+273)^4-(U22+273)^4)</f>
        <v>-1.0763476632118285</v>
      </c>
      <c r="AD22">
        <f t="shared" si="10"/>
        <v>-117.74610799434882</v>
      </c>
      <c r="AE22">
        <v>23</v>
      </c>
      <c r="AF22">
        <v>5</v>
      </c>
      <c r="AG22">
        <f t="shared" si="11"/>
        <v>1</v>
      </c>
      <c r="AH22">
        <f t="shared" si="12"/>
        <v>0</v>
      </c>
      <c r="AI22">
        <f t="shared" si="13"/>
        <v>25672.063898616547</v>
      </c>
      <c r="AJ22">
        <f t="shared" si="14"/>
        <v>0.65548436065573756</v>
      </c>
      <c r="AK22">
        <f t="shared" si="15"/>
        <v>0.52438748852459005</v>
      </c>
      <c r="AL22">
        <f t="shared" si="16"/>
        <v>0.8</v>
      </c>
      <c r="AM22">
        <f t="shared" si="17"/>
        <v>0.19109999999999999</v>
      </c>
      <c r="AN22">
        <v>3</v>
      </c>
      <c r="AO22">
        <v>0.5</v>
      </c>
      <c r="AP22" t="s">
        <v>317</v>
      </c>
      <c r="AQ22">
        <v>2</v>
      </c>
      <c r="AR22">
        <v>1775464338.1000011</v>
      </c>
      <c r="AS22">
        <v>12.239834754098361</v>
      </c>
      <c r="AT22">
        <v>10.64976721311476</v>
      </c>
      <c r="AU22">
        <v>-1.0921139344262289</v>
      </c>
      <c r="AV22">
        <v>-2.517856721311476</v>
      </c>
      <c r="AW22">
        <v>3.729834754098361</v>
      </c>
      <c r="AX22">
        <v>-1.3078567213114749</v>
      </c>
      <c r="AY22">
        <v>500.11898360655732</v>
      </c>
      <c r="AZ22">
        <v>100.00863934426231</v>
      </c>
      <c r="BA22">
        <v>4.4434739344262293E-2</v>
      </c>
      <c r="BB22">
        <v>25.495732786885249</v>
      </c>
      <c r="BC22">
        <v>25.589604918032791</v>
      </c>
      <c r="BD22">
        <v>999.9</v>
      </c>
      <c r="BE22">
        <v>0</v>
      </c>
      <c r="BF22">
        <v>0</v>
      </c>
      <c r="BG22">
        <v>5003.0819672131147</v>
      </c>
      <c r="BH22">
        <v>0.65548436065573756</v>
      </c>
      <c r="BI22">
        <v>176.41459016393441</v>
      </c>
      <c r="BJ22">
        <v>1.577065245901639</v>
      </c>
      <c r="BK22">
        <v>12.196057377049179</v>
      </c>
      <c r="BL22">
        <v>10.638150819672131</v>
      </c>
      <c r="BM22">
        <v>-1.4308313114754101</v>
      </c>
      <c r="BN22">
        <v>10.64976721311476</v>
      </c>
      <c r="BO22">
        <v>-1.0921139344262289</v>
      </c>
      <c r="BP22">
        <v>-0.25231647540983598</v>
      </c>
      <c r="BQ22">
        <v>-0.1092209836065574</v>
      </c>
      <c r="BR22">
        <v>-99.899999999999963</v>
      </c>
      <c r="BS22">
        <v>-99.899999999999963</v>
      </c>
      <c r="BT22">
        <v>1775464378.5999999</v>
      </c>
      <c r="BU22" t="s">
        <v>341</v>
      </c>
      <c r="BV22">
        <v>1775464378.5999999</v>
      </c>
      <c r="BW22">
        <v>1775464378.5999999</v>
      </c>
      <c r="BX22">
        <v>7</v>
      </c>
      <c r="BY22">
        <v>1.2999999999999999E-2</v>
      </c>
      <c r="BZ22">
        <v>5.0000000000000001E-3</v>
      </c>
      <c r="CA22">
        <v>8.51</v>
      </c>
      <c r="CB22">
        <v>-1.21</v>
      </c>
      <c r="CC22">
        <v>12</v>
      </c>
      <c r="CD22">
        <v>-1</v>
      </c>
      <c r="CE22">
        <v>0.44</v>
      </c>
      <c r="CF22">
        <v>0.06</v>
      </c>
      <c r="CG22">
        <v>10.64976721311476</v>
      </c>
      <c r="CH22">
        <v>-0.8590369116869212</v>
      </c>
      <c r="CI22">
        <v>0.22105991081813511</v>
      </c>
      <c r="CJ22">
        <v>-1</v>
      </c>
      <c r="CK22">
        <v>500.11898360655732</v>
      </c>
      <c r="CL22">
        <v>-1.295701745108121</v>
      </c>
      <c r="CM22">
        <v>0.43425483535171011</v>
      </c>
      <c r="CN22">
        <v>-1</v>
      </c>
      <c r="CO22">
        <v>0</v>
      </c>
      <c r="CP22">
        <v>0</v>
      </c>
      <c r="CQ22" t="s">
        <v>319</v>
      </c>
      <c r="CR22">
        <v>3.16743</v>
      </c>
      <c r="CS22">
        <v>2.6657799999999998</v>
      </c>
      <c r="CT22">
        <v>1.03863E-3</v>
      </c>
      <c r="CU22">
        <v>3.1849299999999999E-3</v>
      </c>
      <c r="CV22">
        <v>-1.16361E-2</v>
      </c>
      <c r="CW22">
        <v>-9.6514800000000005E-3</v>
      </c>
      <c r="CX22">
        <v>21559.8</v>
      </c>
      <c r="CY22">
        <v>21873.8</v>
      </c>
      <c r="CZ22">
        <v>23111.3</v>
      </c>
      <c r="DA22">
        <v>22297.1</v>
      </c>
      <c r="DB22">
        <v>30150.9</v>
      </c>
      <c r="DC22">
        <v>26854.799999999999</v>
      </c>
      <c r="DD22">
        <v>40621.300000000003</v>
      </c>
      <c r="DE22">
        <v>36960.6</v>
      </c>
      <c r="DF22">
        <v>2.0664600000000002</v>
      </c>
      <c r="DG22">
        <v>1.78172</v>
      </c>
      <c r="DH22">
        <v>-2.86877E-2</v>
      </c>
      <c r="DI22">
        <v>0</v>
      </c>
      <c r="DJ22">
        <v>26.0703</v>
      </c>
      <c r="DK22">
        <v>999.9</v>
      </c>
      <c r="DL22">
        <v>74.400000000000006</v>
      </c>
      <c r="DM22">
        <v>31.5</v>
      </c>
      <c r="DN22">
        <v>34.529899999999998</v>
      </c>
      <c r="DO22">
        <v>30.59</v>
      </c>
      <c r="DP22">
        <v>10.725199999999999</v>
      </c>
      <c r="DQ22">
        <v>1</v>
      </c>
      <c r="DR22">
        <v>0.23051199999999999</v>
      </c>
      <c r="DS22">
        <v>1.1706099999999999</v>
      </c>
      <c r="DT22">
        <v>20.363700000000001</v>
      </c>
      <c r="DU22">
        <v>5.2121399999999998</v>
      </c>
      <c r="DV22">
        <v>11.85</v>
      </c>
      <c r="DW22">
        <v>4.9676799999999997</v>
      </c>
      <c r="DX22">
        <v>3.2928199999999999</v>
      </c>
      <c r="DY22">
        <v>894.7</v>
      </c>
      <c r="DZ22">
        <v>0</v>
      </c>
      <c r="EA22">
        <v>103.5</v>
      </c>
      <c r="EB22">
        <v>106.7</v>
      </c>
      <c r="EC22">
        <v>4.9716100000000001</v>
      </c>
      <c r="ED22">
        <v>1.87181</v>
      </c>
      <c r="EE22">
        <v>1.86904</v>
      </c>
      <c r="EF22">
        <v>1.87141</v>
      </c>
      <c r="EG22">
        <v>1.8691899999999999</v>
      </c>
      <c r="EH22">
        <v>1.8681099999999999</v>
      </c>
      <c r="EI22">
        <v>1.8699399999999999</v>
      </c>
      <c r="EJ22">
        <v>1.8717299999999999</v>
      </c>
      <c r="EK22">
        <v>0</v>
      </c>
      <c r="EL22">
        <v>0</v>
      </c>
      <c r="EM22">
        <v>0</v>
      </c>
      <c r="EN22">
        <v>0</v>
      </c>
      <c r="EO22" t="s">
        <v>320</v>
      </c>
      <c r="EP22" t="s">
        <v>321</v>
      </c>
      <c r="EQ22" t="s">
        <v>322</v>
      </c>
      <c r="ER22" t="s">
        <v>322</v>
      </c>
      <c r="ES22" t="s">
        <v>322</v>
      </c>
      <c r="ET22" t="s">
        <v>322</v>
      </c>
      <c r="EU22">
        <v>0</v>
      </c>
      <c r="EV22">
        <v>100</v>
      </c>
      <c r="EW22">
        <v>100</v>
      </c>
      <c r="EX22">
        <v>8.51</v>
      </c>
      <c r="EY22">
        <v>-1.21</v>
      </c>
      <c r="EZ22">
        <v>8.4969964999999998</v>
      </c>
      <c r="FA22">
        <v>0</v>
      </c>
      <c r="FB22">
        <v>0</v>
      </c>
      <c r="FC22">
        <v>0</v>
      </c>
      <c r="FD22">
        <v>-1.2150888500000001</v>
      </c>
      <c r="FE22">
        <v>0</v>
      </c>
      <c r="FF22">
        <v>0</v>
      </c>
      <c r="FG22">
        <v>0</v>
      </c>
      <c r="FH22">
        <v>-1</v>
      </c>
      <c r="FI22">
        <v>-1</v>
      </c>
      <c r="FJ22">
        <v>-1</v>
      </c>
      <c r="FK22">
        <v>-1</v>
      </c>
      <c r="FL22">
        <v>0.7</v>
      </c>
      <c r="FM22">
        <v>0.6</v>
      </c>
      <c r="FN22">
        <v>0.142822</v>
      </c>
      <c r="FO22">
        <v>4.99756</v>
      </c>
      <c r="FP22">
        <v>1.5979000000000001</v>
      </c>
      <c r="FQ22">
        <v>2.1581999999999999</v>
      </c>
      <c r="FR22">
        <v>1.5478499999999999</v>
      </c>
      <c r="FS22">
        <v>2.3303199999999999</v>
      </c>
      <c r="FT22">
        <v>34.213299999999997</v>
      </c>
      <c r="FU22">
        <v>16.014600000000002</v>
      </c>
      <c r="FV22">
        <v>2</v>
      </c>
      <c r="FW22">
        <v>487.00900000000001</v>
      </c>
      <c r="FX22">
        <v>396.07900000000001</v>
      </c>
      <c r="FY22">
        <v>25.3139</v>
      </c>
      <c r="FZ22">
        <v>30.102799999999998</v>
      </c>
      <c r="GA22">
        <v>29.9999</v>
      </c>
      <c r="GB22">
        <v>30.279499999999999</v>
      </c>
      <c r="GC22">
        <v>30.299199999999999</v>
      </c>
      <c r="GD22">
        <v>-1</v>
      </c>
      <c r="GE22">
        <v>0</v>
      </c>
      <c r="GF22">
        <v>100</v>
      </c>
      <c r="GG22">
        <v>25.316800000000001</v>
      </c>
      <c r="GH22">
        <v>432.1</v>
      </c>
      <c r="GI22">
        <v>78.840199999999996</v>
      </c>
      <c r="GJ22">
        <v>102.246</v>
      </c>
      <c r="GK22">
        <v>96.435400000000001</v>
      </c>
    </row>
    <row r="23" spans="1:193" x14ac:dyDescent="0.35">
      <c r="A23">
        <v>7</v>
      </c>
      <c r="B23">
        <v>1775464413.5999999</v>
      </c>
      <c r="C23">
        <v>457.5</v>
      </c>
      <c r="D23" t="s">
        <v>342</v>
      </c>
      <c r="E23" t="s">
        <v>343</v>
      </c>
      <c r="F23">
        <v>30</v>
      </c>
      <c r="G23">
        <v>1775464398.1000011</v>
      </c>
      <c r="H23">
        <f t="shared" si="0"/>
        <v>2.297874295486925E-3</v>
      </c>
      <c r="I23">
        <f>1000*AY23*AG23*(AU23-AV23)/(100*AN23*(1000-AG23*AU23))</f>
        <v>2.2978742954869249</v>
      </c>
      <c r="J23">
        <f>AY23*AG23*(AT23-AS23*(1000-AG23*AV23)/(1000-AG23*AU23))/(100*AN23)</f>
        <v>-1.9228316052942167</v>
      </c>
      <c r="K23">
        <f t="shared" si="1"/>
        <v>13.04163049180328</v>
      </c>
      <c r="L23">
        <f t="shared" si="2"/>
        <v>57.283209489684054</v>
      </c>
      <c r="M23">
        <f>L23*(AZ23+BA23)/1000</f>
        <v>5.7313915536223599</v>
      </c>
      <c r="N23">
        <f>(AS23 - IF(AG23&gt;1, J23*AN23*100/(AI23), 0))*(AZ23+BA23)/1000</f>
        <v>1.3048621317149842</v>
      </c>
      <c r="O23">
        <f t="shared" si="3"/>
        <v>6.7511999921977428E-2</v>
      </c>
      <c r="P23">
        <f>IF(LEFT(AP23,1)&lt;&gt;"0",IF(LEFT(AP23,1)="1",3,AQ23),$D$5+$E$5*(BG23*AZ23/($K$5*1000))+$F$5*(BG23*AZ23/($K$5*1000))*MAX(MIN(AN23,$J$5),$I$5)*MAX(MIN(AN23,$J$5),$I$5)+$G$5*MAX(MIN(AN23,$J$5),$I$5)*(BG23*AZ23/($K$5*1000))+$H$5*(BG23*AZ23/($K$5*1000))*(BG23*AZ23/($K$5*1000)))</f>
        <v>2.3885430326676618</v>
      </c>
      <c r="Q23">
        <f>H23*(1000-(1000*0.61365*EXP(17.502*U23/(240.97+U23))/(AZ23+BA23)+AU23)/2)/(1000*0.61365*EXP(17.502*U23/(240.97+U23))/(AZ23+BA23)-AU23)</f>
        <v>6.6469541018039674E-2</v>
      </c>
      <c r="R23">
        <f t="shared" si="4"/>
        <v>4.1635783033842605E-2</v>
      </c>
      <c r="S23">
        <f t="shared" si="5"/>
        <v>0.12271867133606557</v>
      </c>
      <c r="T23">
        <f>(BB23+(S23+2*0.95*0.0000000567*(((BB23+$B$7)+273)^4-(BB23+273)^4)-44100*H23)/(1.84*29.3*P23+8*0.95*0.0000000567*(BB23+273)^3))</f>
        <v>24.771147856756464</v>
      </c>
      <c r="U23">
        <f>($C$7*BC23+$D$7*BD23+$E$7*T23)</f>
        <v>25.584037704918039</v>
      </c>
      <c r="V23">
        <f t="shared" si="6"/>
        <v>3.2920922650187339</v>
      </c>
      <c r="W23">
        <f t="shared" si="7"/>
        <v>-3.415140350218302</v>
      </c>
      <c r="X23">
        <f>AU23*(AZ23+BA23)/1000</f>
        <v>-0.11182284374165476</v>
      </c>
      <c r="Y23">
        <f t="shared" si="8"/>
        <v>3.2743264485310779</v>
      </c>
      <c r="Z23">
        <f>(V23-AU23*(AZ23+BA23)/1000)</f>
        <v>3.4039151087603887</v>
      </c>
      <c r="AA23">
        <f t="shared" si="9"/>
        <v>-101.33625643097339</v>
      </c>
      <c r="AB23">
        <f>2*29.3*P23*0.92*(BB23-U23)</f>
        <v>-11.734849927016484</v>
      </c>
      <c r="AC23">
        <f>2*0.95*0.0000000567*(((BB23+$B$7)+273)^4-(U23+273)^4)</f>
        <v>-1.0448564040347497</v>
      </c>
      <c r="AD23">
        <f t="shared" si="10"/>
        <v>-113.99324409068856</v>
      </c>
      <c r="AE23">
        <v>22</v>
      </c>
      <c r="AF23">
        <v>4</v>
      </c>
      <c r="AG23">
        <f t="shared" si="11"/>
        <v>1</v>
      </c>
      <c r="AH23">
        <f t="shared" si="12"/>
        <v>0</v>
      </c>
      <c r="AI23">
        <f t="shared" si="13"/>
        <v>25659.251313625686</v>
      </c>
      <c r="AJ23">
        <f t="shared" si="14"/>
        <v>0.64216991803278689</v>
      </c>
      <c r="AK23">
        <f t="shared" si="15"/>
        <v>0.51373593442622956</v>
      </c>
      <c r="AL23">
        <f t="shared" si="16"/>
        <v>0.8</v>
      </c>
      <c r="AM23">
        <f t="shared" si="17"/>
        <v>0.19109999999999999</v>
      </c>
      <c r="AN23">
        <v>3</v>
      </c>
      <c r="AO23">
        <v>0.5</v>
      </c>
      <c r="AP23" t="s">
        <v>317</v>
      </c>
      <c r="AQ23">
        <v>2</v>
      </c>
      <c r="AR23">
        <v>1775464398.1000011</v>
      </c>
      <c r="AS23">
        <v>13.04163049180328</v>
      </c>
      <c r="AT23">
        <v>11.9068868852459</v>
      </c>
      <c r="AU23">
        <v>-1.1176293442622951</v>
      </c>
      <c r="AV23">
        <v>-2.4967104426229509</v>
      </c>
      <c r="AW23">
        <v>4.5406304918032783</v>
      </c>
      <c r="AX23">
        <v>-1.288710442622951</v>
      </c>
      <c r="AY23">
        <v>500.42940983606559</v>
      </c>
      <c r="AZ23">
        <v>100.00891803278689</v>
      </c>
      <c r="BA23">
        <v>4.4685888524590163E-2</v>
      </c>
      <c r="BB23">
        <v>25.492908196721309</v>
      </c>
      <c r="BC23">
        <v>25.584037704918039</v>
      </c>
      <c r="BD23">
        <v>999.9</v>
      </c>
      <c r="BE23">
        <v>0</v>
      </c>
      <c r="BF23">
        <v>0</v>
      </c>
      <c r="BG23">
        <v>5000.8688524590161</v>
      </c>
      <c r="BH23">
        <v>0.64216991803278689</v>
      </c>
      <c r="BI23">
        <v>177.1429016393443</v>
      </c>
      <c r="BJ23">
        <v>1.1434991803278689</v>
      </c>
      <c r="BK23">
        <v>13.01784262295082</v>
      </c>
      <c r="BL23">
        <v>11.893603278688531</v>
      </c>
      <c r="BM23">
        <v>-1.381254049180328</v>
      </c>
      <c r="BN23">
        <v>11.9068868852459</v>
      </c>
      <c r="BO23">
        <v>-1.1176293442622951</v>
      </c>
      <c r="BP23">
        <v>-0.2499106393442623</v>
      </c>
      <c r="BQ23">
        <v>-0.1117729508196721</v>
      </c>
      <c r="BR23">
        <v>-99.899999999999963</v>
      </c>
      <c r="BS23">
        <v>-99.899999999999963</v>
      </c>
      <c r="BT23">
        <v>1775464437.5999999</v>
      </c>
      <c r="BU23" t="s">
        <v>344</v>
      </c>
      <c r="BV23">
        <v>1775464435.0999999</v>
      </c>
      <c r="BW23">
        <v>1775464437.5999999</v>
      </c>
      <c r="BX23">
        <v>8</v>
      </c>
      <c r="BY23">
        <v>-8.0000000000000002E-3</v>
      </c>
      <c r="BZ23">
        <v>3.0000000000000001E-3</v>
      </c>
      <c r="CA23">
        <v>8.5009999999999994</v>
      </c>
      <c r="CB23">
        <v>-1.208</v>
      </c>
      <c r="CC23">
        <v>13</v>
      </c>
      <c r="CD23">
        <v>-1</v>
      </c>
      <c r="CE23">
        <v>0.28999999999999998</v>
      </c>
      <c r="CF23">
        <v>0.06</v>
      </c>
      <c r="CG23">
        <v>11.9068868852459</v>
      </c>
      <c r="CH23">
        <v>3.1855088313061888</v>
      </c>
      <c r="CI23">
        <v>0.60182083725629854</v>
      </c>
      <c r="CJ23">
        <v>-1</v>
      </c>
      <c r="CK23">
        <v>500.42940983606559</v>
      </c>
      <c r="CL23">
        <v>-4.4217366472768669</v>
      </c>
      <c r="CM23">
        <v>1.1317064784412429</v>
      </c>
      <c r="CN23">
        <v>-1</v>
      </c>
      <c r="CO23">
        <v>0</v>
      </c>
      <c r="CP23">
        <v>0</v>
      </c>
      <c r="CQ23" t="s">
        <v>319</v>
      </c>
      <c r="CR23">
        <v>3.1674600000000002</v>
      </c>
      <c r="CS23">
        <v>2.6653799999999999</v>
      </c>
      <c r="CT23">
        <v>1.55835E-3</v>
      </c>
      <c r="CU23">
        <v>4.5951400000000002E-3</v>
      </c>
      <c r="CV23">
        <v>-1.1838400000000001E-2</v>
      </c>
      <c r="CW23">
        <v>-9.7245000000000005E-3</v>
      </c>
      <c r="CX23">
        <v>21548.400000000001</v>
      </c>
      <c r="CY23">
        <v>21843.200000000001</v>
      </c>
      <c r="CZ23">
        <v>23111</v>
      </c>
      <c r="DA23">
        <v>22297.3</v>
      </c>
      <c r="DB23">
        <v>30156.7</v>
      </c>
      <c r="DC23">
        <v>26857</v>
      </c>
      <c r="DD23">
        <v>40621.1</v>
      </c>
      <c r="DE23">
        <v>36960.9</v>
      </c>
      <c r="DF23">
        <v>2.0665399999999998</v>
      </c>
      <c r="DG23">
        <v>1.7824199999999999</v>
      </c>
      <c r="DH23">
        <v>-2.7787699999999999E-2</v>
      </c>
      <c r="DI23">
        <v>0</v>
      </c>
      <c r="DJ23">
        <v>26.0318</v>
      </c>
      <c r="DK23">
        <v>999.9</v>
      </c>
      <c r="DL23">
        <v>74.5</v>
      </c>
      <c r="DM23">
        <v>31.5</v>
      </c>
      <c r="DN23">
        <v>34.577500000000001</v>
      </c>
      <c r="DO23">
        <v>30.71</v>
      </c>
      <c r="DP23">
        <v>10.4527</v>
      </c>
      <c r="DQ23">
        <v>1</v>
      </c>
      <c r="DR23">
        <v>0.22923399999999999</v>
      </c>
      <c r="DS23">
        <v>1.1413199999999999</v>
      </c>
      <c r="DT23">
        <v>20.363700000000001</v>
      </c>
      <c r="DU23">
        <v>5.2088999999999999</v>
      </c>
      <c r="DV23">
        <v>11.850899999999999</v>
      </c>
      <c r="DW23">
        <v>4.9672400000000003</v>
      </c>
      <c r="DX23">
        <v>3.2921399999999998</v>
      </c>
      <c r="DY23">
        <v>894.7</v>
      </c>
      <c r="DZ23">
        <v>0</v>
      </c>
      <c r="EA23">
        <v>137.19999999999999</v>
      </c>
      <c r="EB23">
        <v>106.8</v>
      </c>
      <c r="EC23">
        <v>4.9716300000000002</v>
      </c>
      <c r="ED23">
        <v>1.8717999999999999</v>
      </c>
      <c r="EE23">
        <v>1.8690199999999999</v>
      </c>
      <c r="EF23">
        <v>1.8714200000000001</v>
      </c>
      <c r="EG23">
        <v>1.8692</v>
      </c>
      <c r="EH23">
        <v>1.8681099999999999</v>
      </c>
      <c r="EI23">
        <v>1.8699399999999999</v>
      </c>
      <c r="EJ23">
        <v>1.87171</v>
      </c>
      <c r="EK23">
        <v>0</v>
      </c>
      <c r="EL23">
        <v>0</v>
      </c>
      <c r="EM23">
        <v>0</v>
      </c>
      <c r="EN23">
        <v>0</v>
      </c>
      <c r="EO23" t="s">
        <v>320</v>
      </c>
      <c r="EP23" t="s">
        <v>321</v>
      </c>
      <c r="EQ23" t="s">
        <v>322</v>
      </c>
      <c r="ER23" t="s">
        <v>322</v>
      </c>
      <c r="ES23" t="s">
        <v>322</v>
      </c>
      <c r="ET23" t="s">
        <v>322</v>
      </c>
      <c r="EU23">
        <v>0</v>
      </c>
      <c r="EV23">
        <v>100</v>
      </c>
      <c r="EW23">
        <v>100</v>
      </c>
      <c r="EX23">
        <v>8.5009999999999994</v>
      </c>
      <c r="EY23">
        <v>-1.208</v>
      </c>
      <c r="EZ23">
        <v>8.5097605000000023</v>
      </c>
      <c r="FA23">
        <v>0</v>
      </c>
      <c r="FB23">
        <v>0</v>
      </c>
      <c r="FC23">
        <v>0</v>
      </c>
      <c r="FD23">
        <v>-1.2101738150000001</v>
      </c>
      <c r="FE23">
        <v>0</v>
      </c>
      <c r="FF23">
        <v>0</v>
      </c>
      <c r="FG23">
        <v>0</v>
      </c>
      <c r="FH23">
        <v>-1</v>
      </c>
      <c r="FI23">
        <v>-1</v>
      </c>
      <c r="FJ23">
        <v>-1</v>
      </c>
      <c r="FK23">
        <v>-1</v>
      </c>
      <c r="FL23">
        <v>0.6</v>
      </c>
      <c r="FM23">
        <v>0.6</v>
      </c>
      <c r="FN23">
        <v>0.142822</v>
      </c>
      <c r="FO23">
        <v>4.99756</v>
      </c>
      <c r="FP23">
        <v>1.5979000000000001</v>
      </c>
      <c r="FQ23">
        <v>2.1594199999999999</v>
      </c>
      <c r="FR23">
        <v>1.5478499999999999</v>
      </c>
      <c r="FS23">
        <v>2.3718300000000001</v>
      </c>
      <c r="FT23">
        <v>34.281399999999998</v>
      </c>
      <c r="FU23">
        <v>16.014600000000002</v>
      </c>
      <c r="FV23">
        <v>2</v>
      </c>
      <c r="FW23">
        <v>487.21</v>
      </c>
      <c r="FX23">
        <v>396.67399999999998</v>
      </c>
      <c r="FY23">
        <v>25.2775</v>
      </c>
      <c r="FZ23">
        <v>30.086300000000001</v>
      </c>
      <c r="GA23">
        <v>29.9999</v>
      </c>
      <c r="GB23">
        <v>30.3002</v>
      </c>
      <c r="GC23">
        <v>30.3306</v>
      </c>
      <c r="GD23">
        <v>-1</v>
      </c>
      <c r="GE23">
        <v>0</v>
      </c>
      <c r="GF23">
        <v>100</v>
      </c>
      <c r="GG23">
        <v>25.288499999999999</v>
      </c>
      <c r="GH23">
        <v>432.1</v>
      </c>
      <c r="GI23">
        <v>78.840199999999996</v>
      </c>
      <c r="GJ23">
        <v>102.246</v>
      </c>
      <c r="GK23">
        <v>96.436400000000006</v>
      </c>
    </row>
    <row r="24" spans="1:193" x14ac:dyDescent="0.35">
      <c r="A24">
        <v>8</v>
      </c>
      <c r="B24">
        <v>1775464473.5999999</v>
      </c>
      <c r="C24">
        <v>517.5</v>
      </c>
      <c r="D24" t="s">
        <v>345</v>
      </c>
      <c r="E24" t="s">
        <v>346</v>
      </c>
      <c r="F24">
        <v>30</v>
      </c>
      <c r="G24">
        <v>1775464458.1000011</v>
      </c>
      <c r="H24">
        <f t="shared" si="0"/>
        <v>2.1970769734600453E-3</v>
      </c>
      <c r="I24">
        <f>1000*AY24*AG24*(AU24-AV24)/(100*AN24*(1000-AG24*AU24))</f>
        <v>2.1970769734600455</v>
      </c>
      <c r="J24">
        <f>AY24*AG24*(AT24-AS24*(1000-AG24*AV24)/(1000-AG24*AU24))/(100*AN24)</f>
        <v>-1.7949468147185277</v>
      </c>
      <c r="K24">
        <f t="shared" si="1"/>
        <v>14.78775114754098</v>
      </c>
      <c r="L24">
        <f t="shared" si="2"/>
        <v>57.939616730972851</v>
      </c>
      <c r="M24">
        <f>L24*(AZ24+BA24)/1000</f>
        <v>5.7971567840364004</v>
      </c>
      <c r="N24">
        <f>(AS24 - IF(AG24&gt;1, J24*AN24*100/(AI24), 0))*(AZ24+BA24)/1000</f>
        <v>1.479590593145607</v>
      </c>
      <c r="O24">
        <f t="shared" si="3"/>
        <v>6.4406456887495037E-2</v>
      </c>
      <c r="P24">
        <f>IF(LEFT(AP24,1)&lt;&gt;"0",IF(LEFT(AP24,1)="1",3,AQ24),$D$5+$E$5*(BG24*AZ24/($K$5*1000))+$F$5*(BG24*AZ24/($K$5*1000))*MAX(MIN(AN24,$J$5),$I$5)*MAX(MIN(AN24,$J$5),$I$5)+$G$5*MAX(MIN(AN24,$J$5),$I$5)*(BG24*AZ24/($K$5*1000))+$H$5*(BG24*AZ24/($K$5*1000))*(BG24*AZ24/($K$5*1000)))</f>
        <v>2.3877682351427185</v>
      </c>
      <c r="Q24">
        <f>H24*(1000-(1000*0.61365*EXP(17.502*U24/(240.97+U24))/(AZ24+BA24)+AU24)/2)/(1000*0.61365*EXP(17.502*U24/(240.97+U24))/(AZ24+BA24)-AU24)</f>
        <v>6.3456667710999212E-2</v>
      </c>
      <c r="R24">
        <f t="shared" si="4"/>
        <v>3.974458528912133E-2</v>
      </c>
      <c r="S24">
        <f t="shared" si="5"/>
        <v>0.12125143686393441</v>
      </c>
      <c r="T24">
        <f>(BB24+(S24+2*0.95*0.0000000567*(((BB24+$B$7)+273)^4-(BB24+273)^4)-44100*H24)/(1.84*29.3*P24+8*0.95*0.0000000567*(BB24+273)^3))</f>
        <v>24.802756820756109</v>
      </c>
      <c r="U24">
        <f>($C$7*BC24+$D$7*BD24+$E$7*T24)</f>
        <v>25.582693442622951</v>
      </c>
      <c r="V24">
        <f t="shared" si="6"/>
        <v>3.2918295886491706</v>
      </c>
      <c r="W24">
        <f t="shared" si="7"/>
        <v>-3.5870468570386693</v>
      </c>
      <c r="X24">
        <f>AU24*(AZ24+BA24)/1000</f>
        <v>-0.11745250460134328</v>
      </c>
      <c r="Y24">
        <f t="shared" si="8"/>
        <v>3.2743509990919839</v>
      </c>
      <c r="Z24">
        <f>(V24-AU24*(AZ24+BA24)/1000)</f>
        <v>3.4092820932505141</v>
      </c>
      <c r="AA24">
        <f t="shared" si="9"/>
        <v>-96.891094529588003</v>
      </c>
      <c r="AB24">
        <f>2*29.3*P24*0.92*(BB24-U24)</f>
        <v>-11.541747896555693</v>
      </c>
      <c r="AC24">
        <f>2*0.95*0.0000000567*(((BB24+$B$7)+273)^4-(U24+273)^4)</f>
        <v>-1.0279900102472361</v>
      </c>
      <c r="AD24">
        <f t="shared" si="10"/>
        <v>-109.339580999527</v>
      </c>
      <c r="AE24">
        <v>22</v>
      </c>
      <c r="AF24">
        <v>4</v>
      </c>
      <c r="AG24">
        <f t="shared" si="11"/>
        <v>1</v>
      </c>
      <c r="AH24">
        <f t="shared" si="12"/>
        <v>0</v>
      </c>
      <c r="AI24">
        <f t="shared" si="13"/>
        <v>25647.327696563851</v>
      </c>
      <c r="AJ24">
        <f t="shared" si="14"/>
        <v>0.63449208196721307</v>
      </c>
      <c r="AK24">
        <f t="shared" si="15"/>
        <v>0.5075936655737705</v>
      </c>
      <c r="AL24">
        <f t="shared" si="16"/>
        <v>0.8</v>
      </c>
      <c r="AM24">
        <f t="shared" si="17"/>
        <v>0.19109999999999999</v>
      </c>
      <c r="AN24">
        <v>3</v>
      </c>
      <c r="AO24">
        <v>0.5</v>
      </c>
      <c r="AP24" t="s">
        <v>317</v>
      </c>
      <c r="AQ24">
        <v>2</v>
      </c>
      <c r="AR24">
        <v>1775464458.1000011</v>
      </c>
      <c r="AS24">
        <v>14.78775114754098</v>
      </c>
      <c r="AT24">
        <v>13.730783606557379</v>
      </c>
      <c r="AU24">
        <v>-1.1738777049180329</v>
      </c>
      <c r="AV24">
        <v>-2.4930390163934431</v>
      </c>
      <c r="AW24">
        <v>6.3647511475409839</v>
      </c>
      <c r="AX24">
        <v>-1.2910390163934431</v>
      </c>
      <c r="AY24">
        <v>500.23967213114747</v>
      </c>
      <c r="AZ24">
        <v>100.01062295081969</v>
      </c>
      <c r="BA24">
        <v>4.4522580327868849E-2</v>
      </c>
      <c r="BB24">
        <v>25.49303442622951</v>
      </c>
      <c r="BC24">
        <v>25.582693442622951</v>
      </c>
      <c r="BD24">
        <v>999.9</v>
      </c>
      <c r="BE24">
        <v>0</v>
      </c>
      <c r="BF24">
        <v>0</v>
      </c>
      <c r="BG24">
        <v>4998.7868852459014</v>
      </c>
      <c r="BH24">
        <v>0.63449208196721307</v>
      </c>
      <c r="BI24">
        <v>177.9242295081967</v>
      </c>
      <c r="BJ24">
        <v>1.1352568688524589</v>
      </c>
      <c r="BK24">
        <v>14.82899180327869</v>
      </c>
      <c r="BL24">
        <v>13.714683606557379</v>
      </c>
      <c r="BM24">
        <v>-1.3246826229508191</v>
      </c>
      <c r="BN24">
        <v>13.730783606557379</v>
      </c>
      <c r="BO24">
        <v>-1.1738777049180329</v>
      </c>
      <c r="BP24">
        <v>-0.24988260655737701</v>
      </c>
      <c r="BQ24">
        <v>-0.1174002950819672</v>
      </c>
      <c r="BR24">
        <v>-99.899999999999963</v>
      </c>
      <c r="BS24">
        <v>-99.899999999999963</v>
      </c>
      <c r="BT24">
        <v>1775464505.5999999</v>
      </c>
      <c r="BU24" t="s">
        <v>347</v>
      </c>
      <c r="BV24">
        <v>1775464489.0999999</v>
      </c>
      <c r="BW24">
        <v>1775464505.5999999</v>
      </c>
      <c r="BX24">
        <v>9</v>
      </c>
      <c r="BY24">
        <v>-7.8E-2</v>
      </c>
      <c r="BZ24">
        <v>6.0000000000000001E-3</v>
      </c>
      <c r="CA24">
        <v>8.423</v>
      </c>
      <c r="CB24">
        <v>-1.202</v>
      </c>
      <c r="CC24">
        <v>12</v>
      </c>
      <c r="CD24">
        <v>-1</v>
      </c>
      <c r="CE24">
        <v>0.49</v>
      </c>
      <c r="CF24">
        <v>0.06</v>
      </c>
      <c r="CG24">
        <v>13.730783606557379</v>
      </c>
      <c r="CH24">
        <v>2.806256160761516</v>
      </c>
      <c r="CI24">
        <v>0.47524845311717889</v>
      </c>
      <c r="CJ24">
        <v>-1</v>
      </c>
      <c r="CK24">
        <v>500.23967213114747</v>
      </c>
      <c r="CL24">
        <v>-2.750252776308312</v>
      </c>
      <c r="CM24">
        <v>0.84138072942412845</v>
      </c>
      <c r="CN24">
        <v>-1</v>
      </c>
      <c r="CO24">
        <v>0</v>
      </c>
      <c r="CP24">
        <v>0</v>
      </c>
      <c r="CQ24" t="s">
        <v>319</v>
      </c>
      <c r="CR24">
        <v>3.1675599999999999</v>
      </c>
      <c r="CS24">
        <v>2.6655000000000002</v>
      </c>
      <c r="CT24">
        <v>2.07332E-3</v>
      </c>
      <c r="CU24">
        <v>4.5112199999999998E-3</v>
      </c>
      <c r="CV24">
        <v>-1.1517700000000001E-2</v>
      </c>
      <c r="CW24">
        <v>-1.0560399999999999E-2</v>
      </c>
      <c r="CX24">
        <v>21537.3</v>
      </c>
      <c r="CY24">
        <v>21845.5</v>
      </c>
      <c r="CZ24">
        <v>23111</v>
      </c>
      <c r="DA24">
        <v>22297.7</v>
      </c>
      <c r="DB24">
        <v>30147.200000000001</v>
      </c>
      <c r="DC24">
        <v>26879.599999999999</v>
      </c>
      <c r="DD24">
        <v>40621.1</v>
      </c>
      <c r="DE24">
        <v>36961.599999999999</v>
      </c>
      <c r="DF24">
        <v>2.0673400000000002</v>
      </c>
      <c r="DG24">
        <v>1.78244</v>
      </c>
      <c r="DH24">
        <v>-2.5698499999999999E-2</v>
      </c>
      <c r="DI24">
        <v>0</v>
      </c>
      <c r="DJ24">
        <v>25.9999</v>
      </c>
      <c r="DK24">
        <v>999.9</v>
      </c>
      <c r="DL24">
        <v>74.599999999999994</v>
      </c>
      <c r="DM24">
        <v>31.4</v>
      </c>
      <c r="DN24">
        <v>34.425600000000003</v>
      </c>
      <c r="DO24">
        <v>30.65</v>
      </c>
      <c r="DP24">
        <v>10.4407</v>
      </c>
      <c r="DQ24">
        <v>1</v>
      </c>
      <c r="DR24">
        <v>0.22813600000000001</v>
      </c>
      <c r="DS24">
        <v>1.07108</v>
      </c>
      <c r="DT24">
        <v>20.364100000000001</v>
      </c>
      <c r="DU24">
        <v>5.2096200000000001</v>
      </c>
      <c r="DV24">
        <v>11.851699999999999</v>
      </c>
      <c r="DW24">
        <v>4.9674399999999999</v>
      </c>
      <c r="DX24">
        <v>3.2923</v>
      </c>
      <c r="DY24">
        <v>894.7</v>
      </c>
      <c r="DZ24">
        <v>0</v>
      </c>
      <c r="EA24">
        <v>171.3</v>
      </c>
      <c r="EB24">
        <v>106.8</v>
      </c>
      <c r="EC24">
        <v>4.9716399999999998</v>
      </c>
      <c r="ED24">
        <v>1.8717999999999999</v>
      </c>
      <c r="EE24">
        <v>1.8690500000000001</v>
      </c>
      <c r="EF24">
        <v>1.8714200000000001</v>
      </c>
      <c r="EG24">
        <v>1.8692</v>
      </c>
      <c r="EH24">
        <v>1.8681300000000001</v>
      </c>
      <c r="EI24">
        <v>1.86995</v>
      </c>
      <c r="EJ24">
        <v>1.8717600000000001</v>
      </c>
      <c r="EK24">
        <v>0</v>
      </c>
      <c r="EL24">
        <v>0</v>
      </c>
      <c r="EM24">
        <v>0</v>
      </c>
      <c r="EN24">
        <v>0</v>
      </c>
      <c r="EO24" t="s">
        <v>320</v>
      </c>
      <c r="EP24" t="s">
        <v>321</v>
      </c>
      <c r="EQ24" t="s">
        <v>322</v>
      </c>
      <c r="ER24" t="s">
        <v>322</v>
      </c>
      <c r="ES24" t="s">
        <v>322</v>
      </c>
      <c r="ET24" t="s">
        <v>322</v>
      </c>
      <c r="EU24">
        <v>0</v>
      </c>
      <c r="EV24">
        <v>100</v>
      </c>
      <c r="EW24">
        <v>100</v>
      </c>
      <c r="EX24">
        <v>8.423</v>
      </c>
      <c r="EY24">
        <v>-1.202</v>
      </c>
      <c r="EZ24">
        <v>8.5012928571428574</v>
      </c>
      <c r="FA24">
        <v>0</v>
      </c>
      <c r="FB24">
        <v>0</v>
      </c>
      <c r="FC24">
        <v>0</v>
      </c>
      <c r="FD24">
        <v>-1.2075215850000001</v>
      </c>
      <c r="FE24">
        <v>0</v>
      </c>
      <c r="FF24">
        <v>0</v>
      </c>
      <c r="FG24">
        <v>0</v>
      </c>
      <c r="FH24">
        <v>-1</v>
      </c>
      <c r="FI24">
        <v>-1</v>
      </c>
      <c r="FJ24">
        <v>-1</v>
      </c>
      <c r="FK24">
        <v>-1</v>
      </c>
      <c r="FL24">
        <v>0.6</v>
      </c>
      <c r="FM24">
        <v>0.6</v>
      </c>
      <c r="FN24">
        <v>0.142822</v>
      </c>
      <c r="FO24">
        <v>4.99756</v>
      </c>
      <c r="FP24">
        <v>1.5979000000000001</v>
      </c>
      <c r="FQ24">
        <v>2.1581999999999999</v>
      </c>
      <c r="FR24">
        <v>1.5478499999999999</v>
      </c>
      <c r="FS24">
        <v>2.4523899999999998</v>
      </c>
      <c r="FT24">
        <v>34.349699999999999</v>
      </c>
      <c r="FU24">
        <v>16.014600000000002</v>
      </c>
      <c r="FV24">
        <v>2</v>
      </c>
      <c r="FW24">
        <v>487.75599999999997</v>
      </c>
      <c r="FX24">
        <v>396.80599999999998</v>
      </c>
      <c r="FY24">
        <v>25.3414</v>
      </c>
      <c r="FZ24">
        <v>30.068100000000001</v>
      </c>
      <c r="GA24">
        <v>30</v>
      </c>
      <c r="GB24">
        <v>30.312100000000001</v>
      </c>
      <c r="GC24">
        <v>30.349599999999999</v>
      </c>
      <c r="GD24">
        <v>-1</v>
      </c>
      <c r="GE24">
        <v>0</v>
      </c>
      <c r="GF24">
        <v>100</v>
      </c>
      <c r="GG24">
        <v>25.347899999999999</v>
      </c>
      <c r="GH24">
        <v>432.1</v>
      </c>
      <c r="GI24">
        <v>78.840199999999996</v>
      </c>
      <c r="GJ24">
        <v>102.246</v>
      </c>
      <c r="GK24">
        <v>96.438199999999995</v>
      </c>
    </row>
    <row r="25" spans="1:193" x14ac:dyDescent="0.35">
      <c r="A25">
        <v>9</v>
      </c>
      <c r="B25">
        <v>1775464533.5999999</v>
      </c>
      <c r="C25">
        <v>577.5</v>
      </c>
      <c r="D25" t="s">
        <v>348</v>
      </c>
      <c r="E25" t="s">
        <v>349</v>
      </c>
      <c r="F25">
        <v>30</v>
      </c>
      <c r="G25">
        <v>1775464519.6000011</v>
      </c>
      <c r="H25">
        <f t="shared" si="0"/>
        <v>1.8968920756181047E-3</v>
      </c>
      <c r="I25">
        <f>1000*AY25*AG25*(AU25-AV25)/(100*AN25*(1000-AG25*AU25))</f>
        <v>1.8968920756181047</v>
      </c>
      <c r="J25">
        <f>AY25*AG25*(AT25-AS25*(1000-AG25*AV25)/(1000-AG25*AU25))/(100*AN25)</f>
        <v>-1.2709668949631043</v>
      </c>
      <c r="K25">
        <f t="shared" si="1"/>
        <v>14.697659636363641</v>
      </c>
      <c r="L25">
        <f t="shared" si="2"/>
        <v>49.973049862690985</v>
      </c>
      <c r="M25">
        <f>L25*(AZ25+BA25)/1000</f>
        <v>5.0001669753626476</v>
      </c>
      <c r="N25">
        <f>(AS25 - IF(AG25&gt;1, J25*AN25*100/(AI25), 0))*(AZ25+BA25)/1000</f>
        <v>1.4706077081705788</v>
      </c>
      <c r="O25">
        <f t="shared" si="3"/>
        <v>5.5471576642226253E-2</v>
      </c>
      <c r="P25">
        <f>IF(LEFT(AP25,1)&lt;&gt;"0",IF(LEFT(AP25,1)="1",3,AQ25),$D$5+$E$5*(BG25*AZ25/($K$5*1000))+$F$5*(BG25*AZ25/($K$5*1000))*MAX(MIN(AN25,$J$5),$I$5)*MAX(MIN(AN25,$J$5),$I$5)+$G$5*MAX(MIN(AN25,$J$5),$I$5)*(BG25*AZ25/($K$5*1000))+$H$5*(BG25*AZ25/($K$5*1000))*(BG25*AZ25/($K$5*1000)))</f>
        <v>2.3873798701328628</v>
      </c>
      <c r="Q25">
        <f>H25*(1000-(1000*0.61365*EXP(17.502*U25/(240.97+U25))/(AZ25+BA25)+AU25)/2)/(1000*0.61365*EXP(17.502*U25/(240.97+U25))/(AZ25+BA25)-AU25)</f>
        <v>5.4765359445508886E-2</v>
      </c>
      <c r="R25">
        <f t="shared" si="4"/>
        <v>3.4291051325454465E-2</v>
      </c>
      <c r="S25">
        <f t="shared" si="5"/>
        <v>0.11907723828000001</v>
      </c>
      <c r="T25">
        <f>(BB25+(S25+2*0.95*0.0000000567*(((BB25+$B$7)+273)^4-(BB25+273)^4)-44100*H25)/(1.84*29.3*P25+8*0.95*0.0000000567*(BB25+273)^3))</f>
        <v>24.901472104007432</v>
      </c>
      <c r="U25">
        <f>($C$7*BC25+$D$7*BD25+$E$7*T25)</f>
        <v>25.58964363636364</v>
      </c>
      <c r="V25">
        <f t="shared" si="6"/>
        <v>3.2931878927883043</v>
      </c>
      <c r="W25">
        <f t="shared" si="7"/>
        <v>-3.5866130705148223</v>
      </c>
      <c r="X25">
        <f>AU25*(AZ25+BA25)/1000</f>
        <v>-0.11746890942942177</v>
      </c>
      <c r="Y25">
        <f t="shared" si="8"/>
        <v>3.2752044092829982</v>
      </c>
      <c r="Z25">
        <f>(V25-AU25*(AZ25+BA25)/1000)</f>
        <v>3.4106568022177259</v>
      </c>
      <c r="AA25">
        <f t="shared" si="9"/>
        <v>-83.652940534758415</v>
      </c>
      <c r="AB25">
        <f>2*29.3*P25*0.92*(BB25-U25)</f>
        <v>-11.869724835890093</v>
      </c>
      <c r="AC25">
        <f>2*0.95*0.0000000567*(((BB25+$B$7)+273)^4-(U25+273)^4)</f>
        <v>-1.0574341808623064</v>
      </c>
      <c r="AD25">
        <f t="shared" si="10"/>
        <v>-96.461022313230814</v>
      </c>
      <c r="AE25">
        <v>22</v>
      </c>
      <c r="AF25">
        <v>4</v>
      </c>
      <c r="AG25">
        <f t="shared" si="11"/>
        <v>1</v>
      </c>
      <c r="AH25">
        <f t="shared" si="12"/>
        <v>0</v>
      </c>
      <c r="AI25">
        <f t="shared" si="13"/>
        <v>25641.003251604252</v>
      </c>
      <c r="AJ25">
        <f t="shared" si="14"/>
        <v>0.62311480000000008</v>
      </c>
      <c r="AK25">
        <f t="shared" si="15"/>
        <v>0.49849184000000007</v>
      </c>
      <c r="AL25">
        <f t="shared" si="16"/>
        <v>0.8</v>
      </c>
      <c r="AM25">
        <f t="shared" si="17"/>
        <v>0.19109999999999999</v>
      </c>
      <c r="AN25">
        <v>3</v>
      </c>
      <c r="AO25">
        <v>0.5</v>
      </c>
      <c r="AP25" t="s">
        <v>317</v>
      </c>
      <c r="AQ25">
        <v>2</v>
      </c>
      <c r="AR25">
        <v>1775464519.6000011</v>
      </c>
      <c r="AS25">
        <v>14.697659636363641</v>
      </c>
      <c r="AT25">
        <v>13.95293818181819</v>
      </c>
      <c r="AU25">
        <v>-1.1740167272727271</v>
      </c>
      <c r="AV25">
        <v>-2.3117606534545461</v>
      </c>
      <c r="AW25">
        <v>6.2516596363636356</v>
      </c>
      <c r="AX25">
        <v>-1.108760653454546</v>
      </c>
      <c r="AY25">
        <v>500.75918181818179</v>
      </c>
      <c r="AZ25">
        <v>100.0108909090909</v>
      </c>
      <c r="BA25">
        <v>4.6379741818181823E-2</v>
      </c>
      <c r="BB25">
        <v>25.49742181818182</v>
      </c>
      <c r="BC25">
        <v>25.58964363636364</v>
      </c>
      <c r="BD25">
        <v>999.90000000000009</v>
      </c>
      <c r="BE25">
        <v>0</v>
      </c>
      <c r="BF25">
        <v>0</v>
      </c>
      <c r="BG25">
        <v>4997.772727272727</v>
      </c>
      <c r="BH25">
        <v>0.62311480000000008</v>
      </c>
      <c r="BI25">
        <v>178.6959272727272</v>
      </c>
      <c r="BJ25">
        <v>0.72158578034545462</v>
      </c>
      <c r="BK25">
        <v>14.64044181818182</v>
      </c>
      <c r="BL25">
        <v>13.936578181818181</v>
      </c>
      <c r="BM25">
        <v>-1.136367596090909</v>
      </c>
      <c r="BN25">
        <v>13.95293818181819</v>
      </c>
      <c r="BO25">
        <v>-1.1740167272727271</v>
      </c>
      <c r="BP25">
        <v>-0.23106392727272729</v>
      </c>
      <c r="BQ25">
        <v>-0.11741441818181821</v>
      </c>
      <c r="BR25">
        <v>-99.899999999999949</v>
      </c>
      <c r="BS25">
        <v>-99.899999999999949</v>
      </c>
      <c r="BT25">
        <v>1775464554.5999999</v>
      </c>
      <c r="BU25" t="s">
        <v>350</v>
      </c>
      <c r="BV25">
        <v>1775464551.5999999</v>
      </c>
      <c r="BW25">
        <v>1775464554.5999999</v>
      </c>
      <c r="BX25">
        <v>10</v>
      </c>
      <c r="BY25">
        <v>2.3E-2</v>
      </c>
      <c r="BZ25">
        <v>-2E-3</v>
      </c>
      <c r="CA25">
        <v>8.4459999999999997</v>
      </c>
      <c r="CB25">
        <v>-1.2030000000000001</v>
      </c>
      <c r="CC25">
        <v>14</v>
      </c>
      <c r="CD25">
        <v>-1</v>
      </c>
      <c r="CE25">
        <v>0.24</v>
      </c>
      <c r="CF25">
        <v>0.04</v>
      </c>
      <c r="CG25">
        <v>13.853521666666669</v>
      </c>
      <c r="CH25">
        <v>4.8694236176715933</v>
      </c>
      <c r="CI25">
        <v>1.3513014403519381</v>
      </c>
      <c r="CJ25">
        <v>-1</v>
      </c>
      <c r="CK25">
        <v>500.69069999999999</v>
      </c>
      <c r="CL25">
        <v>-4.3319766601830914</v>
      </c>
      <c r="CM25">
        <v>1.3703416885336761</v>
      </c>
      <c r="CN25">
        <v>-1</v>
      </c>
      <c r="CO25">
        <v>0</v>
      </c>
      <c r="CP25">
        <v>0</v>
      </c>
      <c r="CQ25" t="s">
        <v>319</v>
      </c>
      <c r="CR25">
        <v>3.1674899999999999</v>
      </c>
      <c r="CS25">
        <v>2.6659199999999998</v>
      </c>
      <c r="CT25">
        <v>2.1191399999999998E-3</v>
      </c>
      <c r="CU25">
        <v>3.9796399999999996E-3</v>
      </c>
      <c r="CV25">
        <v>-1.15841E-2</v>
      </c>
      <c r="CW25">
        <v>-1.01317E-2</v>
      </c>
      <c r="CX25">
        <v>21536</v>
      </c>
      <c r="CY25">
        <v>21857.3</v>
      </c>
      <c r="CZ25">
        <v>23110.5</v>
      </c>
      <c r="DA25">
        <v>22297.8</v>
      </c>
      <c r="DB25">
        <v>30148.6</v>
      </c>
      <c r="DC25">
        <v>26868.6</v>
      </c>
      <c r="DD25">
        <v>40620.199999999997</v>
      </c>
      <c r="DE25">
        <v>36962</v>
      </c>
      <c r="DF25">
        <v>2.0670600000000001</v>
      </c>
      <c r="DG25">
        <v>1.7823800000000001</v>
      </c>
      <c r="DH25">
        <v>-2.44856E-2</v>
      </c>
      <c r="DI25">
        <v>0</v>
      </c>
      <c r="DJ25">
        <v>25.9773</v>
      </c>
      <c r="DK25">
        <v>999.9</v>
      </c>
      <c r="DL25">
        <v>74.7</v>
      </c>
      <c r="DM25">
        <v>31.4</v>
      </c>
      <c r="DN25">
        <v>34.474299999999999</v>
      </c>
      <c r="DO25">
        <v>30.71</v>
      </c>
      <c r="DP25">
        <v>10.6571</v>
      </c>
      <c r="DQ25">
        <v>1</v>
      </c>
      <c r="DR25">
        <v>0.22687399999999999</v>
      </c>
      <c r="DS25">
        <v>1.07904</v>
      </c>
      <c r="DT25">
        <v>20.3644</v>
      </c>
      <c r="DU25">
        <v>5.2117800000000001</v>
      </c>
      <c r="DV25">
        <v>11.851900000000001</v>
      </c>
      <c r="DW25">
        <v>4.9678000000000004</v>
      </c>
      <c r="DX25">
        <v>3.2928600000000001</v>
      </c>
      <c r="DY25">
        <v>894.7</v>
      </c>
      <c r="DZ25">
        <v>0</v>
      </c>
      <c r="EA25">
        <v>198.1</v>
      </c>
      <c r="EB25">
        <v>106.8</v>
      </c>
      <c r="EC25">
        <v>4.9716300000000002</v>
      </c>
      <c r="ED25">
        <v>1.8717999999999999</v>
      </c>
      <c r="EE25">
        <v>1.86904</v>
      </c>
      <c r="EF25">
        <v>1.87141</v>
      </c>
      <c r="EG25">
        <v>1.8692</v>
      </c>
      <c r="EH25">
        <v>1.8681300000000001</v>
      </c>
      <c r="EI25">
        <v>1.86995</v>
      </c>
      <c r="EJ25">
        <v>1.87178</v>
      </c>
      <c r="EK25">
        <v>0</v>
      </c>
      <c r="EL25">
        <v>0</v>
      </c>
      <c r="EM25">
        <v>0</v>
      </c>
      <c r="EN25">
        <v>0</v>
      </c>
      <c r="EO25" t="s">
        <v>320</v>
      </c>
      <c r="EP25" t="s">
        <v>321</v>
      </c>
      <c r="EQ25" t="s">
        <v>322</v>
      </c>
      <c r="ER25" t="s">
        <v>322</v>
      </c>
      <c r="ES25" t="s">
        <v>322</v>
      </c>
      <c r="ET25" t="s">
        <v>322</v>
      </c>
      <c r="EU25">
        <v>0</v>
      </c>
      <c r="EV25">
        <v>100</v>
      </c>
      <c r="EW25">
        <v>100</v>
      </c>
      <c r="EX25">
        <v>8.4459999999999997</v>
      </c>
      <c r="EY25">
        <v>-1.2030000000000001</v>
      </c>
      <c r="EZ25">
        <v>8.4228680952380959</v>
      </c>
      <c r="FA25">
        <v>0</v>
      </c>
      <c r="FB25">
        <v>0</v>
      </c>
      <c r="FC25">
        <v>0</v>
      </c>
      <c r="FD25">
        <v>-1.2016242583500001</v>
      </c>
      <c r="FE25">
        <v>0</v>
      </c>
      <c r="FF25">
        <v>0</v>
      </c>
      <c r="FG25">
        <v>0</v>
      </c>
      <c r="FH25">
        <v>-1</v>
      </c>
      <c r="FI25">
        <v>-1</v>
      </c>
      <c r="FJ25">
        <v>-1</v>
      </c>
      <c r="FK25">
        <v>-1</v>
      </c>
      <c r="FL25">
        <v>0.7</v>
      </c>
      <c r="FM25">
        <v>0.5</v>
      </c>
      <c r="FN25">
        <v>0.142822</v>
      </c>
      <c r="FO25">
        <v>4.99756</v>
      </c>
      <c r="FP25">
        <v>1.5979000000000001</v>
      </c>
      <c r="FQ25">
        <v>2.1569799999999999</v>
      </c>
      <c r="FR25">
        <v>1.5478499999999999</v>
      </c>
      <c r="FS25">
        <v>2.32056</v>
      </c>
      <c r="FT25">
        <v>34.395200000000003</v>
      </c>
      <c r="FU25">
        <v>16.005800000000001</v>
      </c>
      <c r="FV25">
        <v>2</v>
      </c>
      <c r="FW25">
        <v>487.61200000000002</v>
      </c>
      <c r="FX25">
        <v>396.84300000000002</v>
      </c>
      <c r="FY25">
        <v>25.306999999999999</v>
      </c>
      <c r="FZ25">
        <v>30.0473</v>
      </c>
      <c r="GA25">
        <v>29.9999</v>
      </c>
      <c r="GB25">
        <v>30.3141</v>
      </c>
      <c r="GC25">
        <v>30.360600000000002</v>
      </c>
      <c r="GD25">
        <v>-1</v>
      </c>
      <c r="GE25">
        <v>0</v>
      </c>
      <c r="GF25">
        <v>100</v>
      </c>
      <c r="GG25">
        <v>25.321999999999999</v>
      </c>
      <c r="GH25">
        <v>432.1</v>
      </c>
      <c r="GI25">
        <v>78.840199999999996</v>
      </c>
      <c r="GJ25">
        <v>102.24299999999999</v>
      </c>
      <c r="GK25">
        <v>96.438900000000004</v>
      </c>
    </row>
    <row r="26" spans="1:193" x14ac:dyDescent="0.35">
      <c r="A26">
        <v>10</v>
      </c>
      <c r="B26">
        <v>1775464593.5999999</v>
      </c>
      <c r="C26">
        <v>637.5</v>
      </c>
      <c r="D26" t="s">
        <v>351</v>
      </c>
      <c r="E26" t="s">
        <v>352</v>
      </c>
      <c r="F26">
        <v>30</v>
      </c>
      <c r="G26">
        <v>1775464578.1000011</v>
      </c>
      <c r="H26">
        <f t="shared" si="0"/>
        <v>2.0430935126766929E-3</v>
      </c>
      <c r="I26">
        <f>1000*AY26*AG26*(AU26-AV26)/(100*AN26*(1000-AG26*AU26))</f>
        <v>2.0430935126766929</v>
      </c>
      <c r="J26">
        <f>AY26*AG26*(AT26-AS26*(1000-AG26*AV26)/(1000-AG26*AU26))/(100*AN26)</f>
        <v>-0.67595216440692951</v>
      </c>
      <c r="K26">
        <f t="shared" si="1"/>
        <v>16.198981639344261</v>
      </c>
      <c r="L26">
        <f t="shared" si="2"/>
        <v>33.165233299316625</v>
      </c>
      <c r="M26">
        <f>L26*(AZ26+BA26)/1000</f>
        <v>3.3183445983377111</v>
      </c>
      <c r="N26">
        <f>(AS26 - IF(AG26&gt;1, J26*AN26*100/(AI26), 0))*(AZ26+BA26)/1000</f>
        <v>1.6207877308252614</v>
      </c>
      <c r="O26">
        <f t="shared" si="3"/>
        <v>5.9690416023465538E-2</v>
      </c>
      <c r="P26">
        <f>IF(LEFT(AP26,1)&lt;&gt;"0",IF(LEFT(AP26,1)="1",3,AQ26),$D$5+$E$5*(BG26*AZ26/($K$5*1000))+$F$5*(BG26*AZ26/($K$5*1000))*MAX(MIN(AN26,$J$5),$I$5)*MAX(MIN(AN26,$J$5),$I$5)+$G$5*MAX(MIN(AN26,$J$5),$I$5)*(BG26*AZ26/($K$5*1000))+$H$5*(BG26*AZ26/($K$5*1000))*(BG26*AZ26/($K$5*1000)))</f>
        <v>2.3891043620553258</v>
      </c>
      <c r="Q26">
        <f>H26*(1000-(1000*0.61365*EXP(17.502*U26/(240.97+U26))/(AZ26+BA26)+AU26)/2)/(1000*0.61365*EXP(17.502*U26/(240.97+U26))/(AZ26+BA26)-AU26)</f>
        <v>5.8874126465469648E-2</v>
      </c>
      <c r="R26">
        <f t="shared" si="4"/>
        <v>3.6868739382955172E-2</v>
      </c>
      <c r="S26">
        <f t="shared" si="5"/>
        <v>0.12566724408688523</v>
      </c>
      <c r="T26">
        <f>(BB26+(S26+2*0.95*0.0000000567*(((BB26+$B$7)+273)^4-(BB26+273)^4)-44100*H26)/(1.84*29.3*P26+8*0.95*0.0000000567*(BB26+273)^3))</f>
        <v>24.851543944995715</v>
      </c>
      <c r="U26">
        <f>($C$7*BC26+$D$7*BD26+$E$7*T26)</f>
        <v>25.584295081967209</v>
      </c>
      <c r="V26">
        <f t="shared" si="6"/>
        <v>3.2921425600219183</v>
      </c>
      <c r="W26">
        <f t="shared" si="7"/>
        <v>-3.8201296914519958</v>
      </c>
      <c r="X26">
        <f>AU26*(AZ26+BA26)/1000</f>
        <v>-0.12508435727804251</v>
      </c>
      <c r="Y26">
        <f t="shared" si="8"/>
        <v>3.2743484483768697</v>
      </c>
      <c r="Z26">
        <f>(V26-AU26*(AZ26+BA26)/1000)</f>
        <v>3.4172269172999608</v>
      </c>
      <c r="AA26">
        <f t="shared" si="9"/>
        <v>-90.100423909042163</v>
      </c>
      <c r="AB26">
        <f>2*29.3*P26*0.92*(BB26-U26)</f>
        <v>-11.756188908488872</v>
      </c>
      <c r="AC26">
        <f>2*0.95*0.0000000567*(((BB26+$B$7)+273)^4-(U26+273)^4)</f>
        <v>-1.0465124090232527</v>
      </c>
      <c r="AD26">
        <f t="shared" si="10"/>
        <v>-102.7774579824674</v>
      </c>
      <c r="AE26">
        <v>22</v>
      </c>
      <c r="AF26">
        <v>4</v>
      </c>
      <c r="AG26">
        <f t="shared" si="11"/>
        <v>1</v>
      </c>
      <c r="AH26">
        <f t="shared" si="12"/>
        <v>0</v>
      </c>
      <c r="AI26">
        <f t="shared" si="13"/>
        <v>25667.760723492145</v>
      </c>
      <c r="AJ26">
        <f t="shared" si="14"/>
        <v>0.65759939344262286</v>
      </c>
      <c r="AK26">
        <f t="shared" si="15"/>
        <v>0.52607951475409831</v>
      </c>
      <c r="AL26">
        <f t="shared" si="16"/>
        <v>0.8</v>
      </c>
      <c r="AM26">
        <f t="shared" si="17"/>
        <v>0.19109999999999999</v>
      </c>
      <c r="AN26">
        <v>3</v>
      </c>
      <c r="AO26">
        <v>0.5</v>
      </c>
      <c r="AP26" t="s">
        <v>317</v>
      </c>
      <c r="AQ26">
        <v>2</v>
      </c>
      <c r="AR26">
        <v>1775464578.1000011</v>
      </c>
      <c r="AS26">
        <v>16.198981639344261</v>
      </c>
      <c r="AT26">
        <v>15.813275409836059</v>
      </c>
      <c r="AU26">
        <v>-1.250157049180328</v>
      </c>
      <c r="AV26">
        <v>-2.4775219672131148</v>
      </c>
      <c r="AW26">
        <v>7.6919816393442622</v>
      </c>
      <c r="AX26">
        <v>-1.2745219672131149</v>
      </c>
      <c r="AY26">
        <v>500.00965573770497</v>
      </c>
      <c r="AZ26">
        <v>100.0104754098361</v>
      </c>
      <c r="BA26">
        <v>4.4439578688524578E-2</v>
      </c>
      <c r="BB26">
        <v>25.49302131147541</v>
      </c>
      <c r="BC26">
        <v>25.584295081967209</v>
      </c>
      <c r="BD26">
        <v>999.9</v>
      </c>
      <c r="BE26">
        <v>0</v>
      </c>
      <c r="BF26">
        <v>0</v>
      </c>
      <c r="BG26">
        <v>5002.2377049180332</v>
      </c>
      <c r="BH26">
        <v>0.65759939344262286</v>
      </c>
      <c r="BI26">
        <v>179.318475409836</v>
      </c>
      <c r="BJ26">
        <v>0.32502068032786879</v>
      </c>
      <c r="BK26">
        <v>16.098408196721309</v>
      </c>
      <c r="BL26">
        <v>15.79353770491803</v>
      </c>
      <c r="BM26">
        <v>-1.227541639344262</v>
      </c>
      <c r="BN26">
        <v>15.813275409836059</v>
      </c>
      <c r="BO26">
        <v>-1.250157049180328</v>
      </c>
      <c r="BP26">
        <v>-0.24779598360655741</v>
      </c>
      <c r="BQ26">
        <v>-0.12502895081967211</v>
      </c>
      <c r="BR26">
        <v>-99.899999999999963</v>
      </c>
      <c r="BS26">
        <v>-99.899999999999963</v>
      </c>
      <c r="BT26">
        <v>1775464624.5999999</v>
      </c>
      <c r="BU26" t="s">
        <v>353</v>
      </c>
      <c r="BV26">
        <v>1775464622.5999999</v>
      </c>
      <c r="BW26">
        <v>1775464624.5999999</v>
      </c>
      <c r="BX26">
        <v>11</v>
      </c>
      <c r="BY26">
        <v>0.06</v>
      </c>
      <c r="BZ26">
        <v>0</v>
      </c>
      <c r="CA26">
        <v>8.5069999999999997</v>
      </c>
      <c r="CB26">
        <v>-1.2030000000000001</v>
      </c>
      <c r="CC26">
        <v>22</v>
      </c>
      <c r="CD26">
        <v>-1</v>
      </c>
      <c r="CE26">
        <v>1.6</v>
      </c>
      <c r="CF26">
        <v>0.05</v>
      </c>
      <c r="CG26">
        <v>15.701786666666671</v>
      </c>
      <c r="CH26">
        <v>9.4963405390386235</v>
      </c>
      <c r="CI26">
        <v>2.216954213590248</v>
      </c>
      <c r="CJ26">
        <v>-1</v>
      </c>
      <c r="CK26">
        <v>500.00860000000011</v>
      </c>
      <c r="CL26">
        <v>-8.4423450958399024E-2</v>
      </c>
      <c r="CM26">
        <v>7.5992587357805591E-2</v>
      </c>
      <c r="CN26">
        <v>-1</v>
      </c>
      <c r="CO26">
        <v>0</v>
      </c>
      <c r="CP26">
        <v>0</v>
      </c>
      <c r="CQ26" t="s">
        <v>319</v>
      </c>
      <c r="CR26">
        <v>3.1676299999999999</v>
      </c>
      <c r="CS26">
        <v>2.6656499999999999</v>
      </c>
      <c r="CT26">
        <v>3.1123000000000001E-3</v>
      </c>
      <c r="CU26">
        <v>6.7570099999999999E-3</v>
      </c>
      <c r="CV26">
        <v>-1.12674E-2</v>
      </c>
      <c r="CW26">
        <v>-1.0902500000000001E-2</v>
      </c>
      <c r="CX26">
        <v>21515.1</v>
      </c>
      <c r="CY26">
        <v>21797.9</v>
      </c>
      <c r="CZ26">
        <v>23111</v>
      </c>
      <c r="DA26">
        <v>22299.4</v>
      </c>
      <c r="DB26">
        <v>30140</v>
      </c>
      <c r="DC26">
        <v>26890.7</v>
      </c>
      <c r="DD26">
        <v>40621.300000000003</v>
      </c>
      <c r="DE26">
        <v>36964.300000000003</v>
      </c>
      <c r="DF26">
        <v>2.0682999999999998</v>
      </c>
      <c r="DG26">
        <v>1.7823599999999999</v>
      </c>
      <c r="DH26">
        <v>-2.2172899999999999E-2</v>
      </c>
      <c r="DI26">
        <v>0</v>
      </c>
      <c r="DJ26">
        <v>25.947299999999998</v>
      </c>
      <c r="DK26">
        <v>999.9</v>
      </c>
      <c r="DL26">
        <v>74.7</v>
      </c>
      <c r="DM26">
        <v>31.3</v>
      </c>
      <c r="DN26">
        <v>34.277099999999997</v>
      </c>
      <c r="DO26">
        <v>30.74</v>
      </c>
      <c r="DP26">
        <v>10.741199999999999</v>
      </c>
      <c r="DQ26">
        <v>1</v>
      </c>
      <c r="DR26">
        <v>0.22477800000000001</v>
      </c>
      <c r="DS26">
        <v>0.99632900000000002</v>
      </c>
      <c r="DT26">
        <v>20.365200000000002</v>
      </c>
      <c r="DU26">
        <v>5.2120199999999999</v>
      </c>
      <c r="DV26">
        <v>11.8522</v>
      </c>
      <c r="DW26">
        <v>4.9679200000000003</v>
      </c>
      <c r="DX26">
        <v>3.2928199999999999</v>
      </c>
      <c r="DY26">
        <v>894.7</v>
      </c>
      <c r="DZ26">
        <v>0</v>
      </c>
      <c r="EA26">
        <v>232.5</v>
      </c>
      <c r="EB26">
        <v>106.8</v>
      </c>
      <c r="EC26">
        <v>4.9716300000000002</v>
      </c>
      <c r="ED26">
        <v>1.8717999999999999</v>
      </c>
      <c r="EE26">
        <v>1.8690500000000001</v>
      </c>
      <c r="EF26">
        <v>1.8713500000000001</v>
      </c>
      <c r="EG26">
        <v>1.8692</v>
      </c>
      <c r="EH26">
        <v>1.86812</v>
      </c>
      <c r="EI26">
        <v>1.8699600000000001</v>
      </c>
      <c r="EJ26">
        <v>1.87178</v>
      </c>
      <c r="EK26">
        <v>0</v>
      </c>
      <c r="EL26">
        <v>0</v>
      </c>
      <c r="EM26">
        <v>0</v>
      </c>
      <c r="EN26">
        <v>0</v>
      </c>
      <c r="EO26" t="s">
        <v>320</v>
      </c>
      <c r="EP26" t="s">
        <v>321</v>
      </c>
      <c r="EQ26" t="s">
        <v>322</v>
      </c>
      <c r="ER26" t="s">
        <v>322</v>
      </c>
      <c r="ES26" t="s">
        <v>322</v>
      </c>
      <c r="ET26" t="s">
        <v>322</v>
      </c>
      <c r="EU26">
        <v>0</v>
      </c>
      <c r="EV26">
        <v>100</v>
      </c>
      <c r="EW26">
        <v>100</v>
      </c>
      <c r="EX26">
        <v>8.5069999999999997</v>
      </c>
      <c r="EY26">
        <v>-1.2030000000000001</v>
      </c>
      <c r="EZ26">
        <v>8.4463155000000008</v>
      </c>
      <c r="FA26">
        <v>0</v>
      </c>
      <c r="FB26">
        <v>0</v>
      </c>
      <c r="FC26">
        <v>0</v>
      </c>
      <c r="FD26">
        <v>-1.2031765974999999</v>
      </c>
      <c r="FE26">
        <v>0</v>
      </c>
      <c r="FF26">
        <v>0</v>
      </c>
      <c r="FG26">
        <v>0</v>
      </c>
      <c r="FH26">
        <v>-1</v>
      </c>
      <c r="FI26">
        <v>-1</v>
      </c>
      <c r="FJ26">
        <v>-1</v>
      </c>
      <c r="FK26">
        <v>-1</v>
      </c>
      <c r="FL26">
        <v>0.7</v>
      </c>
      <c r="FM26">
        <v>0.7</v>
      </c>
      <c r="FN26">
        <v>0.142822</v>
      </c>
      <c r="FO26">
        <v>4.99756</v>
      </c>
      <c r="FP26">
        <v>1.5979000000000001</v>
      </c>
      <c r="FQ26">
        <v>2.1569799999999999</v>
      </c>
      <c r="FR26">
        <v>1.5478499999999999</v>
      </c>
      <c r="FS26">
        <v>2.3974600000000001</v>
      </c>
      <c r="FT26">
        <v>34.417999999999999</v>
      </c>
      <c r="FU26">
        <v>16.005800000000001</v>
      </c>
      <c r="FV26">
        <v>2</v>
      </c>
      <c r="FW26">
        <v>488.339</v>
      </c>
      <c r="FX26">
        <v>396.86500000000001</v>
      </c>
      <c r="FY26">
        <v>25.384599999999999</v>
      </c>
      <c r="FZ26">
        <v>30.0276</v>
      </c>
      <c r="GA26">
        <v>29.9999</v>
      </c>
      <c r="GB26">
        <v>30.316400000000002</v>
      </c>
      <c r="GC26">
        <v>30.3658</v>
      </c>
      <c r="GD26">
        <v>-1</v>
      </c>
      <c r="GE26">
        <v>0</v>
      </c>
      <c r="GF26">
        <v>100</v>
      </c>
      <c r="GG26">
        <v>25.388300000000001</v>
      </c>
      <c r="GH26">
        <v>432.1</v>
      </c>
      <c r="GI26">
        <v>78.840199999999996</v>
      </c>
      <c r="GJ26">
        <v>102.246</v>
      </c>
      <c r="GK26">
        <v>96.445300000000003</v>
      </c>
    </row>
    <row r="27" spans="1:193" x14ac:dyDescent="0.35">
      <c r="A27">
        <v>11</v>
      </c>
      <c r="B27">
        <v>1775464653.5999999</v>
      </c>
      <c r="C27">
        <v>697.5</v>
      </c>
      <c r="D27" t="s">
        <v>354</v>
      </c>
      <c r="E27" t="s">
        <v>355</v>
      </c>
      <c r="F27">
        <v>30</v>
      </c>
      <c r="G27">
        <v>1775464639.0999999</v>
      </c>
      <c r="H27">
        <f t="shared" si="0"/>
        <v>1.8330219850427477E-3</v>
      </c>
      <c r="I27">
        <f>1000*AY27*AG27*(AU27-AV27)/(100*AN27*(1000-AG27*AU27))</f>
        <v>1.8330219850427476</v>
      </c>
      <c r="J27">
        <f>AY27*AG27*(AT27-AS27*(1000-AG27*AV27)/(1000-AG27*AU27))/(100*AN27)</f>
        <v>-4.9253376358535954</v>
      </c>
      <c r="K27">
        <f t="shared" si="1"/>
        <v>20.927621228070169</v>
      </c>
      <c r="L27">
        <f t="shared" si="2"/>
        <v>164.57053776054369</v>
      </c>
      <c r="M27">
        <f>L27*(AZ27+BA27)/1000</f>
        <v>16.466133817178303</v>
      </c>
      <c r="N27">
        <f>(AS27 - IF(AG27&gt;1, J27*AN27*100/(AI27), 0))*(AZ27+BA27)/1000</f>
        <v>2.0939167867217297</v>
      </c>
      <c r="O27">
        <f t="shared" si="3"/>
        <v>5.3532462624014635E-2</v>
      </c>
      <c r="P27">
        <f>IF(LEFT(AP27,1)&lt;&gt;"0",IF(LEFT(AP27,1)="1",3,AQ27),$D$5+$E$5*(BG27*AZ27/($K$5*1000))+$F$5*(BG27*AZ27/($K$5*1000))*MAX(MIN(AN27,$J$5),$I$5)*MAX(MIN(AN27,$J$5),$I$5)+$G$5*MAX(MIN(AN27,$J$5),$I$5)*(BG27*AZ27/($K$5*1000))+$H$5*(BG27*AZ27/($K$5*1000))*(BG27*AZ27/($K$5*1000)))</f>
        <v>2.3888946760948904</v>
      </c>
      <c r="Q27">
        <f>H27*(1000-(1000*0.61365*EXP(17.502*U27/(240.97+U27))/(AZ27+BA27)+AU27)/2)/(1000*0.61365*EXP(17.502*U27/(240.97+U27))/(AZ27+BA27)-AU27)</f>
        <v>5.2874852632615134E-2</v>
      </c>
      <c r="R27">
        <f t="shared" si="4"/>
        <v>3.3105193411838103E-2</v>
      </c>
      <c r="S27">
        <f t="shared" si="5"/>
        <v>0.12239798096842106</v>
      </c>
      <c r="T27">
        <f>(BB27+(S27+2*0.95*0.0000000567*(((BB27+$B$7)+273)^4-(BB27+273)^4)-44100*H27)/(1.84*29.3*P27+8*0.95*0.0000000567*(BB27+273)^3))</f>
        <v>24.917224637496144</v>
      </c>
      <c r="U27">
        <f>($C$7*BC27+$D$7*BD27+$E$7*T27)</f>
        <v>25.58127192982456</v>
      </c>
      <c r="V27">
        <f t="shared" si="6"/>
        <v>3.2915518370176526</v>
      </c>
      <c r="W27">
        <f t="shared" si="7"/>
        <v>-3.7303211311659603</v>
      </c>
      <c r="X27">
        <f>AU27*(AZ27+BA27)/1000</f>
        <v>-0.12214154639258255</v>
      </c>
      <c r="Y27">
        <f t="shared" si="8"/>
        <v>3.2742903921091004</v>
      </c>
      <c r="Z27">
        <f>(V27-AU27*(AZ27+BA27)/1000)</f>
        <v>3.413693383410235</v>
      </c>
      <c r="AA27">
        <f t="shared" si="9"/>
        <v>-80.836269540385175</v>
      </c>
      <c r="AB27">
        <f>2*29.3*P27*0.92*(BB27-U27)</f>
        <v>-11.404249476046303</v>
      </c>
      <c r="AC27">
        <f>2*0.95*0.0000000567*(((BB27+$B$7)+273)^4-(U27+273)^4)</f>
        <v>-1.0152556273474289</v>
      </c>
      <c r="AD27">
        <f t="shared" si="10"/>
        <v>-93.133376662810491</v>
      </c>
      <c r="AE27">
        <v>22</v>
      </c>
      <c r="AF27">
        <v>4</v>
      </c>
      <c r="AG27">
        <f t="shared" si="11"/>
        <v>1</v>
      </c>
      <c r="AH27">
        <f t="shared" si="12"/>
        <v>0</v>
      </c>
      <c r="AI27">
        <f t="shared" si="13"/>
        <v>25664.640485694919</v>
      </c>
      <c r="AJ27">
        <f t="shared" si="14"/>
        <v>0.64049178947368424</v>
      </c>
      <c r="AK27">
        <f t="shared" si="15"/>
        <v>0.51239343157894746</v>
      </c>
      <c r="AL27">
        <f t="shared" si="16"/>
        <v>0.8</v>
      </c>
      <c r="AM27">
        <f t="shared" si="17"/>
        <v>0.19109999999999999</v>
      </c>
      <c r="AN27">
        <v>3</v>
      </c>
      <c r="AO27">
        <v>0.5</v>
      </c>
      <c r="AP27" t="s">
        <v>317</v>
      </c>
      <c r="AQ27">
        <v>2</v>
      </c>
      <c r="AR27">
        <v>1775464639.0999999</v>
      </c>
      <c r="AS27">
        <v>20.927621228070169</v>
      </c>
      <c r="AT27">
        <v>17.999721052631578</v>
      </c>
      <c r="AU27">
        <v>-1.220741929824561</v>
      </c>
      <c r="AV27">
        <v>-2.3202881661403509</v>
      </c>
      <c r="AW27">
        <v>12.42062122807017</v>
      </c>
      <c r="AX27">
        <v>-1.1132881661403511</v>
      </c>
      <c r="AY27">
        <v>500.73191228070169</v>
      </c>
      <c r="AZ27">
        <v>100.0089824561403</v>
      </c>
      <c r="BA27">
        <v>4.6191703508771928E-2</v>
      </c>
      <c r="BB27">
        <v>25.49272280701754</v>
      </c>
      <c r="BC27">
        <v>25.58127192982456</v>
      </c>
      <c r="BD27">
        <v>999.9</v>
      </c>
      <c r="BE27">
        <v>0</v>
      </c>
      <c r="BF27">
        <v>0</v>
      </c>
      <c r="BG27">
        <v>5001.7719298245611</v>
      </c>
      <c r="BH27">
        <v>0.64049178947368424</v>
      </c>
      <c r="BI27">
        <v>179.67477192982449</v>
      </c>
      <c r="BJ27">
        <v>2.9275029894736839</v>
      </c>
      <c r="BK27">
        <v>20.879063157894741</v>
      </c>
      <c r="BL27">
        <v>17.977787719298249</v>
      </c>
      <c r="BM27">
        <v>-1.095890341277193</v>
      </c>
      <c r="BN27">
        <v>17.999721052631578</v>
      </c>
      <c r="BO27">
        <v>-1.220741929824561</v>
      </c>
      <c r="BP27">
        <v>-0.231684</v>
      </c>
      <c r="BQ27">
        <v>-0.1220850526315789</v>
      </c>
      <c r="BR27">
        <v>-99.899999999999991</v>
      </c>
      <c r="BS27">
        <v>-99.899999999999991</v>
      </c>
      <c r="BT27">
        <v>1775464694.0999999</v>
      </c>
      <c r="BU27" t="s">
        <v>356</v>
      </c>
      <c r="BV27">
        <v>1775464622.5999999</v>
      </c>
      <c r="BW27">
        <v>1775464684.5999999</v>
      </c>
      <c r="BX27">
        <v>12</v>
      </c>
      <c r="BY27">
        <v>0.06</v>
      </c>
      <c r="BZ27">
        <v>-4.0000000000000001E-3</v>
      </c>
      <c r="CA27">
        <v>8.5069999999999997</v>
      </c>
      <c r="CB27">
        <v>-1.2070000000000001</v>
      </c>
      <c r="CC27">
        <v>22</v>
      </c>
      <c r="CD27">
        <v>-1</v>
      </c>
      <c r="CE27">
        <v>1.6</v>
      </c>
      <c r="CF27">
        <v>0.05</v>
      </c>
      <c r="CG27">
        <v>18.48159180327869</v>
      </c>
      <c r="CH27">
        <v>-20.050435113696501</v>
      </c>
      <c r="CI27">
        <v>3.0414673033169248</v>
      </c>
      <c r="CJ27">
        <v>-1</v>
      </c>
      <c r="CK27">
        <v>500.68783606557378</v>
      </c>
      <c r="CL27">
        <v>-4.3396848228450038</v>
      </c>
      <c r="CM27">
        <v>1.356876139657341</v>
      </c>
      <c r="CN27">
        <v>-1</v>
      </c>
      <c r="CO27">
        <v>0</v>
      </c>
      <c r="CP27">
        <v>0</v>
      </c>
      <c r="CQ27" t="s">
        <v>319</v>
      </c>
      <c r="CR27">
        <v>3.1675499999999999</v>
      </c>
      <c r="CS27">
        <v>2.6657199999999999</v>
      </c>
      <c r="CT27">
        <v>2.6079800000000002E-3</v>
      </c>
      <c r="CU27">
        <v>4.6536700000000004E-3</v>
      </c>
      <c r="CV27">
        <v>-1.13402E-2</v>
      </c>
      <c r="CW27">
        <v>-1.05998E-2</v>
      </c>
      <c r="CX27">
        <v>21526.1</v>
      </c>
      <c r="CY27">
        <v>21844.6</v>
      </c>
      <c r="CZ27">
        <v>23111.1</v>
      </c>
      <c r="DA27">
        <v>22299.9</v>
      </c>
      <c r="DB27">
        <v>30142.2</v>
      </c>
      <c r="DC27">
        <v>26883.5</v>
      </c>
      <c r="DD27">
        <v>40621.300000000003</v>
      </c>
      <c r="DE27">
        <v>36965.5</v>
      </c>
      <c r="DF27">
        <v>2.06786</v>
      </c>
      <c r="DG27">
        <v>1.78332</v>
      </c>
      <c r="DH27">
        <v>-2.1597700000000001E-2</v>
      </c>
      <c r="DI27">
        <v>0</v>
      </c>
      <c r="DJ27">
        <v>25.9298</v>
      </c>
      <c r="DK27">
        <v>999.9</v>
      </c>
      <c r="DL27">
        <v>74.8</v>
      </c>
      <c r="DM27">
        <v>31.3</v>
      </c>
      <c r="DN27">
        <v>34.322299999999998</v>
      </c>
      <c r="DO27">
        <v>30.44</v>
      </c>
      <c r="DP27">
        <v>10.645</v>
      </c>
      <c r="DQ27">
        <v>1</v>
      </c>
      <c r="DR27">
        <v>0.22323999999999999</v>
      </c>
      <c r="DS27">
        <v>0.99355300000000002</v>
      </c>
      <c r="DT27">
        <v>20.365100000000002</v>
      </c>
      <c r="DU27">
        <v>5.2122599999999997</v>
      </c>
      <c r="DV27">
        <v>11.8504</v>
      </c>
      <c r="DW27">
        <v>4.9678399999999998</v>
      </c>
      <c r="DX27">
        <v>3.2929599999999999</v>
      </c>
      <c r="DY27">
        <v>894.7</v>
      </c>
      <c r="DZ27">
        <v>0</v>
      </c>
      <c r="EA27">
        <v>265.5</v>
      </c>
      <c r="EB27">
        <v>106.8</v>
      </c>
      <c r="EC27">
        <v>4.9716699999999996</v>
      </c>
      <c r="ED27">
        <v>1.87181</v>
      </c>
      <c r="EE27">
        <v>1.8690500000000001</v>
      </c>
      <c r="EF27">
        <v>1.87137</v>
      </c>
      <c r="EG27">
        <v>1.8692</v>
      </c>
      <c r="EH27">
        <v>1.8681300000000001</v>
      </c>
      <c r="EI27">
        <v>1.86995</v>
      </c>
      <c r="EJ27">
        <v>1.8717600000000001</v>
      </c>
      <c r="EK27">
        <v>0</v>
      </c>
      <c r="EL27">
        <v>0</v>
      </c>
      <c r="EM27">
        <v>0</v>
      </c>
      <c r="EN27">
        <v>0</v>
      </c>
      <c r="EO27" t="s">
        <v>320</v>
      </c>
      <c r="EP27" t="s">
        <v>321</v>
      </c>
      <c r="EQ27" t="s">
        <v>322</v>
      </c>
      <c r="ER27" t="s">
        <v>322</v>
      </c>
      <c r="ES27" t="s">
        <v>322</v>
      </c>
      <c r="ET27" t="s">
        <v>322</v>
      </c>
      <c r="EU27">
        <v>0</v>
      </c>
      <c r="EV27">
        <v>100</v>
      </c>
      <c r="EW27">
        <v>100</v>
      </c>
      <c r="EX27">
        <v>8.5069999999999997</v>
      </c>
      <c r="EY27">
        <v>-1.2070000000000001</v>
      </c>
      <c r="EZ27">
        <v>8.5065999999999988</v>
      </c>
      <c r="FA27">
        <v>0</v>
      </c>
      <c r="FB27">
        <v>0</v>
      </c>
      <c r="FC27">
        <v>0</v>
      </c>
      <c r="FD27">
        <v>-1.2033435990000001</v>
      </c>
      <c r="FE27">
        <v>0</v>
      </c>
      <c r="FF27">
        <v>0</v>
      </c>
      <c r="FG27">
        <v>0</v>
      </c>
      <c r="FH27">
        <v>-1</v>
      </c>
      <c r="FI27">
        <v>-1</v>
      </c>
      <c r="FJ27">
        <v>-1</v>
      </c>
      <c r="FK27">
        <v>-1</v>
      </c>
      <c r="FL27">
        <v>0.5</v>
      </c>
      <c r="FM27">
        <v>0.5</v>
      </c>
      <c r="FN27">
        <v>0.142822</v>
      </c>
      <c r="FO27">
        <v>4.99756</v>
      </c>
      <c r="FP27">
        <v>1.5979000000000001</v>
      </c>
      <c r="FQ27">
        <v>2.1569799999999999</v>
      </c>
      <c r="FR27">
        <v>1.5478499999999999</v>
      </c>
      <c r="FS27">
        <v>2.34741</v>
      </c>
      <c r="FT27">
        <v>34.4636</v>
      </c>
      <c r="FU27">
        <v>15.997</v>
      </c>
      <c r="FV27">
        <v>2</v>
      </c>
      <c r="FW27">
        <v>488.048</v>
      </c>
      <c r="FX27">
        <v>397.40699999999998</v>
      </c>
      <c r="FY27">
        <v>25.365600000000001</v>
      </c>
      <c r="FZ27">
        <v>30.010400000000001</v>
      </c>
      <c r="GA27">
        <v>30</v>
      </c>
      <c r="GB27">
        <v>30.311199999999999</v>
      </c>
      <c r="GC27">
        <v>30.3658</v>
      </c>
      <c r="GD27">
        <v>-1</v>
      </c>
      <c r="GE27">
        <v>0</v>
      </c>
      <c r="GF27">
        <v>100</v>
      </c>
      <c r="GG27">
        <v>25.3736</v>
      </c>
      <c r="GH27">
        <v>432.1</v>
      </c>
      <c r="GI27">
        <v>78.840199999999996</v>
      </c>
      <c r="GJ27">
        <v>102.246</v>
      </c>
      <c r="GK27">
        <v>96.447999999999993</v>
      </c>
    </row>
    <row r="28" spans="1:193" x14ac:dyDescent="0.35">
      <c r="A28">
        <v>12</v>
      </c>
      <c r="B28">
        <v>1775464713.5999999</v>
      </c>
      <c r="C28">
        <v>757.5</v>
      </c>
      <c r="D28" t="s">
        <v>357</v>
      </c>
      <c r="E28" t="s">
        <v>358</v>
      </c>
      <c r="F28">
        <v>30</v>
      </c>
      <c r="G28">
        <v>1775464703.8499999</v>
      </c>
      <c r="H28">
        <f t="shared" si="0"/>
        <v>1.8327691836531447E-3</v>
      </c>
      <c r="I28">
        <f>1000*AY28*AG28*(AU28-AV28)/(100*AN28*(1000-AG28*AU28))</f>
        <v>1.8327691836531448</v>
      </c>
      <c r="J28">
        <f>AY28*AG28*(AT28-AS28*(1000-AG28*AV28)/(1000-AG28*AU28))/(100*AN28)</f>
        <v>-2.601355826170821</v>
      </c>
      <c r="K28">
        <f t="shared" si="1"/>
        <v>17.267297105263161</v>
      </c>
      <c r="L28">
        <f t="shared" si="2"/>
        <v>92.690752909484857</v>
      </c>
      <c r="M28">
        <f>L28*(AZ28+BA28)/1000</f>
        <v>9.2743240109385141</v>
      </c>
      <c r="N28">
        <f>(AS28 - IF(AG28&gt;1, J28*AN28*100/(AI28), 0))*(AZ28+BA28)/1000</f>
        <v>1.7277074909914143</v>
      </c>
      <c r="O28">
        <f t="shared" si="3"/>
        <v>5.3611758892266187E-2</v>
      </c>
      <c r="P28">
        <f>IF(LEFT(AP28,1)&lt;&gt;"0",IF(LEFT(AP28,1)="1",3,AQ28),$D$5+$E$5*(BG28*AZ28/($K$5*1000))+$F$5*(BG28*AZ28/($K$5*1000))*MAX(MIN(AN28,$J$5),$I$5)*MAX(MIN(AN28,$J$5),$I$5)+$G$5*MAX(MIN(AN28,$J$5),$I$5)*(BG28*AZ28/($K$5*1000))+$H$5*(BG28*AZ28/($K$5*1000))*(BG28*AZ28/($K$5*1000)))</f>
        <v>2.3910951903590978</v>
      </c>
      <c r="Q28">
        <f>H28*(1000-(1000*0.61365*EXP(17.502*U28/(240.97+U28))/(AZ28+BA28)+AU28)/2)/(1000*0.61365*EXP(17.502*U28/(240.97+U28))/(AZ28+BA28)-AU28)</f>
        <v>5.2952811131937581E-2</v>
      </c>
      <c r="R28">
        <f t="shared" si="4"/>
        <v>3.3154035925917411E-2</v>
      </c>
      <c r="S28">
        <f t="shared" si="5"/>
        <v>0.12524564756052634</v>
      </c>
      <c r="T28">
        <f>(BB28+(S28+2*0.95*0.0000000567*(((BB28+$B$7)+273)^4-(BB28+273)^4)-44100*H28)/(1.84*29.3*P28+8*0.95*0.0000000567*(BB28+273)^3))</f>
        <v>24.922590181423722</v>
      </c>
      <c r="U28">
        <f>($C$7*BC28+$D$7*BD28+$E$7*T28)</f>
        <v>25.589152631578941</v>
      </c>
      <c r="V28">
        <f t="shared" si="6"/>
        <v>3.2930919176902069</v>
      </c>
      <c r="W28">
        <f t="shared" si="7"/>
        <v>-3.5113903112838845</v>
      </c>
      <c r="X28">
        <f>AU28*(AZ28+BA28)/1000</f>
        <v>-0.11500574435803784</v>
      </c>
      <c r="Y28">
        <f t="shared" si="8"/>
        <v>3.2752196185216391</v>
      </c>
      <c r="Z28">
        <f>(V28-AU28*(AZ28+BA28)/1000)</f>
        <v>3.4080976620482448</v>
      </c>
      <c r="AA28">
        <f t="shared" si="9"/>
        <v>-80.825120999103689</v>
      </c>
      <c r="AB28">
        <f>2*29.3*P28*0.92*(BB28-U28)</f>
        <v>-11.814823779160173</v>
      </c>
      <c r="AC28">
        <f>2*0.95*0.0000000567*(((BB28+$B$7)+273)^4-(U28+273)^4)</f>
        <v>-1.0509055910736731</v>
      </c>
      <c r="AD28">
        <f t="shared" si="10"/>
        <v>-93.565604721777021</v>
      </c>
      <c r="AE28">
        <v>22</v>
      </c>
      <c r="AF28">
        <v>4</v>
      </c>
      <c r="AG28">
        <f t="shared" si="11"/>
        <v>1</v>
      </c>
      <c r="AH28">
        <f t="shared" si="12"/>
        <v>0</v>
      </c>
      <c r="AI28">
        <f t="shared" si="13"/>
        <v>25697.832804998015</v>
      </c>
      <c r="AJ28">
        <f t="shared" si="14"/>
        <v>0.65539323684210538</v>
      </c>
      <c r="AK28">
        <f t="shared" si="15"/>
        <v>0.52431458947368437</v>
      </c>
      <c r="AL28">
        <f t="shared" si="16"/>
        <v>0.8</v>
      </c>
      <c r="AM28">
        <f t="shared" si="17"/>
        <v>0.19109999999999999</v>
      </c>
      <c r="AN28">
        <v>3</v>
      </c>
      <c r="AO28">
        <v>0.5</v>
      </c>
      <c r="AP28" t="s">
        <v>317</v>
      </c>
      <c r="AQ28">
        <v>2</v>
      </c>
      <c r="AR28">
        <v>1775464703.8499999</v>
      </c>
      <c r="AS28">
        <v>17.267297105263161</v>
      </c>
      <c r="AT28">
        <v>15.728894736842109</v>
      </c>
      <c r="AU28">
        <v>-1.149406578947368</v>
      </c>
      <c r="AV28">
        <v>-2.2478879263157898</v>
      </c>
      <c r="AW28">
        <v>8.8152971052631592</v>
      </c>
      <c r="AX28">
        <v>-1.03288792631579</v>
      </c>
      <c r="AY28">
        <v>501.11250000000001</v>
      </c>
      <c r="AZ28">
        <v>100.00997368421061</v>
      </c>
      <c r="BA28">
        <v>4.6652460526315789E-2</v>
      </c>
      <c r="BB28">
        <v>25.497499999999999</v>
      </c>
      <c r="BC28">
        <v>25.589152631578941</v>
      </c>
      <c r="BD28">
        <v>999.90000000000009</v>
      </c>
      <c r="BE28">
        <v>0</v>
      </c>
      <c r="BF28">
        <v>0</v>
      </c>
      <c r="BG28">
        <v>5007.394736842105</v>
      </c>
      <c r="BH28">
        <v>0.65539323684210538</v>
      </c>
      <c r="BI28">
        <v>179.9417105263158</v>
      </c>
      <c r="BJ28">
        <v>1.5929960789473689</v>
      </c>
      <c r="BK28">
        <v>17.282955263157891</v>
      </c>
      <c r="BL28">
        <v>15.7108447368421</v>
      </c>
      <c r="BM28">
        <v>-1.090547768157895</v>
      </c>
      <c r="BN28">
        <v>15.728894736842109</v>
      </c>
      <c r="BO28">
        <v>-1.149406578947368</v>
      </c>
      <c r="BP28">
        <v>-0.2240178684210527</v>
      </c>
      <c r="BQ28">
        <v>-0.1149521578947368</v>
      </c>
      <c r="BR28">
        <v>-99.90000000000002</v>
      </c>
      <c r="BS28">
        <v>-99.90000000000002</v>
      </c>
      <c r="BT28">
        <v>1775464741.5999999</v>
      </c>
      <c r="BU28" t="s">
        <v>359</v>
      </c>
      <c r="BV28">
        <v>1775464733.5999999</v>
      </c>
      <c r="BW28">
        <v>1775464741.5999999</v>
      </c>
      <c r="BX28">
        <v>13</v>
      </c>
      <c r="BY28">
        <v>-5.3999999999999999E-2</v>
      </c>
      <c r="BZ28">
        <v>-8.0000000000000002E-3</v>
      </c>
      <c r="CA28">
        <v>8.452</v>
      </c>
      <c r="CB28">
        <v>-1.2150000000000001</v>
      </c>
      <c r="CC28">
        <v>16</v>
      </c>
      <c r="CD28">
        <v>-1</v>
      </c>
      <c r="CE28">
        <v>0.19</v>
      </c>
      <c r="CF28">
        <v>0.05</v>
      </c>
      <c r="CG28">
        <v>16.635654098360661</v>
      </c>
      <c r="CH28">
        <v>-6.2680143839238323</v>
      </c>
      <c r="CI28">
        <v>1.3730736428585</v>
      </c>
      <c r="CJ28">
        <v>-1</v>
      </c>
      <c r="CK28">
        <v>500.69403278688532</v>
      </c>
      <c r="CL28">
        <v>0.57169116869428538</v>
      </c>
      <c r="CM28">
        <v>1.3670867309986461</v>
      </c>
      <c r="CN28">
        <v>-1</v>
      </c>
      <c r="CO28">
        <v>0</v>
      </c>
      <c r="CP28">
        <v>0</v>
      </c>
      <c r="CQ28" t="s">
        <v>319</v>
      </c>
      <c r="CR28">
        <v>3.16751</v>
      </c>
      <c r="CS28">
        <v>2.6655799999999998</v>
      </c>
      <c r="CT28">
        <v>2.70856E-3</v>
      </c>
      <c r="CU28">
        <v>4.7839600000000003E-3</v>
      </c>
      <c r="CV28">
        <v>-1.12738E-2</v>
      </c>
      <c r="CW28">
        <v>-1.00307E-2</v>
      </c>
      <c r="CX28">
        <v>21524.1</v>
      </c>
      <c r="CY28">
        <v>21841.200000000001</v>
      </c>
      <c r="CZ28">
        <v>23111.3</v>
      </c>
      <c r="DA28">
        <v>22299.3</v>
      </c>
      <c r="DB28">
        <v>30140.6</v>
      </c>
      <c r="DC28">
        <v>26867.7</v>
      </c>
      <c r="DD28">
        <v>40621.800000000003</v>
      </c>
      <c r="DE28">
        <v>36964.400000000001</v>
      </c>
      <c r="DF28">
        <v>2.0669</v>
      </c>
      <c r="DG28">
        <v>1.7830999999999999</v>
      </c>
      <c r="DH28">
        <v>-2.07841E-2</v>
      </c>
      <c r="DI28">
        <v>0</v>
      </c>
      <c r="DJ28">
        <v>25.9254</v>
      </c>
      <c r="DK28">
        <v>999.9</v>
      </c>
      <c r="DL28">
        <v>74.900000000000006</v>
      </c>
      <c r="DM28">
        <v>31.3</v>
      </c>
      <c r="DN28">
        <v>34.371699999999997</v>
      </c>
      <c r="DO28">
        <v>30.38</v>
      </c>
      <c r="DP28">
        <v>10.3005</v>
      </c>
      <c r="DQ28">
        <v>1</v>
      </c>
      <c r="DR28">
        <v>0.22273799999999999</v>
      </c>
      <c r="DS28">
        <v>1.0207200000000001</v>
      </c>
      <c r="DT28">
        <v>20.365100000000002</v>
      </c>
      <c r="DU28">
        <v>5.2110599999999998</v>
      </c>
      <c r="DV28">
        <v>11.8513</v>
      </c>
      <c r="DW28">
        <v>4.9678399999999998</v>
      </c>
      <c r="DX28">
        <v>3.2929200000000001</v>
      </c>
      <c r="DY28">
        <v>894.7</v>
      </c>
      <c r="DZ28">
        <v>0</v>
      </c>
      <c r="EA28">
        <v>290.7</v>
      </c>
      <c r="EB28">
        <v>106.8</v>
      </c>
      <c r="EC28">
        <v>4.9716199999999997</v>
      </c>
      <c r="ED28">
        <v>1.8717999999999999</v>
      </c>
      <c r="EE28">
        <v>1.86904</v>
      </c>
      <c r="EF28">
        <v>1.87141</v>
      </c>
      <c r="EG28">
        <v>1.8692</v>
      </c>
      <c r="EH28">
        <v>1.8681300000000001</v>
      </c>
      <c r="EI28">
        <v>1.86995</v>
      </c>
      <c r="EJ28">
        <v>1.87178</v>
      </c>
      <c r="EK28">
        <v>0</v>
      </c>
      <c r="EL28">
        <v>0</v>
      </c>
      <c r="EM28">
        <v>0</v>
      </c>
      <c r="EN28">
        <v>0</v>
      </c>
      <c r="EO28" t="s">
        <v>320</v>
      </c>
      <c r="EP28" t="s">
        <v>321</v>
      </c>
      <c r="EQ28" t="s">
        <v>322</v>
      </c>
      <c r="ER28" t="s">
        <v>322</v>
      </c>
      <c r="ES28" t="s">
        <v>322</v>
      </c>
      <c r="ET28" t="s">
        <v>322</v>
      </c>
      <c r="EU28">
        <v>0</v>
      </c>
      <c r="EV28">
        <v>100</v>
      </c>
      <c r="EW28">
        <v>100</v>
      </c>
      <c r="EX28">
        <v>8.452</v>
      </c>
      <c r="EY28">
        <v>-1.2150000000000001</v>
      </c>
      <c r="EZ28">
        <v>8.5065999999999988</v>
      </c>
      <c r="FA28">
        <v>0</v>
      </c>
      <c r="FB28">
        <v>0</v>
      </c>
      <c r="FC28">
        <v>0</v>
      </c>
      <c r="FD28">
        <v>-1.20706538</v>
      </c>
      <c r="FE28">
        <v>0</v>
      </c>
      <c r="FF28">
        <v>0</v>
      </c>
      <c r="FG28">
        <v>0</v>
      </c>
      <c r="FH28">
        <v>-1</v>
      </c>
      <c r="FI28">
        <v>-1</v>
      </c>
      <c r="FJ28">
        <v>-1</v>
      </c>
      <c r="FK28">
        <v>-1</v>
      </c>
      <c r="FL28">
        <v>1.5</v>
      </c>
      <c r="FM28">
        <v>0.5</v>
      </c>
      <c r="FN28">
        <v>0.142822</v>
      </c>
      <c r="FO28">
        <v>4.99756</v>
      </c>
      <c r="FP28">
        <v>1.5979000000000001</v>
      </c>
      <c r="FQ28">
        <v>2.1569799999999999</v>
      </c>
      <c r="FR28">
        <v>1.5478499999999999</v>
      </c>
      <c r="FS28">
        <v>2.4072300000000002</v>
      </c>
      <c r="FT28">
        <v>34.5092</v>
      </c>
      <c r="FU28">
        <v>15.997</v>
      </c>
      <c r="FV28">
        <v>2</v>
      </c>
      <c r="FW28">
        <v>487.47800000000001</v>
      </c>
      <c r="FX28">
        <v>397.29899999999998</v>
      </c>
      <c r="FY28">
        <v>25.367000000000001</v>
      </c>
      <c r="FZ28">
        <v>30.0015</v>
      </c>
      <c r="GA28">
        <v>30</v>
      </c>
      <c r="GB28">
        <v>30.308499999999999</v>
      </c>
      <c r="GC28">
        <v>30.368300000000001</v>
      </c>
      <c r="GD28">
        <v>-1</v>
      </c>
      <c r="GE28">
        <v>0</v>
      </c>
      <c r="GF28">
        <v>100</v>
      </c>
      <c r="GG28">
        <v>25.371700000000001</v>
      </c>
      <c r="GH28">
        <v>432.1</v>
      </c>
      <c r="GI28">
        <v>78.840199999999996</v>
      </c>
      <c r="GJ28">
        <v>102.247</v>
      </c>
      <c r="GK28">
        <v>96.445400000000006</v>
      </c>
    </row>
    <row r="29" spans="1:193" x14ac:dyDescent="0.35">
      <c r="A29">
        <v>13</v>
      </c>
      <c r="B29">
        <v>1775464773.5999999</v>
      </c>
      <c r="C29">
        <v>817.5</v>
      </c>
      <c r="D29" t="s">
        <v>360</v>
      </c>
      <c r="E29" t="s">
        <v>361</v>
      </c>
      <c r="F29">
        <v>30</v>
      </c>
      <c r="G29">
        <v>1775464758.1000011</v>
      </c>
      <c r="H29">
        <f t="shared" si="0"/>
        <v>2.1079987627197834E-3</v>
      </c>
      <c r="I29">
        <f>1000*AY29*AG29*(AU29-AV29)/(100*AN29*(1000-AG29*AU29))</f>
        <v>2.1079987627197836</v>
      </c>
      <c r="J29">
        <f>AY29*AG29*(AT29-AS29*(1000-AG29*AV29)/(1000-AG29*AU29))/(100*AN29)</f>
        <v>-3.2235404238503351</v>
      </c>
      <c r="K29">
        <f t="shared" si="1"/>
        <v>18.193082459016399</v>
      </c>
      <c r="L29">
        <f t="shared" si="2"/>
        <v>99.3075026489512</v>
      </c>
      <c r="M29">
        <f>L29*(AZ29+BA29)/1000</f>
        <v>9.9364320568872131</v>
      </c>
      <c r="N29">
        <f>(AS29 - IF(AG29&gt;1, J29*AN29*100/(AI29), 0))*(AZ29+BA29)/1000</f>
        <v>1.8203491472179538</v>
      </c>
      <c r="O29">
        <f t="shared" si="3"/>
        <v>6.1894941791124931E-2</v>
      </c>
      <c r="P29">
        <f>IF(LEFT(AP29,1)&lt;&gt;"0",IF(LEFT(AP29,1)="1",3,AQ29),$D$5+$E$5*(BG29*AZ29/($K$5*1000))+$F$5*(BG29*AZ29/($K$5*1000))*MAX(MIN(AN29,$J$5),$I$5)*MAX(MIN(AN29,$J$5),$I$5)+$G$5*MAX(MIN(AN29,$J$5),$I$5)*(BG29*AZ29/($K$5*1000))+$H$5*(BG29*AZ29/($K$5*1000))*(BG29*AZ29/($K$5*1000)))</f>
        <v>2.3891177266239461</v>
      </c>
      <c r="Q29">
        <f>H29*(1000-(1000*0.61365*EXP(17.502*U29/(240.97+U29))/(AZ29+BA29)+AU29)/2)/(1000*0.61365*EXP(17.502*U29/(240.97+U29))/(AZ29+BA29)-AU29)</f>
        <v>6.1017725931805003E-2</v>
      </c>
      <c r="R29">
        <f t="shared" si="4"/>
        <v>3.8213857321287265E-2</v>
      </c>
      <c r="S29">
        <f t="shared" si="5"/>
        <v>0.11870693409836064</v>
      </c>
      <c r="T29">
        <f>(BB29+(S29+2*0.95*0.0000000567*(((BB29+$B$7)+273)^4-(BB29+273)^4)-44100*H29)/(1.84*29.3*P29+8*0.95*0.0000000567*(BB29+273)^3))</f>
        <v>24.83578835993816</v>
      </c>
      <c r="U29">
        <f>($C$7*BC29+$D$7*BD29+$E$7*T29)</f>
        <v>25.59059344262295</v>
      </c>
      <c r="V29">
        <f t="shared" si="6"/>
        <v>3.293373555244163</v>
      </c>
      <c r="W29">
        <f t="shared" si="7"/>
        <v>-3.3071321261538249</v>
      </c>
      <c r="X29">
        <f>AU29*(AZ29+BA29)/1000</f>
        <v>-0.10831723240314552</v>
      </c>
      <c r="Y29">
        <f t="shared" si="8"/>
        <v>3.2752617153254722</v>
      </c>
      <c r="Z29">
        <f>(V29-AU29*(AZ29+BA29)/1000)</f>
        <v>3.4016907876473086</v>
      </c>
      <c r="AA29">
        <f t="shared" si="9"/>
        <v>-92.962745435942452</v>
      </c>
      <c r="AB29">
        <f>2*29.3*P29*0.92*(BB29-U29)</f>
        <v>-11.962760358031394</v>
      </c>
      <c r="AC29">
        <f>2*0.95*0.0000000567*(((BB29+$B$7)+273)^4-(U29+273)^4)</f>
        <v>-1.0649538518655588</v>
      </c>
      <c r="AD29">
        <f t="shared" si="10"/>
        <v>-105.87175271174104</v>
      </c>
      <c r="AE29">
        <v>22</v>
      </c>
      <c r="AF29">
        <v>4</v>
      </c>
      <c r="AG29">
        <f t="shared" si="11"/>
        <v>1</v>
      </c>
      <c r="AH29">
        <f t="shared" si="12"/>
        <v>0</v>
      </c>
      <c r="AI29">
        <f t="shared" si="13"/>
        <v>25667.51406487593</v>
      </c>
      <c r="AJ29">
        <f t="shared" si="14"/>
        <v>0.62117704918032779</v>
      </c>
      <c r="AK29">
        <f t="shared" si="15"/>
        <v>0.49694163934426228</v>
      </c>
      <c r="AL29">
        <f t="shared" si="16"/>
        <v>0.8</v>
      </c>
      <c r="AM29">
        <f t="shared" si="17"/>
        <v>0.19109999999999999</v>
      </c>
      <c r="AN29">
        <v>3</v>
      </c>
      <c r="AO29">
        <v>0.5</v>
      </c>
      <c r="AP29" t="s">
        <v>317</v>
      </c>
      <c r="AQ29">
        <v>2</v>
      </c>
      <c r="AR29">
        <v>1775464758.1000011</v>
      </c>
      <c r="AS29">
        <v>18.193082459016399</v>
      </c>
      <c r="AT29">
        <v>16.28456557377049</v>
      </c>
      <c r="AU29">
        <v>-1.0825529508196721</v>
      </c>
      <c r="AV29">
        <v>-2.347000983606558</v>
      </c>
      <c r="AW29">
        <v>9.7300824590163941</v>
      </c>
      <c r="AX29">
        <v>-1.1440009836065581</v>
      </c>
      <c r="AY29">
        <v>500.68031147540978</v>
      </c>
      <c r="AZ29">
        <v>100.0116557377049</v>
      </c>
      <c r="BA29">
        <v>4.5558388524590182E-2</v>
      </c>
      <c r="BB29">
        <v>25.497716393442619</v>
      </c>
      <c r="BC29">
        <v>25.59059344262295</v>
      </c>
      <c r="BD29">
        <v>999.9</v>
      </c>
      <c r="BE29">
        <v>0</v>
      </c>
      <c r="BF29">
        <v>0</v>
      </c>
      <c r="BG29">
        <v>5002.2131147540986</v>
      </c>
      <c r="BH29">
        <v>0.62117704918032779</v>
      </c>
      <c r="BI29">
        <v>180.40268852459019</v>
      </c>
      <c r="BJ29">
        <v>1.8977418442622951</v>
      </c>
      <c r="BK29">
        <v>18.139645901639341</v>
      </c>
      <c r="BL29">
        <v>16.26693606557377</v>
      </c>
      <c r="BM29">
        <v>-1.276039403278689</v>
      </c>
      <c r="BN29">
        <v>16.28456557377049</v>
      </c>
      <c r="BO29">
        <v>-1.0825529508196721</v>
      </c>
      <c r="BP29">
        <v>-0.2358866557377049</v>
      </c>
      <c r="BQ29">
        <v>-0.1082678196721312</v>
      </c>
      <c r="BR29">
        <v>-99.899999999999963</v>
      </c>
      <c r="BS29">
        <v>-99.899999999999963</v>
      </c>
      <c r="BT29">
        <v>1775464799.0999999</v>
      </c>
      <c r="BU29" t="s">
        <v>362</v>
      </c>
      <c r="BV29">
        <v>1775464799.0999999</v>
      </c>
      <c r="BW29">
        <v>1775464795.5999999</v>
      </c>
      <c r="BX29">
        <v>14</v>
      </c>
      <c r="BY29">
        <v>1.0999999999999999E-2</v>
      </c>
      <c r="BZ29">
        <v>1.2E-2</v>
      </c>
      <c r="CA29">
        <v>8.4629999999999992</v>
      </c>
      <c r="CB29">
        <v>-1.2030000000000001</v>
      </c>
      <c r="CC29">
        <v>15</v>
      </c>
      <c r="CD29">
        <v>-1</v>
      </c>
      <c r="CE29">
        <v>0.21</v>
      </c>
      <c r="CF29">
        <v>0.04</v>
      </c>
      <c r="CG29">
        <v>16.284366666666671</v>
      </c>
      <c r="CH29">
        <v>-5.5962671853292321</v>
      </c>
      <c r="CI29">
        <v>1.0968550084471309</v>
      </c>
      <c r="CJ29">
        <v>-1</v>
      </c>
      <c r="CK29">
        <v>500.69139999999999</v>
      </c>
      <c r="CL29">
        <v>-6.5744529035841124</v>
      </c>
      <c r="CM29">
        <v>1.3646350452288201</v>
      </c>
      <c r="CN29">
        <v>-1</v>
      </c>
      <c r="CO29">
        <v>0</v>
      </c>
      <c r="CP29">
        <v>0</v>
      </c>
      <c r="CQ29" t="s">
        <v>319</v>
      </c>
      <c r="CR29">
        <v>3.1675499999999999</v>
      </c>
      <c r="CS29">
        <v>2.6656200000000001</v>
      </c>
      <c r="CT29">
        <v>2.5630000000000002E-3</v>
      </c>
      <c r="CU29">
        <v>4.9200499999999996E-3</v>
      </c>
      <c r="CV29">
        <v>-1.1239499999999999E-2</v>
      </c>
      <c r="CW29">
        <v>-9.7044899999999996E-3</v>
      </c>
      <c r="CX29">
        <v>21527</v>
      </c>
      <c r="CY29">
        <v>21837.200000000001</v>
      </c>
      <c r="CZ29">
        <v>23111</v>
      </c>
      <c r="DA29">
        <v>22298.2</v>
      </c>
      <c r="DB29">
        <v>30139.200000000001</v>
      </c>
      <c r="DC29">
        <v>26857.8</v>
      </c>
      <c r="DD29">
        <v>40621.300000000003</v>
      </c>
      <c r="DE29">
        <v>36962.699999999997</v>
      </c>
      <c r="DF29">
        <v>2.0679799999999999</v>
      </c>
      <c r="DG29">
        <v>1.7840800000000001</v>
      </c>
      <c r="DH29">
        <v>-2.16633E-2</v>
      </c>
      <c r="DI29">
        <v>0</v>
      </c>
      <c r="DJ29">
        <v>25.941800000000001</v>
      </c>
      <c r="DK29">
        <v>999.9</v>
      </c>
      <c r="DL29">
        <v>75</v>
      </c>
      <c r="DM29">
        <v>31.2</v>
      </c>
      <c r="DN29">
        <v>34.218699999999998</v>
      </c>
      <c r="DO29">
        <v>30.59</v>
      </c>
      <c r="DP29">
        <v>10.681100000000001</v>
      </c>
      <c r="DQ29">
        <v>1</v>
      </c>
      <c r="DR29">
        <v>0.22328899999999999</v>
      </c>
      <c r="DS29">
        <v>1.0274700000000001</v>
      </c>
      <c r="DT29">
        <v>20.3644</v>
      </c>
      <c r="DU29">
        <v>5.2084200000000003</v>
      </c>
      <c r="DV29">
        <v>11.851800000000001</v>
      </c>
      <c r="DW29">
        <v>4.9672799999999997</v>
      </c>
      <c r="DX29">
        <v>3.2920799999999999</v>
      </c>
      <c r="DY29">
        <v>894.7</v>
      </c>
      <c r="DZ29">
        <v>0</v>
      </c>
      <c r="EA29">
        <v>324.39999999999998</v>
      </c>
      <c r="EB29">
        <v>106.9</v>
      </c>
      <c r="EC29">
        <v>4.9716399999999998</v>
      </c>
      <c r="ED29">
        <v>1.8717999999999999</v>
      </c>
      <c r="EE29">
        <v>1.8690500000000001</v>
      </c>
      <c r="EF29">
        <v>1.8714299999999999</v>
      </c>
      <c r="EG29">
        <v>1.8692</v>
      </c>
      <c r="EH29">
        <v>1.8681300000000001</v>
      </c>
      <c r="EI29">
        <v>1.86995</v>
      </c>
      <c r="EJ29">
        <v>1.87174</v>
      </c>
      <c r="EK29">
        <v>0</v>
      </c>
      <c r="EL29">
        <v>0</v>
      </c>
      <c r="EM29">
        <v>0</v>
      </c>
      <c r="EN29">
        <v>0</v>
      </c>
      <c r="EO29" t="s">
        <v>320</v>
      </c>
      <c r="EP29" t="s">
        <v>321</v>
      </c>
      <c r="EQ29" t="s">
        <v>322</v>
      </c>
      <c r="ER29" t="s">
        <v>322</v>
      </c>
      <c r="ES29" t="s">
        <v>322</v>
      </c>
      <c r="ET29" t="s">
        <v>322</v>
      </c>
      <c r="EU29">
        <v>0</v>
      </c>
      <c r="EV29">
        <v>100</v>
      </c>
      <c r="EW29">
        <v>100</v>
      </c>
      <c r="EX29">
        <v>8.4629999999999992</v>
      </c>
      <c r="EY29">
        <v>-1.2030000000000001</v>
      </c>
      <c r="EZ29">
        <v>8.4522134999999992</v>
      </c>
      <c r="FA29">
        <v>0</v>
      </c>
      <c r="FB29">
        <v>0</v>
      </c>
      <c r="FC29">
        <v>0</v>
      </c>
      <c r="FD29">
        <v>-1.2145909500000001</v>
      </c>
      <c r="FE29">
        <v>0</v>
      </c>
      <c r="FF29">
        <v>0</v>
      </c>
      <c r="FG29">
        <v>0</v>
      </c>
      <c r="FH29">
        <v>-1</v>
      </c>
      <c r="FI29">
        <v>-1</v>
      </c>
      <c r="FJ29">
        <v>-1</v>
      </c>
      <c r="FK29">
        <v>-1</v>
      </c>
      <c r="FL29">
        <v>0.7</v>
      </c>
      <c r="FM29">
        <v>0.5</v>
      </c>
      <c r="FN29">
        <v>0.142822</v>
      </c>
      <c r="FO29">
        <v>4.99756</v>
      </c>
      <c r="FP29">
        <v>1.5979000000000001</v>
      </c>
      <c r="FQ29">
        <v>2.1557599999999999</v>
      </c>
      <c r="FR29">
        <v>1.5478499999999999</v>
      </c>
      <c r="FS29">
        <v>2.4377399999999998</v>
      </c>
      <c r="FT29">
        <v>34.554900000000004</v>
      </c>
      <c r="FU29">
        <v>15.988300000000001</v>
      </c>
      <c r="FV29">
        <v>2</v>
      </c>
      <c r="FW29">
        <v>488.15600000000001</v>
      </c>
      <c r="FX29">
        <v>397.89400000000001</v>
      </c>
      <c r="FY29">
        <v>25.378</v>
      </c>
      <c r="FZ29">
        <v>30.0015</v>
      </c>
      <c r="GA29">
        <v>30</v>
      </c>
      <c r="GB29">
        <v>30.316400000000002</v>
      </c>
      <c r="GC29">
        <v>30.3748</v>
      </c>
      <c r="GD29">
        <v>-1</v>
      </c>
      <c r="GE29">
        <v>0</v>
      </c>
      <c r="GF29">
        <v>100</v>
      </c>
      <c r="GG29">
        <v>25.3796</v>
      </c>
      <c r="GH29">
        <v>432.1</v>
      </c>
      <c r="GI29">
        <v>78.840199999999996</v>
      </c>
      <c r="GJ29">
        <v>102.246</v>
      </c>
      <c r="GK29">
        <v>96.440700000000007</v>
      </c>
    </row>
    <row r="30" spans="1:193" x14ac:dyDescent="0.35">
      <c r="A30">
        <v>14</v>
      </c>
      <c r="B30">
        <v>1775464833.5999999</v>
      </c>
      <c r="C30">
        <v>877.5</v>
      </c>
      <c r="D30" t="s">
        <v>363</v>
      </c>
      <c r="E30" t="s">
        <v>364</v>
      </c>
      <c r="F30">
        <v>30</v>
      </c>
      <c r="G30">
        <v>1775464818.3500011</v>
      </c>
      <c r="H30">
        <f t="shared" si="0"/>
        <v>2.0478572867626021E-3</v>
      </c>
      <c r="I30">
        <f>1000*AY30*AG30*(AU30-AV30)/(100*AN30*(1000-AG30*AU30))</f>
        <v>2.0478572867626021</v>
      </c>
      <c r="J30">
        <f>AY30*AG30*(AT30-AS30*(1000-AG30*AV30)/(1000-AG30*AU30))/(100*AN30)</f>
        <v>-2.0146327435448437</v>
      </c>
      <c r="K30">
        <f t="shared" si="1"/>
        <v>16.772227833333329</v>
      </c>
      <c r="L30">
        <f t="shared" si="2"/>
        <v>68.885491400173166</v>
      </c>
      <c r="M30">
        <f>L30*(AZ30+BA30)/1000</f>
        <v>6.8924395467652033</v>
      </c>
      <c r="N30">
        <f>(AS30 - IF(AG30&gt;1, J30*AN30*100/(AI30), 0))*(AZ30+BA30)/1000</f>
        <v>1.67817001891246</v>
      </c>
      <c r="O30">
        <f t="shared" si="3"/>
        <v>5.9866044397450073E-2</v>
      </c>
      <c r="P30">
        <f>IF(LEFT(AP30,1)&lt;&gt;"0",IF(LEFT(AP30,1)="1",3,AQ30),$D$5+$E$5*(BG30*AZ30/($K$5*1000))+$F$5*(BG30*AZ30/($K$5*1000))*MAX(MIN(AN30,$J$5),$I$5)*MAX(MIN(AN30,$J$5),$I$5)+$G$5*MAX(MIN(AN30,$J$5),$I$5)*(BG30*AZ30/($K$5*1000))+$H$5*(BG30*AZ30/($K$5*1000))*(BG30*AZ30/($K$5*1000)))</f>
        <v>2.3878666498530383</v>
      </c>
      <c r="Q30">
        <f>H30*(1000-(1000*0.61365*EXP(17.502*U30/(240.97+U30))/(AZ30+BA30)+AU30)/2)/(1000*0.61365*EXP(17.502*U30/(240.97+U30))/(AZ30+BA30)-AU30)</f>
        <v>5.9044560541193211E-2</v>
      </c>
      <c r="R30">
        <f t="shared" si="4"/>
        <v>3.6975718260735903E-2</v>
      </c>
      <c r="S30">
        <f t="shared" si="5"/>
        <v>0.12541863379499998</v>
      </c>
      <c r="T30">
        <f>(BB30+(S30+2*0.95*0.0000000567*(((BB30+$B$7)+273)^4-(BB30+273)^4)-44100*H30)/(1.84*29.3*P30+8*0.95*0.0000000567*(BB30+273)^3))</f>
        <v>24.857809637105415</v>
      </c>
      <c r="U30">
        <f>($C$7*BC30+$D$7*BD30+$E$7*T30)</f>
        <v>25.598330000000001</v>
      </c>
      <c r="V30">
        <f t="shared" si="6"/>
        <v>3.2948861918984935</v>
      </c>
      <c r="W30">
        <f t="shared" si="7"/>
        <v>-3.6736564023440712</v>
      </c>
      <c r="X30">
        <f>AU30*(AZ30+BA30)/1000</f>
        <v>-0.12034596207463881</v>
      </c>
      <c r="Y30">
        <f t="shared" si="8"/>
        <v>3.2759177477199271</v>
      </c>
      <c r="Z30">
        <f>(V30-AU30*(AZ30+BA30)/1000)</f>
        <v>3.4152321539731325</v>
      </c>
      <c r="AA30">
        <f t="shared" si="9"/>
        <v>-90.310506346230753</v>
      </c>
      <c r="AB30">
        <f>2*29.3*P30*0.92*(BB30-U30)</f>
        <v>-12.518373560024308</v>
      </c>
      <c r="AC30">
        <f>2*0.95*0.0000000567*(((BB30+$B$7)+273)^4-(U30+273)^4)</f>
        <v>-1.1150619948879812</v>
      </c>
      <c r="AD30">
        <f t="shared" si="10"/>
        <v>-103.81852326734804</v>
      </c>
      <c r="AE30">
        <v>21</v>
      </c>
      <c r="AF30">
        <v>4</v>
      </c>
      <c r="AG30">
        <f t="shared" si="11"/>
        <v>1</v>
      </c>
      <c r="AH30">
        <f t="shared" si="12"/>
        <v>0</v>
      </c>
      <c r="AI30">
        <f t="shared" si="13"/>
        <v>25648.080954384106</v>
      </c>
      <c r="AJ30">
        <f t="shared" si="14"/>
        <v>0.65629844999999998</v>
      </c>
      <c r="AK30">
        <f t="shared" si="15"/>
        <v>0.52503876000000005</v>
      </c>
      <c r="AL30">
        <f t="shared" si="16"/>
        <v>0.8</v>
      </c>
      <c r="AM30">
        <f t="shared" si="17"/>
        <v>0.19109999999999999</v>
      </c>
      <c r="AN30">
        <v>3</v>
      </c>
      <c r="AO30">
        <v>0.5</v>
      </c>
      <c r="AP30" t="s">
        <v>317</v>
      </c>
      <c r="AQ30">
        <v>2</v>
      </c>
      <c r="AR30">
        <v>1775464818.3500011</v>
      </c>
      <c r="AS30">
        <v>16.772227833333329</v>
      </c>
      <c r="AT30">
        <v>15.58499833333333</v>
      </c>
      <c r="AU30">
        <v>-1.2027803333333329</v>
      </c>
      <c r="AV30">
        <v>-2.4319974000000002</v>
      </c>
      <c r="AW30">
        <v>8.2932278333333347</v>
      </c>
      <c r="AX30">
        <v>-1.2249973999999999</v>
      </c>
      <c r="AY30">
        <v>500.39666666666659</v>
      </c>
      <c r="AZ30">
        <v>100.0121</v>
      </c>
      <c r="BA30">
        <v>4.4376431666666667E-2</v>
      </c>
      <c r="BB30">
        <v>25.501088333333328</v>
      </c>
      <c r="BC30">
        <v>25.598330000000001</v>
      </c>
      <c r="BD30">
        <v>999.9</v>
      </c>
      <c r="BE30">
        <v>0</v>
      </c>
      <c r="BF30">
        <v>0</v>
      </c>
      <c r="BG30">
        <v>4998.9666666666662</v>
      </c>
      <c r="BH30">
        <v>0.65629844999999998</v>
      </c>
      <c r="BI30">
        <v>181.42386666666661</v>
      </c>
      <c r="BJ30">
        <v>1.171537433333333</v>
      </c>
      <c r="BK30">
        <v>16.715916666666661</v>
      </c>
      <c r="BL30">
        <v>15.56626333333333</v>
      </c>
      <c r="BM30">
        <v>-1.2252307833333329</v>
      </c>
      <c r="BN30">
        <v>15.58499833333333</v>
      </c>
      <c r="BO30">
        <v>-1.2027803333333329</v>
      </c>
      <c r="BP30">
        <v>-0.2428305</v>
      </c>
      <c r="BQ30">
        <v>-0.1202925333333333</v>
      </c>
      <c r="BR30">
        <v>-99.899999999999963</v>
      </c>
      <c r="BS30">
        <v>-99.899999999999963</v>
      </c>
      <c r="BT30">
        <v>1775464857.5999999</v>
      </c>
      <c r="BU30" t="s">
        <v>365</v>
      </c>
      <c r="BV30">
        <v>1775464851.5999999</v>
      </c>
      <c r="BW30">
        <v>1775464857.5999999</v>
      </c>
      <c r="BX30">
        <v>15</v>
      </c>
      <c r="BY30">
        <v>1.6E-2</v>
      </c>
      <c r="BZ30">
        <v>-4.0000000000000001E-3</v>
      </c>
      <c r="CA30">
        <v>8.4789999999999992</v>
      </c>
      <c r="CB30">
        <v>-1.2070000000000001</v>
      </c>
      <c r="CC30">
        <v>16</v>
      </c>
      <c r="CD30">
        <v>-1</v>
      </c>
      <c r="CE30">
        <v>0.28999999999999998</v>
      </c>
      <c r="CF30">
        <v>0.05</v>
      </c>
      <c r="CG30">
        <v>15.59640166666667</v>
      </c>
      <c r="CH30">
        <v>-3.0576796888024171</v>
      </c>
      <c r="CI30">
        <v>0.99323179444539655</v>
      </c>
      <c r="CJ30">
        <v>-1</v>
      </c>
      <c r="CK30">
        <v>500.46243333333331</v>
      </c>
      <c r="CL30">
        <v>-4.987445401499758</v>
      </c>
      <c r="CM30">
        <v>1.1900098090165301</v>
      </c>
      <c r="CN30">
        <v>-1</v>
      </c>
      <c r="CO30">
        <v>0</v>
      </c>
      <c r="CP30">
        <v>0</v>
      </c>
      <c r="CQ30" t="s">
        <v>319</v>
      </c>
      <c r="CR30">
        <v>3.1676000000000002</v>
      </c>
      <c r="CS30">
        <v>2.6657500000000001</v>
      </c>
      <c r="CT30">
        <v>2.3482300000000002E-3</v>
      </c>
      <c r="CU30">
        <v>4.1878799999999997E-3</v>
      </c>
      <c r="CV30">
        <v>-1.1093799999999999E-2</v>
      </c>
      <c r="CW30">
        <v>-1.02527E-2</v>
      </c>
      <c r="CX30">
        <v>21531.4</v>
      </c>
      <c r="CY30">
        <v>21854</v>
      </c>
      <c r="CZ30">
        <v>23110.7</v>
      </c>
      <c r="DA30">
        <v>22299</v>
      </c>
      <c r="DB30">
        <v>30134.6</v>
      </c>
      <c r="DC30">
        <v>26872.9</v>
      </c>
      <c r="DD30">
        <v>40620.9</v>
      </c>
      <c r="DE30">
        <v>36963.599999999999</v>
      </c>
      <c r="DF30">
        <v>2.0687000000000002</v>
      </c>
      <c r="DG30">
        <v>1.78352</v>
      </c>
      <c r="DH30">
        <v>-2.0065900000000001E-2</v>
      </c>
      <c r="DI30">
        <v>0</v>
      </c>
      <c r="DJ30">
        <v>25.936299999999999</v>
      </c>
      <c r="DK30">
        <v>999.9</v>
      </c>
      <c r="DL30">
        <v>75</v>
      </c>
      <c r="DM30">
        <v>31.2</v>
      </c>
      <c r="DN30">
        <v>34.217799999999997</v>
      </c>
      <c r="DO30">
        <v>30.41</v>
      </c>
      <c r="DP30">
        <v>10.4247</v>
      </c>
      <c r="DQ30">
        <v>1</v>
      </c>
      <c r="DR30">
        <v>0.22289800000000001</v>
      </c>
      <c r="DS30">
        <v>1.0759700000000001</v>
      </c>
      <c r="DT30">
        <v>20.364000000000001</v>
      </c>
      <c r="DU30">
        <v>5.2093800000000003</v>
      </c>
      <c r="DV30">
        <v>11.8497</v>
      </c>
      <c r="DW30">
        <v>4.9673999999999996</v>
      </c>
      <c r="DX30">
        <v>3.2922199999999999</v>
      </c>
      <c r="DY30">
        <v>894.7</v>
      </c>
      <c r="DZ30">
        <v>0</v>
      </c>
      <c r="EA30">
        <v>357.6</v>
      </c>
      <c r="EB30">
        <v>106.9</v>
      </c>
      <c r="EC30">
        <v>4.9715999999999996</v>
      </c>
      <c r="ED30">
        <v>1.8717999999999999</v>
      </c>
      <c r="EE30">
        <v>1.86904</v>
      </c>
      <c r="EF30">
        <v>1.87141</v>
      </c>
      <c r="EG30">
        <v>1.8692</v>
      </c>
      <c r="EH30">
        <v>1.8681300000000001</v>
      </c>
      <c r="EI30">
        <v>1.8699600000000001</v>
      </c>
      <c r="EJ30">
        <v>1.87174</v>
      </c>
      <c r="EK30">
        <v>0</v>
      </c>
      <c r="EL30">
        <v>0</v>
      </c>
      <c r="EM30">
        <v>0</v>
      </c>
      <c r="EN30">
        <v>0</v>
      </c>
      <c r="EO30" t="s">
        <v>320</v>
      </c>
      <c r="EP30" t="s">
        <v>321</v>
      </c>
      <c r="EQ30" t="s">
        <v>322</v>
      </c>
      <c r="ER30" t="s">
        <v>322</v>
      </c>
      <c r="ES30" t="s">
        <v>322</v>
      </c>
      <c r="ET30" t="s">
        <v>322</v>
      </c>
      <c r="EU30">
        <v>0</v>
      </c>
      <c r="EV30">
        <v>100</v>
      </c>
      <c r="EW30">
        <v>100</v>
      </c>
      <c r="EX30">
        <v>8.4789999999999992</v>
      </c>
      <c r="EY30">
        <v>-1.2070000000000001</v>
      </c>
      <c r="EZ30">
        <v>8.4633004761904758</v>
      </c>
      <c r="FA30">
        <v>0</v>
      </c>
      <c r="FB30">
        <v>0</v>
      </c>
      <c r="FC30">
        <v>0</v>
      </c>
      <c r="FD30">
        <v>-1.203013568</v>
      </c>
      <c r="FE30">
        <v>0</v>
      </c>
      <c r="FF30">
        <v>0</v>
      </c>
      <c r="FG30">
        <v>0</v>
      </c>
      <c r="FH30">
        <v>-1</v>
      </c>
      <c r="FI30">
        <v>-1</v>
      </c>
      <c r="FJ30">
        <v>-1</v>
      </c>
      <c r="FK30">
        <v>-1</v>
      </c>
      <c r="FL30">
        <v>0.6</v>
      </c>
      <c r="FM30">
        <v>0.6</v>
      </c>
      <c r="FN30">
        <v>0.142822</v>
      </c>
      <c r="FO30">
        <v>4.99756</v>
      </c>
      <c r="FP30">
        <v>1.5979000000000001</v>
      </c>
      <c r="FQ30">
        <v>2.1569799999999999</v>
      </c>
      <c r="FR30">
        <v>1.5478499999999999</v>
      </c>
      <c r="FS30">
        <v>2.4426299999999999</v>
      </c>
      <c r="FT30">
        <v>34.6006</v>
      </c>
      <c r="FU30">
        <v>15.997</v>
      </c>
      <c r="FV30">
        <v>2</v>
      </c>
      <c r="FW30">
        <v>488.56799999999998</v>
      </c>
      <c r="FX30">
        <v>397.58499999999998</v>
      </c>
      <c r="FY30">
        <v>25.386099999999999</v>
      </c>
      <c r="FZ30">
        <v>29.998899999999999</v>
      </c>
      <c r="GA30">
        <v>30</v>
      </c>
      <c r="GB30">
        <v>30.316400000000002</v>
      </c>
      <c r="GC30">
        <v>30.376000000000001</v>
      </c>
      <c r="GD30">
        <v>-1</v>
      </c>
      <c r="GE30">
        <v>0</v>
      </c>
      <c r="GF30">
        <v>100</v>
      </c>
      <c r="GG30">
        <v>25.3752</v>
      </c>
      <c r="GH30">
        <v>432.1</v>
      </c>
      <c r="GI30">
        <v>78.840199999999996</v>
      </c>
      <c r="GJ30">
        <v>102.245</v>
      </c>
      <c r="GK30">
        <v>96.443399999999997</v>
      </c>
    </row>
    <row r="31" spans="1:193" x14ac:dyDescent="0.35">
      <c r="A31">
        <v>15</v>
      </c>
      <c r="B31">
        <v>1775464893.5999999</v>
      </c>
      <c r="C31">
        <v>937.5</v>
      </c>
      <c r="D31" t="s">
        <v>366</v>
      </c>
      <c r="E31" t="s">
        <v>367</v>
      </c>
      <c r="F31">
        <v>30</v>
      </c>
      <c r="G31">
        <v>1775464878.1000011</v>
      </c>
      <c r="H31">
        <f t="shared" si="0"/>
        <v>2.1843846284069152E-3</v>
      </c>
      <c r="I31">
        <f>1000*AY31*AG31*(AU31-AV31)/(100*AN31*(1000-AG31*AU31))</f>
        <v>2.1843846284069151</v>
      </c>
      <c r="J31">
        <f>AY31*AG31*(AT31-AS31*(1000-AG31*AV31)/(1000-AG31*AU31))/(100*AN31)</f>
        <v>-2.9571099840327135</v>
      </c>
      <c r="K31">
        <f t="shared" si="1"/>
        <v>16.589150655737701</v>
      </c>
      <c r="L31">
        <f t="shared" si="2"/>
        <v>88.5407442673188</v>
      </c>
      <c r="M31">
        <f>L31*(AZ31+BA31)/1000</f>
        <v>8.8591427359616635</v>
      </c>
      <c r="N31">
        <f>(AS31 - IF(AG31&gt;1, J31*AN31*100/(AI31), 0))*(AZ31+BA31)/1000</f>
        <v>1.6598646729672755</v>
      </c>
      <c r="O31">
        <f t="shared" si="3"/>
        <v>6.4008953607338645E-2</v>
      </c>
      <c r="P31">
        <f>IF(LEFT(AP31,1)&lt;&gt;"0",IF(LEFT(AP31,1)="1",3,AQ31),$D$5+$E$5*(BG31*AZ31/($K$5*1000))+$F$5*(BG31*AZ31/($K$5*1000))*MAX(MIN(AN31,$J$5),$I$5)*MAX(MIN(AN31,$J$5),$I$5)+$G$5*MAX(MIN(AN31,$J$5),$I$5)*(BG31*AZ31/($K$5*1000))+$H$5*(BG31*AZ31/($K$5*1000))*(BG31*AZ31/($K$5*1000)))</f>
        <v>2.3897270487667113</v>
      </c>
      <c r="Q31">
        <f>H31*(1000-(1000*0.61365*EXP(17.502*U31/(240.97+U31))/(AZ31+BA31)+AU31)/2)/(1000*0.61365*EXP(17.502*U31/(240.97+U31))/(AZ31+BA31)-AU31)</f>
        <v>6.3071516854985132E-2</v>
      </c>
      <c r="R31">
        <f t="shared" si="4"/>
        <v>3.9502779273359254E-2</v>
      </c>
      <c r="S31">
        <f t="shared" si="5"/>
        <v>0.12699935519508196</v>
      </c>
      <c r="T31">
        <f>(BB31+(S31+2*0.95*0.0000000567*(((BB31+$B$7)+273)^4-(BB31+273)^4)-44100*H31)/(1.84*29.3*P31+8*0.95*0.0000000567*(BB31+273)^3))</f>
        <v>24.813856637633748</v>
      </c>
      <c r="U31">
        <f>($C$7*BC31+$D$7*BD31+$E$7*T31)</f>
        <v>25.5955737704918</v>
      </c>
      <c r="V31">
        <f t="shared" si="6"/>
        <v>3.2943472296835856</v>
      </c>
      <c r="W31">
        <f t="shared" si="7"/>
        <v>-3.5395185120776391</v>
      </c>
      <c r="X31">
        <f>AU31*(AZ31+BA31)/1000</f>
        <v>-0.11594132995203066</v>
      </c>
      <c r="Y31">
        <f t="shared" si="8"/>
        <v>3.2756243414580983</v>
      </c>
      <c r="Z31">
        <f>(V31-AU31*(AZ31+BA31)/1000)</f>
        <v>3.4102885596356165</v>
      </c>
      <c r="AA31">
        <f t="shared" si="9"/>
        <v>-96.331362112744955</v>
      </c>
      <c r="AB31">
        <f>2*29.3*P31*0.92*(BB31-U31)</f>
        <v>-12.367311787258405</v>
      </c>
      <c r="AC31">
        <f>2*0.95*0.0000000567*(((BB31+$B$7)+273)^4-(U31+273)^4)</f>
        <v>-1.1007251311546355</v>
      </c>
      <c r="AD31">
        <f t="shared" si="10"/>
        <v>-109.67239967596291</v>
      </c>
      <c r="AE31">
        <v>21</v>
      </c>
      <c r="AF31">
        <v>4</v>
      </c>
      <c r="AG31">
        <f t="shared" si="11"/>
        <v>1</v>
      </c>
      <c r="AH31">
        <f t="shared" si="12"/>
        <v>0</v>
      </c>
      <c r="AI31">
        <f t="shared" si="13"/>
        <v>25676.619262766384</v>
      </c>
      <c r="AJ31">
        <f t="shared" si="14"/>
        <v>0.66457014754098365</v>
      </c>
      <c r="AK31">
        <f t="shared" si="15"/>
        <v>0.5316561180327869</v>
      </c>
      <c r="AL31">
        <f t="shared" si="16"/>
        <v>0.8</v>
      </c>
      <c r="AM31">
        <f t="shared" si="17"/>
        <v>0.19109999999999999</v>
      </c>
      <c r="AN31">
        <v>3</v>
      </c>
      <c r="AO31">
        <v>0.5</v>
      </c>
      <c r="AP31" t="s">
        <v>317</v>
      </c>
      <c r="AQ31">
        <v>2</v>
      </c>
      <c r="AR31">
        <v>1775464878.1000011</v>
      </c>
      <c r="AS31">
        <v>16.589150655737701</v>
      </c>
      <c r="AT31">
        <v>14.83753442622951</v>
      </c>
      <c r="AU31">
        <v>-1.1587499999999999</v>
      </c>
      <c r="AV31">
        <v>-2.4702199999999999</v>
      </c>
      <c r="AW31">
        <v>8.0901506557377054</v>
      </c>
      <c r="AX31">
        <v>-1.26722</v>
      </c>
      <c r="AY31">
        <v>500.25904918032779</v>
      </c>
      <c r="AZ31">
        <v>100.01290163934419</v>
      </c>
      <c r="BA31">
        <v>4.4341037704918027E-2</v>
      </c>
      <c r="BB31">
        <v>25.499580327868848</v>
      </c>
      <c r="BC31">
        <v>25.5955737704918</v>
      </c>
      <c r="BD31">
        <v>999.9</v>
      </c>
      <c r="BE31">
        <v>0</v>
      </c>
      <c r="BF31">
        <v>0</v>
      </c>
      <c r="BG31">
        <v>5003.7213114754086</v>
      </c>
      <c r="BH31">
        <v>0.66457014754098365</v>
      </c>
      <c r="BI31">
        <v>182.6821639344262</v>
      </c>
      <c r="BJ31">
        <v>1.731808872131148</v>
      </c>
      <c r="BK31">
        <v>16.52844754098361</v>
      </c>
      <c r="BL31">
        <v>14.82038032786885</v>
      </c>
      <c r="BM31">
        <v>-1.3157478688524591</v>
      </c>
      <c r="BN31">
        <v>14.83753442622951</v>
      </c>
      <c r="BO31">
        <v>-1.1587499999999999</v>
      </c>
      <c r="BP31">
        <v>-0.2474819836065574</v>
      </c>
      <c r="BQ31">
        <v>-0.1158900491803279</v>
      </c>
      <c r="BR31">
        <v>-99.899999999999963</v>
      </c>
      <c r="BS31">
        <v>-99.899999999999963</v>
      </c>
      <c r="BT31">
        <v>1775464920.0999999</v>
      </c>
      <c r="BU31" t="s">
        <v>368</v>
      </c>
      <c r="BV31">
        <v>1775464920.0999999</v>
      </c>
      <c r="BW31">
        <v>1775464916.5999999</v>
      </c>
      <c r="BX31">
        <v>16</v>
      </c>
      <c r="BY31">
        <v>0.02</v>
      </c>
      <c r="BZ31">
        <v>4.0000000000000001E-3</v>
      </c>
      <c r="CA31">
        <v>8.4990000000000006</v>
      </c>
      <c r="CB31">
        <v>-1.2030000000000001</v>
      </c>
      <c r="CC31">
        <v>16</v>
      </c>
      <c r="CD31">
        <v>-1</v>
      </c>
      <c r="CE31">
        <v>0.7</v>
      </c>
      <c r="CF31">
        <v>0.04</v>
      </c>
      <c r="CG31">
        <v>14.852826666666671</v>
      </c>
      <c r="CH31">
        <v>-8.4422970825228916</v>
      </c>
      <c r="CI31">
        <v>1.49427079271314</v>
      </c>
      <c r="CJ31">
        <v>-1</v>
      </c>
      <c r="CK31">
        <v>500.26398333333327</v>
      </c>
      <c r="CL31">
        <v>-2.9622528480133639</v>
      </c>
      <c r="CM31">
        <v>0.86512054057352328</v>
      </c>
      <c r="CN31">
        <v>-1</v>
      </c>
      <c r="CO31">
        <v>0</v>
      </c>
      <c r="CP31">
        <v>0</v>
      </c>
      <c r="CQ31" t="s">
        <v>319</v>
      </c>
      <c r="CR31">
        <v>3.16751</v>
      </c>
      <c r="CS31">
        <v>2.6652900000000002</v>
      </c>
      <c r="CT31">
        <v>2.0552999999999999E-3</v>
      </c>
      <c r="CU31">
        <v>4.1562200000000004E-3</v>
      </c>
      <c r="CV31">
        <v>-1.12909E-2</v>
      </c>
      <c r="CW31">
        <v>-1.03274E-2</v>
      </c>
      <c r="CX31">
        <v>21537.5</v>
      </c>
      <c r="CY31">
        <v>21854.7</v>
      </c>
      <c r="CZ31">
        <v>23110.6</v>
      </c>
      <c r="DA31">
        <v>22299</v>
      </c>
      <c r="DB31">
        <v>30140.3</v>
      </c>
      <c r="DC31">
        <v>26875.1</v>
      </c>
      <c r="DD31">
        <v>40620.699999999997</v>
      </c>
      <c r="DE31">
        <v>36963.800000000003</v>
      </c>
      <c r="DF31">
        <v>2.0683400000000001</v>
      </c>
      <c r="DG31">
        <v>1.7845800000000001</v>
      </c>
      <c r="DH31">
        <v>-2.27481E-2</v>
      </c>
      <c r="DI31">
        <v>0</v>
      </c>
      <c r="DJ31">
        <v>25.971399999999999</v>
      </c>
      <c r="DK31">
        <v>999.9</v>
      </c>
      <c r="DL31">
        <v>75.099999999999994</v>
      </c>
      <c r="DM31">
        <v>31.2</v>
      </c>
      <c r="DN31">
        <v>34.2652</v>
      </c>
      <c r="DO31">
        <v>30.29</v>
      </c>
      <c r="DP31">
        <v>10.336499999999999</v>
      </c>
      <c r="DQ31">
        <v>1</v>
      </c>
      <c r="DR31">
        <v>0.22276399999999999</v>
      </c>
      <c r="DS31">
        <v>1.0385899999999999</v>
      </c>
      <c r="DT31">
        <v>20.3645</v>
      </c>
      <c r="DU31">
        <v>5.20974</v>
      </c>
      <c r="DV31">
        <v>11.850899999999999</v>
      </c>
      <c r="DW31">
        <v>4.9674399999999999</v>
      </c>
      <c r="DX31">
        <v>3.2922600000000002</v>
      </c>
      <c r="DY31">
        <v>894.7</v>
      </c>
      <c r="DZ31">
        <v>0</v>
      </c>
      <c r="EA31">
        <v>391.2</v>
      </c>
      <c r="EB31">
        <v>106.9</v>
      </c>
      <c r="EC31">
        <v>4.9716199999999997</v>
      </c>
      <c r="ED31">
        <v>1.8717999999999999</v>
      </c>
      <c r="EE31">
        <v>1.8690500000000001</v>
      </c>
      <c r="EF31">
        <v>1.87141</v>
      </c>
      <c r="EG31">
        <v>1.8692</v>
      </c>
      <c r="EH31">
        <v>1.8681099999999999</v>
      </c>
      <c r="EI31">
        <v>1.8699600000000001</v>
      </c>
      <c r="EJ31">
        <v>1.8717900000000001</v>
      </c>
      <c r="EK31">
        <v>0</v>
      </c>
      <c r="EL31">
        <v>0</v>
      </c>
      <c r="EM31">
        <v>0</v>
      </c>
      <c r="EN31">
        <v>0</v>
      </c>
      <c r="EO31" t="s">
        <v>320</v>
      </c>
      <c r="EP31" t="s">
        <v>321</v>
      </c>
      <c r="EQ31" t="s">
        <v>322</v>
      </c>
      <c r="ER31" t="s">
        <v>322</v>
      </c>
      <c r="ES31" t="s">
        <v>322</v>
      </c>
      <c r="ET31" t="s">
        <v>322</v>
      </c>
      <c r="EU31">
        <v>0</v>
      </c>
      <c r="EV31">
        <v>100</v>
      </c>
      <c r="EW31">
        <v>100</v>
      </c>
      <c r="EX31">
        <v>8.4990000000000006</v>
      </c>
      <c r="EY31">
        <v>-1.2030000000000001</v>
      </c>
      <c r="EZ31">
        <v>8.4791975000000015</v>
      </c>
      <c r="FA31">
        <v>0</v>
      </c>
      <c r="FB31">
        <v>0</v>
      </c>
      <c r="FC31">
        <v>0</v>
      </c>
      <c r="FD31">
        <v>-1.2072785699999999</v>
      </c>
      <c r="FE31">
        <v>0</v>
      </c>
      <c r="FF31">
        <v>0</v>
      </c>
      <c r="FG31">
        <v>0</v>
      </c>
      <c r="FH31">
        <v>-1</v>
      </c>
      <c r="FI31">
        <v>-1</v>
      </c>
      <c r="FJ31">
        <v>-1</v>
      </c>
      <c r="FK31">
        <v>-1</v>
      </c>
      <c r="FL31">
        <v>0.7</v>
      </c>
      <c r="FM31">
        <v>0.6</v>
      </c>
      <c r="FN31">
        <v>0.142822</v>
      </c>
      <c r="FO31">
        <v>4.99756</v>
      </c>
      <c r="FP31">
        <v>1.5979000000000001</v>
      </c>
      <c r="FQ31">
        <v>2.1569799999999999</v>
      </c>
      <c r="FR31">
        <v>1.5478499999999999</v>
      </c>
      <c r="FS31">
        <v>2.3901400000000002</v>
      </c>
      <c r="FT31">
        <v>34.669199999999996</v>
      </c>
      <c r="FU31">
        <v>15.988300000000001</v>
      </c>
      <c r="FV31">
        <v>2</v>
      </c>
      <c r="FW31">
        <v>488.36200000000002</v>
      </c>
      <c r="FX31">
        <v>398.185</v>
      </c>
      <c r="FY31">
        <v>25.3703</v>
      </c>
      <c r="FZ31">
        <v>29.998899999999999</v>
      </c>
      <c r="GA31">
        <v>30.0001</v>
      </c>
      <c r="GB31">
        <v>30.316400000000002</v>
      </c>
      <c r="GC31">
        <v>30.376000000000001</v>
      </c>
      <c r="GD31">
        <v>-1</v>
      </c>
      <c r="GE31">
        <v>0</v>
      </c>
      <c r="GF31">
        <v>100</v>
      </c>
      <c r="GG31">
        <v>25.3672</v>
      </c>
      <c r="GH31">
        <v>432.1</v>
      </c>
      <c r="GI31">
        <v>78.840199999999996</v>
      </c>
      <c r="GJ31">
        <v>102.244</v>
      </c>
      <c r="GK31">
        <v>96.443799999999996</v>
      </c>
    </row>
    <row r="32" spans="1:193" x14ac:dyDescent="0.35">
      <c r="A32">
        <v>16</v>
      </c>
      <c r="B32">
        <v>1775464953.5999999</v>
      </c>
      <c r="C32">
        <v>997.5</v>
      </c>
      <c r="D32" t="s">
        <v>369</v>
      </c>
      <c r="E32" t="s">
        <v>370</v>
      </c>
      <c r="F32">
        <v>30</v>
      </c>
      <c r="G32">
        <v>1775464938.3500011</v>
      </c>
      <c r="H32">
        <f t="shared" si="0"/>
        <v>2.0812281237306196E-3</v>
      </c>
      <c r="I32">
        <f>1000*AY32*AG32*(AU32-AV32)/(100*AN32*(1000-AG32*AU32))</f>
        <v>2.0812281237306194</v>
      </c>
      <c r="J32">
        <f>AY32*AG32*(AT32-AS32*(1000-AG32*AV32)/(1000-AG32*AU32))/(100*AN32)</f>
        <v>-2.212750149266498</v>
      </c>
      <c r="K32">
        <f t="shared" si="1"/>
        <v>16.50735633333333</v>
      </c>
      <c r="L32">
        <f t="shared" si="2"/>
        <v>72.853555783992988</v>
      </c>
      <c r="M32">
        <f>L32*(AZ32+BA32)/1000</f>
        <v>7.2894073408036455</v>
      </c>
      <c r="N32">
        <f>(AS32 - IF(AG32&gt;1, J32*AN32*100/(AI32), 0))*(AZ32+BA32)/1000</f>
        <v>1.6516536926520144</v>
      </c>
      <c r="O32">
        <f t="shared" si="3"/>
        <v>6.0922281857812087E-2</v>
      </c>
      <c r="P32">
        <f>IF(LEFT(AP32,1)&lt;&gt;"0",IF(LEFT(AP32,1)="1",3,AQ32),$D$5+$E$5*(BG32*AZ32/($K$5*1000))+$F$5*(BG32*AZ32/($K$5*1000))*MAX(MIN(AN32,$J$5),$I$5)*MAX(MIN(AN32,$J$5),$I$5)+$G$5*MAX(MIN(AN32,$J$5),$I$5)*(BG32*AZ32/($K$5*1000))+$H$5*(BG32*AZ32/($K$5*1000))*(BG32*AZ32/($K$5*1000)))</f>
        <v>2.3878475786321767</v>
      </c>
      <c r="Q32">
        <f>H32*(1000-(1000*0.61365*EXP(17.502*U32/(240.97+U32))/(AZ32+BA32)+AU32)/2)/(1000*0.61365*EXP(17.502*U32/(240.97+U32))/(AZ32+BA32)-AU32)</f>
        <v>6.0071770195833103E-2</v>
      </c>
      <c r="R32">
        <f t="shared" si="4"/>
        <v>3.762028225865164E-2</v>
      </c>
      <c r="S32">
        <f t="shared" si="5"/>
        <v>0.12289276317499999</v>
      </c>
      <c r="T32">
        <f>(BB32+(S32+2*0.95*0.0000000567*(((BB32+$B$7)+273)^4-(BB32+273)^4)-44100*H32)/(1.84*29.3*P32+8*0.95*0.0000000567*(BB32+273)^3))</f>
        <v>24.843791161454842</v>
      </c>
      <c r="U32">
        <f>($C$7*BC32+$D$7*BD32+$E$7*T32)</f>
        <v>25.594035000000002</v>
      </c>
      <c r="V32">
        <f t="shared" si="6"/>
        <v>3.2940463669253917</v>
      </c>
      <c r="W32">
        <f t="shared" si="7"/>
        <v>-3.5851324675408809</v>
      </c>
      <c r="X32">
        <f>AU32*(AZ32+BA32)/1000</f>
        <v>-0.11742160124979883</v>
      </c>
      <c r="Y32">
        <f t="shared" si="8"/>
        <v>3.2752374511377771</v>
      </c>
      <c r="Z32">
        <f>(V32-AU32*(AZ32+BA32)/1000)</f>
        <v>3.4114679681751907</v>
      </c>
      <c r="AA32">
        <f t="shared" si="9"/>
        <v>-91.782160256520328</v>
      </c>
      <c r="AB32">
        <f>2*29.3*P32*0.92*(BB32-U32)</f>
        <v>-12.415501224423824</v>
      </c>
      <c r="AC32">
        <f>2*0.95*0.0000000567*(((BB32+$B$7)+273)^4-(U32+273)^4)</f>
        <v>-1.1058642803244063</v>
      </c>
      <c r="AD32">
        <f t="shared" si="10"/>
        <v>-105.18063299809356</v>
      </c>
      <c r="AE32">
        <v>22</v>
      </c>
      <c r="AF32">
        <v>4</v>
      </c>
      <c r="AG32">
        <f t="shared" si="11"/>
        <v>1</v>
      </c>
      <c r="AH32">
        <f t="shared" si="12"/>
        <v>0</v>
      </c>
      <c r="AI32">
        <f t="shared" si="13"/>
        <v>25648.14260653676</v>
      </c>
      <c r="AJ32">
        <f t="shared" si="14"/>
        <v>0.64308091666666667</v>
      </c>
      <c r="AK32">
        <f t="shared" si="15"/>
        <v>0.51446473333333331</v>
      </c>
      <c r="AL32">
        <f t="shared" si="16"/>
        <v>0.8</v>
      </c>
      <c r="AM32">
        <f t="shared" si="17"/>
        <v>0.19109999999999999</v>
      </c>
      <c r="AN32">
        <v>3</v>
      </c>
      <c r="AO32">
        <v>0.5</v>
      </c>
      <c r="AP32" t="s">
        <v>317</v>
      </c>
      <c r="AQ32">
        <v>2</v>
      </c>
      <c r="AR32">
        <v>1775464938.3500011</v>
      </c>
      <c r="AS32">
        <v>16.50735633333333</v>
      </c>
      <c r="AT32">
        <v>15.201711666666659</v>
      </c>
      <c r="AU32">
        <v>-1.173563333333334</v>
      </c>
      <c r="AV32">
        <v>-2.4224341333333328</v>
      </c>
      <c r="AW32">
        <v>8.0403563333333334</v>
      </c>
      <c r="AX32">
        <v>-1.2184341333333331</v>
      </c>
      <c r="AY32">
        <v>500.53309999999999</v>
      </c>
      <c r="AZ32">
        <v>100.01078333333341</v>
      </c>
      <c r="BA32">
        <v>4.4831830000000003E-2</v>
      </c>
      <c r="BB32">
        <v>25.497591666666668</v>
      </c>
      <c r="BC32">
        <v>25.594035000000002</v>
      </c>
      <c r="BD32">
        <v>999.9</v>
      </c>
      <c r="BE32">
        <v>0</v>
      </c>
      <c r="BF32">
        <v>0</v>
      </c>
      <c r="BG32">
        <v>4998.9833333333336</v>
      </c>
      <c r="BH32">
        <v>0.64308091666666667</v>
      </c>
      <c r="BI32">
        <v>184.71816666666669</v>
      </c>
      <c r="BJ32">
        <v>1.337371866666667</v>
      </c>
      <c r="BK32">
        <v>16.499110000000002</v>
      </c>
      <c r="BL32">
        <v>15.183895</v>
      </c>
      <c r="BM32">
        <v>-1.2477901</v>
      </c>
      <c r="BN32">
        <v>15.201711666666659</v>
      </c>
      <c r="BO32">
        <v>-1.173563333333334</v>
      </c>
      <c r="BP32">
        <v>-0.24216131666666671</v>
      </c>
      <c r="BQ32">
        <v>-0.1173689166666667</v>
      </c>
      <c r="BR32">
        <v>-99.899999999999963</v>
      </c>
      <c r="BS32">
        <v>-99.899999999999963</v>
      </c>
      <c r="BT32">
        <v>1775464983.0999999</v>
      </c>
      <c r="BU32" t="s">
        <v>371</v>
      </c>
      <c r="BV32">
        <v>1775464983.0999999</v>
      </c>
      <c r="BW32">
        <v>1775464974.5999999</v>
      </c>
      <c r="BX32">
        <v>17</v>
      </c>
      <c r="BY32">
        <v>-3.1E-2</v>
      </c>
      <c r="BZ32">
        <v>-1E-3</v>
      </c>
      <c r="CA32">
        <v>8.4670000000000005</v>
      </c>
      <c r="CB32">
        <v>-1.204</v>
      </c>
      <c r="CC32">
        <v>17</v>
      </c>
      <c r="CD32">
        <v>-1</v>
      </c>
      <c r="CE32">
        <v>1</v>
      </c>
      <c r="CF32">
        <v>0.05</v>
      </c>
      <c r="CG32">
        <v>15.191625</v>
      </c>
      <c r="CH32">
        <v>-0.85685634898579788</v>
      </c>
      <c r="CI32">
        <v>0.55876253501972251</v>
      </c>
      <c r="CJ32">
        <v>-1</v>
      </c>
      <c r="CK32">
        <v>500.59105</v>
      </c>
      <c r="CL32">
        <v>-6.0590530702957697</v>
      </c>
      <c r="CM32">
        <v>1.3200349417723749</v>
      </c>
      <c r="CN32">
        <v>-1</v>
      </c>
      <c r="CO32">
        <v>0</v>
      </c>
      <c r="CP32">
        <v>0</v>
      </c>
      <c r="CQ32" t="s">
        <v>319</v>
      </c>
      <c r="CR32">
        <v>3.1675399999999998</v>
      </c>
      <c r="CS32">
        <v>2.6654100000000001</v>
      </c>
      <c r="CT32">
        <v>2.40135E-3</v>
      </c>
      <c r="CU32">
        <v>4.7048599999999999E-3</v>
      </c>
      <c r="CV32">
        <v>-1.12479E-2</v>
      </c>
      <c r="CW32">
        <v>-1.01026E-2</v>
      </c>
      <c r="CX32">
        <v>21530.1</v>
      </c>
      <c r="CY32">
        <v>21842.7</v>
      </c>
      <c r="CZ32">
        <v>23110.6</v>
      </c>
      <c r="DA32">
        <v>22299</v>
      </c>
      <c r="DB32">
        <v>30139.3</v>
      </c>
      <c r="DC32">
        <v>26869.4</v>
      </c>
      <c r="DD32">
        <v>40621.1</v>
      </c>
      <c r="DE32">
        <v>36964.1</v>
      </c>
      <c r="DF32">
        <v>2.0683799999999999</v>
      </c>
      <c r="DG32">
        <v>1.7841400000000001</v>
      </c>
      <c r="DH32">
        <v>-2.2742200000000001E-2</v>
      </c>
      <c r="DI32">
        <v>0</v>
      </c>
      <c r="DJ32">
        <v>25.974299999999999</v>
      </c>
      <c r="DK32">
        <v>999.9</v>
      </c>
      <c r="DL32">
        <v>75.099999999999994</v>
      </c>
      <c r="DM32">
        <v>31.2</v>
      </c>
      <c r="DN32">
        <v>34.266300000000001</v>
      </c>
      <c r="DO32">
        <v>30.86</v>
      </c>
      <c r="DP32">
        <v>10.3886</v>
      </c>
      <c r="DQ32">
        <v>1</v>
      </c>
      <c r="DR32">
        <v>0.22225</v>
      </c>
      <c r="DS32">
        <v>1.0188299999999999</v>
      </c>
      <c r="DT32">
        <v>20.364599999999999</v>
      </c>
      <c r="DU32">
        <v>5.2092599999999996</v>
      </c>
      <c r="DV32">
        <v>11.8513</v>
      </c>
      <c r="DW32">
        <v>4.9675599999999998</v>
      </c>
      <c r="DX32">
        <v>3.2921800000000001</v>
      </c>
      <c r="DY32">
        <v>894.7</v>
      </c>
      <c r="DZ32">
        <v>0</v>
      </c>
      <c r="EA32">
        <v>418.7</v>
      </c>
      <c r="EB32">
        <v>106.9</v>
      </c>
      <c r="EC32">
        <v>4.9716399999999998</v>
      </c>
      <c r="ED32">
        <v>1.8717999999999999</v>
      </c>
      <c r="EE32">
        <v>1.8690500000000001</v>
      </c>
      <c r="EF32">
        <v>1.8714500000000001</v>
      </c>
      <c r="EG32">
        <v>1.8691899999999999</v>
      </c>
      <c r="EH32">
        <v>1.86812</v>
      </c>
      <c r="EI32">
        <v>1.8699600000000001</v>
      </c>
      <c r="EJ32">
        <v>1.8717900000000001</v>
      </c>
      <c r="EK32">
        <v>0</v>
      </c>
      <c r="EL32">
        <v>0</v>
      </c>
      <c r="EM32">
        <v>0</v>
      </c>
      <c r="EN32">
        <v>0</v>
      </c>
      <c r="EO32" t="s">
        <v>320</v>
      </c>
      <c r="EP32" t="s">
        <v>321</v>
      </c>
      <c r="EQ32" t="s">
        <v>322</v>
      </c>
      <c r="ER32" t="s">
        <v>322</v>
      </c>
      <c r="ES32" t="s">
        <v>322</v>
      </c>
      <c r="ET32" t="s">
        <v>322</v>
      </c>
      <c r="EU32">
        <v>0</v>
      </c>
      <c r="EV32">
        <v>100</v>
      </c>
      <c r="EW32">
        <v>100</v>
      </c>
      <c r="EX32">
        <v>8.4670000000000005</v>
      </c>
      <c r="EY32">
        <v>-1.204</v>
      </c>
      <c r="EZ32">
        <v>8.4987314285714302</v>
      </c>
      <c r="FA32">
        <v>0</v>
      </c>
      <c r="FB32">
        <v>0</v>
      </c>
      <c r="FC32">
        <v>0</v>
      </c>
      <c r="FD32">
        <v>-1.202918495</v>
      </c>
      <c r="FE32">
        <v>0</v>
      </c>
      <c r="FF32">
        <v>0</v>
      </c>
      <c r="FG32">
        <v>0</v>
      </c>
      <c r="FH32">
        <v>-1</v>
      </c>
      <c r="FI32">
        <v>-1</v>
      </c>
      <c r="FJ32">
        <v>-1</v>
      </c>
      <c r="FK32">
        <v>-1</v>
      </c>
      <c r="FL32">
        <v>0.6</v>
      </c>
      <c r="FM32">
        <v>0.6</v>
      </c>
      <c r="FN32">
        <v>0.142822</v>
      </c>
      <c r="FO32">
        <v>4.99756</v>
      </c>
      <c r="FP32">
        <v>1.5979000000000001</v>
      </c>
      <c r="FQ32">
        <v>2.1569799999999999</v>
      </c>
      <c r="FR32">
        <v>1.5478499999999999</v>
      </c>
      <c r="FS32">
        <v>2.4389599999999998</v>
      </c>
      <c r="FT32">
        <v>34.692100000000003</v>
      </c>
      <c r="FU32">
        <v>15.9795</v>
      </c>
      <c r="FV32">
        <v>2</v>
      </c>
      <c r="FW32">
        <v>488.37900000000002</v>
      </c>
      <c r="FX32">
        <v>397.93700000000001</v>
      </c>
      <c r="FY32">
        <v>25.373000000000001</v>
      </c>
      <c r="FZ32">
        <v>29.9937</v>
      </c>
      <c r="GA32">
        <v>30.0001</v>
      </c>
      <c r="GB32">
        <v>30.3157</v>
      </c>
      <c r="GC32">
        <v>30.376300000000001</v>
      </c>
      <c r="GD32">
        <v>-1</v>
      </c>
      <c r="GE32">
        <v>0</v>
      </c>
      <c r="GF32">
        <v>100</v>
      </c>
      <c r="GG32">
        <v>25.376899999999999</v>
      </c>
      <c r="GH32">
        <v>432.1</v>
      </c>
      <c r="GI32">
        <v>78.840199999999996</v>
      </c>
      <c r="GJ32">
        <v>102.245</v>
      </c>
      <c r="GK32">
        <v>96.444299999999998</v>
      </c>
    </row>
    <row r="33" spans="1:193" x14ac:dyDescent="0.35">
      <c r="A33">
        <v>17</v>
      </c>
      <c r="B33">
        <v>1775465013.5999999</v>
      </c>
      <c r="C33">
        <v>1057.5</v>
      </c>
      <c r="D33" t="s">
        <v>372</v>
      </c>
      <c r="E33" t="s">
        <v>373</v>
      </c>
      <c r="F33">
        <v>30</v>
      </c>
      <c r="G33">
        <v>1775464998.3500011</v>
      </c>
      <c r="H33">
        <f t="shared" si="0"/>
        <v>1.8896536068989374E-3</v>
      </c>
      <c r="I33">
        <f>1000*AY33*AG33*(AU33-AV33)/(100*AN33*(1000-AG33*AU33))</f>
        <v>1.8896536068989374</v>
      </c>
      <c r="J33">
        <f>AY33*AG33*(AT33-AS33*(1000-AG33*AV33)/(1000-AG33*AU33))/(100*AN33)</f>
        <v>-2.5065337878680727</v>
      </c>
      <c r="K33">
        <f t="shared" si="1"/>
        <v>16.57480833333334</v>
      </c>
      <c r="L33">
        <f t="shared" si="2"/>
        <v>87.128044511758148</v>
      </c>
      <c r="M33">
        <f>L33*(AZ33+BA33)/1000</f>
        <v>8.717499780332842</v>
      </c>
      <c r="N33">
        <f>(AS33 - IF(AG33&gt;1, J33*AN33*100/(AI33), 0))*(AZ33+BA33)/1000</f>
        <v>1.6583740495334194</v>
      </c>
      <c r="O33">
        <f t="shared" si="3"/>
        <v>5.5221840116325915E-2</v>
      </c>
      <c r="P33">
        <f>IF(LEFT(AP33,1)&lt;&gt;"0",IF(LEFT(AP33,1)="1",3,AQ33),$D$5+$E$5*(BG33*AZ33/($K$5*1000))+$F$5*(BG33*AZ33/($K$5*1000))*MAX(MIN(AN33,$J$5),$I$5)*MAX(MIN(AN33,$J$5),$I$5)+$G$5*MAX(MIN(AN33,$J$5),$I$5)*(BG33*AZ33/($K$5*1000))+$H$5*(BG33*AZ33/($K$5*1000))*(BG33*AZ33/($K$5*1000)))</f>
        <v>2.3857036755499341</v>
      </c>
      <c r="Q33">
        <f>H33*(1000-(1000*0.61365*EXP(17.502*U33/(240.97+U33))/(AZ33+BA33)+AU33)/2)/(1000*0.61365*EXP(17.502*U33/(240.97+U33))/(AZ33+BA33)-AU33)</f>
        <v>5.4521439173099859E-2</v>
      </c>
      <c r="R33">
        <f t="shared" si="4"/>
        <v>3.4138087540233772E-2</v>
      </c>
      <c r="S33">
        <f t="shared" si="5"/>
        <v>0.12488320662999999</v>
      </c>
      <c r="T33">
        <f>(BB33+(S33+2*0.95*0.0000000567*(((BB33+$B$7)+273)^4-(BB33+273)^4)-44100*H33)/(1.84*29.3*P33+8*0.95*0.0000000567*(BB33+273)^3))</f>
        <v>24.902794143928727</v>
      </c>
      <c r="U33">
        <f>($C$7*BC33+$D$7*BD33+$E$7*T33)</f>
        <v>25.599654999999991</v>
      </c>
      <c r="V33">
        <f t="shared" si="6"/>
        <v>3.2951453141862341</v>
      </c>
      <c r="W33">
        <f t="shared" si="7"/>
        <v>-3.5891381877580049</v>
      </c>
      <c r="X33">
        <f>AU33*(AZ33+BA33)/1000</f>
        <v>-0.1175473287875838</v>
      </c>
      <c r="Y33">
        <f t="shared" si="8"/>
        <v>3.2750850660618069</v>
      </c>
      <c r="Z33">
        <f>(V33-AU33*(AZ33+BA33)/1000)</f>
        <v>3.412692642973818</v>
      </c>
      <c r="AA33">
        <f t="shared" si="9"/>
        <v>-83.333724064243142</v>
      </c>
      <c r="AB33">
        <f>2*29.3*P33*0.92*(BB33-U33)</f>
        <v>-13.227938389954195</v>
      </c>
      <c r="AC33">
        <f>2*0.95*0.0000000567*(((BB33+$B$7)+273)^4-(U33+273)^4)</f>
        <v>-1.1793165519171098</v>
      </c>
      <c r="AD33">
        <f t="shared" si="10"/>
        <v>-97.616095799484441</v>
      </c>
      <c r="AE33">
        <v>22</v>
      </c>
      <c r="AF33">
        <v>4</v>
      </c>
      <c r="AG33">
        <f t="shared" si="11"/>
        <v>1</v>
      </c>
      <c r="AH33">
        <f t="shared" si="12"/>
        <v>0</v>
      </c>
      <c r="AI33">
        <f t="shared" si="13"/>
        <v>25615.564919399687</v>
      </c>
      <c r="AJ33">
        <f t="shared" si="14"/>
        <v>0.6534966333333333</v>
      </c>
      <c r="AK33">
        <f t="shared" si="15"/>
        <v>0.52279730666666668</v>
      </c>
      <c r="AL33">
        <f t="shared" si="16"/>
        <v>0.8</v>
      </c>
      <c r="AM33">
        <f t="shared" si="17"/>
        <v>0.19109999999999999</v>
      </c>
      <c r="AN33">
        <v>3</v>
      </c>
      <c r="AO33">
        <v>0.5</v>
      </c>
      <c r="AP33" t="s">
        <v>317</v>
      </c>
      <c r="AQ33">
        <v>2</v>
      </c>
      <c r="AR33">
        <v>1775464998.3500011</v>
      </c>
      <c r="AS33">
        <v>16.57480833333334</v>
      </c>
      <c r="AT33">
        <v>15.09177</v>
      </c>
      <c r="AU33">
        <v>-1.174840166666667</v>
      </c>
      <c r="AV33">
        <v>-2.3083672535000002</v>
      </c>
      <c r="AW33">
        <v>8.1748083333333348</v>
      </c>
      <c r="AX33">
        <v>-1.1003672535</v>
      </c>
      <c r="AY33">
        <v>500.70448333333331</v>
      </c>
      <c r="AZ33">
        <v>100.0076333333333</v>
      </c>
      <c r="BA33">
        <v>4.6256653333333349E-2</v>
      </c>
      <c r="BB33">
        <v>25.49680833333333</v>
      </c>
      <c r="BC33">
        <v>25.599654999999991</v>
      </c>
      <c r="BD33">
        <v>999.9</v>
      </c>
      <c r="BE33">
        <v>0</v>
      </c>
      <c r="BF33">
        <v>0</v>
      </c>
      <c r="BG33">
        <v>4993.6166666666668</v>
      </c>
      <c r="BH33">
        <v>0.6534966333333333</v>
      </c>
      <c r="BI33">
        <v>186.7783833333333</v>
      </c>
      <c r="BJ33">
        <v>1.5504324688333331</v>
      </c>
      <c r="BK33">
        <v>16.603995000000001</v>
      </c>
      <c r="BL33">
        <v>15.07405833333333</v>
      </c>
      <c r="BM33">
        <v>-1.1298398656666671</v>
      </c>
      <c r="BN33">
        <v>15.09177</v>
      </c>
      <c r="BO33">
        <v>-1.174840166666667</v>
      </c>
      <c r="BP33">
        <v>-0.23048535000000001</v>
      </c>
      <c r="BQ33">
        <v>-0.1174929</v>
      </c>
      <c r="BR33">
        <v>-99.899999999999963</v>
      </c>
      <c r="BS33">
        <v>-99.899999999999963</v>
      </c>
      <c r="BT33">
        <v>1775465037.5999999</v>
      </c>
      <c r="BU33" t="s">
        <v>374</v>
      </c>
      <c r="BV33">
        <v>1775465031.5999999</v>
      </c>
      <c r="BW33">
        <v>1775465037.5999999</v>
      </c>
      <c r="BX33">
        <v>18</v>
      </c>
      <c r="BY33">
        <v>-6.8000000000000005E-2</v>
      </c>
      <c r="BZ33">
        <v>-4.0000000000000001E-3</v>
      </c>
      <c r="CA33">
        <v>8.4</v>
      </c>
      <c r="CB33">
        <v>-1.208</v>
      </c>
      <c r="CC33">
        <v>15</v>
      </c>
      <c r="CD33">
        <v>-1</v>
      </c>
      <c r="CE33">
        <v>0.13</v>
      </c>
      <c r="CF33">
        <v>0.05</v>
      </c>
      <c r="CG33">
        <v>15.121321311475411</v>
      </c>
      <c r="CH33">
        <v>-2.187297303014287</v>
      </c>
      <c r="CI33">
        <v>0.7261132933583595</v>
      </c>
      <c r="CJ33">
        <v>-1</v>
      </c>
      <c r="CK33">
        <v>500.69324590163927</v>
      </c>
      <c r="CL33">
        <v>-5.581840296139962</v>
      </c>
      <c r="CM33">
        <v>1.3648832491442879</v>
      </c>
      <c r="CN33">
        <v>-1</v>
      </c>
      <c r="CO33">
        <v>0</v>
      </c>
      <c r="CP33">
        <v>0</v>
      </c>
      <c r="CQ33" t="s">
        <v>319</v>
      </c>
      <c r="CR33">
        <v>3.1675399999999998</v>
      </c>
      <c r="CS33">
        <v>2.6657700000000002</v>
      </c>
      <c r="CT33">
        <v>2.3653300000000001E-3</v>
      </c>
      <c r="CU33">
        <v>4.8079899999999998E-3</v>
      </c>
      <c r="CV33">
        <v>-1.1082099999999999E-2</v>
      </c>
      <c r="CW33">
        <v>-9.9181600000000005E-3</v>
      </c>
      <c r="CX33">
        <v>21530.799999999999</v>
      </c>
      <c r="CY33">
        <v>21840.5</v>
      </c>
      <c r="CZ33">
        <v>23110.400000000001</v>
      </c>
      <c r="DA33">
        <v>22299.1</v>
      </c>
      <c r="DB33">
        <v>30134</v>
      </c>
      <c r="DC33">
        <v>26864.6</v>
      </c>
      <c r="DD33">
        <v>40620.6</v>
      </c>
      <c r="DE33">
        <v>36964.300000000003</v>
      </c>
      <c r="DF33">
        <v>2.0683400000000001</v>
      </c>
      <c r="DG33">
        <v>1.7841199999999999</v>
      </c>
      <c r="DH33">
        <v>-2.27511E-2</v>
      </c>
      <c r="DI33">
        <v>0</v>
      </c>
      <c r="DJ33">
        <v>25.982600000000001</v>
      </c>
      <c r="DK33">
        <v>999.9</v>
      </c>
      <c r="DL33">
        <v>75.099999999999994</v>
      </c>
      <c r="DM33">
        <v>31.1</v>
      </c>
      <c r="DN33">
        <v>34.068800000000003</v>
      </c>
      <c r="DO33">
        <v>30.35</v>
      </c>
      <c r="DP33">
        <v>10.4688</v>
      </c>
      <c r="DQ33">
        <v>1</v>
      </c>
      <c r="DR33">
        <v>0.22204699999999999</v>
      </c>
      <c r="DS33">
        <v>1.01292</v>
      </c>
      <c r="DT33">
        <v>20.364899999999999</v>
      </c>
      <c r="DU33">
        <v>5.2117800000000001</v>
      </c>
      <c r="DV33">
        <v>11.8521</v>
      </c>
      <c r="DW33">
        <v>4.9677600000000002</v>
      </c>
      <c r="DX33">
        <v>3.2928999999999999</v>
      </c>
      <c r="DY33">
        <v>894.7</v>
      </c>
      <c r="DZ33">
        <v>0</v>
      </c>
      <c r="EA33">
        <v>451.8</v>
      </c>
      <c r="EB33">
        <v>106.9</v>
      </c>
      <c r="EC33">
        <v>4.9716399999999998</v>
      </c>
      <c r="ED33">
        <v>1.87182</v>
      </c>
      <c r="EE33">
        <v>1.8690500000000001</v>
      </c>
      <c r="EF33">
        <v>1.87144</v>
      </c>
      <c r="EG33">
        <v>1.8692</v>
      </c>
      <c r="EH33">
        <v>1.86812</v>
      </c>
      <c r="EI33">
        <v>1.8699600000000001</v>
      </c>
      <c r="EJ33">
        <v>1.8717600000000001</v>
      </c>
      <c r="EK33">
        <v>0</v>
      </c>
      <c r="EL33">
        <v>0</v>
      </c>
      <c r="EM33">
        <v>0</v>
      </c>
      <c r="EN33">
        <v>0</v>
      </c>
      <c r="EO33" t="s">
        <v>320</v>
      </c>
      <c r="EP33" t="s">
        <v>321</v>
      </c>
      <c r="EQ33" t="s">
        <v>322</v>
      </c>
      <c r="ER33" t="s">
        <v>322</v>
      </c>
      <c r="ES33" t="s">
        <v>322</v>
      </c>
      <c r="ET33" t="s">
        <v>322</v>
      </c>
      <c r="EU33">
        <v>0</v>
      </c>
      <c r="EV33">
        <v>100</v>
      </c>
      <c r="EW33">
        <v>100</v>
      </c>
      <c r="EX33">
        <v>8.4</v>
      </c>
      <c r="EY33">
        <v>-1.208</v>
      </c>
      <c r="EZ33">
        <v>8.4673971428571448</v>
      </c>
      <c r="FA33">
        <v>0</v>
      </c>
      <c r="FB33">
        <v>0</v>
      </c>
      <c r="FC33">
        <v>0</v>
      </c>
      <c r="FD33">
        <v>-1.2043132700000001</v>
      </c>
      <c r="FE33">
        <v>0</v>
      </c>
      <c r="FF33">
        <v>0</v>
      </c>
      <c r="FG33">
        <v>0</v>
      </c>
      <c r="FH33">
        <v>-1</v>
      </c>
      <c r="FI33">
        <v>-1</v>
      </c>
      <c r="FJ33">
        <v>-1</v>
      </c>
      <c r="FK33">
        <v>-1</v>
      </c>
      <c r="FL33">
        <v>0.5</v>
      </c>
      <c r="FM33">
        <v>0.7</v>
      </c>
      <c r="FN33">
        <v>0.142822</v>
      </c>
      <c r="FO33">
        <v>4.99756</v>
      </c>
      <c r="FP33">
        <v>1.5979000000000001</v>
      </c>
      <c r="FQ33">
        <v>2.1557599999999999</v>
      </c>
      <c r="FR33">
        <v>1.5478499999999999</v>
      </c>
      <c r="FS33">
        <v>2.4499499999999999</v>
      </c>
      <c r="FT33">
        <v>34.737900000000003</v>
      </c>
      <c r="FU33">
        <v>15.9795</v>
      </c>
      <c r="FV33">
        <v>2</v>
      </c>
      <c r="FW33">
        <v>488.34199999999998</v>
      </c>
      <c r="FX33">
        <v>397.92399999999998</v>
      </c>
      <c r="FY33">
        <v>25.402100000000001</v>
      </c>
      <c r="FZ33">
        <v>29.991099999999999</v>
      </c>
      <c r="GA33">
        <v>30.0001</v>
      </c>
      <c r="GB33">
        <v>30.313800000000001</v>
      </c>
      <c r="GC33">
        <v>30.376000000000001</v>
      </c>
      <c r="GD33">
        <v>-1</v>
      </c>
      <c r="GE33">
        <v>0</v>
      </c>
      <c r="GF33">
        <v>100</v>
      </c>
      <c r="GG33">
        <v>25.384599999999999</v>
      </c>
      <c r="GH33">
        <v>432.1</v>
      </c>
      <c r="GI33">
        <v>78.840199999999996</v>
      </c>
      <c r="GJ33">
        <v>102.244</v>
      </c>
      <c r="GK33">
        <v>96.444800000000001</v>
      </c>
    </row>
    <row r="34" spans="1:193" x14ac:dyDescent="0.35">
      <c r="A34">
        <v>18</v>
      </c>
      <c r="B34">
        <v>1775465073.5999999</v>
      </c>
      <c r="C34">
        <v>1117.5</v>
      </c>
      <c r="D34" t="s">
        <v>375</v>
      </c>
      <c r="E34" t="s">
        <v>376</v>
      </c>
      <c r="F34">
        <v>30</v>
      </c>
      <c r="G34">
        <v>1775465058.1000011</v>
      </c>
      <c r="H34">
        <f t="shared" si="0"/>
        <v>2.1646353749281469E-3</v>
      </c>
      <c r="I34">
        <f>1000*AY34*AG34*(AU34-AV34)/(100*AN34*(1000-AG34*AU34))</f>
        <v>2.1646353749281468</v>
      </c>
      <c r="J34">
        <f>AY34*AG34*(AT34-AS34*(1000-AG34*AV34)/(1000-AG34*AU34))/(100*AN34)</f>
        <v>-2.0879734030059427</v>
      </c>
      <c r="K34">
        <f t="shared" si="1"/>
        <v>15.59538704918033</v>
      </c>
      <c r="L34">
        <f t="shared" si="2"/>
        <v>66.660357575585877</v>
      </c>
      <c r="M34">
        <f>L34*(AZ34+BA34)/1000</f>
        <v>6.6694685503657221</v>
      </c>
      <c r="N34">
        <f>(AS34 - IF(AG34&gt;1, J34*AN34*100/(AI34), 0))*(AZ34+BA34)/1000</f>
        <v>1.5603418169089369</v>
      </c>
      <c r="O34">
        <f t="shared" si="3"/>
        <v>6.3422683770218702E-2</v>
      </c>
      <c r="P34">
        <f>IF(LEFT(AP34,1)&lt;&gt;"0",IF(LEFT(AP34,1)="1",3,AQ34),$D$5+$E$5*(BG34*AZ34/($K$5*1000))+$F$5*(BG34*AZ34/($K$5*1000))*MAX(MIN(AN34,$J$5),$I$5)*MAX(MIN(AN34,$J$5),$I$5)+$G$5*MAX(MIN(AN34,$J$5),$I$5)*(BG34*AZ34/($K$5*1000))+$H$5*(BG34*AZ34/($K$5*1000))*(BG34*AZ34/($K$5*1000)))</f>
        <v>2.3882281686973816</v>
      </c>
      <c r="Q34">
        <f>H34*(1000-(1000*0.61365*EXP(17.502*U34/(240.97+U34))/(AZ34+BA34)+AU34)/2)/(1000*0.61365*EXP(17.502*U34/(240.97+U34))/(AZ34+BA34)-AU34)</f>
        <v>6.2501638890595651E-2</v>
      </c>
      <c r="R34">
        <f t="shared" si="4"/>
        <v>3.9145162233460623E-2</v>
      </c>
      <c r="S34">
        <f t="shared" si="5"/>
        <v>0.12409535886885245</v>
      </c>
      <c r="T34">
        <f>(BB34+(S34+2*0.95*0.0000000567*(((BB34+$B$7)+273)^4-(BB34+273)^4)-44100*H34)/(1.84*29.3*P34+8*0.95*0.0000000567*(BB34+273)^3))</f>
        <v>24.816816189726172</v>
      </c>
      <c r="U34">
        <f>($C$7*BC34+$D$7*BD34+$E$7*T34)</f>
        <v>25.598004918032789</v>
      </c>
      <c r="V34">
        <f t="shared" si="6"/>
        <v>3.2948226202911646</v>
      </c>
      <c r="W34">
        <f t="shared" si="7"/>
        <v>-3.5182967129569755</v>
      </c>
      <c r="X34">
        <f>AU34*(AZ34+BA34)/1000</f>
        <v>-0.11522678293466514</v>
      </c>
      <c r="Y34">
        <f t="shared" si="8"/>
        <v>3.2750729212324461</v>
      </c>
      <c r="Z34">
        <f>(V34-AU34*(AZ34+BA34)/1000)</f>
        <v>3.4100494032258295</v>
      </c>
      <c r="AA34">
        <f t="shared" si="9"/>
        <v>-95.460420034331278</v>
      </c>
      <c r="AB34">
        <f>2*29.3*P34*0.92*(BB34-U34)</f>
        <v>-13.03751929750783</v>
      </c>
      <c r="AC34">
        <f>2*0.95*0.0000000567*(((BB34+$B$7)+273)^4-(U34+273)^4)</f>
        <v>-1.1611013788281568</v>
      </c>
      <c r="AD34">
        <f t="shared" si="10"/>
        <v>-109.53494535179841</v>
      </c>
      <c r="AE34">
        <v>21</v>
      </c>
      <c r="AF34">
        <v>4</v>
      </c>
      <c r="AG34">
        <f t="shared" si="11"/>
        <v>1</v>
      </c>
      <c r="AH34">
        <f t="shared" si="12"/>
        <v>0</v>
      </c>
      <c r="AI34">
        <f t="shared" si="13"/>
        <v>25654.193378340762</v>
      </c>
      <c r="AJ34">
        <f t="shared" si="14"/>
        <v>0.64937393442622948</v>
      </c>
      <c r="AK34">
        <f t="shared" si="15"/>
        <v>0.51949914754098359</v>
      </c>
      <c r="AL34">
        <f t="shared" si="16"/>
        <v>0.8</v>
      </c>
      <c r="AM34">
        <f t="shared" si="17"/>
        <v>0.19109999999999999</v>
      </c>
      <c r="AN34">
        <v>3</v>
      </c>
      <c r="AO34">
        <v>0.5</v>
      </c>
      <c r="AP34" t="s">
        <v>317</v>
      </c>
      <c r="AQ34">
        <v>2</v>
      </c>
      <c r="AR34">
        <v>1775465058.1000011</v>
      </c>
      <c r="AS34">
        <v>15.59538704918033</v>
      </c>
      <c r="AT34">
        <v>14.36349180327869</v>
      </c>
      <c r="AU34">
        <v>-1.151674754098361</v>
      </c>
      <c r="AV34">
        <v>-2.4512831147540992</v>
      </c>
      <c r="AW34">
        <v>7.1583870491803276</v>
      </c>
      <c r="AX34">
        <v>-1.2462831147540989</v>
      </c>
      <c r="AY34">
        <v>500.25724590163941</v>
      </c>
      <c r="AZ34">
        <v>100.0067868852459</v>
      </c>
      <c r="BA34">
        <v>4.4709880327868851E-2</v>
      </c>
      <c r="BB34">
        <v>25.49674590163934</v>
      </c>
      <c r="BC34">
        <v>25.598004918032789</v>
      </c>
      <c r="BD34">
        <v>999.9</v>
      </c>
      <c r="BE34">
        <v>0</v>
      </c>
      <c r="BF34">
        <v>0</v>
      </c>
      <c r="BG34">
        <v>5000.1639344262294</v>
      </c>
      <c r="BH34">
        <v>0.64937393442622948</v>
      </c>
      <c r="BI34">
        <v>188.47506557377051</v>
      </c>
      <c r="BJ34">
        <v>1.1945036885245901</v>
      </c>
      <c r="BK34">
        <v>15.51990819672131</v>
      </c>
      <c r="BL34">
        <v>14.346968852459019</v>
      </c>
      <c r="BM34">
        <v>-1.3028999999999999</v>
      </c>
      <c r="BN34">
        <v>14.36349180327869</v>
      </c>
      <c r="BO34">
        <v>-1.151674754098361</v>
      </c>
      <c r="BP34">
        <v>-0.24547399999999989</v>
      </c>
      <c r="BQ34">
        <v>-0.115175262295082</v>
      </c>
      <c r="BR34">
        <v>-99.899999999999963</v>
      </c>
      <c r="BS34">
        <v>-99.899999999999963</v>
      </c>
      <c r="BT34">
        <v>1775465096.5999999</v>
      </c>
      <c r="BU34" t="s">
        <v>377</v>
      </c>
      <c r="BV34">
        <v>1775465092.0999999</v>
      </c>
      <c r="BW34">
        <v>1775465096.5999999</v>
      </c>
      <c r="BX34">
        <v>19</v>
      </c>
      <c r="BY34">
        <v>3.6999999999999998E-2</v>
      </c>
      <c r="BZ34">
        <v>4.0000000000000001E-3</v>
      </c>
      <c r="CA34">
        <v>8.4369999999999994</v>
      </c>
      <c r="CB34">
        <v>-1.2050000000000001</v>
      </c>
      <c r="CC34">
        <v>15</v>
      </c>
      <c r="CD34">
        <v>-1</v>
      </c>
      <c r="CE34">
        <v>0.28000000000000003</v>
      </c>
      <c r="CF34">
        <v>0.06</v>
      </c>
      <c r="CG34">
        <v>14.164781967213109</v>
      </c>
      <c r="CH34">
        <v>2.668452247488069</v>
      </c>
      <c r="CI34">
        <v>1.530675715408196</v>
      </c>
      <c r="CJ34">
        <v>-1</v>
      </c>
      <c r="CK34">
        <v>500.3936065573771</v>
      </c>
      <c r="CL34">
        <v>-4.1850047593872004</v>
      </c>
      <c r="CM34">
        <v>1.091006653203382</v>
      </c>
      <c r="CN34">
        <v>-1</v>
      </c>
      <c r="CO34">
        <v>0</v>
      </c>
      <c r="CP34">
        <v>0</v>
      </c>
      <c r="CQ34" t="s">
        <v>319</v>
      </c>
      <c r="CR34">
        <v>3.1675499999999999</v>
      </c>
      <c r="CS34">
        <v>2.6654200000000001</v>
      </c>
      <c r="CT34">
        <v>2.5046500000000002E-3</v>
      </c>
      <c r="CU34">
        <v>6.6873799999999997E-3</v>
      </c>
      <c r="CV34">
        <v>-1.1110399999999999E-2</v>
      </c>
      <c r="CW34">
        <v>-9.9843699999999994E-3</v>
      </c>
      <c r="CX34">
        <v>21527.7</v>
      </c>
      <c r="CY34">
        <v>21798.9</v>
      </c>
      <c r="CZ34">
        <v>23110.3</v>
      </c>
      <c r="DA34">
        <v>22298.7</v>
      </c>
      <c r="DB34">
        <v>30134.799999999999</v>
      </c>
      <c r="DC34">
        <v>26866</v>
      </c>
      <c r="DD34">
        <v>40620.5</v>
      </c>
      <c r="DE34">
        <v>36963.800000000003</v>
      </c>
      <c r="DF34">
        <v>2.0685600000000002</v>
      </c>
      <c r="DG34">
        <v>1.78488</v>
      </c>
      <c r="DH34">
        <v>-2.2670599999999999E-2</v>
      </c>
      <c r="DI34">
        <v>0</v>
      </c>
      <c r="DJ34">
        <v>25.9712</v>
      </c>
      <c r="DK34">
        <v>999.9</v>
      </c>
      <c r="DL34">
        <v>75.099999999999994</v>
      </c>
      <c r="DM34">
        <v>31.1</v>
      </c>
      <c r="DN34">
        <v>34.072099999999999</v>
      </c>
      <c r="DO34">
        <v>30.62</v>
      </c>
      <c r="DP34">
        <v>10.444699999999999</v>
      </c>
      <c r="DQ34">
        <v>1</v>
      </c>
      <c r="DR34">
        <v>0.22176799999999999</v>
      </c>
      <c r="DS34">
        <v>0.98834</v>
      </c>
      <c r="DT34">
        <v>20.364699999999999</v>
      </c>
      <c r="DU34">
        <v>5.2096200000000001</v>
      </c>
      <c r="DV34">
        <v>11.8513</v>
      </c>
      <c r="DW34">
        <v>4.9676</v>
      </c>
      <c r="DX34">
        <v>3.2923200000000001</v>
      </c>
      <c r="DY34">
        <v>894.7</v>
      </c>
      <c r="DZ34">
        <v>0</v>
      </c>
      <c r="EA34">
        <v>484.8</v>
      </c>
      <c r="EB34">
        <v>107</v>
      </c>
      <c r="EC34">
        <v>4.9716500000000003</v>
      </c>
      <c r="ED34">
        <v>1.8718399999999999</v>
      </c>
      <c r="EE34">
        <v>1.8690500000000001</v>
      </c>
      <c r="EF34">
        <v>1.8714599999999999</v>
      </c>
      <c r="EG34">
        <v>1.8692</v>
      </c>
      <c r="EH34">
        <v>1.8681300000000001</v>
      </c>
      <c r="EI34">
        <v>1.8699600000000001</v>
      </c>
      <c r="EJ34">
        <v>1.8717900000000001</v>
      </c>
      <c r="EK34">
        <v>0</v>
      </c>
      <c r="EL34">
        <v>0</v>
      </c>
      <c r="EM34">
        <v>0</v>
      </c>
      <c r="EN34">
        <v>0</v>
      </c>
      <c r="EO34" t="s">
        <v>320</v>
      </c>
      <c r="EP34" t="s">
        <v>321</v>
      </c>
      <c r="EQ34" t="s">
        <v>322</v>
      </c>
      <c r="ER34" t="s">
        <v>322</v>
      </c>
      <c r="ES34" t="s">
        <v>322</v>
      </c>
      <c r="ET34" t="s">
        <v>322</v>
      </c>
      <c r="EU34">
        <v>0</v>
      </c>
      <c r="EV34">
        <v>100</v>
      </c>
      <c r="EW34">
        <v>100</v>
      </c>
      <c r="EX34">
        <v>8.4369999999999994</v>
      </c>
      <c r="EY34">
        <v>-1.2050000000000001</v>
      </c>
      <c r="EZ34">
        <v>8.3996095000000004</v>
      </c>
      <c r="FA34">
        <v>0</v>
      </c>
      <c r="FB34">
        <v>0</v>
      </c>
      <c r="FC34">
        <v>0</v>
      </c>
      <c r="FD34">
        <v>-1.208291295</v>
      </c>
      <c r="FE34">
        <v>0</v>
      </c>
      <c r="FF34">
        <v>0</v>
      </c>
      <c r="FG34">
        <v>0</v>
      </c>
      <c r="FH34">
        <v>-1</v>
      </c>
      <c r="FI34">
        <v>-1</v>
      </c>
      <c r="FJ34">
        <v>-1</v>
      </c>
      <c r="FK34">
        <v>-1</v>
      </c>
      <c r="FL34">
        <v>0.7</v>
      </c>
      <c r="FM34">
        <v>0.6</v>
      </c>
      <c r="FN34">
        <v>0.142822</v>
      </c>
      <c r="FO34">
        <v>4.99756</v>
      </c>
      <c r="FP34">
        <v>1.5979000000000001</v>
      </c>
      <c r="FQ34">
        <v>2.1569799999999999</v>
      </c>
      <c r="FR34">
        <v>1.5478499999999999</v>
      </c>
      <c r="FS34">
        <v>2.4548299999999998</v>
      </c>
      <c r="FT34">
        <v>34.783700000000003</v>
      </c>
      <c r="FU34">
        <v>15.970800000000001</v>
      </c>
      <c r="FV34">
        <v>2</v>
      </c>
      <c r="FW34">
        <v>488.46800000000002</v>
      </c>
      <c r="FX34">
        <v>398.35500000000002</v>
      </c>
      <c r="FY34">
        <v>25.398599999999998</v>
      </c>
      <c r="FZ34">
        <v>29.991099999999999</v>
      </c>
      <c r="GA34">
        <v>30.0001</v>
      </c>
      <c r="GB34">
        <v>30.313800000000001</v>
      </c>
      <c r="GC34">
        <v>30.376000000000001</v>
      </c>
      <c r="GD34">
        <v>-1</v>
      </c>
      <c r="GE34">
        <v>0</v>
      </c>
      <c r="GF34">
        <v>100</v>
      </c>
      <c r="GG34">
        <v>25.401800000000001</v>
      </c>
      <c r="GH34">
        <v>432.1</v>
      </c>
      <c r="GI34">
        <v>78.840199999999996</v>
      </c>
      <c r="GJ34">
        <v>102.244</v>
      </c>
      <c r="GK34">
        <v>96.443299999999994</v>
      </c>
    </row>
    <row r="35" spans="1:193" x14ac:dyDescent="0.35">
      <c r="A35">
        <v>19</v>
      </c>
      <c r="B35">
        <v>1775465133.5999999</v>
      </c>
      <c r="C35">
        <v>1177.5</v>
      </c>
      <c r="D35" t="s">
        <v>378</v>
      </c>
      <c r="E35" t="s">
        <v>379</v>
      </c>
      <c r="F35">
        <v>30</v>
      </c>
      <c r="G35">
        <v>1775465118.1000011</v>
      </c>
      <c r="H35">
        <f t="shared" si="0"/>
        <v>2.2130303183264402E-3</v>
      </c>
      <c r="I35">
        <f>1000*AY35*AG35*(AU35-AV35)/(100*AN35*(1000-AG35*AU35))</f>
        <v>2.2130303183264401</v>
      </c>
      <c r="J35">
        <f>AY35*AG35*(AT35-AS35*(1000-AG35*AV35)/(1000-AG35*AU35))/(100*AN35)</f>
        <v>-2.5372941984636737</v>
      </c>
      <c r="K35">
        <f t="shared" si="1"/>
        <v>17.897413606557379</v>
      </c>
      <c r="L35">
        <f t="shared" si="2"/>
        <v>78.609435279856555</v>
      </c>
      <c r="M35">
        <f>L35*(AZ35+BA35)/1000</f>
        <v>7.8647943311488833</v>
      </c>
      <c r="N35">
        <f>(AS35 - IF(AG35&gt;1, J35*AN35*100/(AI35), 0))*(AZ35+BA35)/1000</f>
        <v>1.7906180927768169</v>
      </c>
      <c r="O35">
        <f t="shared" si="3"/>
        <v>6.4880502613134591E-2</v>
      </c>
      <c r="P35">
        <f>IF(LEFT(AP35,1)&lt;&gt;"0",IF(LEFT(AP35,1)="1",3,AQ35),$D$5+$E$5*(BG35*AZ35/($K$5*1000))+$F$5*(BG35*AZ35/($K$5*1000))*MAX(MIN(AN35,$J$5),$I$5)*MAX(MIN(AN35,$J$5),$I$5)+$G$5*MAX(MIN(AN35,$J$5),$I$5)*(BG35*AZ35/($K$5*1000))+$H$5*(BG35*AZ35/($K$5*1000))*(BG35*AZ35/($K$5*1000)))</f>
        <v>2.3877631805318376</v>
      </c>
      <c r="Q35">
        <f>H35*(1000-(1000*0.61365*EXP(17.502*U35/(240.97+U35))/(AZ35+BA35)+AU35)/2)/(1000*0.61365*EXP(17.502*U35/(240.97+U35))/(AZ35+BA35)-AU35)</f>
        <v>6.3916791451326754E-2</v>
      </c>
      <c r="R35">
        <f t="shared" si="4"/>
        <v>4.0033387790752932E-2</v>
      </c>
      <c r="S35">
        <f t="shared" si="5"/>
        <v>0.12087730379016394</v>
      </c>
      <c r="T35">
        <f>(BB35+(S35+2*0.95*0.0000000567*(((BB35+$B$7)+273)^4-(BB35+273)^4)-44100*H35)/(1.84*29.3*P35+8*0.95*0.0000000567*(BB35+273)^3))</f>
        <v>24.806447470169374</v>
      </c>
      <c r="U35">
        <f>($C$7*BC35+$D$7*BD35+$E$7*T35)</f>
        <v>25.602037704918029</v>
      </c>
      <c r="V35">
        <f t="shared" si="6"/>
        <v>3.2956113302598697</v>
      </c>
      <c r="W35">
        <f t="shared" si="7"/>
        <v>-3.460134563468606</v>
      </c>
      <c r="X35">
        <f>AU35*(AZ35+BA35)/1000</f>
        <v>-0.11335556734011093</v>
      </c>
      <c r="Y35">
        <f t="shared" si="8"/>
        <v>3.2760450572326252</v>
      </c>
      <c r="Z35">
        <f>(V35-AU35*(AZ35+BA35)/1000)</f>
        <v>3.4089668975999805</v>
      </c>
      <c r="AA35">
        <f t="shared" si="9"/>
        <v>-97.594637038196012</v>
      </c>
      <c r="AB35">
        <f>2*29.3*P35*0.92*(BB35-U35)</f>
        <v>-12.910894491582207</v>
      </c>
      <c r="AC35">
        <f>2*0.95*0.0000000567*(((BB35+$B$7)+273)^4-(U35+273)^4)</f>
        <v>-1.1501004578457603</v>
      </c>
      <c r="AD35">
        <f t="shared" si="10"/>
        <v>-111.53475468383382</v>
      </c>
      <c r="AE35">
        <v>21</v>
      </c>
      <c r="AF35">
        <v>4</v>
      </c>
      <c r="AG35">
        <f t="shared" si="11"/>
        <v>1</v>
      </c>
      <c r="AH35">
        <f t="shared" si="12"/>
        <v>0</v>
      </c>
      <c r="AI35">
        <f t="shared" si="13"/>
        <v>25646.749127966053</v>
      </c>
      <c r="AJ35">
        <f t="shared" si="14"/>
        <v>0.63253429508196723</v>
      </c>
      <c r="AK35">
        <f t="shared" si="15"/>
        <v>0.50602743606557377</v>
      </c>
      <c r="AL35">
        <f t="shared" si="16"/>
        <v>0.8</v>
      </c>
      <c r="AM35">
        <f t="shared" si="17"/>
        <v>0.19109999999999999</v>
      </c>
      <c r="AN35">
        <v>3</v>
      </c>
      <c r="AO35">
        <v>0.5</v>
      </c>
      <c r="AP35" t="s">
        <v>317</v>
      </c>
      <c r="AQ35">
        <v>2</v>
      </c>
      <c r="AR35">
        <v>1775465118.1000011</v>
      </c>
      <c r="AS35">
        <v>17.897413606557379</v>
      </c>
      <c r="AT35">
        <v>16.399172131147541</v>
      </c>
      <c r="AU35">
        <v>-1.133000655737705</v>
      </c>
      <c r="AV35">
        <v>-2.461994590163934</v>
      </c>
      <c r="AW35">
        <v>9.468413606557375</v>
      </c>
      <c r="AX35">
        <v>-1.246994590163935</v>
      </c>
      <c r="AY35">
        <v>500.12365573770501</v>
      </c>
      <c r="AZ35">
        <v>100.0044590163935</v>
      </c>
      <c r="BA35">
        <v>4.4527509836065578E-2</v>
      </c>
      <c r="BB35">
        <v>25.501742622950811</v>
      </c>
      <c r="BC35">
        <v>25.602037704918029</v>
      </c>
      <c r="BD35">
        <v>999.9</v>
      </c>
      <c r="BE35">
        <v>0</v>
      </c>
      <c r="BF35">
        <v>0</v>
      </c>
      <c r="BG35">
        <v>4999.0819672131147</v>
      </c>
      <c r="BH35">
        <v>0.63253429508196723</v>
      </c>
      <c r="BI35">
        <v>189.84936065573771</v>
      </c>
      <c r="BJ35">
        <v>1.5059202404918031</v>
      </c>
      <c r="BK35">
        <v>17.861308196721311</v>
      </c>
      <c r="BL35">
        <v>16.38063278688524</v>
      </c>
      <c r="BM35">
        <v>-1.3186503278688519</v>
      </c>
      <c r="BN35">
        <v>16.399172131147541</v>
      </c>
      <c r="BO35">
        <v>-1.133000655737705</v>
      </c>
      <c r="BP35">
        <v>-0.24517591803278679</v>
      </c>
      <c r="BQ35">
        <v>-0.1133051639344262</v>
      </c>
      <c r="BR35">
        <v>-99.899999999999963</v>
      </c>
      <c r="BS35">
        <v>-99.899999999999963</v>
      </c>
      <c r="BT35">
        <v>1775465164.0999999</v>
      </c>
      <c r="BU35" t="s">
        <v>380</v>
      </c>
      <c r="BV35">
        <v>1775465164.0999999</v>
      </c>
      <c r="BW35">
        <v>1775465158.5999999</v>
      </c>
      <c r="BX35">
        <v>20</v>
      </c>
      <c r="BY35">
        <v>-8.0000000000000002E-3</v>
      </c>
      <c r="BZ35">
        <v>-0.01</v>
      </c>
      <c r="CA35">
        <v>8.4290000000000003</v>
      </c>
      <c r="CB35">
        <v>-1.2150000000000001</v>
      </c>
      <c r="CC35">
        <v>12</v>
      </c>
      <c r="CD35">
        <v>-1</v>
      </c>
      <c r="CE35">
        <v>0.8</v>
      </c>
      <c r="CF35">
        <v>0.05</v>
      </c>
      <c r="CG35">
        <v>16.399172131147541</v>
      </c>
      <c r="CH35">
        <v>4.5242912744579584</v>
      </c>
      <c r="CI35">
        <v>2.0050656499722739</v>
      </c>
      <c r="CJ35">
        <v>-1</v>
      </c>
      <c r="CK35">
        <v>500.12365573770501</v>
      </c>
      <c r="CL35">
        <v>-1.3670037017456389</v>
      </c>
      <c r="CM35">
        <v>0.4366227649361874</v>
      </c>
      <c r="CN35">
        <v>-1</v>
      </c>
      <c r="CO35">
        <v>0</v>
      </c>
      <c r="CP35">
        <v>0</v>
      </c>
      <c r="CQ35" t="s">
        <v>319</v>
      </c>
      <c r="CR35">
        <v>3.1675399999999998</v>
      </c>
      <c r="CS35">
        <v>2.66567</v>
      </c>
      <c r="CT35">
        <v>2.9754400000000002E-3</v>
      </c>
      <c r="CU35">
        <v>4.4000799999999998E-3</v>
      </c>
      <c r="CV35">
        <v>-1.1114600000000001E-2</v>
      </c>
      <c r="CW35">
        <v>-9.5843400000000002E-3</v>
      </c>
      <c r="CX35">
        <v>21517.200000000001</v>
      </c>
      <c r="CY35">
        <v>21848.7</v>
      </c>
      <c r="CZ35">
        <v>23110</v>
      </c>
      <c r="DA35">
        <v>22298.3</v>
      </c>
      <c r="DB35">
        <v>30134.6</v>
      </c>
      <c r="DC35">
        <v>26855</v>
      </c>
      <c r="DD35">
        <v>40620.1</v>
      </c>
      <c r="DE35">
        <v>36963.199999999997</v>
      </c>
      <c r="DF35">
        <v>2.0684200000000001</v>
      </c>
      <c r="DG35">
        <v>1.7862199999999999</v>
      </c>
      <c r="DH35">
        <v>-2.2196799999999999E-2</v>
      </c>
      <c r="DI35">
        <v>0</v>
      </c>
      <c r="DJ35">
        <v>25.964200000000002</v>
      </c>
      <c r="DK35">
        <v>999.9</v>
      </c>
      <c r="DL35">
        <v>75.099999999999994</v>
      </c>
      <c r="DM35">
        <v>31.1</v>
      </c>
      <c r="DN35">
        <v>34.073399999999999</v>
      </c>
      <c r="DO35">
        <v>30.59</v>
      </c>
      <c r="DP35">
        <v>10.693099999999999</v>
      </c>
      <c r="DQ35">
        <v>1</v>
      </c>
      <c r="DR35">
        <v>0.22198599999999999</v>
      </c>
      <c r="DS35">
        <v>1.0430900000000001</v>
      </c>
      <c r="DT35">
        <v>20.364899999999999</v>
      </c>
      <c r="DU35">
        <v>5.2122599999999997</v>
      </c>
      <c r="DV35">
        <v>11.851900000000001</v>
      </c>
      <c r="DW35">
        <v>4.9679200000000003</v>
      </c>
      <c r="DX35">
        <v>3.2929200000000001</v>
      </c>
      <c r="DY35">
        <v>894.7</v>
      </c>
      <c r="DZ35">
        <v>0</v>
      </c>
      <c r="EA35">
        <v>512.70000000000005</v>
      </c>
      <c r="EB35">
        <v>107</v>
      </c>
      <c r="EC35">
        <v>4.9716199999999997</v>
      </c>
      <c r="ED35">
        <v>1.87185</v>
      </c>
      <c r="EE35">
        <v>1.8690500000000001</v>
      </c>
      <c r="EF35">
        <v>1.87148</v>
      </c>
      <c r="EG35">
        <v>1.8692</v>
      </c>
      <c r="EH35">
        <v>1.8681300000000001</v>
      </c>
      <c r="EI35">
        <v>1.8699600000000001</v>
      </c>
      <c r="EJ35">
        <v>1.8717900000000001</v>
      </c>
      <c r="EK35">
        <v>0</v>
      </c>
      <c r="EL35">
        <v>0</v>
      </c>
      <c r="EM35">
        <v>0</v>
      </c>
      <c r="EN35">
        <v>0</v>
      </c>
      <c r="EO35" t="s">
        <v>320</v>
      </c>
      <c r="EP35" t="s">
        <v>321</v>
      </c>
      <c r="EQ35" t="s">
        <v>322</v>
      </c>
      <c r="ER35" t="s">
        <v>322</v>
      </c>
      <c r="ES35" t="s">
        <v>322</v>
      </c>
      <c r="ET35" t="s">
        <v>322</v>
      </c>
      <c r="EU35">
        <v>0</v>
      </c>
      <c r="EV35">
        <v>100</v>
      </c>
      <c r="EW35">
        <v>100</v>
      </c>
      <c r="EX35">
        <v>8.4290000000000003</v>
      </c>
      <c r="EY35">
        <v>-1.2150000000000001</v>
      </c>
      <c r="EZ35">
        <v>8.436678571428569</v>
      </c>
      <c r="FA35">
        <v>0</v>
      </c>
      <c r="FB35">
        <v>0</v>
      </c>
      <c r="FC35">
        <v>0</v>
      </c>
      <c r="FD35">
        <v>-1.20465581</v>
      </c>
      <c r="FE35">
        <v>0</v>
      </c>
      <c r="FF35">
        <v>0</v>
      </c>
      <c r="FG35">
        <v>0</v>
      </c>
      <c r="FH35">
        <v>-1</v>
      </c>
      <c r="FI35">
        <v>-1</v>
      </c>
      <c r="FJ35">
        <v>-1</v>
      </c>
      <c r="FK35">
        <v>-1</v>
      </c>
      <c r="FL35">
        <v>0.7</v>
      </c>
      <c r="FM35">
        <v>0.6</v>
      </c>
      <c r="FN35">
        <v>0.142822</v>
      </c>
      <c r="FO35">
        <v>4.99756</v>
      </c>
      <c r="FP35">
        <v>1.5979000000000001</v>
      </c>
      <c r="FQ35">
        <v>2.1569799999999999</v>
      </c>
      <c r="FR35">
        <v>1.5478499999999999</v>
      </c>
      <c r="FS35">
        <v>2.4401899999999999</v>
      </c>
      <c r="FT35">
        <v>34.829599999999999</v>
      </c>
      <c r="FU35">
        <v>15.962</v>
      </c>
      <c r="FV35">
        <v>2</v>
      </c>
      <c r="FW35">
        <v>488.39100000000002</v>
      </c>
      <c r="FX35">
        <v>399.13</v>
      </c>
      <c r="FY35">
        <v>25.3873</v>
      </c>
      <c r="FZ35">
        <v>29.990100000000002</v>
      </c>
      <c r="GA35">
        <v>30.0002</v>
      </c>
      <c r="GB35">
        <v>30.3141</v>
      </c>
      <c r="GC35">
        <v>30.378599999999999</v>
      </c>
      <c r="GD35">
        <v>-1</v>
      </c>
      <c r="GE35">
        <v>0</v>
      </c>
      <c r="GF35">
        <v>100</v>
      </c>
      <c r="GG35">
        <v>25.3827</v>
      </c>
      <c r="GH35">
        <v>432.1</v>
      </c>
      <c r="GI35">
        <v>78.840199999999996</v>
      </c>
      <c r="GJ35">
        <v>102.242</v>
      </c>
      <c r="GK35">
        <v>96.441800000000001</v>
      </c>
    </row>
    <row r="36" spans="1:193" x14ac:dyDescent="0.35">
      <c r="A36">
        <v>20</v>
      </c>
      <c r="B36">
        <v>1775465193.5999999</v>
      </c>
      <c r="C36">
        <v>1237.5</v>
      </c>
      <c r="D36" t="s">
        <v>381</v>
      </c>
      <c r="E36" t="s">
        <v>382</v>
      </c>
      <c r="F36">
        <v>30</v>
      </c>
      <c r="G36">
        <v>1775465178.8499999</v>
      </c>
      <c r="H36">
        <f t="shared" si="0"/>
        <v>2.2427134552704311E-3</v>
      </c>
      <c r="I36">
        <f>1000*AY36*AG36*(AU36-AV36)/(100*AN36*(1000-AG36*AU36))</f>
        <v>2.2427134552704309</v>
      </c>
      <c r="J36">
        <f>AY36*AG36*(AT36-AS36*(1000-AG36*AV36)/(1000-AG36*AU36))/(100*AN36)</f>
        <v>-2.0518233322505659</v>
      </c>
      <c r="K36">
        <f t="shared" si="1"/>
        <v>13.706614827586209</v>
      </c>
      <c r="L36">
        <f t="shared" si="2"/>
        <v>61.996602450849252</v>
      </c>
      <c r="M36">
        <f>L36*(AZ36+BA36)/1000</f>
        <v>6.202877183796554</v>
      </c>
      <c r="N36">
        <f>(AS36 - IF(AG36&gt;1, J36*AN36*100/(AI36), 0))*(AZ36+BA36)/1000</f>
        <v>1.3713727046337101</v>
      </c>
      <c r="O36">
        <f t="shared" si="3"/>
        <v>6.6027031042880727E-2</v>
      </c>
      <c r="P36">
        <f>IF(LEFT(AP36,1)&lt;&gt;"0",IF(LEFT(AP36,1)="1",3,AQ36),$D$5+$E$5*(BG36*AZ36/($K$5*1000))+$F$5*(BG36*AZ36/($K$5*1000))*MAX(MIN(AN36,$J$5),$I$5)*MAX(MIN(AN36,$J$5),$I$5)+$G$5*MAX(MIN(AN36,$J$5),$I$5)*(BG36*AZ36/($K$5*1000))+$H$5*(BG36*AZ36/($K$5*1000))*(BG36*AZ36/($K$5*1000)))</f>
        <v>2.3878870435276807</v>
      </c>
      <c r="Q36">
        <f>H36*(1000-(1000*0.61365*EXP(17.502*U36/(240.97+U36))/(AZ36+BA36)+AU36)/2)/(1000*0.61365*EXP(17.502*U36/(240.97+U36))/(AZ36+BA36)-AU36)</f>
        <v>6.5029292028706595E-2</v>
      </c>
      <c r="R36">
        <f t="shared" si="4"/>
        <v>4.0731694437300264E-2</v>
      </c>
      <c r="S36">
        <f t="shared" si="5"/>
        <v>0.12294084074999999</v>
      </c>
      <c r="T36">
        <f>(BB36+(S36+2*0.95*0.0000000567*(((BB36+$B$7)+273)^4-(BB36+273)^4)-44100*H36)/(1.84*29.3*P36+8*0.95*0.0000000567*(BB36+273)^3))</f>
        <v>24.802171993379396</v>
      </c>
      <c r="U36">
        <f>($C$7*BC36+$D$7*BD36+$E$7*T36)</f>
        <v>25.60965689655173</v>
      </c>
      <c r="V36">
        <f t="shared" si="6"/>
        <v>3.2971018994482821</v>
      </c>
      <c r="W36">
        <f t="shared" si="7"/>
        <v>-2.9997421943137947</v>
      </c>
      <c r="X36">
        <f>AU36*(AZ36+BA36)/1000</f>
        <v>-9.8302157367280388E-2</v>
      </c>
      <c r="Y36">
        <f t="shared" si="8"/>
        <v>3.2770201903889769</v>
      </c>
      <c r="Z36">
        <f>(V36-AU36*(AZ36+BA36)/1000)</f>
        <v>3.3954040568155626</v>
      </c>
      <c r="AA36">
        <f t="shared" si="9"/>
        <v>-98.903663377426014</v>
      </c>
      <c r="AB36">
        <f>2*29.3*P36*0.92*(BB36-U36)</f>
        <v>-13.247354267744628</v>
      </c>
      <c r="AC36">
        <f>2*0.95*0.0000000567*(((BB36+$B$7)+273)^4-(U36+273)^4)</f>
        <v>-1.1800859125769467</v>
      </c>
      <c r="AD36">
        <f t="shared" si="10"/>
        <v>-113.20816271699759</v>
      </c>
      <c r="AE36">
        <v>22</v>
      </c>
      <c r="AF36">
        <v>4</v>
      </c>
      <c r="AG36">
        <f t="shared" si="11"/>
        <v>1</v>
      </c>
      <c r="AH36">
        <f t="shared" si="12"/>
        <v>0</v>
      </c>
      <c r="AI36">
        <f t="shared" si="13"/>
        <v>25648.16684728679</v>
      </c>
      <c r="AJ36">
        <f t="shared" si="14"/>
        <v>0.64333249999999997</v>
      </c>
      <c r="AK36">
        <f t="shared" si="15"/>
        <v>0.51466599999999996</v>
      </c>
      <c r="AL36">
        <f t="shared" si="16"/>
        <v>0.8</v>
      </c>
      <c r="AM36">
        <f t="shared" si="17"/>
        <v>0.19109999999999999</v>
      </c>
      <c r="AN36">
        <v>3</v>
      </c>
      <c r="AO36">
        <v>0.5</v>
      </c>
      <c r="AP36" t="s">
        <v>317</v>
      </c>
      <c r="AQ36">
        <v>2</v>
      </c>
      <c r="AR36">
        <v>1775465178.8499999</v>
      </c>
      <c r="AS36">
        <v>13.706614827586209</v>
      </c>
      <c r="AT36">
        <v>12.49574310344828</v>
      </c>
      <c r="AU36">
        <v>-0.98251175862068973</v>
      </c>
      <c r="AV36">
        <v>-2.327486715517241</v>
      </c>
      <c r="AW36">
        <v>5.2776148275862056</v>
      </c>
      <c r="AX36">
        <v>-1.0844867155172411</v>
      </c>
      <c r="AY36">
        <v>500.73429310344829</v>
      </c>
      <c r="AZ36">
        <v>100.0055862068965</v>
      </c>
      <c r="BA36">
        <v>4.6302744827586187E-2</v>
      </c>
      <c r="BB36">
        <v>25.50675344827587</v>
      </c>
      <c r="BC36">
        <v>25.60965689655173</v>
      </c>
      <c r="BD36">
        <v>999.9</v>
      </c>
      <c r="BE36">
        <v>0</v>
      </c>
      <c r="BF36">
        <v>0</v>
      </c>
      <c r="BG36">
        <v>4999.3448275862074</v>
      </c>
      <c r="BH36">
        <v>0.64333249999999997</v>
      </c>
      <c r="BI36">
        <v>191.02982758620689</v>
      </c>
      <c r="BJ36">
        <v>1.2104766810344829</v>
      </c>
      <c r="BK36">
        <v>13.674593103448281</v>
      </c>
      <c r="BL36">
        <v>12.48348275862069</v>
      </c>
      <c r="BM36">
        <v>-1.3167723560344831</v>
      </c>
      <c r="BN36">
        <v>12.49574310344828</v>
      </c>
      <c r="BO36">
        <v>-0.98251175862068973</v>
      </c>
      <c r="BP36">
        <v>-0.2299412068965517</v>
      </c>
      <c r="BQ36">
        <v>-9.8256682758620692E-2</v>
      </c>
      <c r="BR36">
        <v>-99.899999999999977</v>
      </c>
      <c r="BS36">
        <v>-99.899999999999977</v>
      </c>
      <c r="BT36">
        <v>1775465234.0999999</v>
      </c>
      <c r="BU36" t="s">
        <v>383</v>
      </c>
      <c r="BV36">
        <v>1775465164.0999999</v>
      </c>
      <c r="BW36">
        <v>1775465229.0999999</v>
      </c>
      <c r="BX36">
        <v>21</v>
      </c>
      <c r="BY36">
        <v>-8.0000000000000002E-3</v>
      </c>
      <c r="BZ36">
        <v>-2.8000000000000001E-2</v>
      </c>
      <c r="CA36">
        <v>8.4290000000000003</v>
      </c>
      <c r="CB36">
        <v>-1.2430000000000001</v>
      </c>
      <c r="CC36">
        <v>12</v>
      </c>
      <c r="CD36">
        <v>-1</v>
      </c>
      <c r="CE36">
        <v>0.8</v>
      </c>
      <c r="CF36">
        <v>0.05</v>
      </c>
      <c r="CG36">
        <v>12.47968166666667</v>
      </c>
      <c r="CH36">
        <v>1.424169936093385</v>
      </c>
      <c r="CI36">
        <v>0.26952193138448349</v>
      </c>
      <c r="CJ36">
        <v>-1</v>
      </c>
      <c r="CK36">
        <v>500.70901666666668</v>
      </c>
      <c r="CL36">
        <v>-5.1422917477061576</v>
      </c>
      <c r="CM36">
        <v>1.3606329102255681</v>
      </c>
      <c r="CN36">
        <v>-1</v>
      </c>
      <c r="CO36">
        <v>0</v>
      </c>
      <c r="CP36">
        <v>0</v>
      </c>
      <c r="CQ36" t="s">
        <v>319</v>
      </c>
      <c r="CR36">
        <v>3.1676000000000002</v>
      </c>
      <c r="CS36">
        <v>2.6655600000000002</v>
      </c>
      <c r="CT36">
        <v>1.7168800000000001E-3</v>
      </c>
      <c r="CU36">
        <v>3.8631199999999998E-3</v>
      </c>
      <c r="CV36">
        <v>-1.13364E-2</v>
      </c>
      <c r="CW36">
        <v>-8.0886699999999992E-3</v>
      </c>
      <c r="CX36">
        <v>21543.5</v>
      </c>
      <c r="CY36">
        <v>21858.5</v>
      </c>
      <c r="CZ36">
        <v>23109.1</v>
      </c>
      <c r="DA36">
        <v>22296.400000000001</v>
      </c>
      <c r="DB36">
        <v>30140.2</v>
      </c>
      <c r="DC36">
        <v>26813.3</v>
      </c>
      <c r="DD36">
        <v>40618.699999999997</v>
      </c>
      <c r="DE36">
        <v>36960.199999999997</v>
      </c>
      <c r="DF36">
        <v>2.0672999999999999</v>
      </c>
      <c r="DG36">
        <v>1.78616</v>
      </c>
      <c r="DH36">
        <v>-2.4384300000000001E-2</v>
      </c>
      <c r="DI36">
        <v>0</v>
      </c>
      <c r="DJ36">
        <v>26.011800000000001</v>
      </c>
      <c r="DK36">
        <v>999.9</v>
      </c>
      <c r="DL36">
        <v>75.099999999999994</v>
      </c>
      <c r="DM36">
        <v>31.1</v>
      </c>
      <c r="DN36">
        <v>34.070099999999996</v>
      </c>
      <c r="DO36">
        <v>30.53</v>
      </c>
      <c r="DP36">
        <v>10.3405</v>
      </c>
      <c r="DQ36">
        <v>1</v>
      </c>
      <c r="DR36">
        <v>0.22393299999999999</v>
      </c>
      <c r="DS36">
        <v>1.1576599999999999</v>
      </c>
      <c r="DT36">
        <v>20.3642</v>
      </c>
      <c r="DU36">
        <v>5.2119</v>
      </c>
      <c r="DV36">
        <v>11.852499999999999</v>
      </c>
      <c r="DW36">
        <v>4.9679599999999997</v>
      </c>
      <c r="DX36">
        <v>3.2929200000000001</v>
      </c>
      <c r="DY36">
        <v>894.7</v>
      </c>
      <c r="DZ36">
        <v>0</v>
      </c>
      <c r="EA36">
        <v>545.5</v>
      </c>
      <c r="EB36">
        <v>107</v>
      </c>
      <c r="EC36">
        <v>4.9716399999999998</v>
      </c>
      <c r="ED36">
        <v>1.8718300000000001</v>
      </c>
      <c r="EE36">
        <v>1.8690500000000001</v>
      </c>
      <c r="EF36">
        <v>1.8714599999999999</v>
      </c>
      <c r="EG36">
        <v>1.8692</v>
      </c>
      <c r="EH36">
        <v>1.8681300000000001</v>
      </c>
      <c r="EI36">
        <v>1.8699600000000001</v>
      </c>
      <c r="EJ36">
        <v>1.87178</v>
      </c>
      <c r="EK36">
        <v>0</v>
      </c>
      <c r="EL36">
        <v>0</v>
      </c>
      <c r="EM36">
        <v>0</v>
      </c>
      <c r="EN36">
        <v>0</v>
      </c>
      <c r="EO36" t="s">
        <v>320</v>
      </c>
      <c r="EP36" t="s">
        <v>321</v>
      </c>
      <c r="EQ36" t="s">
        <v>322</v>
      </c>
      <c r="ER36" t="s">
        <v>322</v>
      </c>
      <c r="ES36" t="s">
        <v>322</v>
      </c>
      <c r="ET36" t="s">
        <v>322</v>
      </c>
      <c r="EU36">
        <v>0</v>
      </c>
      <c r="EV36">
        <v>100</v>
      </c>
      <c r="EW36">
        <v>100</v>
      </c>
      <c r="EX36">
        <v>8.4290000000000003</v>
      </c>
      <c r="EY36">
        <v>-1.2430000000000001</v>
      </c>
      <c r="EZ36">
        <v>8.4286023809523822</v>
      </c>
      <c r="FA36">
        <v>0</v>
      </c>
      <c r="FB36">
        <v>0</v>
      </c>
      <c r="FC36">
        <v>0</v>
      </c>
      <c r="FD36">
        <v>-1.2147973000000001</v>
      </c>
      <c r="FE36">
        <v>0</v>
      </c>
      <c r="FF36">
        <v>0</v>
      </c>
      <c r="FG36">
        <v>0</v>
      </c>
      <c r="FH36">
        <v>-1</v>
      </c>
      <c r="FI36">
        <v>-1</v>
      </c>
      <c r="FJ36">
        <v>-1</v>
      </c>
      <c r="FK36">
        <v>-1</v>
      </c>
      <c r="FL36">
        <v>0.5</v>
      </c>
      <c r="FM36">
        <v>0.6</v>
      </c>
      <c r="FN36">
        <v>0.142822</v>
      </c>
      <c r="FO36">
        <v>4.99756</v>
      </c>
      <c r="FP36">
        <v>1.5979000000000001</v>
      </c>
      <c r="FQ36">
        <v>2.1557599999999999</v>
      </c>
      <c r="FR36">
        <v>1.5478499999999999</v>
      </c>
      <c r="FS36">
        <v>2.3046899999999999</v>
      </c>
      <c r="FT36">
        <v>34.852499999999999</v>
      </c>
      <c r="FU36">
        <v>15.9445</v>
      </c>
      <c r="FV36">
        <v>2</v>
      </c>
      <c r="FW36">
        <v>487.827</v>
      </c>
      <c r="FX36">
        <v>399.16300000000001</v>
      </c>
      <c r="FY36">
        <v>25.331299999999999</v>
      </c>
      <c r="FZ36">
        <v>30.0015</v>
      </c>
      <c r="GA36">
        <v>30.000299999999999</v>
      </c>
      <c r="GB36">
        <v>30.3245</v>
      </c>
      <c r="GC36">
        <v>30.389199999999999</v>
      </c>
      <c r="GD36">
        <v>-1</v>
      </c>
      <c r="GE36">
        <v>0</v>
      </c>
      <c r="GF36">
        <v>100</v>
      </c>
      <c r="GG36">
        <v>25.3202</v>
      </c>
      <c r="GH36">
        <v>432.1</v>
      </c>
      <c r="GI36">
        <v>78.840199999999996</v>
      </c>
      <c r="GJ36">
        <v>102.239</v>
      </c>
      <c r="GK36">
        <v>96.433599999999998</v>
      </c>
    </row>
    <row r="37" spans="1:193" x14ac:dyDescent="0.35">
      <c r="A37">
        <v>21</v>
      </c>
      <c r="B37">
        <v>1775465254</v>
      </c>
      <c r="C37">
        <v>1297.900000095367</v>
      </c>
      <c r="D37" t="s">
        <v>384</v>
      </c>
      <c r="E37" t="s">
        <v>385</v>
      </c>
      <c r="F37">
        <v>30</v>
      </c>
      <c r="G37">
        <v>1775465244.048718</v>
      </c>
      <c r="H37">
        <f t="shared" si="0"/>
        <v>2.2869787893774296E-3</v>
      </c>
      <c r="I37">
        <f>1000*AY37*AG37*(AU37-AV37)/(100*AN37*(1000-AG37*AU37))</f>
        <v>2.2869787893774296</v>
      </c>
      <c r="J37">
        <f>AY37*AG37*(AT37-AS37*(1000-AG37*AV37)/(1000-AG37*AU37))/(100*AN37)</f>
        <v>-9.3346126683059651</v>
      </c>
      <c r="K37">
        <f t="shared" si="1"/>
        <v>21.95684794871795</v>
      </c>
      <c r="L37">
        <f t="shared" si="2"/>
        <v>238.71600283123908</v>
      </c>
      <c r="M37">
        <f>L37*(AZ37+BA37)/1000</f>
        <v>23.884247808906974</v>
      </c>
      <c r="N37">
        <f>(AS37 - IF(AG37&gt;1, J37*AN37*100/(AI37), 0))*(AZ37+BA37)/1000</f>
        <v>2.1968481010483925</v>
      </c>
      <c r="O37">
        <f t="shared" si="3"/>
        <v>6.7599681838591053E-2</v>
      </c>
      <c r="P37">
        <f>IF(LEFT(AP37,1)&lt;&gt;"0",IF(LEFT(AP37,1)="1",3,AQ37),$D$5+$E$5*(BG37*AZ37/($K$5*1000))+$F$5*(BG37*AZ37/($K$5*1000))*MAX(MIN(AN37,$J$5),$I$5)*MAX(MIN(AN37,$J$5),$I$5)+$G$5*MAX(MIN(AN37,$J$5),$I$5)*(BG37*AZ37/($K$5*1000))+$H$5*(BG37*AZ37/($K$5*1000))*(BG37*AZ37/($K$5*1000)))</f>
        <v>2.3892018428463015</v>
      </c>
      <c r="Q37">
        <f>H37*(1000-(1000*0.61365*EXP(17.502*U37/(240.97+U37))/(AZ37+BA37)+AU37)/2)/(1000*0.61365*EXP(17.502*U37/(240.97+U37))/(AZ37+BA37)-AU37)</f>
        <v>6.6554819357238088E-2</v>
      </c>
      <c r="R37">
        <f t="shared" si="4"/>
        <v>4.1689293505750291E-2</v>
      </c>
      <c r="S37">
        <f t="shared" si="5"/>
        <v>0.12613057659999999</v>
      </c>
      <c r="T37">
        <f>(BB37+(S37+2*0.95*0.0000000567*(((BB37+$B$7)+273)^4-(BB37+273)^4)-44100*H37)/(1.84*29.3*P37+8*0.95*0.0000000567*(BB37+273)^3))</f>
        <v>24.785204080501536</v>
      </c>
      <c r="U37">
        <f>($C$7*BC37+$D$7*BD37+$E$7*T37)</f>
        <v>25.60174615384615</v>
      </c>
      <c r="V37">
        <f t="shared" si="6"/>
        <v>3.2955543047967657</v>
      </c>
      <c r="W37">
        <f t="shared" si="7"/>
        <v>-2.6669671294409856</v>
      </c>
      <c r="X37">
        <f>AU37*(AZ37+BA37)/1000</f>
        <v>-8.7379260049157637E-2</v>
      </c>
      <c r="Y37">
        <f t="shared" si="8"/>
        <v>3.2763530935408611</v>
      </c>
      <c r="Z37">
        <f>(V37-AU37*(AZ37+BA37)/1000)</f>
        <v>3.3829335648459233</v>
      </c>
      <c r="AA37">
        <f t="shared" si="9"/>
        <v>-100.85576461154464</v>
      </c>
      <c r="AB37">
        <f>2*29.3*P37*0.92*(BB37-U37)</f>
        <v>-12.677216523238814</v>
      </c>
      <c r="AC37">
        <f>2*0.95*0.0000000567*(((BB37+$B$7)+273)^4-(U37+273)^4)</f>
        <v>-1.1286117822816391</v>
      </c>
      <c r="AD37">
        <f t="shared" si="10"/>
        <v>-114.53546234046509</v>
      </c>
      <c r="AE37">
        <v>22</v>
      </c>
      <c r="AF37">
        <v>4</v>
      </c>
      <c r="AG37">
        <f t="shared" si="11"/>
        <v>1</v>
      </c>
      <c r="AH37">
        <f t="shared" si="12"/>
        <v>0</v>
      </c>
      <c r="AI37">
        <f t="shared" si="13"/>
        <v>25668.537875843729</v>
      </c>
      <c r="AJ37">
        <f t="shared" si="14"/>
        <v>0.66002394871794867</v>
      </c>
      <c r="AK37">
        <f t="shared" si="15"/>
        <v>0.52801915897435892</v>
      </c>
      <c r="AL37">
        <f t="shared" si="16"/>
        <v>0.8</v>
      </c>
      <c r="AM37">
        <f t="shared" si="17"/>
        <v>0.19109999999999999</v>
      </c>
      <c r="AN37">
        <v>3</v>
      </c>
      <c r="AO37">
        <v>0.5</v>
      </c>
      <c r="AP37" t="s">
        <v>317</v>
      </c>
      <c r="AQ37">
        <v>2</v>
      </c>
      <c r="AR37">
        <v>1775465244.048718</v>
      </c>
      <c r="AS37">
        <v>21.95684794871795</v>
      </c>
      <c r="AT37">
        <v>16.398182051282049</v>
      </c>
      <c r="AU37">
        <v>-0.87332989743589762</v>
      </c>
      <c r="AV37">
        <v>-2.2437637692307688</v>
      </c>
      <c r="AW37">
        <v>13.32984794871795</v>
      </c>
      <c r="AX37">
        <v>-0.99376376923076926</v>
      </c>
      <c r="AY37">
        <v>501.07694871794871</v>
      </c>
      <c r="AZ37">
        <v>100.00615384615379</v>
      </c>
      <c r="BA37">
        <v>4.6827628205128209E-2</v>
      </c>
      <c r="BB37">
        <v>25.503325641025629</v>
      </c>
      <c r="BC37">
        <v>25.60174615384615</v>
      </c>
      <c r="BD37">
        <v>999.9000000000002</v>
      </c>
      <c r="BE37">
        <v>0</v>
      </c>
      <c r="BF37">
        <v>0</v>
      </c>
      <c r="BG37">
        <v>5002.7051282051279</v>
      </c>
      <c r="BH37">
        <v>0.66002394871794867</v>
      </c>
      <c r="BI37">
        <v>191.78369230769229</v>
      </c>
      <c r="BJ37">
        <v>5.3602693589743593</v>
      </c>
      <c r="BK37">
        <v>21.711515384615382</v>
      </c>
      <c r="BL37">
        <v>16.38386666666667</v>
      </c>
      <c r="BM37">
        <v>-1.363426937076923</v>
      </c>
      <c r="BN37">
        <v>16.398182051282049</v>
      </c>
      <c r="BO37">
        <v>-0.87332989743589762</v>
      </c>
      <c r="BP37">
        <v>-0.22368947948717949</v>
      </c>
      <c r="BQ37">
        <v>-8.7338392307692303E-2</v>
      </c>
      <c r="BR37">
        <v>-99.90000000000002</v>
      </c>
      <c r="BS37">
        <v>-99.90000000000002</v>
      </c>
      <c r="BT37">
        <v>1775465294.5</v>
      </c>
      <c r="BU37" t="s">
        <v>386</v>
      </c>
      <c r="BV37">
        <v>1775465278.5</v>
      </c>
      <c r="BW37">
        <v>1775465294.5</v>
      </c>
      <c r="BX37">
        <v>22</v>
      </c>
      <c r="BY37">
        <v>0.19900000000000001</v>
      </c>
      <c r="BZ37">
        <v>-7.0000000000000001E-3</v>
      </c>
      <c r="CA37">
        <v>8.6270000000000007</v>
      </c>
      <c r="CB37">
        <v>-1.25</v>
      </c>
      <c r="CC37">
        <v>25</v>
      </c>
      <c r="CD37">
        <v>-1</v>
      </c>
      <c r="CE37">
        <v>1.28</v>
      </c>
      <c r="CF37">
        <v>0.08</v>
      </c>
      <c r="CG37">
        <v>18.362152459016389</v>
      </c>
      <c r="CH37">
        <v>-18.270578147047541</v>
      </c>
      <c r="CI37">
        <v>6.9771916307117641</v>
      </c>
      <c r="CJ37">
        <v>-1</v>
      </c>
      <c r="CK37">
        <v>500.69454098360649</v>
      </c>
      <c r="CL37">
        <v>-0.23787201062935659</v>
      </c>
      <c r="CM37">
        <v>1.358059483158141</v>
      </c>
      <c r="CN37">
        <v>-1</v>
      </c>
      <c r="CO37">
        <v>0</v>
      </c>
      <c r="CP37">
        <v>0</v>
      </c>
      <c r="CQ37" t="s">
        <v>319</v>
      </c>
      <c r="CR37">
        <v>3.16757</v>
      </c>
      <c r="CS37">
        <v>2.6657999999999999</v>
      </c>
      <c r="CT37">
        <v>2.5136899999999998E-3</v>
      </c>
      <c r="CU37">
        <v>3.8430500000000002E-3</v>
      </c>
      <c r="CV37">
        <v>-1.1341499999999999E-2</v>
      </c>
      <c r="CW37">
        <v>-7.4294299999999999E-3</v>
      </c>
      <c r="CX37">
        <v>21524.6</v>
      </c>
      <c r="CY37">
        <v>21856.7</v>
      </c>
      <c r="CZ37">
        <v>23107.4</v>
      </c>
      <c r="DA37">
        <v>22294.1</v>
      </c>
      <c r="DB37">
        <v>30138.3</v>
      </c>
      <c r="DC37">
        <v>26793.200000000001</v>
      </c>
      <c r="DD37">
        <v>40616</v>
      </c>
      <c r="DE37">
        <v>36956.6</v>
      </c>
      <c r="DF37">
        <v>2.0660400000000001</v>
      </c>
      <c r="DG37">
        <v>1.78444</v>
      </c>
      <c r="DH37">
        <v>-2.6619400000000001E-2</v>
      </c>
      <c r="DI37">
        <v>0</v>
      </c>
      <c r="DJ37">
        <v>26.046900000000001</v>
      </c>
      <c r="DK37">
        <v>999.9</v>
      </c>
      <c r="DL37">
        <v>75.099999999999994</v>
      </c>
      <c r="DM37">
        <v>31.1</v>
      </c>
      <c r="DN37">
        <v>34.071300000000001</v>
      </c>
      <c r="DO37">
        <v>30.54</v>
      </c>
      <c r="DP37">
        <v>10.224399999999999</v>
      </c>
      <c r="DQ37">
        <v>1</v>
      </c>
      <c r="DR37">
        <v>0.22729099999999999</v>
      </c>
      <c r="DS37">
        <v>1.1433</v>
      </c>
      <c r="DT37">
        <v>20.3643</v>
      </c>
      <c r="DU37">
        <v>5.2120199999999999</v>
      </c>
      <c r="DV37">
        <v>11.8528</v>
      </c>
      <c r="DW37">
        <v>4.9677199999999999</v>
      </c>
      <c r="DX37">
        <v>3.2929400000000002</v>
      </c>
      <c r="DY37">
        <v>894.7</v>
      </c>
      <c r="DZ37">
        <v>0</v>
      </c>
      <c r="EA37">
        <v>577</v>
      </c>
      <c r="EB37">
        <v>107</v>
      </c>
      <c r="EC37">
        <v>4.9716300000000002</v>
      </c>
      <c r="ED37">
        <v>1.87182</v>
      </c>
      <c r="EE37">
        <v>1.8690500000000001</v>
      </c>
      <c r="EF37">
        <v>1.8714500000000001</v>
      </c>
      <c r="EG37">
        <v>1.8692</v>
      </c>
      <c r="EH37">
        <v>1.86812</v>
      </c>
      <c r="EI37">
        <v>1.86995</v>
      </c>
      <c r="EJ37">
        <v>1.8717900000000001</v>
      </c>
      <c r="EK37">
        <v>0</v>
      </c>
      <c r="EL37">
        <v>0</v>
      </c>
      <c r="EM37">
        <v>0</v>
      </c>
      <c r="EN37">
        <v>0</v>
      </c>
      <c r="EO37" t="s">
        <v>320</v>
      </c>
      <c r="EP37" t="s">
        <v>321</v>
      </c>
      <c r="EQ37" t="s">
        <v>322</v>
      </c>
      <c r="ER37" t="s">
        <v>322</v>
      </c>
      <c r="ES37" t="s">
        <v>322</v>
      </c>
      <c r="ET37" t="s">
        <v>322</v>
      </c>
      <c r="EU37">
        <v>0</v>
      </c>
      <c r="EV37">
        <v>100</v>
      </c>
      <c r="EW37">
        <v>100</v>
      </c>
      <c r="EX37">
        <v>8.6270000000000007</v>
      </c>
      <c r="EY37">
        <v>-1.25</v>
      </c>
      <c r="EZ37">
        <v>8.4286023809523822</v>
      </c>
      <c r="FA37">
        <v>0</v>
      </c>
      <c r="FB37">
        <v>0</v>
      </c>
      <c r="FC37">
        <v>0</v>
      </c>
      <c r="FD37">
        <v>-1.242992857142857</v>
      </c>
      <c r="FE37">
        <v>0</v>
      </c>
      <c r="FF37">
        <v>0</v>
      </c>
      <c r="FG37">
        <v>0</v>
      </c>
      <c r="FH37">
        <v>-1</v>
      </c>
      <c r="FI37">
        <v>-1</v>
      </c>
      <c r="FJ37">
        <v>-1</v>
      </c>
      <c r="FK37">
        <v>-1</v>
      </c>
      <c r="FL37">
        <v>1.5</v>
      </c>
      <c r="FM37">
        <v>0.4</v>
      </c>
      <c r="FN37">
        <v>0.142822</v>
      </c>
      <c r="FO37">
        <v>4.99756</v>
      </c>
      <c r="FP37">
        <v>1.5979000000000001</v>
      </c>
      <c r="FQ37">
        <v>2.1569799999999999</v>
      </c>
      <c r="FR37">
        <v>1.5478499999999999</v>
      </c>
      <c r="FS37">
        <v>2.3779300000000001</v>
      </c>
      <c r="FT37">
        <v>34.898499999999999</v>
      </c>
      <c r="FU37">
        <v>15.9533</v>
      </c>
      <c r="FV37">
        <v>2</v>
      </c>
      <c r="FW37">
        <v>487.291</v>
      </c>
      <c r="FX37">
        <v>398.35500000000002</v>
      </c>
      <c r="FY37">
        <v>25.345300000000002</v>
      </c>
      <c r="FZ37">
        <v>30.038900000000002</v>
      </c>
      <c r="GA37">
        <v>30.000399999999999</v>
      </c>
      <c r="GB37">
        <v>30.3492</v>
      </c>
      <c r="GC37">
        <v>30.415199999999999</v>
      </c>
      <c r="GD37">
        <v>-1</v>
      </c>
      <c r="GE37">
        <v>0</v>
      </c>
      <c r="GF37">
        <v>100</v>
      </c>
      <c r="GG37">
        <v>25.337800000000001</v>
      </c>
      <c r="GH37">
        <v>432.1</v>
      </c>
      <c r="GI37">
        <v>78.840199999999996</v>
      </c>
      <c r="GJ37">
        <v>102.232</v>
      </c>
      <c r="GK37">
        <v>96.424099999999996</v>
      </c>
    </row>
    <row r="38" spans="1:193" x14ac:dyDescent="0.35">
      <c r="A38">
        <v>22</v>
      </c>
      <c r="B38">
        <v>1775465314</v>
      </c>
      <c r="C38">
        <v>1357.900000095367</v>
      </c>
      <c r="D38" t="s">
        <v>387</v>
      </c>
      <c r="E38" t="s">
        <v>388</v>
      </c>
      <c r="F38">
        <v>30</v>
      </c>
      <c r="G38">
        <v>1775465304.25</v>
      </c>
      <c r="H38">
        <f t="shared" si="0"/>
        <v>2.3131899945663731E-3</v>
      </c>
      <c r="I38">
        <f>1000*AY38*AG38*(AU38-AV38)/(100*AN38*(1000-AG38*AU38))</f>
        <v>2.3131899945663732</v>
      </c>
      <c r="J38">
        <f>AY38*AG38*(AT38-AS38*(1000-AG38*AV38)/(1000-AG38*AU38))/(100*AN38)</f>
        <v>-20.649619289375639</v>
      </c>
      <c r="K38">
        <f t="shared" si="1"/>
        <v>50.948968421052641</v>
      </c>
      <c r="L38">
        <f t="shared" si="2"/>
        <v>523.99199316524948</v>
      </c>
      <c r="M38">
        <f>L38*(AZ38+BA38)/1000</f>
        <v>52.428181837658926</v>
      </c>
      <c r="N38">
        <f>(AS38 - IF(AG38&gt;1, J38*AN38*100/(AI38), 0))*(AZ38+BA38)/1000</f>
        <v>5.0977148804976027</v>
      </c>
      <c r="O38">
        <f t="shared" si="3"/>
        <v>6.8517002849733444E-2</v>
      </c>
      <c r="P38">
        <f>IF(LEFT(AP38,1)&lt;&gt;"0",IF(LEFT(AP38,1)="1",3,AQ38),$D$5+$E$5*(BG38*AZ38/($K$5*1000))+$F$5*(BG38*AZ38/($K$5*1000))*MAX(MIN(AN38,$J$5),$I$5)*MAX(MIN(AN38,$J$5),$I$5)+$G$5*MAX(MIN(AN38,$J$5),$I$5)*(BG38*AZ38/($K$5*1000))+$H$5*(BG38*AZ38/($K$5*1000))*(BG38*AZ38/($K$5*1000)))</f>
        <v>2.3874242594352042</v>
      </c>
      <c r="Q38">
        <f>H38*(1000-(1000*0.61365*EXP(17.502*U38/(240.97+U38))/(AZ38+BA38)+AU38)/2)/(1000*0.61365*EXP(17.502*U38/(240.97+U38))/(AZ38+BA38)-AU38)</f>
        <v>6.7443047762524508E-2</v>
      </c>
      <c r="R38">
        <f t="shared" si="4"/>
        <v>4.2246993199569226E-2</v>
      </c>
      <c r="S38">
        <f t="shared" si="5"/>
        <v>0.12689846140263158</v>
      </c>
      <c r="T38">
        <f>(BB38+(S38+2*0.95*0.0000000567*(((BB38+$B$7)+273)^4-(BB38+273)^4)-44100*H38)/(1.84*29.3*P38+8*0.95*0.0000000567*(BB38+273)^3))</f>
        <v>24.774663918263297</v>
      </c>
      <c r="U38">
        <f>($C$7*BC38+$D$7*BD38+$E$7*T38)</f>
        <v>25.607857894736838</v>
      </c>
      <c r="V38">
        <f t="shared" si="6"/>
        <v>3.2967499013103638</v>
      </c>
      <c r="W38">
        <f t="shared" si="7"/>
        <v>-2.4365502276583539</v>
      </c>
      <c r="X38">
        <f>AU38*(AZ38+BA38)/1000</f>
        <v>-7.9821420356334022E-2</v>
      </c>
      <c r="Y38">
        <f t="shared" si="8"/>
        <v>3.2760014322810154</v>
      </c>
      <c r="Z38">
        <f>(V38-AU38*(AZ38+BA38)/1000)</f>
        <v>3.3765713216666979</v>
      </c>
      <c r="AA38">
        <f t="shared" si="9"/>
        <v>-102.01167876037705</v>
      </c>
      <c r="AB38">
        <f>2*29.3*P38*0.92*(BB38-U38)</f>
        <v>-13.687040502649131</v>
      </c>
      <c r="AC38">
        <f>2*0.95*0.0000000567*(((BB38+$B$7)+273)^4-(U38+273)^4)</f>
        <v>-1.2194467964715519</v>
      </c>
      <c r="AD38">
        <f t="shared" si="10"/>
        <v>-116.7912675980951</v>
      </c>
      <c r="AE38">
        <v>23</v>
      </c>
      <c r="AF38">
        <v>5</v>
      </c>
      <c r="AG38">
        <f t="shared" si="11"/>
        <v>1</v>
      </c>
      <c r="AH38">
        <f t="shared" si="12"/>
        <v>0</v>
      </c>
      <c r="AI38">
        <f t="shared" si="13"/>
        <v>25641.452051400407</v>
      </c>
      <c r="AJ38">
        <f t="shared" si="14"/>
        <v>0.66404218421052641</v>
      </c>
      <c r="AK38">
        <f t="shared" si="15"/>
        <v>0.53123374736842111</v>
      </c>
      <c r="AL38">
        <f t="shared" si="16"/>
        <v>0.8</v>
      </c>
      <c r="AM38">
        <f t="shared" si="17"/>
        <v>0.19109999999999999</v>
      </c>
      <c r="AN38">
        <v>3</v>
      </c>
      <c r="AO38">
        <v>0.5</v>
      </c>
      <c r="AP38" t="s">
        <v>317</v>
      </c>
      <c r="AQ38">
        <v>2</v>
      </c>
      <c r="AR38">
        <v>1775465304.25</v>
      </c>
      <c r="AS38">
        <v>50.948968421052641</v>
      </c>
      <c r="AT38">
        <v>38.657334210526322</v>
      </c>
      <c r="AU38">
        <v>-0.79777294736842097</v>
      </c>
      <c r="AV38">
        <v>-2.183701957894737</v>
      </c>
      <c r="AW38">
        <v>42.518968421052641</v>
      </c>
      <c r="AX38">
        <v>-0.94470195789473699</v>
      </c>
      <c r="AY38">
        <v>501.11557894736848</v>
      </c>
      <c r="AZ38">
        <v>100.00784210526319</v>
      </c>
      <c r="BA38">
        <v>4.7468894736842113E-2</v>
      </c>
      <c r="BB38">
        <v>25.50151842105263</v>
      </c>
      <c r="BC38">
        <v>25.607857894736838</v>
      </c>
      <c r="BD38">
        <v>999.90000000000009</v>
      </c>
      <c r="BE38">
        <v>0</v>
      </c>
      <c r="BF38">
        <v>0</v>
      </c>
      <c r="BG38">
        <v>4998.0394736842109</v>
      </c>
      <c r="BH38">
        <v>0.66404218421052641</v>
      </c>
      <c r="BI38">
        <v>192.19863157894741</v>
      </c>
      <c r="BJ38">
        <v>12.488783342105259</v>
      </c>
      <c r="BK38">
        <v>51.033552631578949</v>
      </c>
      <c r="BL38">
        <v>38.626668421052628</v>
      </c>
      <c r="BM38">
        <v>-1.3969538883684209</v>
      </c>
      <c r="BN38">
        <v>38.657334210526322</v>
      </c>
      <c r="BO38">
        <v>-0.79777294736842097</v>
      </c>
      <c r="BP38">
        <v>-0.21948998684210519</v>
      </c>
      <c r="BQ38">
        <v>-7.9783613157894728E-2</v>
      </c>
      <c r="BR38">
        <v>-99.90000000000002</v>
      </c>
      <c r="BS38">
        <v>-99.90000000000002</v>
      </c>
      <c r="BT38">
        <v>1775465353</v>
      </c>
      <c r="BU38" t="s">
        <v>389</v>
      </c>
      <c r="BV38">
        <v>1775465353</v>
      </c>
      <c r="BW38">
        <v>1775465335</v>
      </c>
      <c r="BX38">
        <v>23</v>
      </c>
      <c r="BY38">
        <v>-0.19700000000000001</v>
      </c>
      <c r="BZ38">
        <v>1.0999999999999999E-2</v>
      </c>
      <c r="CA38">
        <v>8.43</v>
      </c>
      <c r="CB38">
        <v>-1.2390000000000001</v>
      </c>
      <c r="CC38">
        <v>14</v>
      </c>
      <c r="CD38">
        <v>-1</v>
      </c>
      <c r="CE38">
        <v>0.05</v>
      </c>
      <c r="CF38">
        <v>0.04</v>
      </c>
      <c r="CG38">
        <v>58.308678688524587</v>
      </c>
      <c r="CH38">
        <v>-138.591074563723</v>
      </c>
      <c r="CI38">
        <v>31.387451918023981</v>
      </c>
      <c r="CJ38">
        <v>-1</v>
      </c>
      <c r="CK38">
        <v>500.71875409836059</v>
      </c>
      <c r="CL38">
        <v>0.66983606557428743</v>
      </c>
      <c r="CM38">
        <v>1.3583596020144479</v>
      </c>
      <c r="CN38">
        <v>-1</v>
      </c>
      <c r="CO38">
        <v>0</v>
      </c>
      <c r="CP38">
        <v>0</v>
      </c>
      <c r="CQ38" t="s">
        <v>319</v>
      </c>
      <c r="CR38">
        <v>3.1675300000000002</v>
      </c>
      <c r="CS38">
        <v>2.6662599999999999</v>
      </c>
      <c r="CT38">
        <v>8.8345300000000002E-3</v>
      </c>
      <c r="CU38">
        <v>4.8181700000000001E-3</v>
      </c>
      <c r="CV38">
        <v>-1.14381E-2</v>
      </c>
      <c r="CW38">
        <v>-7.1108300000000003E-3</v>
      </c>
      <c r="CX38">
        <v>21386.3</v>
      </c>
      <c r="CY38">
        <v>21832.7</v>
      </c>
      <c r="CZ38">
        <v>23105.4</v>
      </c>
      <c r="DA38">
        <v>22291.599999999999</v>
      </c>
      <c r="DB38">
        <v>30138.9</v>
      </c>
      <c r="DC38">
        <v>26781.9</v>
      </c>
      <c r="DD38">
        <v>40613</v>
      </c>
      <c r="DE38">
        <v>36952.6</v>
      </c>
      <c r="DF38">
        <v>2.0652599999999999</v>
      </c>
      <c r="DG38">
        <v>1.7858400000000001</v>
      </c>
      <c r="DH38">
        <v>-2.8514899999999999E-2</v>
      </c>
      <c r="DI38">
        <v>0</v>
      </c>
      <c r="DJ38">
        <v>26.069800000000001</v>
      </c>
      <c r="DK38">
        <v>999.9</v>
      </c>
      <c r="DL38">
        <v>75.099999999999994</v>
      </c>
      <c r="DM38">
        <v>31.1</v>
      </c>
      <c r="DN38">
        <v>34.071199999999997</v>
      </c>
      <c r="DO38">
        <v>30.57</v>
      </c>
      <c r="DP38">
        <v>10.504799999999999</v>
      </c>
      <c r="DQ38">
        <v>1</v>
      </c>
      <c r="DR38">
        <v>0.23091300000000001</v>
      </c>
      <c r="DS38">
        <v>1.1507400000000001</v>
      </c>
      <c r="DT38">
        <v>20.363900000000001</v>
      </c>
      <c r="DU38">
        <v>5.2112999999999996</v>
      </c>
      <c r="DV38">
        <v>11.851100000000001</v>
      </c>
      <c r="DW38">
        <v>4.9677600000000002</v>
      </c>
      <c r="DX38">
        <v>3.29284</v>
      </c>
      <c r="DY38">
        <v>894.7</v>
      </c>
      <c r="DZ38">
        <v>0</v>
      </c>
      <c r="EA38">
        <v>608.1</v>
      </c>
      <c r="EB38">
        <v>107</v>
      </c>
      <c r="EC38">
        <v>4.9716300000000002</v>
      </c>
      <c r="ED38">
        <v>1.8718300000000001</v>
      </c>
      <c r="EE38">
        <v>1.86904</v>
      </c>
      <c r="EF38">
        <v>1.87147</v>
      </c>
      <c r="EG38">
        <v>1.8692</v>
      </c>
      <c r="EH38">
        <v>1.8681300000000001</v>
      </c>
      <c r="EI38">
        <v>1.86995</v>
      </c>
      <c r="EJ38">
        <v>1.8717999999999999</v>
      </c>
      <c r="EK38">
        <v>0</v>
      </c>
      <c r="EL38">
        <v>0</v>
      </c>
      <c r="EM38">
        <v>0</v>
      </c>
      <c r="EN38">
        <v>0</v>
      </c>
      <c r="EO38" t="s">
        <v>320</v>
      </c>
      <c r="EP38" t="s">
        <v>321</v>
      </c>
      <c r="EQ38" t="s">
        <v>322</v>
      </c>
      <c r="ER38" t="s">
        <v>322</v>
      </c>
      <c r="ES38" t="s">
        <v>322</v>
      </c>
      <c r="ET38" t="s">
        <v>322</v>
      </c>
      <c r="EU38">
        <v>0</v>
      </c>
      <c r="EV38">
        <v>100</v>
      </c>
      <c r="EW38">
        <v>100</v>
      </c>
      <c r="EX38">
        <v>8.43</v>
      </c>
      <c r="EY38">
        <v>-1.2390000000000001</v>
      </c>
      <c r="EZ38">
        <v>8.6271576190476189</v>
      </c>
      <c r="FA38">
        <v>0</v>
      </c>
      <c r="FB38">
        <v>0</v>
      </c>
      <c r="FC38">
        <v>0</v>
      </c>
      <c r="FD38">
        <v>-1.2500237619047621</v>
      </c>
      <c r="FE38">
        <v>0</v>
      </c>
      <c r="FF38">
        <v>0</v>
      </c>
      <c r="FG38">
        <v>0</v>
      </c>
      <c r="FH38">
        <v>-1</v>
      </c>
      <c r="FI38">
        <v>-1</v>
      </c>
      <c r="FJ38">
        <v>-1</v>
      </c>
      <c r="FK38">
        <v>-1</v>
      </c>
      <c r="FL38">
        <v>0.6</v>
      </c>
      <c r="FM38">
        <v>0.3</v>
      </c>
      <c r="FN38">
        <v>0.142822</v>
      </c>
      <c r="FO38">
        <v>4.99756</v>
      </c>
      <c r="FP38">
        <v>1.5979000000000001</v>
      </c>
      <c r="FQ38">
        <v>2.1569799999999999</v>
      </c>
      <c r="FR38">
        <v>1.5478499999999999</v>
      </c>
      <c r="FS38">
        <v>2.3913600000000002</v>
      </c>
      <c r="FT38">
        <v>34.944400000000002</v>
      </c>
      <c r="FU38">
        <v>15.9445</v>
      </c>
      <c r="FV38">
        <v>2</v>
      </c>
      <c r="FW38">
        <v>487.08499999999998</v>
      </c>
      <c r="FX38">
        <v>399.34399999999999</v>
      </c>
      <c r="FY38">
        <v>25.330500000000001</v>
      </c>
      <c r="FZ38">
        <v>30.082599999999999</v>
      </c>
      <c r="GA38">
        <v>30.000299999999999</v>
      </c>
      <c r="GB38">
        <v>30.3813</v>
      </c>
      <c r="GC38">
        <v>30.445599999999999</v>
      </c>
      <c r="GD38">
        <v>-1</v>
      </c>
      <c r="GE38">
        <v>0</v>
      </c>
      <c r="GF38">
        <v>100</v>
      </c>
      <c r="GG38">
        <v>25.334900000000001</v>
      </c>
      <c r="GH38">
        <v>432.1</v>
      </c>
      <c r="GI38">
        <v>78.840199999999996</v>
      </c>
      <c r="GJ38">
        <v>102.224</v>
      </c>
      <c r="GK38">
        <v>96.413600000000002</v>
      </c>
    </row>
    <row r="39" spans="1:193" x14ac:dyDescent="0.35">
      <c r="A39">
        <v>23</v>
      </c>
      <c r="B39">
        <v>1775465374</v>
      </c>
      <c r="C39">
        <v>1417.900000095367</v>
      </c>
      <c r="D39" t="s">
        <v>390</v>
      </c>
      <c r="E39" t="s">
        <v>391</v>
      </c>
      <c r="F39">
        <v>30</v>
      </c>
      <c r="G39">
        <v>1775465363.5</v>
      </c>
      <c r="H39">
        <f t="shared" si="0"/>
        <v>2.2885605137235522E-3</v>
      </c>
      <c r="I39">
        <f>1000*AY39*AG39*(AU39-AV39)/(100*AN39*(1000-AG39*AU39))</f>
        <v>2.2885605137235521</v>
      </c>
      <c r="J39">
        <f>AY39*AG39*(AT39-AS39*(1000-AG39*AV39)/(1000-AG39*AU39))/(100*AN39)</f>
        <v>-3.6080499585812973</v>
      </c>
      <c r="K39">
        <f t="shared" si="1"/>
        <v>14.71480902439024</v>
      </c>
      <c r="L39">
        <f t="shared" si="2"/>
        <v>98.104154553797272</v>
      </c>
      <c r="M39">
        <f>L39*(AZ39+BA39)/1000</f>
        <v>9.815921941317173</v>
      </c>
      <c r="N39">
        <f>(AS39 - IF(AG39&gt;1, J39*AN39*100/(AI39), 0))*(AZ39+BA39)/1000</f>
        <v>1.4723068296317461</v>
      </c>
      <c r="O39">
        <f t="shared" si="3"/>
        <v>6.7651305485477806E-2</v>
      </c>
      <c r="P39">
        <f>IF(LEFT(AP39,1)&lt;&gt;"0",IF(LEFT(AP39,1)="1",3,AQ39),$D$5+$E$5*(BG39*AZ39/($K$5*1000))+$F$5*(BG39*AZ39/($K$5*1000))*MAX(MIN(AN39,$J$5),$I$5)*MAX(MIN(AN39,$J$5),$I$5)+$G$5*MAX(MIN(AN39,$J$5),$I$5)*(BG39*AZ39/($K$5*1000))+$H$5*(BG39*AZ39/($K$5*1000))*(BG39*AZ39/($K$5*1000)))</f>
        <v>2.3835662501954822</v>
      </c>
      <c r="Q39">
        <f>H39*(1000-(1000*0.61365*EXP(17.502*U39/(240.97+U39))/(AZ39+BA39)+AU39)/2)/(1000*0.61365*EXP(17.502*U39/(240.97+U39))/(AZ39+BA39)-AU39)</f>
        <v>6.6602427052031316E-2</v>
      </c>
      <c r="R39">
        <f t="shared" si="4"/>
        <v>4.1719399809083825E-2</v>
      </c>
      <c r="S39">
        <f t="shared" si="5"/>
        <v>0.12166033325121951</v>
      </c>
      <c r="T39">
        <f>(BB39+(S39+2*0.95*0.0000000567*(((BB39+$B$7)+273)^4-(BB39+273)^4)-44100*H39)/(1.84*29.3*P39+8*0.95*0.0000000567*(BB39+273)^3))</f>
        <v>24.782049621717672</v>
      </c>
      <c r="U39">
        <f>($C$7*BC39+$D$7*BD39+$E$7*T39)</f>
        <v>25.604234146341462</v>
      </c>
      <c r="V39">
        <f t="shared" si="6"/>
        <v>3.2960409673982523</v>
      </c>
      <c r="W39">
        <f t="shared" si="7"/>
        <v>-2.6526330394391402</v>
      </c>
      <c r="X39">
        <f>AU39*(AZ39+BA39)/1000</f>
        <v>-8.6904129084859685E-2</v>
      </c>
      <c r="Y39">
        <f t="shared" si="8"/>
        <v>3.2761459196494918</v>
      </c>
      <c r="Z39">
        <f>(V39-AU39*(AZ39+BA39)/1000)</f>
        <v>3.382945096483112</v>
      </c>
      <c r="AA39">
        <f t="shared" si="9"/>
        <v>-100.92551865520865</v>
      </c>
      <c r="AB39">
        <f>2*29.3*P39*0.92*(BB39-U39)</f>
        <v>-13.103840378681127</v>
      </c>
      <c r="AC39">
        <f>2*0.95*0.0000000567*(((BB39+$B$7)+273)^4-(U39+273)^4)</f>
        <v>-1.1693593328173668</v>
      </c>
      <c r="AD39">
        <f t="shared" si="10"/>
        <v>-115.07705803345593</v>
      </c>
      <c r="AE39">
        <v>23</v>
      </c>
      <c r="AF39">
        <v>5</v>
      </c>
      <c r="AG39">
        <f t="shared" si="11"/>
        <v>1</v>
      </c>
      <c r="AH39">
        <f t="shared" si="12"/>
        <v>0</v>
      </c>
      <c r="AI39">
        <f t="shared" si="13"/>
        <v>25582.379447892523</v>
      </c>
      <c r="AJ39">
        <f t="shared" si="14"/>
        <v>0.63663178048780489</v>
      </c>
      <c r="AK39">
        <f t="shared" si="15"/>
        <v>0.50930542439024395</v>
      </c>
      <c r="AL39">
        <f t="shared" si="16"/>
        <v>0.8</v>
      </c>
      <c r="AM39">
        <f t="shared" si="17"/>
        <v>0.19109999999999999</v>
      </c>
      <c r="AN39">
        <v>3</v>
      </c>
      <c r="AO39">
        <v>0.5</v>
      </c>
      <c r="AP39" t="s">
        <v>317</v>
      </c>
      <c r="AQ39">
        <v>2</v>
      </c>
      <c r="AR39">
        <v>1775465363.5</v>
      </c>
      <c r="AS39">
        <v>14.71480902439024</v>
      </c>
      <c r="AT39">
        <v>12.5746</v>
      </c>
      <c r="AU39">
        <v>-0.86855378048780496</v>
      </c>
      <c r="AV39">
        <v>-2.2400531609756098</v>
      </c>
      <c r="AW39">
        <v>6.2848090243902437</v>
      </c>
      <c r="AX39">
        <v>-0.99405316097560981</v>
      </c>
      <c r="AY39">
        <v>501.03156097560969</v>
      </c>
      <c r="AZ39">
        <v>100.0088780487805</v>
      </c>
      <c r="BA39">
        <v>4.7250929268292691E-2</v>
      </c>
      <c r="BB39">
        <v>25.502260975609762</v>
      </c>
      <c r="BC39">
        <v>25.604234146341462</v>
      </c>
      <c r="BD39">
        <v>999.90000000000009</v>
      </c>
      <c r="BE39">
        <v>0</v>
      </c>
      <c r="BF39">
        <v>0</v>
      </c>
      <c r="BG39">
        <v>4988.0487804878048</v>
      </c>
      <c r="BH39">
        <v>0.63663178048780489</v>
      </c>
      <c r="BI39">
        <v>192.4829024390244</v>
      </c>
      <c r="BJ39">
        <v>2.140545587804878</v>
      </c>
      <c r="BK39">
        <v>14.68227317073171</v>
      </c>
      <c r="BL39">
        <v>12.5636756097561</v>
      </c>
      <c r="BM39">
        <v>-1.364442272</v>
      </c>
      <c r="BN39">
        <v>12.5746</v>
      </c>
      <c r="BO39">
        <v>-0.86855378048780496</v>
      </c>
      <c r="BP39">
        <v>-0.22331938048780489</v>
      </c>
      <c r="BQ39">
        <v>-8.686307804878049E-2</v>
      </c>
      <c r="BR39">
        <v>-99.9</v>
      </c>
      <c r="BS39">
        <v>-99.9</v>
      </c>
      <c r="BT39">
        <v>1775465414.5</v>
      </c>
      <c r="BU39" t="s">
        <v>392</v>
      </c>
      <c r="BV39">
        <v>1775465353</v>
      </c>
      <c r="BW39">
        <v>1775465399</v>
      </c>
      <c r="BX39">
        <v>24</v>
      </c>
      <c r="BY39">
        <v>-0.19700000000000001</v>
      </c>
      <c r="BZ39">
        <v>-7.0000000000000001E-3</v>
      </c>
      <c r="CA39">
        <v>8.43</v>
      </c>
      <c r="CB39">
        <v>-1.246</v>
      </c>
      <c r="CC39">
        <v>14</v>
      </c>
      <c r="CD39">
        <v>-1</v>
      </c>
      <c r="CE39">
        <v>0.05</v>
      </c>
      <c r="CF39">
        <v>0.05</v>
      </c>
      <c r="CG39">
        <v>12.96321166666667</v>
      </c>
      <c r="CH39">
        <v>-4.6597713809391141</v>
      </c>
      <c r="CI39">
        <v>0.78735193678804716</v>
      </c>
      <c r="CJ39">
        <v>-1</v>
      </c>
      <c r="CK39">
        <v>500.70041666666668</v>
      </c>
      <c r="CL39">
        <v>-0.35525534870822839</v>
      </c>
      <c r="CM39">
        <v>1.3933089187454291</v>
      </c>
      <c r="CN39">
        <v>-1</v>
      </c>
      <c r="CO39">
        <v>0</v>
      </c>
      <c r="CP39">
        <v>0</v>
      </c>
      <c r="CQ39" t="s">
        <v>319</v>
      </c>
      <c r="CR39">
        <v>3.1675399999999998</v>
      </c>
      <c r="CS39">
        <v>2.6658599999999999</v>
      </c>
      <c r="CT39">
        <v>1.6530799999999999E-3</v>
      </c>
      <c r="CU39">
        <v>3.6737499999999999E-3</v>
      </c>
      <c r="CV39">
        <v>-1.14964E-2</v>
      </c>
      <c r="CW39">
        <v>-7.1907000000000004E-3</v>
      </c>
      <c r="CX39">
        <v>21539.8</v>
      </c>
      <c r="CY39">
        <v>21856.9</v>
      </c>
      <c r="CZ39">
        <v>23104.2</v>
      </c>
      <c r="DA39">
        <v>22290.7</v>
      </c>
      <c r="DB39">
        <v>30139</v>
      </c>
      <c r="DC39">
        <v>26783.1</v>
      </c>
      <c r="DD39">
        <v>40611</v>
      </c>
      <c r="DE39">
        <v>36951.4</v>
      </c>
      <c r="DF39">
        <v>2.0649999999999999</v>
      </c>
      <c r="DG39">
        <v>1.7840800000000001</v>
      </c>
      <c r="DH39">
        <v>-2.7877099999999998E-2</v>
      </c>
      <c r="DI39">
        <v>0</v>
      </c>
      <c r="DJ39">
        <v>26.0685</v>
      </c>
      <c r="DK39">
        <v>999.9</v>
      </c>
      <c r="DL39">
        <v>75.099999999999994</v>
      </c>
      <c r="DM39">
        <v>31.1</v>
      </c>
      <c r="DN39">
        <v>34.067999999999998</v>
      </c>
      <c r="DO39">
        <v>30.54</v>
      </c>
      <c r="DP39">
        <v>10.5489</v>
      </c>
      <c r="DQ39">
        <v>1</v>
      </c>
      <c r="DR39">
        <v>0.233789</v>
      </c>
      <c r="DS39">
        <v>1.1796899999999999</v>
      </c>
      <c r="DT39">
        <v>20.363800000000001</v>
      </c>
      <c r="DU39">
        <v>5.2117800000000001</v>
      </c>
      <c r="DV39">
        <v>11.851599999999999</v>
      </c>
      <c r="DW39">
        <v>4.9677199999999999</v>
      </c>
      <c r="DX39">
        <v>3.2928600000000001</v>
      </c>
      <c r="DY39">
        <v>894.7</v>
      </c>
      <c r="DZ39">
        <v>0</v>
      </c>
      <c r="EA39">
        <v>633.4</v>
      </c>
      <c r="EB39">
        <v>107</v>
      </c>
      <c r="EC39">
        <v>4.9715999999999996</v>
      </c>
      <c r="ED39">
        <v>1.8718600000000001</v>
      </c>
      <c r="EE39">
        <v>1.8690500000000001</v>
      </c>
      <c r="EF39">
        <v>1.8714200000000001</v>
      </c>
      <c r="EG39">
        <v>1.8691800000000001</v>
      </c>
      <c r="EH39">
        <v>1.8681300000000001</v>
      </c>
      <c r="EI39">
        <v>1.8699600000000001</v>
      </c>
      <c r="EJ39">
        <v>1.8717999999999999</v>
      </c>
      <c r="EK39">
        <v>0</v>
      </c>
      <c r="EL39">
        <v>0</v>
      </c>
      <c r="EM39">
        <v>0</v>
      </c>
      <c r="EN39">
        <v>0</v>
      </c>
      <c r="EO39" t="s">
        <v>320</v>
      </c>
      <c r="EP39" t="s">
        <v>321</v>
      </c>
      <c r="EQ39" t="s">
        <v>322</v>
      </c>
      <c r="ER39" t="s">
        <v>322</v>
      </c>
      <c r="ES39" t="s">
        <v>322</v>
      </c>
      <c r="ET39" t="s">
        <v>322</v>
      </c>
      <c r="EU39">
        <v>0</v>
      </c>
      <c r="EV39">
        <v>100</v>
      </c>
      <c r="EW39">
        <v>100</v>
      </c>
      <c r="EX39">
        <v>8.43</v>
      </c>
      <c r="EY39">
        <v>-1.246</v>
      </c>
      <c r="EZ39">
        <v>8.4303300000000014</v>
      </c>
      <c r="FA39">
        <v>0</v>
      </c>
      <c r="FB39">
        <v>0</v>
      </c>
      <c r="FC39">
        <v>0</v>
      </c>
      <c r="FD39">
        <v>-1.23894225</v>
      </c>
      <c r="FE39">
        <v>0</v>
      </c>
      <c r="FF39">
        <v>0</v>
      </c>
      <c r="FG39">
        <v>0</v>
      </c>
      <c r="FH39">
        <v>-1</v>
      </c>
      <c r="FI39">
        <v>-1</v>
      </c>
      <c r="FJ39">
        <v>-1</v>
      </c>
      <c r="FK39">
        <v>-1</v>
      </c>
      <c r="FL39">
        <v>0.3</v>
      </c>
      <c r="FM39">
        <v>0.7</v>
      </c>
      <c r="FN39">
        <v>0.142822</v>
      </c>
      <c r="FO39">
        <v>4.99756</v>
      </c>
      <c r="FP39">
        <v>1.5979000000000001</v>
      </c>
      <c r="FQ39">
        <v>2.1557599999999999</v>
      </c>
      <c r="FR39">
        <v>1.5478499999999999</v>
      </c>
      <c r="FS39">
        <v>2.4597199999999999</v>
      </c>
      <c r="FT39">
        <v>35.013399999999997</v>
      </c>
      <c r="FU39">
        <v>15.9445</v>
      </c>
      <c r="FV39">
        <v>2</v>
      </c>
      <c r="FW39">
        <v>487.17599999999999</v>
      </c>
      <c r="FX39">
        <v>398.541</v>
      </c>
      <c r="FY39">
        <v>25.3154</v>
      </c>
      <c r="FZ39">
        <v>30.119499999999999</v>
      </c>
      <c r="GA39">
        <v>30.0002</v>
      </c>
      <c r="GB39">
        <v>30.413399999999999</v>
      </c>
      <c r="GC39">
        <v>30.475999999999999</v>
      </c>
      <c r="GD39">
        <v>-1</v>
      </c>
      <c r="GE39">
        <v>0</v>
      </c>
      <c r="GF39">
        <v>100</v>
      </c>
      <c r="GG39">
        <v>25.314900000000002</v>
      </c>
      <c r="GH39">
        <v>432.1</v>
      </c>
      <c r="GI39">
        <v>78.840199999999996</v>
      </c>
      <c r="GJ39">
        <v>102.218</v>
      </c>
      <c r="GK39">
        <v>96.4101</v>
      </c>
    </row>
    <row r="40" spans="1:193" x14ac:dyDescent="0.35">
      <c r="A40">
        <v>24</v>
      </c>
      <c r="B40">
        <v>1775465434</v>
      </c>
      <c r="C40">
        <v>1477.900000095367</v>
      </c>
      <c r="D40" t="s">
        <v>393</v>
      </c>
      <c r="E40" t="s">
        <v>394</v>
      </c>
      <c r="F40">
        <v>30</v>
      </c>
      <c r="G40">
        <v>1775465424.25</v>
      </c>
      <c r="H40">
        <f t="shared" si="0"/>
        <v>2.2395405540184764E-3</v>
      </c>
      <c r="I40">
        <f>1000*AY40*AG40*(AU40-AV40)/(100*AN40*(1000-AG40*AU40))</f>
        <v>2.2395405540184763</v>
      </c>
      <c r="J40">
        <f>AY40*AG40*(AT40-AS40*(1000-AG40*AV40)/(1000-AG40*AU40))/(100*AN40)</f>
        <v>3.4169326171098744</v>
      </c>
      <c r="K40">
        <f t="shared" si="1"/>
        <v>21.17961157894737</v>
      </c>
      <c r="L40">
        <f t="shared" si="2"/>
        <v>-61.464285067213666</v>
      </c>
      <c r="M40">
        <f>L40*(AZ40+BA40)/1000</f>
        <v>-6.1498998333982637</v>
      </c>
      <c r="N40">
        <f>(AS40 - IF(AG40&gt;1, J40*AN40*100/(AI40), 0))*(AZ40+BA40)/1000</f>
        <v>2.1191573216604085</v>
      </c>
      <c r="O40">
        <f t="shared" si="3"/>
        <v>6.6137876761133502E-2</v>
      </c>
      <c r="P40">
        <f>IF(LEFT(AP40,1)&lt;&gt;"0",IF(LEFT(AP40,1)="1",3,AQ40),$D$5+$E$5*(BG40*AZ40/($K$5*1000))+$F$5*(BG40*AZ40/($K$5*1000))*MAX(MIN(AN40,$J$5),$I$5)*MAX(MIN(AN40,$J$5),$I$5)+$G$5*MAX(MIN(AN40,$J$5),$I$5)*(BG40*AZ40/($K$5*1000))+$H$5*(BG40*AZ40/($K$5*1000))*(BG40*AZ40/($K$5*1000)))</f>
        <v>2.3889370499647935</v>
      </c>
      <c r="Q40">
        <f>H40*(1000-(1000*0.61365*EXP(17.502*U40/(240.97+U40))/(AZ40+BA40)+AU40)/2)/(1000*0.61365*EXP(17.502*U40/(240.97+U40))/(AZ40+BA40)-AU40)</f>
        <v>6.5137245141864336E-2</v>
      </c>
      <c r="R40">
        <f t="shared" si="4"/>
        <v>4.0799419847724706E-2</v>
      </c>
      <c r="S40">
        <f t="shared" si="5"/>
        <v>0.12251139881842103</v>
      </c>
      <c r="T40">
        <f>(BB40+(S40+2*0.95*0.0000000567*(((BB40+$B$7)+273)^4-(BB40+273)^4)-44100*H40)/(1.84*29.3*P40+8*0.95*0.0000000567*(BB40+273)^3))</f>
        <v>24.794850440015153</v>
      </c>
      <c r="U40">
        <f>($C$7*BC40+$D$7*BD40+$E$7*T40)</f>
        <v>25.598336842105262</v>
      </c>
      <c r="V40">
        <f t="shared" si="6"/>
        <v>3.2948875299221791</v>
      </c>
      <c r="W40">
        <f t="shared" si="7"/>
        <v>-2.7523552984969344</v>
      </c>
      <c r="X40">
        <f>AU40*(AZ40+BA40)/1000</f>
        <v>-9.0149203369268752E-2</v>
      </c>
      <c r="Y40">
        <f t="shared" si="8"/>
        <v>3.2753476056851882</v>
      </c>
      <c r="Z40">
        <f>(V40-AU40*(AZ40+BA40)/1000)</f>
        <v>3.3850367332914479</v>
      </c>
      <c r="AA40">
        <f t="shared" si="9"/>
        <v>-98.763738432214808</v>
      </c>
      <c r="AB40">
        <f>2*29.3*P40*0.92*(BB40-U40)</f>
        <v>-12.902284480213028</v>
      </c>
      <c r="AC40">
        <f>2*0.95*0.0000000567*(((BB40+$B$7)+273)^4-(U40+273)^4)</f>
        <v>-1.1487266731681338</v>
      </c>
      <c r="AD40">
        <f t="shared" si="10"/>
        <v>-112.69223818677754</v>
      </c>
      <c r="AE40">
        <v>22</v>
      </c>
      <c r="AF40">
        <v>4</v>
      </c>
      <c r="AG40">
        <f t="shared" si="11"/>
        <v>1</v>
      </c>
      <c r="AH40">
        <f t="shared" si="12"/>
        <v>0</v>
      </c>
      <c r="AI40">
        <f t="shared" si="13"/>
        <v>25664.810792002121</v>
      </c>
      <c r="AJ40">
        <f t="shared" si="14"/>
        <v>0.64108528947368415</v>
      </c>
      <c r="AK40">
        <f t="shared" si="15"/>
        <v>0.51286823157894734</v>
      </c>
      <c r="AL40">
        <f t="shared" si="16"/>
        <v>0.8</v>
      </c>
      <c r="AM40">
        <f t="shared" si="17"/>
        <v>0.19109999999999999</v>
      </c>
      <c r="AN40">
        <v>3</v>
      </c>
      <c r="AO40">
        <v>0.5</v>
      </c>
      <c r="AP40" t="s">
        <v>317</v>
      </c>
      <c r="AQ40">
        <v>2</v>
      </c>
      <c r="AR40">
        <v>1775465424.25</v>
      </c>
      <c r="AS40">
        <v>21.17961157894737</v>
      </c>
      <c r="AT40">
        <v>23.253671052631582</v>
      </c>
      <c r="AU40">
        <v>-0.90098318421052637</v>
      </c>
      <c r="AV40">
        <v>-2.2429679421052628</v>
      </c>
      <c r="AW40">
        <v>12.73361157894737</v>
      </c>
      <c r="AX40">
        <v>-1.007967942105263</v>
      </c>
      <c r="AY40">
        <v>501.0992105263158</v>
      </c>
      <c r="AZ40">
        <v>100.0092368421053</v>
      </c>
      <c r="BA40">
        <v>4.7240292105263149E-2</v>
      </c>
      <c r="BB40">
        <v>25.498157894736838</v>
      </c>
      <c r="BC40">
        <v>25.598336842105262</v>
      </c>
      <c r="BD40">
        <v>999.90000000000009</v>
      </c>
      <c r="BE40">
        <v>0</v>
      </c>
      <c r="BF40">
        <v>0</v>
      </c>
      <c r="BG40">
        <v>5001.8684210526317</v>
      </c>
      <c r="BH40">
        <v>0.64108528947368415</v>
      </c>
      <c r="BI40">
        <v>192.58500000000001</v>
      </c>
      <c r="BJ40">
        <v>-2.0897242842105261</v>
      </c>
      <c r="BK40">
        <v>21.114934210526311</v>
      </c>
      <c r="BL40">
        <v>23.23266842105264</v>
      </c>
      <c r="BM40">
        <v>-1.3525527013184211</v>
      </c>
      <c r="BN40">
        <v>23.253671052631582</v>
      </c>
      <c r="BO40">
        <v>-0.90098318421052637</v>
      </c>
      <c r="BP40">
        <v>-0.2253742815789474</v>
      </c>
      <c r="BQ40">
        <v>-9.0106607894736832E-2</v>
      </c>
      <c r="BR40">
        <v>-99.90000000000002</v>
      </c>
      <c r="BS40">
        <v>-99.90000000000002</v>
      </c>
      <c r="BT40">
        <v>1775465464.5</v>
      </c>
      <c r="BU40" t="s">
        <v>395</v>
      </c>
      <c r="BV40">
        <v>1775465464.5</v>
      </c>
      <c r="BW40">
        <v>1775465461.5</v>
      </c>
      <c r="BX40">
        <v>25</v>
      </c>
      <c r="BY40">
        <v>1.4999999999999999E-2</v>
      </c>
      <c r="BZ40">
        <v>1.0999999999999999E-2</v>
      </c>
      <c r="CA40">
        <v>8.4459999999999997</v>
      </c>
      <c r="CB40">
        <v>-1.2350000000000001</v>
      </c>
      <c r="CC40">
        <v>15</v>
      </c>
      <c r="CD40">
        <v>-1</v>
      </c>
      <c r="CE40">
        <v>0.5</v>
      </c>
      <c r="CF40">
        <v>0.06</v>
      </c>
      <c r="CG40">
        <v>21.082651666666671</v>
      </c>
      <c r="CH40">
        <v>27.660289080300089</v>
      </c>
      <c r="CI40">
        <v>7.2625292367625303</v>
      </c>
      <c r="CJ40">
        <v>-1</v>
      </c>
      <c r="CK40">
        <v>500.70499999999993</v>
      </c>
      <c r="CL40">
        <v>0.15590330647457851</v>
      </c>
      <c r="CM40">
        <v>1.3637970523505329</v>
      </c>
      <c r="CN40">
        <v>-1</v>
      </c>
      <c r="CO40">
        <v>0</v>
      </c>
      <c r="CP40">
        <v>0</v>
      </c>
      <c r="CQ40" t="s">
        <v>319</v>
      </c>
      <c r="CR40">
        <v>3.1675</v>
      </c>
      <c r="CS40">
        <v>2.6660499999999998</v>
      </c>
      <c r="CT40">
        <v>5.1906299999999999E-3</v>
      </c>
      <c r="CU40">
        <v>4.8973899999999997E-3</v>
      </c>
      <c r="CV40">
        <v>-1.15475E-2</v>
      </c>
      <c r="CW40">
        <v>-7.9285199999999997E-3</v>
      </c>
      <c r="CX40">
        <v>21461.8</v>
      </c>
      <c r="CY40">
        <v>21829.1</v>
      </c>
      <c r="CZ40">
        <v>23102.400000000001</v>
      </c>
      <c r="DA40">
        <v>22289.9</v>
      </c>
      <c r="DB40">
        <v>30138.5</v>
      </c>
      <c r="DC40">
        <v>26801.3</v>
      </c>
      <c r="DD40">
        <v>40608.199999999997</v>
      </c>
      <c r="DE40">
        <v>36949.5</v>
      </c>
      <c r="DF40">
        <v>2.0647799999999998</v>
      </c>
      <c r="DG40">
        <v>1.78468</v>
      </c>
      <c r="DH40">
        <v>-2.8002300000000001E-2</v>
      </c>
      <c r="DI40">
        <v>0</v>
      </c>
      <c r="DJ40">
        <v>26.058</v>
      </c>
      <c r="DK40">
        <v>999.9</v>
      </c>
      <c r="DL40">
        <v>75.099999999999994</v>
      </c>
      <c r="DM40">
        <v>31.1</v>
      </c>
      <c r="DN40">
        <v>34.069299999999998</v>
      </c>
      <c r="DO40">
        <v>30.45</v>
      </c>
      <c r="DP40">
        <v>10.4046</v>
      </c>
      <c r="DQ40">
        <v>1</v>
      </c>
      <c r="DR40">
        <v>0.23653299999999999</v>
      </c>
      <c r="DS40">
        <v>1.15598</v>
      </c>
      <c r="DT40">
        <v>20.363299999999999</v>
      </c>
      <c r="DU40">
        <v>5.2096200000000001</v>
      </c>
      <c r="DV40">
        <v>11.8507</v>
      </c>
      <c r="DW40">
        <v>4.9673600000000002</v>
      </c>
      <c r="DX40">
        <v>3.2922400000000001</v>
      </c>
      <c r="DY40">
        <v>894.7</v>
      </c>
      <c r="DZ40">
        <v>0</v>
      </c>
      <c r="EA40">
        <v>664.9</v>
      </c>
      <c r="EB40">
        <v>107</v>
      </c>
      <c r="EC40">
        <v>4.97159</v>
      </c>
      <c r="ED40">
        <v>1.8718399999999999</v>
      </c>
      <c r="EE40">
        <v>1.8690500000000001</v>
      </c>
      <c r="EF40">
        <v>1.87144</v>
      </c>
      <c r="EG40">
        <v>1.8692</v>
      </c>
      <c r="EH40">
        <v>1.8681300000000001</v>
      </c>
      <c r="EI40">
        <v>1.8699600000000001</v>
      </c>
      <c r="EJ40">
        <v>1.8717900000000001</v>
      </c>
      <c r="EK40">
        <v>0</v>
      </c>
      <c r="EL40">
        <v>0</v>
      </c>
      <c r="EM40">
        <v>0</v>
      </c>
      <c r="EN40">
        <v>0</v>
      </c>
      <c r="EO40" t="s">
        <v>320</v>
      </c>
      <c r="EP40" t="s">
        <v>321</v>
      </c>
      <c r="EQ40" t="s">
        <v>322</v>
      </c>
      <c r="ER40" t="s">
        <v>322</v>
      </c>
      <c r="ES40" t="s">
        <v>322</v>
      </c>
      <c r="ET40" t="s">
        <v>322</v>
      </c>
      <c r="EU40">
        <v>0</v>
      </c>
      <c r="EV40">
        <v>100</v>
      </c>
      <c r="EW40">
        <v>100</v>
      </c>
      <c r="EX40">
        <v>8.4459999999999997</v>
      </c>
      <c r="EY40">
        <v>-1.2350000000000001</v>
      </c>
      <c r="EZ40">
        <v>8.4303300000000014</v>
      </c>
      <c r="FA40">
        <v>0</v>
      </c>
      <c r="FB40">
        <v>0</v>
      </c>
      <c r="FC40">
        <v>0</v>
      </c>
      <c r="FD40">
        <v>-1.24556815</v>
      </c>
      <c r="FE40">
        <v>0</v>
      </c>
      <c r="FF40">
        <v>0</v>
      </c>
      <c r="FG40">
        <v>0</v>
      </c>
      <c r="FH40">
        <v>-1</v>
      </c>
      <c r="FI40">
        <v>-1</v>
      </c>
      <c r="FJ40">
        <v>-1</v>
      </c>
      <c r="FK40">
        <v>-1</v>
      </c>
      <c r="FL40">
        <v>1.4</v>
      </c>
      <c r="FM40">
        <v>0.6</v>
      </c>
      <c r="FN40">
        <v>0.142822</v>
      </c>
      <c r="FO40">
        <v>4.99756</v>
      </c>
      <c r="FP40">
        <v>1.5979000000000001</v>
      </c>
      <c r="FQ40">
        <v>2.1557599999999999</v>
      </c>
      <c r="FR40">
        <v>1.5478499999999999</v>
      </c>
      <c r="FS40">
        <v>2.4511699999999998</v>
      </c>
      <c r="FT40">
        <v>35.059399999999997</v>
      </c>
      <c r="FU40">
        <v>15.927</v>
      </c>
      <c r="FV40">
        <v>2</v>
      </c>
      <c r="FW40">
        <v>487.27499999999998</v>
      </c>
      <c r="FX40">
        <v>399.05599999999998</v>
      </c>
      <c r="FY40">
        <v>25.322700000000001</v>
      </c>
      <c r="FZ40">
        <v>30.1539</v>
      </c>
      <c r="GA40">
        <v>30.000399999999999</v>
      </c>
      <c r="GB40">
        <v>30.4435</v>
      </c>
      <c r="GC40">
        <v>30.503399999999999</v>
      </c>
      <c r="GD40">
        <v>-1</v>
      </c>
      <c r="GE40">
        <v>0</v>
      </c>
      <c r="GF40">
        <v>100</v>
      </c>
      <c r="GG40">
        <v>25.321999999999999</v>
      </c>
      <c r="GH40">
        <v>432.1</v>
      </c>
      <c r="GI40">
        <v>78.840199999999996</v>
      </c>
      <c r="GJ40">
        <v>102.211</v>
      </c>
      <c r="GK40">
        <v>96.405799999999999</v>
      </c>
    </row>
    <row r="41" spans="1:193" x14ac:dyDescent="0.35">
      <c r="A41">
        <v>25</v>
      </c>
      <c r="B41">
        <v>1775465494</v>
      </c>
      <c r="C41">
        <v>1537.900000095367</v>
      </c>
      <c r="D41" t="s">
        <v>396</v>
      </c>
      <c r="E41" t="s">
        <v>397</v>
      </c>
      <c r="F41">
        <v>30</v>
      </c>
      <c r="G41">
        <v>1775465479.25</v>
      </c>
      <c r="H41">
        <f t="shared" si="0"/>
        <v>2.2455357619218016E-3</v>
      </c>
      <c r="I41">
        <f>1000*AY41*AG41*(AU41-AV41)/(100*AN41*(1000-AG41*AU41))</f>
        <v>2.2455357619218015</v>
      </c>
      <c r="J41">
        <f>AY41*AG41*(AT41-AS41*(1000-AG41*AV41)/(1000-AG41*AU41))/(100*AN41)</f>
        <v>-4.4587559704498236</v>
      </c>
      <c r="K41">
        <f t="shared" si="1"/>
        <v>13.259690862068959</v>
      </c>
      <c r="L41">
        <f t="shared" si="2"/>
        <v>118.8218731655742</v>
      </c>
      <c r="M41">
        <f>L41*(AZ41+BA41)/1000</f>
        <v>11.889009691152703</v>
      </c>
      <c r="N41">
        <f>(AS41 - IF(AG41&gt;1, J41*AN41*100/(AI41), 0))*(AZ41+BA41)/1000</f>
        <v>1.3267304155452464</v>
      </c>
      <c r="O41">
        <f t="shared" si="3"/>
        <v>6.6192702002912385E-2</v>
      </c>
      <c r="P41">
        <f>IF(LEFT(AP41,1)&lt;&gt;"0",IF(LEFT(AP41,1)="1",3,AQ41),$D$5+$E$5*(BG41*AZ41/($K$5*1000))+$F$5*(BG41*AZ41/($K$5*1000))*MAX(MIN(AN41,$J$5),$I$5)*MAX(MIN(AN41,$J$5),$I$5)+$G$5*MAX(MIN(AN41,$J$5),$I$5)*(BG41*AZ41/($K$5*1000))+$H$5*(BG41*AZ41/($K$5*1000))*(BG41*AZ41/($K$5*1000)))</f>
        <v>2.3914749256044554</v>
      </c>
      <c r="Q41">
        <f>H41*(1000-(1000*0.61365*EXP(17.502*U41/(240.97+U41))/(AZ41+BA41)+AU41)/2)/(1000*0.61365*EXP(17.502*U41/(240.97+U41))/(AZ41+BA41)-AU41)</f>
        <v>6.5191470582564498E-2</v>
      </c>
      <c r="R41">
        <f t="shared" si="4"/>
        <v>4.0833364171075637E-2</v>
      </c>
      <c r="S41">
        <f t="shared" si="5"/>
        <v>0.12578072183793104</v>
      </c>
      <c r="T41">
        <f>(BB41+(S41+2*0.95*0.0000000567*(((BB41+$B$7)+273)^4-(BB41+273)^4)-44100*H41)/(1.84*29.3*P41+8*0.95*0.0000000567*(BB41+273)^3))</f>
        <v>24.794354621527809</v>
      </c>
      <c r="U41">
        <f>($C$7*BC41+$D$7*BD41+$E$7*T41)</f>
        <v>25.597398275862069</v>
      </c>
      <c r="V41">
        <f t="shared" si="6"/>
        <v>3.2947039908676889</v>
      </c>
      <c r="W41">
        <f t="shared" si="7"/>
        <v>-2.9528484655933429</v>
      </c>
      <c r="X41">
        <f>AU41*(AZ41+BA41)/1000</f>
        <v>-9.6719948207004622E-2</v>
      </c>
      <c r="Y41">
        <f t="shared" si="8"/>
        <v>3.2754795694390566</v>
      </c>
      <c r="Z41">
        <f>(V41-AU41*(AZ41+BA41)/1000)</f>
        <v>3.3914239390746936</v>
      </c>
      <c r="AA41">
        <f t="shared" si="9"/>
        <v>-99.028127100751448</v>
      </c>
      <c r="AB41">
        <f>2*29.3*P41*0.92*(BB41-U41)</f>
        <v>-12.707528326467836</v>
      </c>
      <c r="AC41">
        <f>2*0.95*0.0000000567*(((BB41+$B$7)+273)^4-(U41+273)^4)</f>
        <v>-1.1301848582773484</v>
      </c>
      <c r="AD41">
        <f t="shared" si="10"/>
        <v>-112.7400595636587</v>
      </c>
      <c r="AE41">
        <v>22</v>
      </c>
      <c r="AF41">
        <v>4</v>
      </c>
      <c r="AG41">
        <f t="shared" si="11"/>
        <v>1</v>
      </c>
      <c r="AH41">
        <f t="shared" si="12"/>
        <v>0</v>
      </c>
      <c r="AI41">
        <f t="shared" si="13"/>
        <v>25703.500681453534</v>
      </c>
      <c r="AJ41">
        <f t="shared" si="14"/>
        <v>0.65819320689655181</v>
      </c>
      <c r="AK41">
        <f t="shared" si="15"/>
        <v>0.52655456551724145</v>
      </c>
      <c r="AL41">
        <f t="shared" si="16"/>
        <v>0.8</v>
      </c>
      <c r="AM41">
        <f t="shared" si="17"/>
        <v>0.19109999999999999</v>
      </c>
      <c r="AN41">
        <v>3</v>
      </c>
      <c r="AO41">
        <v>0.5</v>
      </c>
      <c r="AP41" t="s">
        <v>317</v>
      </c>
      <c r="AQ41">
        <v>2</v>
      </c>
      <c r="AR41">
        <v>1775465479.25</v>
      </c>
      <c r="AS41">
        <v>13.259690862068959</v>
      </c>
      <c r="AT41">
        <v>10.60631224137931</v>
      </c>
      <c r="AU41">
        <v>-0.96664446551724137</v>
      </c>
      <c r="AV41">
        <v>-2.3132332827586199</v>
      </c>
      <c r="AW41">
        <v>4.8466908620689653</v>
      </c>
      <c r="AX41">
        <v>-1.0812332827586211</v>
      </c>
      <c r="AY41">
        <v>500.75562068965519</v>
      </c>
      <c r="AZ41">
        <v>100.0105517241379</v>
      </c>
      <c r="BA41">
        <v>4.68651E-2</v>
      </c>
      <c r="BB41">
        <v>25.498836206896549</v>
      </c>
      <c r="BC41">
        <v>25.597398275862069</v>
      </c>
      <c r="BD41">
        <v>999.9</v>
      </c>
      <c r="BE41">
        <v>0</v>
      </c>
      <c r="BF41">
        <v>0</v>
      </c>
      <c r="BG41">
        <v>5008.3448275862074</v>
      </c>
      <c r="BH41">
        <v>0.65819320689655181</v>
      </c>
      <c r="BI41">
        <v>192.73010344827591</v>
      </c>
      <c r="BJ41">
        <v>2.6859042999999998</v>
      </c>
      <c r="BK41">
        <v>13.26181379310345</v>
      </c>
      <c r="BL41">
        <v>10.59607827586207</v>
      </c>
      <c r="BM41">
        <v>-1.3495641494448281</v>
      </c>
      <c r="BN41">
        <v>10.60631224137931</v>
      </c>
      <c r="BO41">
        <v>-0.96664446551724137</v>
      </c>
      <c r="BP41">
        <v>-0.23164563793103449</v>
      </c>
      <c r="BQ41">
        <v>-9.6674682758620706E-2</v>
      </c>
      <c r="BR41">
        <v>-99.899999999999977</v>
      </c>
      <c r="BS41">
        <v>-99.899999999999977</v>
      </c>
      <c r="BT41">
        <v>1775465526</v>
      </c>
      <c r="BU41" t="s">
        <v>398</v>
      </c>
      <c r="BV41">
        <v>1775465511</v>
      </c>
      <c r="BW41">
        <v>1775465526</v>
      </c>
      <c r="BX41">
        <v>26</v>
      </c>
      <c r="BY41">
        <v>-3.2000000000000001E-2</v>
      </c>
      <c r="BZ41">
        <v>3.0000000000000001E-3</v>
      </c>
      <c r="CA41">
        <v>8.4130000000000003</v>
      </c>
      <c r="CB41">
        <v>-1.232</v>
      </c>
      <c r="CC41">
        <v>11</v>
      </c>
      <c r="CD41">
        <v>-1</v>
      </c>
      <c r="CE41">
        <v>0.16</v>
      </c>
      <c r="CF41">
        <v>0.06</v>
      </c>
      <c r="CG41">
        <v>10.81247393442623</v>
      </c>
      <c r="CH41">
        <v>-8.3639203595980618</v>
      </c>
      <c r="CI41">
        <v>1.6761709278456689</v>
      </c>
      <c r="CJ41">
        <v>-1</v>
      </c>
      <c r="CK41">
        <v>500.72257377049169</v>
      </c>
      <c r="CL41">
        <v>-5.2185658381813269</v>
      </c>
      <c r="CM41">
        <v>1.3741957464189569</v>
      </c>
      <c r="CN41">
        <v>-1</v>
      </c>
      <c r="CO41">
        <v>0</v>
      </c>
      <c r="CP41">
        <v>0</v>
      </c>
      <c r="CQ41" t="s">
        <v>319</v>
      </c>
      <c r="CR41">
        <v>3.16757</v>
      </c>
      <c r="CS41">
        <v>2.66588</v>
      </c>
      <c r="CT41">
        <v>9.3557600000000003E-4</v>
      </c>
      <c r="CU41">
        <v>2.71814E-3</v>
      </c>
      <c r="CV41">
        <v>-1.1473000000000001E-2</v>
      </c>
      <c r="CW41">
        <v>-8.4928999999999994E-3</v>
      </c>
      <c r="CX41">
        <v>21552.9</v>
      </c>
      <c r="CY41">
        <v>21877.1</v>
      </c>
      <c r="CZ41">
        <v>23101.8</v>
      </c>
      <c r="DA41">
        <v>22290.2</v>
      </c>
      <c r="DB41">
        <v>30135.3</v>
      </c>
      <c r="DC41">
        <v>26816.2</v>
      </c>
      <c r="DD41">
        <v>40607</v>
      </c>
      <c r="DE41">
        <v>36949.599999999999</v>
      </c>
      <c r="DF41">
        <v>2.0657399999999999</v>
      </c>
      <c r="DG41">
        <v>1.7862199999999999</v>
      </c>
      <c r="DH41">
        <v>-2.6351200000000002E-2</v>
      </c>
      <c r="DI41">
        <v>0</v>
      </c>
      <c r="DJ41">
        <v>26.031600000000001</v>
      </c>
      <c r="DK41">
        <v>999.9</v>
      </c>
      <c r="DL41">
        <v>75</v>
      </c>
      <c r="DM41">
        <v>31.1</v>
      </c>
      <c r="DN41">
        <v>34.025300000000001</v>
      </c>
      <c r="DO41">
        <v>30.6</v>
      </c>
      <c r="DP41">
        <v>10.132199999999999</v>
      </c>
      <c r="DQ41">
        <v>1</v>
      </c>
      <c r="DR41">
        <v>0.237872</v>
      </c>
      <c r="DS41">
        <v>1.1348400000000001</v>
      </c>
      <c r="DT41">
        <v>20.364100000000001</v>
      </c>
      <c r="DU41">
        <v>5.2109399999999999</v>
      </c>
      <c r="DV41">
        <v>11.85</v>
      </c>
      <c r="DW41">
        <v>4.9679599999999997</v>
      </c>
      <c r="DX41">
        <v>3.2929599999999999</v>
      </c>
      <c r="DY41">
        <v>894.7</v>
      </c>
      <c r="DZ41">
        <v>0</v>
      </c>
      <c r="EA41">
        <v>697.7</v>
      </c>
      <c r="EB41">
        <v>107.1</v>
      </c>
      <c r="EC41">
        <v>4.9716399999999998</v>
      </c>
      <c r="ED41">
        <v>1.8718699999999999</v>
      </c>
      <c r="EE41">
        <v>1.8690500000000001</v>
      </c>
      <c r="EF41">
        <v>1.87147</v>
      </c>
      <c r="EG41">
        <v>1.8692</v>
      </c>
      <c r="EH41">
        <v>1.86812</v>
      </c>
      <c r="EI41">
        <v>1.8699600000000001</v>
      </c>
      <c r="EJ41">
        <v>1.8717900000000001</v>
      </c>
      <c r="EK41">
        <v>0</v>
      </c>
      <c r="EL41">
        <v>0</v>
      </c>
      <c r="EM41">
        <v>0</v>
      </c>
      <c r="EN41">
        <v>0</v>
      </c>
      <c r="EO41" t="s">
        <v>320</v>
      </c>
      <c r="EP41" t="s">
        <v>321</v>
      </c>
      <c r="EQ41" t="s">
        <v>322</v>
      </c>
      <c r="ER41" t="s">
        <v>322</v>
      </c>
      <c r="ES41" t="s">
        <v>322</v>
      </c>
      <c r="ET41" t="s">
        <v>322</v>
      </c>
      <c r="EU41">
        <v>0</v>
      </c>
      <c r="EV41">
        <v>100</v>
      </c>
      <c r="EW41">
        <v>100</v>
      </c>
      <c r="EX41">
        <v>8.4130000000000003</v>
      </c>
      <c r="EY41">
        <v>-1.232</v>
      </c>
      <c r="EZ41">
        <v>8.4455228571428549</v>
      </c>
      <c r="FA41">
        <v>0</v>
      </c>
      <c r="FB41">
        <v>0</v>
      </c>
      <c r="FC41">
        <v>0</v>
      </c>
      <c r="FD41">
        <v>-1.2349758095238099</v>
      </c>
      <c r="FE41">
        <v>0</v>
      </c>
      <c r="FF41">
        <v>0</v>
      </c>
      <c r="FG41">
        <v>0</v>
      </c>
      <c r="FH41">
        <v>-1</v>
      </c>
      <c r="FI41">
        <v>-1</v>
      </c>
      <c r="FJ41">
        <v>-1</v>
      </c>
      <c r="FK41">
        <v>-1</v>
      </c>
      <c r="FL41">
        <v>0.5</v>
      </c>
      <c r="FM41">
        <v>0.5</v>
      </c>
      <c r="FN41">
        <v>0.142822</v>
      </c>
      <c r="FO41">
        <v>4.99756</v>
      </c>
      <c r="FP41">
        <v>1.5979000000000001</v>
      </c>
      <c r="FQ41">
        <v>2.1557599999999999</v>
      </c>
      <c r="FR41">
        <v>1.5478499999999999</v>
      </c>
      <c r="FS41">
        <v>2.3107899999999999</v>
      </c>
      <c r="FT41">
        <v>35.105499999999999</v>
      </c>
      <c r="FU41">
        <v>15.927</v>
      </c>
      <c r="FV41">
        <v>2</v>
      </c>
      <c r="FW41">
        <v>488</v>
      </c>
      <c r="FX41">
        <v>400.05700000000002</v>
      </c>
      <c r="FY41">
        <v>25.336400000000001</v>
      </c>
      <c r="FZ41">
        <v>30.173200000000001</v>
      </c>
      <c r="GA41">
        <v>30.0002</v>
      </c>
      <c r="GB41">
        <v>30.466799999999999</v>
      </c>
      <c r="GC41">
        <v>30.523099999999999</v>
      </c>
      <c r="GD41">
        <v>-1</v>
      </c>
      <c r="GE41">
        <v>0</v>
      </c>
      <c r="GF41">
        <v>100</v>
      </c>
      <c r="GG41">
        <v>25.3383</v>
      </c>
      <c r="GH41">
        <v>432.1</v>
      </c>
      <c r="GI41">
        <v>78.840199999999996</v>
      </c>
      <c r="GJ41">
        <v>102.208</v>
      </c>
      <c r="GK41">
        <v>96.406400000000005</v>
      </c>
    </row>
    <row r="42" spans="1:193" x14ac:dyDescent="0.35">
      <c r="A42">
        <v>26</v>
      </c>
      <c r="B42">
        <v>1775465554</v>
      </c>
      <c r="C42">
        <v>1597.900000095367</v>
      </c>
      <c r="D42" t="s">
        <v>399</v>
      </c>
      <c r="E42" t="s">
        <v>400</v>
      </c>
      <c r="F42">
        <v>30</v>
      </c>
      <c r="G42">
        <v>1775465540</v>
      </c>
      <c r="H42">
        <f t="shared" si="0"/>
        <v>2.3363634189101671E-3</v>
      </c>
      <c r="I42">
        <f>1000*AY42*AG42*(AU42-AV42)/(100*AN42*(1000-AG42*AU42))</f>
        <v>2.336363418910167</v>
      </c>
      <c r="J42">
        <f>AY42*AG42*(AT42-AS42*(1000-AG42*AV42)/(1000-AG42*AU42))/(100*AN42)</f>
        <v>-2.2589878373570835</v>
      </c>
      <c r="K42">
        <f t="shared" si="1"/>
        <v>10.85900921818182</v>
      </c>
      <c r="L42">
        <f t="shared" si="2"/>
        <v>61.994583507766983</v>
      </c>
      <c r="M42">
        <f>L42*(AZ42+BA42)/1000</f>
        <v>6.2030217445433378</v>
      </c>
      <c r="N42">
        <f>(AS42 - IF(AG42&gt;1, J42*AN42*100/(AI42), 0))*(AZ42+BA42)/1000</f>
        <v>1.0865250880528838</v>
      </c>
      <c r="O42">
        <f t="shared" si="3"/>
        <v>6.8951345170382664E-2</v>
      </c>
      <c r="P42">
        <f>IF(LEFT(AP42,1)&lt;&gt;"0",IF(LEFT(AP42,1)="1",3,AQ42),$D$5+$E$5*(BG42*AZ42/($K$5*1000))+$F$5*(BG42*AZ42/($K$5*1000))*MAX(MIN(AN42,$J$5),$I$5)*MAX(MIN(AN42,$J$5),$I$5)+$G$5*MAX(MIN(AN42,$J$5),$I$5)*(BG42*AZ42/($K$5*1000))+$H$5*(BG42*AZ42/($K$5*1000))*(BG42*AZ42/($K$5*1000)))</f>
        <v>2.3913153168252004</v>
      </c>
      <c r="Q42">
        <f>H42*(1000-(1000*0.61365*EXP(17.502*U42/(240.97+U42))/(AZ42+BA42)+AU42)/2)/(1000*0.61365*EXP(17.502*U42/(240.97+U42))/(AZ42+BA42)-AU42)</f>
        <v>6.7865586911652925E-2</v>
      </c>
      <c r="R42">
        <f t="shared" si="4"/>
        <v>4.2512118678000199E-2</v>
      </c>
      <c r="S42">
        <f t="shared" si="5"/>
        <v>0.12688648071272726</v>
      </c>
      <c r="T42">
        <f>(BB42+(S42+2*0.95*0.0000000567*(((BB42+$B$7)+273)^4-(BB42+273)^4)-44100*H42)/(1.84*29.3*P42+8*0.95*0.0000000567*(BB42+273)^3))</f>
        <v>24.769261359391248</v>
      </c>
      <c r="U42">
        <f>($C$7*BC42+$D$7*BD42+$E$7*T42)</f>
        <v>25.608543636363631</v>
      </c>
      <c r="V42">
        <f t="shared" si="6"/>
        <v>3.2968840717197216</v>
      </c>
      <c r="W42">
        <f t="shared" si="7"/>
        <v>-2.8256244405611577</v>
      </c>
      <c r="X42">
        <f>AU42*(AZ42+BA42)/1000</f>
        <v>-9.2571844364237973E-2</v>
      </c>
      <c r="Y42">
        <f t="shared" si="8"/>
        <v>3.276155282187946</v>
      </c>
      <c r="Z42">
        <f>(V42-AU42*(AZ42+BA42)/1000)</f>
        <v>3.3894559160839597</v>
      </c>
      <c r="AA42">
        <f t="shared" si="9"/>
        <v>-103.03362677393837</v>
      </c>
      <c r="AB42">
        <f>2*29.3*P42*0.92*(BB42-U42)</f>
        <v>-13.695820422932464</v>
      </c>
      <c r="AC42">
        <f>2*0.95*0.0000000567*(((BB42+$B$7)+273)^4-(U42+273)^4)</f>
        <v>-1.2182525697265665</v>
      </c>
      <c r="AD42">
        <f t="shared" si="10"/>
        <v>-117.82081328588467</v>
      </c>
      <c r="AE42">
        <v>22</v>
      </c>
      <c r="AF42">
        <v>4</v>
      </c>
      <c r="AG42">
        <f t="shared" si="11"/>
        <v>1</v>
      </c>
      <c r="AH42">
        <f t="shared" si="12"/>
        <v>0</v>
      </c>
      <c r="AI42">
        <f t="shared" si="13"/>
        <v>25700.763718852548</v>
      </c>
      <c r="AJ42">
        <f t="shared" si="14"/>
        <v>0.66397949090909092</v>
      </c>
      <c r="AK42">
        <f t="shared" si="15"/>
        <v>0.53118359272727278</v>
      </c>
      <c r="AL42">
        <f t="shared" si="16"/>
        <v>0.8</v>
      </c>
      <c r="AM42">
        <f t="shared" si="17"/>
        <v>0.19109999999999999</v>
      </c>
      <c r="AN42">
        <v>3</v>
      </c>
      <c r="AO42">
        <v>0.5</v>
      </c>
      <c r="AP42" t="s">
        <v>317</v>
      </c>
      <c r="AQ42">
        <v>2</v>
      </c>
      <c r="AR42">
        <v>1775465540</v>
      </c>
      <c r="AS42">
        <v>10.85900921818182</v>
      </c>
      <c r="AT42">
        <v>9.5209014545454522</v>
      </c>
      <c r="AU42">
        <v>-0.92518665454545435</v>
      </c>
      <c r="AV42">
        <v>-2.3261421909090911</v>
      </c>
      <c r="AW42">
        <v>2.4370092181818181</v>
      </c>
      <c r="AX42">
        <v>-1.0861421909090909</v>
      </c>
      <c r="AY42">
        <v>500.77070909090912</v>
      </c>
      <c r="AZ42">
        <v>100.0104909090909</v>
      </c>
      <c r="BA42">
        <v>4.6988205454545462E-2</v>
      </c>
      <c r="BB42">
        <v>25.50230909090909</v>
      </c>
      <c r="BC42">
        <v>25.608543636363631</v>
      </c>
      <c r="BD42">
        <v>999.90000000000009</v>
      </c>
      <c r="BE42">
        <v>0</v>
      </c>
      <c r="BF42">
        <v>0</v>
      </c>
      <c r="BG42">
        <v>5007.9363636363632</v>
      </c>
      <c r="BH42">
        <v>0.66397949090909092</v>
      </c>
      <c r="BI42">
        <v>193.1952545454545</v>
      </c>
      <c r="BJ42">
        <v>1.3293086181818179</v>
      </c>
      <c r="BK42">
        <v>10.824833999999999</v>
      </c>
      <c r="BL42">
        <v>9.51210490909091</v>
      </c>
      <c r="BM42">
        <v>-1.392892363672728</v>
      </c>
      <c r="BN42">
        <v>9.5209014545454522</v>
      </c>
      <c r="BO42">
        <v>-0.92518665454545435</v>
      </c>
      <c r="BP42">
        <v>-0.23183236181818179</v>
      </c>
      <c r="BQ42">
        <v>-9.2528405454545493E-2</v>
      </c>
      <c r="BR42">
        <v>-99.899999999999949</v>
      </c>
      <c r="BS42">
        <v>-99.899999999999949</v>
      </c>
      <c r="BT42">
        <v>1775465578.5</v>
      </c>
      <c r="BU42" t="s">
        <v>401</v>
      </c>
      <c r="BV42">
        <v>1775465577</v>
      </c>
      <c r="BW42">
        <v>1775465578.5</v>
      </c>
      <c r="BX42">
        <v>27</v>
      </c>
      <c r="BY42">
        <v>8.9999999999999993E-3</v>
      </c>
      <c r="BZ42">
        <v>-8.0000000000000002E-3</v>
      </c>
      <c r="CA42">
        <v>8.4220000000000006</v>
      </c>
      <c r="CB42">
        <v>-1.24</v>
      </c>
      <c r="CC42">
        <v>11</v>
      </c>
      <c r="CD42">
        <v>-1</v>
      </c>
      <c r="CE42">
        <v>0.45</v>
      </c>
      <c r="CF42">
        <v>0.05</v>
      </c>
      <c r="CG42">
        <v>9.4356436065573792</v>
      </c>
      <c r="CH42">
        <v>1.552970766790047</v>
      </c>
      <c r="CI42">
        <v>0.34665286411640611</v>
      </c>
      <c r="CJ42">
        <v>-1</v>
      </c>
      <c r="CK42">
        <v>500.70786885245889</v>
      </c>
      <c r="CL42">
        <v>-3.8517715494446492</v>
      </c>
      <c r="CM42">
        <v>1.3389810350817251</v>
      </c>
      <c r="CN42">
        <v>-1</v>
      </c>
      <c r="CO42">
        <v>0</v>
      </c>
      <c r="CP42">
        <v>0</v>
      </c>
      <c r="CQ42" t="s">
        <v>319</v>
      </c>
      <c r="CR42">
        <v>3.16751</v>
      </c>
      <c r="CS42">
        <v>2.66649</v>
      </c>
      <c r="CT42">
        <v>8.33573E-4</v>
      </c>
      <c r="CU42">
        <v>2.95759E-3</v>
      </c>
      <c r="CV42">
        <v>-1.1578400000000001E-2</v>
      </c>
      <c r="CW42">
        <v>-7.5651900000000003E-3</v>
      </c>
      <c r="CX42">
        <v>21554.2</v>
      </c>
      <c r="CY42">
        <v>21871.5</v>
      </c>
      <c r="CZ42">
        <v>23100.799999999999</v>
      </c>
      <c r="DA42">
        <v>22289.8</v>
      </c>
      <c r="DB42">
        <v>30137.5</v>
      </c>
      <c r="DC42">
        <v>26791.3</v>
      </c>
      <c r="DD42">
        <v>40605.699999999997</v>
      </c>
      <c r="DE42">
        <v>36949</v>
      </c>
      <c r="DF42">
        <v>2.06514</v>
      </c>
      <c r="DG42">
        <v>1.7857400000000001</v>
      </c>
      <c r="DH42">
        <v>-2.8058900000000001E-2</v>
      </c>
      <c r="DI42">
        <v>0</v>
      </c>
      <c r="DJ42">
        <v>26.064499999999999</v>
      </c>
      <c r="DK42">
        <v>999.9</v>
      </c>
      <c r="DL42">
        <v>74.900000000000006</v>
      </c>
      <c r="DM42">
        <v>31.1</v>
      </c>
      <c r="DN42">
        <v>33.979199999999999</v>
      </c>
      <c r="DO42">
        <v>30.51</v>
      </c>
      <c r="DP42">
        <v>10.196300000000001</v>
      </c>
      <c r="DQ42">
        <v>1</v>
      </c>
      <c r="DR42">
        <v>0.239285</v>
      </c>
      <c r="DS42">
        <v>1.2021299999999999</v>
      </c>
      <c r="DT42">
        <v>20.363700000000001</v>
      </c>
      <c r="DU42">
        <v>5.2112999999999996</v>
      </c>
      <c r="DV42">
        <v>11.851800000000001</v>
      </c>
      <c r="DW42">
        <v>4.9677600000000002</v>
      </c>
      <c r="DX42">
        <v>3.2928600000000001</v>
      </c>
      <c r="DY42">
        <v>894.7</v>
      </c>
      <c r="DZ42">
        <v>0</v>
      </c>
      <c r="EA42">
        <v>724.1</v>
      </c>
      <c r="EB42">
        <v>107.1</v>
      </c>
      <c r="EC42">
        <v>4.9716399999999998</v>
      </c>
      <c r="ED42">
        <v>1.87188</v>
      </c>
      <c r="EE42">
        <v>1.8690500000000001</v>
      </c>
      <c r="EF42">
        <v>1.87147</v>
      </c>
      <c r="EG42">
        <v>1.8692</v>
      </c>
      <c r="EH42">
        <v>1.8681300000000001</v>
      </c>
      <c r="EI42">
        <v>1.8699600000000001</v>
      </c>
      <c r="EJ42">
        <v>1.8717999999999999</v>
      </c>
      <c r="EK42">
        <v>0</v>
      </c>
      <c r="EL42">
        <v>0</v>
      </c>
      <c r="EM42">
        <v>0</v>
      </c>
      <c r="EN42">
        <v>0</v>
      </c>
      <c r="EO42" t="s">
        <v>320</v>
      </c>
      <c r="EP42" t="s">
        <v>321</v>
      </c>
      <c r="EQ42" t="s">
        <v>322</v>
      </c>
      <c r="ER42" t="s">
        <v>322</v>
      </c>
      <c r="ES42" t="s">
        <v>322</v>
      </c>
      <c r="ET42" t="s">
        <v>322</v>
      </c>
      <c r="EU42">
        <v>0</v>
      </c>
      <c r="EV42">
        <v>100</v>
      </c>
      <c r="EW42">
        <v>100</v>
      </c>
      <c r="EX42">
        <v>8.4220000000000006</v>
      </c>
      <c r="EY42">
        <v>-1.24</v>
      </c>
      <c r="EZ42">
        <v>8.4132014999999996</v>
      </c>
      <c r="FA42">
        <v>0</v>
      </c>
      <c r="FB42">
        <v>0</v>
      </c>
      <c r="FC42">
        <v>0</v>
      </c>
      <c r="FD42">
        <v>-1.23193715</v>
      </c>
      <c r="FE42">
        <v>0</v>
      </c>
      <c r="FF42">
        <v>0</v>
      </c>
      <c r="FG42">
        <v>0</v>
      </c>
      <c r="FH42">
        <v>-1</v>
      </c>
      <c r="FI42">
        <v>-1</v>
      </c>
      <c r="FJ42">
        <v>-1</v>
      </c>
      <c r="FK42">
        <v>-1</v>
      </c>
      <c r="FL42">
        <v>0.7</v>
      </c>
      <c r="FM42">
        <v>0.5</v>
      </c>
      <c r="FN42">
        <v>0.142822</v>
      </c>
      <c r="FO42">
        <v>4.99756</v>
      </c>
      <c r="FP42">
        <v>1.5979000000000001</v>
      </c>
      <c r="FQ42">
        <v>2.1557599999999999</v>
      </c>
      <c r="FR42">
        <v>1.5478499999999999</v>
      </c>
      <c r="FS42">
        <v>2.32178</v>
      </c>
      <c r="FT42">
        <v>35.151600000000002</v>
      </c>
      <c r="FU42">
        <v>15.918200000000001</v>
      </c>
      <c r="FV42">
        <v>2</v>
      </c>
      <c r="FW42">
        <v>487.80099999999999</v>
      </c>
      <c r="FX42">
        <v>399.92</v>
      </c>
      <c r="FY42">
        <v>25.305700000000002</v>
      </c>
      <c r="FZ42">
        <v>30.188800000000001</v>
      </c>
      <c r="GA42">
        <v>30.0002</v>
      </c>
      <c r="GB42">
        <v>30.4861</v>
      </c>
      <c r="GC42">
        <v>30.5443</v>
      </c>
      <c r="GD42">
        <v>-1</v>
      </c>
      <c r="GE42">
        <v>0</v>
      </c>
      <c r="GF42">
        <v>100</v>
      </c>
      <c r="GG42">
        <v>25.303799999999999</v>
      </c>
      <c r="GH42">
        <v>432.1</v>
      </c>
      <c r="GI42">
        <v>78.840199999999996</v>
      </c>
      <c r="GJ42">
        <v>102.205</v>
      </c>
      <c r="GK42">
        <v>96.404799999999994</v>
      </c>
    </row>
    <row r="43" spans="1:193" x14ac:dyDescent="0.35">
      <c r="A43">
        <v>27</v>
      </c>
      <c r="B43">
        <v>1775465614</v>
      </c>
      <c r="C43">
        <v>1657.900000095367</v>
      </c>
      <c r="D43" t="s">
        <v>402</v>
      </c>
      <c r="E43" t="s">
        <v>403</v>
      </c>
      <c r="F43">
        <v>30</v>
      </c>
      <c r="G43">
        <v>1775465598.75</v>
      </c>
      <c r="H43">
        <f t="shared" si="0"/>
        <v>2.5552109917037864E-3</v>
      </c>
      <c r="I43">
        <f>1000*AY43*AG43*(AU43-AV43)/(100*AN43*(1000-AG43*AU43))</f>
        <v>2.5552109917037864</v>
      </c>
      <c r="J43">
        <f>AY43*AG43*(AT43-AS43*(1000-AG43*AV43)/(1000-AG43*AU43))/(100*AN43)</f>
        <v>-1.9179002900841384</v>
      </c>
      <c r="K43">
        <f t="shared" si="1"/>
        <v>12.81960266666667</v>
      </c>
      <c r="L43">
        <f t="shared" si="2"/>
        <v>52.31649243739502</v>
      </c>
      <c r="M43">
        <f>L43*(AZ43+BA43)/1000</f>
        <v>5.234553117649889</v>
      </c>
      <c r="N43">
        <f>(AS43 - IF(AG43&gt;1, J43*AN43*100/(AI43), 0))*(AZ43+BA43)/1000</f>
        <v>1.2826718302289568</v>
      </c>
      <c r="O43">
        <f t="shared" si="3"/>
        <v>7.5437753817706274E-2</v>
      </c>
      <c r="P43">
        <f>IF(LEFT(AP43,1)&lt;&gt;"0",IF(LEFT(AP43,1)="1",3,AQ43),$D$5+$E$5*(BG43*AZ43/($K$5*1000))+$F$5*(BG43*AZ43/($K$5*1000))*MAX(MIN(AN43,$J$5),$I$5)*MAX(MIN(AN43,$J$5),$I$5)+$G$5*MAX(MIN(AN43,$J$5),$I$5)*(BG43*AZ43/($K$5*1000))+$H$5*(BG43*AZ43/($K$5*1000))*(BG43*AZ43/($K$5*1000)))</f>
        <v>2.3877237267041815</v>
      </c>
      <c r="Q43">
        <f>H43*(1000-(1000*0.61365*EXP(17.502*U43/(240.97+U43))/(AZ43+BA43)+AU43)/2)/(1000*0.61365*EXP(17.502*U43/(240.97+U43))/(AZ43+BA43)-AU43)</f>
        <v>7.4138264290710632E-2</v>
      </c>
      <c r="R43">
        <f t="shared" si="4"/>
        <v>4.6451304587546628E-2</v>
      </c>
      <c r="S43">
        <f t="shared" si="5"/>
        <v>0.12536420851499999</v>
      </c>
      <c r="T43">
        <f>(BB43+(S43+2*0.95*0.0000000567*(((BB43+$B$7)+273)^4-(BB43+273)^4)-44100*H43)/(1.84*29.3*P43+8*0.95*0.0000000567*(BB43+273)^3))</f>
        <v>24.693340592543365</v>
      </c>
      <c r="U43">
        <f>($C$7*BC43+$D$7*BD43+$E$7*T43)</f>
        <v>25.60313166666667</v>
      </c>
      <c r="V43">
        <f t="shared" si="6"/>
        <v>3.2958253096345653</v>
      </c>
      <c r="W43">
        <f t="shared" si="7"/>
        <v>-2.9777398787946803</v>
      </c>
      <c r="X43">
        <f>AU43*(AZ43+BA43)/1000</f>
        <v>-9.7520337844491975E-2</v>
      </c>
      <c r="Y43">
        <f t="shared" si="8"/>
        <v>3.2749784001941076</v>
      </c>
      <c r="Z43">
        <f>(V43-AU43*(AZ43+BA43)/1000)</f>
        <v>3.3933456474790571</v>
      </c>
      <c r="AA43">
        <f t="shared" si="9"/>
        <v>-112.68480473413697</v>
      </c>
      <c r="AB43">
        <f>2*29.3*P43*0.92*(BB43-U43)</f>
        <v>-13.75726492622047</v>
      </c>
      <c r="AC43">
        <f>2*0.95*0.0000000567*(((BB43+$B$7)+273)^4-(U43+273)^4)</f>
        <v>-1.2254882357119832</v>
      </c>
      <c r="AD43">
        <f t="shared" si="10"/>
        <v>-127.54219368755443</v>
      </c>
      <c r="AE43">
        <v>22</v>
      </c>
      <c r="AF43">
        <v>4</v>
      </c>
      <c r="AG43">
        <f t="shared" si="11"/>
        <v>1</v>
      </c>
      <c r="AH43">
        <f t="shared" si="12"/>
        <v>0</v>
      </c>
      <c r="AI43">
        <f t="shared" si="13"/>
        <v>25646.37909390172</v>
      </c>
      <c r="AJ43">
        <f t="shared" si="14"/>
        <v>0.65601365</v>
      </c>
      <c r="AK43">
        <f t="shared" si="15"/>
        <v>0.52481092000000007</v>
      </c>
      <c r="AL43">
        <f t="shared" si="16"/>
        <v>0.8</v>
      </c>
      <c r="AM43">
        <f t="shared" si="17"/>
        <v>0.19109999999999999</v>
      </c>
      <c r="AN43">
        <v>3</v>
      </c>
      <c r="AO43">
        <v>0.5</v>
      </c>
      <c r="AP43" t="s">
        <v>317</v>
      </c>
      <c r="AQ43">
        <v>2</v>
      </c>
      <c r="AR43">
        <v>1775465598.75</v>
      </c>
      <c r="AS43">
        <v>12.81960266666667</v>
      </c>
      <c r="AT43">
        <v>11.68907666666667</v>
      </c>
      <c r="AU43">
        <v>-0.97466238333333344</v>
      </c>
      <c r="AV43">
        <v>-2.5085233333333332</v>
      </c>
      <c r="AW43">
        <v>4.3896026666666668</v>
      </c>
      <c r="AX43">
        <v>-1.286523333333333</v>
      </c>
      <c r="AY43">
        <v>500.24771666666669</v>
      </c>
      <c r="AZ43">
        <v>100.0104</v>
      </c>
      <c r="BA43">
        <v>4.5105898333333332E-2</v>
      </c>
      <c r="BB43">
        <v>25.496259999999999</v>
      </c>
      <c r="BC43">
        <v>25.60313166666667</v>
      </c>
      <c r="BD43">
        <v>999.9</v>
      </c>
      <c r="BE43">
        <v>0</v>
      </c>
      <c r="BF43">
        <v>0</v>
      </c>
      <c r="BG43">
        <v>4998.6833333333334</v>
      </c>
      <c r="BH43">
        <v>0.65601365</v>
      </c>
      <c r="BI43">
        <v>194.49069999999989</v>
      </c>
      <c r="BJ43">
        <v>1.123000063333333</v>
      </c>
      <c r="BK43">
        <v>12.779766666666671</v>
      </c>
      <c r="BL43">
        <v>11.677685</v>
      </c>
      <c r="BM43">
        <v>-1.552068833333333</v>
      </c>
      <c r="BN43">
        <v>11.68907666666667</v>
      </c>
      <c r="BO43">
        <v>-0.97466238333333344</v>
      </c>
      <c r="BP43">
        <v>-0.25269934999999999</v>
      </c>
      <c r="BQ43">
        <v>-9.7476340000000022E-2</v>
      </c>
      <c r="BR43">
        <v>-99.899999999999963</v>
      </c>
      <c r="BS43">
        <v>-99.899999999999963</v>
      </c>
      <c r="BT43">
        <v>1775465637</v>
      </c>
      <c r="BU43" t="s">
        <v>404</v>
      </c>
      <c r="BV43">
        <v>1775465633</v>
      </c>
      <c r="BW43">
        <v>1775465637</v>
      </c>
      <c r="BX43">
        <v>28</v>
      </c>
      <c r="BY43">
        <v>8.0000000000000002E-3</v>
      </c>
      <c r="BZ43">
        <v>1.9E-2</v>
      </c>
      <c r="CA43">
        <v>8.43</v>
      </c>
      <c r="CB43">
        <v>-1.222</v>
      </c>
      <c r="CC43">
        <v>12</v>
      </c>
      <c r="CD43">
        <v>-1</v>
      </c>
      <c r="CE43">
        <v>0.25</v>
      </c>
      <c r="CF43">
        <v>0.04</v>
      </c>
      <c r="CG43">
        <v>11.604213114754099</v>
      </c>
      <c r="CH43">
        <v>2.6232869381279529</v>
      </c>
      <c r="CI43">
        <v>0.69082185254894091</v>
      </c>
      <c r="CJ43">
        <v>-1</v>
      </c>
      <c r="CK43">
        <v>500.45381967213109</v>
      </c>
      <c r="CL43">
        <v>-4.9948873611842908</v>
      </c>
      <c r="CM43">
        <v>1.248069584916375</v>
      </c>
      <c r="CN43">
        <v>-1</v>
      </c>
      <c r="CO43">
        <v>0</v>
      </c>
      <c r="CP43">
        <v>0</v>
      </c>
      <c r="CQ43" t="s">
        <v>319</v>
      </c>
      <c r="CR43">
        <v>3.1674699999999998</v>
      </c>
      <c r="CS43">
        <v>2.6663999999999999</v>
      </c>
      <c r="CT43">
        <v>1.4346999999999999E-3</v>
      </c>
      <c r="CU43">
        <v>3.5341700000000001E-3</v>
      </c>
      <c r="CV43">
        <v>-1.1524700000000001E-2</v>
      </c>
      <c r="CW43">
        <v>-8.6709200000000004E-3</v>
      </c>
      <c r="CX43">
        <v>21540.5</v>
      </c>
      <c r="CY43">
        <v>21858.400000000001</v>
      </c>
      <c r="CZ43">
        <v>23100.2</v>
      </c>
      <c r="DA43">
        <v>22289.5</v>
      </c>
      <c r="DB43">
        <v>30135.200000000001</v>
      </c>
      <c r="DC43">
        <v>26820</v>
      </c>
      <c r="DD43">
        <v>40604.800000000003</v>
      </c>
      <c r="DE43">
        <v>36948.300000000003</v>
      </c>
      <c r="DF43">
        <v>2.0657000000000001</v>
      </c>
      <c r="DG43">
        <v>1.7827</v>
      </c>
      <c r="DH43">
        <v>-2.9504300000000001E-2</v>
      </c>
      <c r="DI43">
        <v>0</v>
      </c>
      <c r="DJ43">
        <v>26.081299999999999</v>
      </c>
      <c r="DK43">
        <v>999.9</v>
      </c>
      <c r="DL43">
        <v>74.900000000000006</v>
      </c>
      <c r="DM43">
        <v>31.1</v>
      </c>
      <c r="DN43">
        <v>33.978000000000002</v>
      </c>
      <c r="DO43">
        <v>30.03</v>
      </c>
      <c r="DP43">
        <v>10.3886</v>
      </c>
      <c r="DQ43">
        <v>1</v>
      </c>
      <c r="DR43">
        <v>0.241061</v>
      </c>
      <c r="DS43">
        <v>1.13246</v>
      </c>
      <c r="DT43">
        <v>20.363</v>
      </c>
      <c r="DU43">
        <v>5.2083000000000004</v>
      </c>
      <c r="DV43">
        <v>11.8523</v>
      </c>
      <c r="DW43">
        <v>4.9672799999999997</v>
      </c>
      <c r="DX43">
        <v>3.2922199999999999</v>
      </c>
      <c r="DY43">
        <v>894.7</v>
      </c>
      <c r="DZ43">
        <v>0</v>
      </c>
      <c r="EA43">
        <v>758.2</v>
      </c>
      <c r="EB43">
        <v>107.1</v>
      </c>
      <c r="EC43">
        <v>4.9716100000000001</v>
      </c>
      <c r="ED43">
        <v>1.87185</v>
      </c>
      <c r="EE43">
        <v>1.8690500000000001</v>
      </c>
      <c r="EF43">
        <v>1.87147</v>
      </c>
      <c r="EG43">
        <v>1.8692</v>
      </c>
      <c r="EH43">
        <v>1.8681300000000001</v>
      </c>
      <c r="EI43">
        <v>1.8699600000000001</v>
      </c>
      <c r="EJ43">
        <v>1.8717900000000001</v>
      </c>
      <c r="EK43">
        <v>0</v>
      </c>
      <c r="EL43">
        <v>0</v>
      </c>
      <c r="EM43">
        <v>0</v>
      </c>
      <c r="EN43">
        <v>0</v>
      </c>
      <c r="EO43" t="s">
        <v>320</v>
      </c>
      <c r="EP43" t="s">
        <v>321</v>
      </c>
      <c r="EQ43" t="s">
        <v>322</v>
      </c>
      <c r="ER43" t="s">
        <v>322</v>
      </c>
      <c r="ES43" t="s">
        <v>322</v>
      </c>
      <c r="ET43" t="s">
        <v>322</v>
      </c>
      <c r="EU43">
        <v>0</v>
      </c>
      <c r="EV43">
        <v>100</v>
      </c>
      <c r="EW43">
        <v>100</v>
      </c>
      <c r="EX43">
        <v>8.43</v>
      </c>
      <c r="EY43">
        <v>-1.222</v>
      </c>
      <c r="EZ43">
        <v>8.4224704999999993</v>
      </c>
      <c r="FA43">
        <v>0</v>
      </c>
      <c r="FB43">
        <v>0</v>
      </c>
      <c r="FC43">
        <v>0</v>
      </c>
      <c r="FD43">
        <v>-1.240207523809524</v>
      </c>
      <c r="FE43">
        <v>0</v>
      </c>
      <c r="FF43">
        <v>0</v>
      </c>
      <c r="FG43">
        <v>0</v>
      </c>
      <c r="FH43">
        <v>-1</v>
      </c>
      <c r="FI43">
        <v>-1</v>
      </c>
      <c r="FJ43">
        <v>-1</v>
      </c>
      <c r="FK43">
        <v>-1</v>
      </c>
      <c r="FL43">
        <v>0.6</v>
      </c>
      <c r="FM43">
        <v>0.6</v>
      </c>
      <c r="FN43">
        <v>0.142822</v>
      </c>
      <c r="FO43">
        <v>4.99756</v>
      </c>
      <c r="FP43">
        <v>1.5979000000000001</v>
      </c>
      <c r="FQ43">
        <v>2.1569799999999999</v>
      </c>
      <c r="FR43">
        <v>1.5478499999999999</v>
      </c>
      <c r="FS43">
        <v>2.4377399999999998</v>
      </c>
      <c r="FT43">
        <v>35.197800000000001</v>
      </c>
      <c r="FU43">
        <v>15.927</v>
      </c>
      <c r="FV43">
        <v>2</v>
      </c>
      <c r="FW43">
        <v>488.28899999999999</v>
      </c>
      <c r="FX43">
        <v>398.327</v>
      </c>
      <c r="FY43">
        <v>25.330400000000001</v>
      </c>
      <c r="FZ43">
        <v>30.2103</v>
      </c>
      <c r="GA43">
        <v>30.0002</v>
      </c>
      <c r="GB43">
        <v>30.508500000000002</v>
      </c>
      <c r="GC43">
        <v>30.565000000000001</v>
      </c>
      <c r="GD43">
        <v>-1</v>
      </c>
      <c r="GE43">
        <v>0</v>
      </c>
      <c r="GF43">
        <v>100</v>
      </c>
      <c r="GG43">
        <v>25.335100000000001</v>
      </c>
      <c r="GH43">
        <v>432.1</v>
      </c>
      <c r="GI43">
        <v>78.840199999999996</v>
      </c>
      <c r="GJ43">
        <v>102.202</v>
      </c>
      <c r="GK43">
        <v>96.403099999999995</v>
      </c>
    </row>
    <row r="44" spans="1:193" x14ac:dyDescent="0.35">
      <c r="A44">
        <v>28</v>
      </c>
      <c r="B44">
        <v>1775465674</v>
      </c>
      <c r="C44">
        <v>1717.900000095367</v>
      </c>
      <c r="D44" t="s">
        <v>405</v>
      </c>
      <c r="E44" t="s">
        <v>406</v>
      </c>
      <c r="F44">
        <v>30</v>
      </c>
      <c r="G44">
        <v>1775465658.5</v>
      </c>
      <c r="H44">
        <f t="shared" si="0"/>
        <v>2.4377125655833894E-3</v>
      </c>
      <c r="I44">
        <f>1000*AY44*AG44*(AU44-AV44)/(100*AN44*(1000-AG44*AU44))</f>
        <v>2.4377125655833893</v>
      </c>
      <c r="J44">
        <f>AY44*AG44*(AT44-AS44*(1000-AG44*AV44)/(1000-AG44*AU44))/(100*AN44)</f>
        <v>-1.7994821512891568</v>
      </c>
      <c r="K44">
        <f t="shared" si="1"/>
        <v>13.972267213114749</v>
      </c>
      <c r="L44">
        <f t="shared" si="2"/>
        <v>52.8432321257079</v>
      </c>
      <c r="M44">
        <f>L44*(AZ44+BA44)/1000</f>
        <v>5.2871081669856679</v>
      </c>
      <c r="N44">
        <f>(AS44 - IF(AG44&gt;1, J44*AN44*100/(AI44), 0))*(AZ44+BA44)/1000</f>
        <v>1.3979630904867828</v>
      </c>
      <c r="O44">
        <f t="shared" si="3"/>
        <v>7.1727168019170895E-2</v>
      </c>
      <c r="P44">
        <f>IF(LEFT(AP44,1)&lt;&gt;"0",IF(LEFT(AP44,1)="1",3,AQ44),$D$5+$E$5*(BG44*AZ44/($K$5*1000))+$F$5*(BG44*AZ44/($K$5*1000))*MAX(MIN(AN44,$J$5),$I$5)*MAX(MIN(AN44,$J$5),$I$5)+$G$5*MAX(MIN(AN44,$J$5),$I$5)*(BG44*AZ44/($K$5*1000))+$H$5*(BG44*AZ44/($K$5*1000))*(BG44*AZ44/($K$5*1000)))</f>
        <v>2.3878557225172146</v>
      </c>
      <c r="Q44">
        <f>H44*(1000-(1000*0.61365*EXP(17.502*U44/(240.97+U44))/(AZ44+BA44)+AU44)/2)/(1000*0.61365*EXP(17.502*U44/(240.97+U44))/(AZ44+BA44)-AU44)</f>
        <v>7.0551361249154732E-2</v>
      </c>
      <c r="R44">
        <f t="shared" si="4"/>
        <v>4.4198636797296693E-2</v>
      </c>
      <c r="S44">
        <f t="shared" si="5"/>
        <v>0.12775697897704916</v>
      </c>
      <c r="T44">
        <f>(BB44+(S44+2*0.95*0.0000000567*(((BB44+$B$7)+273)^4-(BB44+273)^4)-44100*H44)/(1.84*29.3*P44+8*0.95*0.0000000567*(BB44+273)^3))</f>
        <v>24.733794585518581</v>
      </c>
      <c r="U44">
        <f>($C$7*BC44+$D$7*BD44+$E$7*T44)</f>
        <v>25.614963934426228</v>
      </c>
      <c r="V44">
        <f t="shared" si="6"/>
        <v>3.298140481829253</v>
      </c>
      <c r="W44">
        <f t="shared" si="7"/>
        <v>-3.166531013522615</v>
      </c>
      <c r="X44">
        <f>AU44*(AZ44+BA44)/1000</f>
        <v>-0.10372435753194138</v>
      </c>
      <c r="Y44">
        <f t="shared" si="8"/>
        <v>3.2756463489221592</v>
      </c>
      <c r="Z44">
        <f>(V44-AU44*(AZ44+BA44)/1000)</f>
        <v>3.4018648393611945</v>
      </c>
      <c r="AA44">
        <f t="shared" si="9"/>
        <v>-107.50312414222748</v>
      </c>
      <c r="AB44">
        <f>2*29.3*P44*0.92*(BB44-U44)</f>
        <v>-14.839240449743986</v>
      </c>
      <c r="AC44">
        <f>2*0.95*0.0000000567*(((BB44+$B$7)+273)^4-(U44+273)^4)</f>
        <v>-1.3218982336760354</v>
      </c>
      <c r="AD44">
        <f t="shared" si="10"/>
        <v>-123.53650584667045</v>
      </c>
      <c r="AE44">
        <v>21</v>
      </c>
      <c r="AF44">
        <v>4</v>
      </c>
      <c r="AG44">
        <f t="shared" si="11"/>
        <v>1</v>
      </c>
      <c r="AH44">
        <f t="shared" si="12"/>
        <v>0</v>
      </c>
      <c r="AI44">
        <f t="shared" si="13"/>
        <v>25648.214411827856</v>
      </c>
      <c r="AJ44">
        <f t="shared" si="14"/>
        <v>0.66853468852459008</v>
      </c>
      <c r="AK44">
        <f t="shared" si="15"/>
        <v>0.53482775081967204</v>
      </c>
      <c r="AL44">
        <f t="shared" si="16"/>
        <v>0.8</v>
      </c>
      <c r="AM44">
        <f t="shared" si="17"/>
        <v>0.19109999999999999</v>
      </c>
      <c r="AN44">
        <v>3</v>
      </c>
      <c r="AO44">
        <v>0.5</v>
      </c>
      <c r="AP44" t="s">
        <v>317</v>
      </c>
      <c r="AQ44">
        <v>2</v>
      </c>
      <c r="AR44">
        <v>1775465658.5</v>
      </c>
      <c r="AS44">
        <v>13.972267213114749</v>
      </c>
      <c r="AT44">
        <v>12.91327049180328</v>
      </c>
      <c r="AU44">
        <v>-1.036697213114754</v>
      </c>
      <c r="AV44">
        <v>-2.5004867213114759</v>
      </c>
      <c r="AW44">
        <v>5.6122672131147544</v>
      </c>
      <c r="AX44">
        <v>-1.279486721311476</v>
      </c>
      <c r="AY44">
        <v>500.12103278688528</v>
      </c>
      <c r="AZ44">
        <v>100.0075901639344</v>
      </c>
      <c r="BA44">
        <v>4.5112032786885248E-2</v>
      </c>
      <c r="BB44">
        <v>25.499693442622949</v>
      </c>
      <c r="BC44">
        <v>25.614963934426228</v>
      </c>
      <c r="BD44">
        <v>999.9</v>
      </c>
      <c r="BE44">
        <v>0</v>
      </c>
      <c r="BF44">
        <v>0</v>
      </c>
      <c r="BG44">
        <v>4999.1639344262294</v>
      </c>
      <c r="BH44">
        <v>0.66853468852459008</v>
      </c>
      <c r="BI44">
        <v>196.82737704918031</v>
      </c>
      <c r="BJ44">
        <v>1.1291973606557379</v>
      </c>
      <c r="BK44">
        <v>14.007440983606561</v>
      </c>
      <c r="BL44">
        <v>12.89989344262295</v>
      </c>
      <c r="BM44">
        <v>-1.464323114754098</v>
      </c>
      <c r="BN44">
        <v>12.91327049180328</v>
      </c>
      <c r="BO44">
        <v>-1.036697213114754</v>
      </c>
      <c r="BP44">
        <v>-0.25012101639344259</v>
      </c>
      <c r="BQ44">
        <v>-0.1036775573770492</v>
      </c>
      <c r="BR44">
        <v>-99.899999999999963</v>
      </c>
      <c r="BS44">
        <v>-99.899999999999963</v>
      </c>
      <c r="BT44">
        <v>1775465708</v>
      </c>
      <c r="BU44" t="s">
        <v>407</v>
      </c>
      <c r="BV44">
        <v>1775465708</v>
      </c>
      <c r="BW44">
        <v>1775465703</v>
      </c>
      <c r="BX44">
        <v>29</v>
      </c>
      <c r="BY44">
        <v>-7.0999999999999994E-2</v>
      </c>
      <c r="BZ44">
        <v>1E-3</v>
      </c>
      <c r="CA44">
        <v>8.36</v>
      </c>
      <c r="CB44">
        <v>-1.2210000000000001</v>
      </c>
      <c r="CC44">
        <v>13</v>
      </c>
      <c r="CD44">
        <v>-1</v>
      </c>
      <c r="CE44">
        <v>1.64</v>
      </c>
      <c r="CF44">
        <v>0.06</v>
      </c>
      <c r="CG44">
        <v>12.920370491803279</v>
      </c>
      <c r="CH44">
        <v>1.82634859862509</v>
      </c>
      <c r="CI44">
        <v>0.40782263516413247</v>
      </c>
      <c r="CJ44">
        <v>-1</v>
      </c>
      <c r="CK44">
        <v>500.26155737704931</v>
      </c>
      <c r="CL44">
        <v>-2.9901004759383358</v>
      </c>
      <c r="CM44">
        <v>0.8711527415826088</v>
      </c>
      <c r="CN44">
        <v>-1</v>
      </c>
      <c r="CO44">
        <v>0</v>
      </c>
      <c r="CP44">
        <v>0</v>
      </c>
      <c r="CQ44" t="s">
        <v>319</v>
      </c>
      <c r="CR44">
        <v>3.1675900000000001</v>
      </c>
      <c r="CS44">
        <v>2.6665800000000002</v>
      </c>
      <c r="CT44">
        <v>1.7757300000000001E-3</v>
      </c>
      <c r="CU44">
        <v>3.4869699999999998E-3</v>
      </c>
      <c r="CV44">
        <v>-1.14457E-2</v>
      </c>
      <c r="CW44">
        <v>-9.0629899999999999E-3</v>
      </c>
      <c r="CX44">
        <v>21532.400000000001</v>
      </c>
      <c r="CY44">
        <v>21859.9</v>
      </c>
      <c r="CZ44">
        <v>23099.4</v>
      </c>
      <c r="DA44">
        <v>22289.9</v>
      </c>
      <c r="DB44">
        <v>30131.9</v>
      </c>
      <c r="DC44">
        <v>26830.6</v>
      </c>
      <c r="DD44">
        <v>40603.5</v>
      </c>
      <c r="DE44">
        <v>36948.699999999997</v>
      </c>
      <c r="DF44">
        <v>2.0662799999999999</v>
      </c>
      <c r="DG44">
        <v>1.7826200000000001</v>
      </c>
      <c r="DH44">
        <v>-2.8634099999999999E-2</v>
      </c>
      <c r="DI44">
        <v>0</v>
      </c>
      <c r="DJ44">
        <v>26.0791</v>
      </c>
      <c r="DK44">
        <v>999.9</v>
      </c>
      <c r="DL44">
        <v>74.900000000000006</v>
      </c>
      <c r="DM44">
        <v>31.1</v>
      </c>
      <c r="DN44">
        <v>33.981499999999997</v>
      </c>
      <c r="DO44">
        <v>30.66</v>
      </c>
      <c r="DP44">
        <v>10.653</v>
      </c>
      <c r="DQ44">
        <v>1</v>
      </c>
      <c r="DR44">
        <v>0.242061</v>
      </c>
      <c r="DS44">
        <v>1.1575800000000001</v>
      </c>
      <c r="DT44">
        <v>20.363399999999999</v>
      </c>
      <c r="DU44">
        <v>5.2120199999999999</v>
      </c>
      <c r="DV44">
        <v>11.8528</v>
      </c>
      <c r="DW44">
        <v>4.9677600000000002</v>
      </c>
      <c r="DX44">
        <v>3.29298</v>
      </c>
      <c r="DY44">
        <v>894.7</v>
      </c>
      <c r="DZ44">
        <v>0</v>
      </c>
      <c r="EA44">
        <v>791.5</v>
      </c>
      <c r="EB44">
        <v>107.1</v>
      </c>
      <c r="EC44">
        <v>4.97159</v>
      </c>
      <c r="ED44">
        <v>1.87182</v>
      </c>
      <c r="EE44">
        <v>1.8690500000000001</v>
      </c>
      <c r="EF44">
        <v>1.87148</v>
      </c>
      <c r="EG44">
        <v>1.8692</v>
      </c>
      <c r="EH44">
        <v>1.86812</v>
      </c>
      <c r="EI44">
        <v>1.8699600000000001</v>
      </c>
      <c r="EJ44">
        <v>1.8717900000000001</v>
      </c>
      <c r="EK44">
        <v>0</v>
      </c>
      <c r="EL44">
        <v>0</v>
      </c>
      <c r="EM44">
        <v>0</v>
      </c>
      <c r="EN44">
        <v>0</v>
      </c>
      <c r="EO44" t="s">
        <v>320</v>
      </c>
      <c r="EP44" t="s">
        <v>321</v>
      </c>
      <c r="EQ44" t="s">
        <v>322</v>
      </c>
      <c r="ER44" t="s">
        <v>322</v>
      </c>
      <c r="ES44" t="s">
        <v>322</v>
      </c>
      <c r="ET44" t="s">
        <v>322</v>
      </c>
      <c r="EU44">
        <v>0</v>
      </c>
      <c r="EV44">
        <v>100</v>
      </c>
      <c r="EW44">
        <v>100</v>
      </c>
      <c r="EX44">
        <v>8.36</v>
      </c>
      <c r="EY44">
        <v>-1.2210000000000001</v>
      </c>
      <c r="EZ44">
        <v>8.4302019999999978</v>
      </c>
      <c r="FA44">
        <v>0</v>
      </c>
      <c r="FB44">
        <v>0</v>
      </c>
      <c r="FC44">
        <v>0</v>
      </c>
      <c r="FD44">
        <v>-1.2215337500000001</v>
      </c>
      <c r="FE44">
        <v>0</v>
      </c>
      <c r="FF44">
        <v>0</v>
      </c>
      <c r="FG44">
        <v>0</v>
      </c>
      <c r="FH44">
        <v>-1</v>
      </c>
      <c r="FI44">
        <v>-1</v>
      </c>
      <c r="FJ44">
        <v>-1</v>
      </c>
      <c r="FK44">
        <v>-1</v>
      </c>
      <c r="FL44">
        <v>0.7</v>
      </c>
      <c r="FM44">
        <v>0.6</v>
      </c>
      <c r="FN44">
        <v>0.142822</v>
      </c>
      <c r="FO44">
        <v>4.99756</v>
      </c>
      <c r="FP44">
        <v>1.5979000000000001</v>
      </c>
      <c r="FQ44">
        <v>2.1557599999999999</v>
      </c>
      <c r="FR44">
        <v>1.5478499999999999</v>
      </c>
      <c r="FS44">
        <v>2.4694799999999999</v>
      </c>
      <c r="FT44">
        <v>35.244</v>
      </c>
      <c r="FU44">
        <v>15.918200000000001</v>
      </c>
      <c r="FV44">
        <v>2</v>
      </c>
      <c r="FW44">
        <v>488.73899999999998</v>
      </c>
      <c r="FX44">
        <v>398.37900000000002</v>
      </c>
      <c r="FY44">
        <v>25.332799999999999</v>
      </c>
      <c r="FZ44">
        <v>30.224900000000002</v>
      </c>
      <c r="GA44">
        <v>30.0002</v>
      </c>
      <c r="GB44">
        <v>30.5242</v>
      </c>
      <c r="GC44">
        <v>30.580100000000002</v>
      </c>
      <c r="GD44">
        <v>-1</v>
      </c>
      <c r="GE44">
        <v>0</v>
      </c>
      <c r="GF44">
        <v>100</v>
      </c>
      <c r="GG44">
        <v>25.334700000000002</v>
      </c>
      <c r="GH44">
        <v>432.1</v>
      </c>
      <c r="GI44">
        <v>78.840199999999996</v>
      </c>
      <c r="GJ44">
        <v>102.199</v>
      </c>
      <c r="GK44">
        <v>96.404499999999999</v>
      </c>
    </row>
    <row r="45" spans="1:193" x14ac:dyDescent="0.35">
      <c r="A45">
        <v>29</v>
      </c>
      <c r="B45">
        <v>1775465734</v>
      </c>
      <c r="C45">
        <v>1777.900000095367</v>
      </c>
      <c r="D45" t="s">
        <v>408</v>
      </c>
      <c r="E45" t="s">
        <v>409</v>
      </c>
      <c r="F45">
        <v>30</v>
      </c>
      <c r="G45">
        <v>1775465721</v>
      </c>
      <c r="H45">
        <f t="shared" si="0"/>
        <v>2.1371877988968263E-3</v>
      </c>
      <c r="I45">
        <f>1000*AY45*AG45*(AU45-AV45)/(100*AN45*(1000-AG45*AU45))</f>
        <v>2.1371877988968264</v>
      </c>
      <c r="J45">
        <f>AY45*AG45*(AT45-AS45*(1000-AG45*AV45)/(1000-AG45*AU45))/(100*AN45)</f>
        <v>-2.6368954784957293</v>
      </c>
      <c r="K45">
        <f t="shared" si="1"/>
        <v>14.34935274509804</v>
      </c>
      <c r="L45">
        <f t="shared" si="2"/>
        <v>79.786249916851631</v>
      </c>
      <c r="M45">
        <f>L45*(AZ45+BA45)/1000</f>
        <v>7.9828747424579856</v>
      </c>
      <c r="N45">
        <f>(AS45 - IF(AG45&gt;1, J45*AN45*100/(AI45), 0))*(AZ45+BA45)/1000</f>
        <v>1.4356995813042897</v>
      </c>
      <c r="O45">
        <f t="shared" si="3"/>
        <v>6.2789650647438439E-2</v>
      </c>
      <c r="P45">
        <f>IF(LEFT(AP45,1)&lt;&gt;"0",IF(LEFT(AP45,1)="1",3,AQ45),$D$5+$E$5*(BG45*AZ45/($K$5*1000))+$F$5*(BG45*AZ45/($K$5*1000))*MAX(MIN(AN45,$J$5),$I$5)*MAX(MIN(AN45,$J$5),$I$5)+$G$5*MAX(MIN(AN45,$J$5),$I$5)*(BG45*AZ45/($K$5*1000))+$H$5*(BG45*AZ45/($K$5*1000))*(BG45*AZ45/($K$5*1000)))</f>
        <v>2.3895098923073435</v>
      </c>
      <c r="Q45">
        <f>H45*(1000-(1000*0.61365*EXP(17.502*U45/(240.97+U45))/(AZ45+BA45)+AU45)/2)/(1000*0.61365*EXP(17.502*U45/(240.97+U45))/(AZ45+BA45)-AU45)</f>
        <v>6.1887235911788137E-2</v>
      </c>
      <c r="R45">
        <f t="shared" si="4"/>
        <v>3.8759520353069059E-2</v>
      </c>
      <c r="S45">
        <f t="shared" si="5"/>
        <v>0.12429447511764706</v>
      </c>
      <c r="T45">
        <f>(BB45+(S45+2*0.95*0.0000000567*(((BB45+$B$7)+273)^4-(BB45+273)^4)-44100*H45)/(1.84*29.3*P45+8*0.95*0.0000000567*(BB45+273)^3))</f>
        <v>24.833802263563506</v>
      </c>
      <c r="U45">
        <f>($C$7*BC45+$D$7*BD45+$E$7*T45)</f>
        <v>25.612486274509799</v>
      </c>
      <c r="V45">
        <f t="shared" si="6"/>
        <v>3.2976555705239226</v>
      </c>
      <c r="W45">
        <f t="shared" si="7"/>
        <v>-3.1242279861158786</v>
      </c>
      <c r="X45">
        <f>AU45*(AZ45+BA45)/1000</f>
        <v>-0.10236947764794295</v>
      </c>
      <c r="Y45">
        <f t="shared" si="8"/>
        <v>3.2766327586486845</v>
      </c>
      <c r="Z45">
        <f>(V45-AU45*(AZ45+BA45)/1000)</f>
        <v>3.4000250481718655</v>
      </c>
      <c r="AA45">
        <f t="shared" si="9"/>
        <v>-94.249981931350035</v>
      </c>
      <c r="AB45">
        <f>2*29.3*P45*0.92*(BB45-U45)</f>
        <v>-13.877295948192327</v>
      </c>
      <c r="AC45">
        <f>2*0.95*0.0000000567*(((BB45+$B$7)+273)^4-(U45+273)^4)</f>
        <v>-1.2353673045290592</v>
      </c>
      <c r="AD45">
        <f t="shared" si="10"/>
        <v>-109.23835070895377</v>
      </c>
      <c r="AE45">
        <v>22</v>
      </c>
      <c r="AF45">
        <v>4</v>
      </c>
      <c r="AG45">
        <f t="shared" si="11"/>
        <v>1</v>
      </c>
      <c r="AH45">
        <f t="shared" si="12"/>
        <v>0</v>
      </c>
      <c r="AI45">
        <f t="shared" si="13"/>
        <v>25673.132132698553</v>
      </c>
      <c r="AJ45">
        <f t="shared" si="14"/>
        <v>0.65041588235294123</v>
      </c>
      <c r="AK45">
        <f t="shared" si="15"/>
        <v>0.52033270588235303</v>
      </c>
      <c r="AL45">
        <f t="shared" si="16"/>
        <v>0.8</v>
      </c>
      <c r="AM45">
        <f t="shared" si="17"/>
        <v>0.19109999999999999</v>
      </c>
      <c r="AN45">
        <v>3</v>
      </c>
      <c r="AO45">
        <v>0.5</v>
      </c>
      <c r="AP45" t="s">
        <v>317</v>
      </c>
      <c r="AQ45">
        <v>2</v>
      </c>
      <c r="AR45">
        <v>1775465721</v>
      </c>
      <c r="AS45">
        <v>14.34935274509804</v>
      </c>
      <c r="AT45">
        <v>12.78826470588236</v>
      </c>
      <c r="AU45">
        <v>-1.023149803921569</v>
      </c>
      <c r="AV45">
        <v>-2.3046000862352942</v>
      </c>
      <c r="AW45">
        <v>5.9683527450980387</v>
      </c>
      <c r="AX45">
        <v>-1.0816000862352939</v>
      </c>
      <c r="AY45">
        <v>500.84841176470587</v>
      </c>
      <c r="AZ45">
        <v>100.0059411764706</v>
      </c>
      <c r="BA45">
        <v>4.7323023529411763E-2</v>
      </c>
      <c r="BB45">
        <v>25.504762745098031</v>
      </c>
      <c r="BC45">
        <v>25.612486274509799</v>
      </c>
      <c r="BD45">
        <v>999.9</v>
      </c>
      <c r="BE45">
        <v>0</v>
      </c>
      <c r="BF45">
        <v>0</v>
      </c>
      <c r="BG45">
        <v>5003.5098039215691</v>
      </c>
      <c r="BH45">
        <v>0.65041588235294123</v>
      </c>
      <c r="BI45">
        <v>199.05023529411761</v>
      </c>
      <c r="BJ45">
        <v>1.539760856666667</v>
      </c>
      <c r="BK45">
        <v>14.29501568627451</v>
      </c>
      <c r="BL45">
        <v>12.775198039215679</v>
      </c>
      <c r="BM45">
        <v>-1.2791507807843141</v>
      </c>
      <c r="BN45">
        <v>12.78826470588236</v>
      </c>
      <c r="BO45">
        <v>-1.023149803921569</v>
      </c>
      <c r="BP45">
        <v>-0.23024370588235299</v>
      </c>
      <c r="BQ45">
        <v>-0.1023210588235294</v>
      </c>
      <c r="BR45">
        <v>-99.899999999999977</v>
      </c>
      <c r="BS45">
        <v>-99.899999999999977</v>
      </c>
      <c r="BT45">
        <v>1775465760</v>
      </c>
      <c r="BU45" t="s">
        <v>410</v>
      </c>
      <c r="BV45">
        <v>1775465752</v>
      </c>
      <c r="BW45">
        <v>1775465760</v>
      </c>
      <c r="BX45">
        <v>30</v>
      </c>
      <c r="BY45">
        <v>2.1000000000000001E-2</v>
      </c>
      <c r="BZ45">
        <v>-3.0000000000000001E-3</v>
      </c>
      <c r="CA45">
        <v>8.3810000000000002</v>
      </c>
      <c r="CB45">
        <v>-1.2230000000000001</v>
      </c>
      <c r="CC45">
        <v>11</v>
      </c>
      <c r="CD45">
        <v>-1</v>
      </c>
      <c r="CE45">
        <v>0.17</v>
      </c>
      <c r="CF45">
        <v>0.05</v>
      </c>
      <c r="CG45">
        <v>12.806277049180331</v>
      </c>
      <c r="CH45">
        <v>-1.10806768905341</v>
      </c>
      <c r="CI45">
        <v>0.66655967976346631</v>
      </c>
      <c r="CJ45">
        <v>-1</v>
      </c>
      <c r="CK45">
        <v>500.71185245901643</v>
      </c>
      <c r="CL45">
        <v>-3.3815441565305888</v>
      </c>
      <c r="CM45">
        <v>1.401235834353932</v>
      </c>
      <c r="CN45">
        <v>-1</v>
      </c>
      <c r="CO45">
        <v>0</v>
      </c>
      <c r="CP45">
        <v>0</v>
      </c>
      <c r="CQ45" t="s">
        <v>319</v>
      </c>
      <c r="CR45">
        <v>3.1674699999999998</v>
      </c>
      <c r="CS45">
        <v>2.6663600000000001</v>
      </c>
      <c r="CT45">
        <v>1.6923999999999999E-3</v>
      </c>
      <c r="CU45">
        <v>3.3116E-3</v>
      </c>
      <c r="CV45">
        <v>-1.1597700000000001E-2</v>
      </c>
      <c r="CW45">
        <v>-8.8982899999999997E-3</v>
      </c>
      <c r="CX45">
        <v>21533.8</v>
      </c>
      <c r="CY45">
        <v>21864.1</v>
      </c>
      <c r="CZ45">
        <v>23099.1</v>
      </c>
      <c r="DA45">
        <v>22290.3</v>
      </c>
      <c r="DB45">
        <v>30135.8</v>
      </c>
      <c r="DC45">
        <v>26826.7</v>
      </c>
      <c r="DD45">
        <v>40602.800000000003</v>
      </c>
      <c r="DE45">
        <v>36949.300000000003</v>
      </c>
      <c r="DF45">
        <v>2.0653600000000001</v>
      </c>
      <c r="DG45">
        <v>1.7818799999999999</v>
      </c>
      <c r="DH45">
        <v>-2.9352300000000001E-2</v>
      </c>
      <c r="DI45">
        <v>0</v>
      </c>
      <c r="DJ45">
        <v>26.092300000000002</v>
      </c>
      <c r="DK45">
        <v>999.9</v>
      </c>
      <c r="DL45">
        <v>74.8</v>
      </c>
      <c r="DM45">
        <v>31.1</v>
      </c>
      <c r="DN45">
        <v>33.935499999999998</v>
      </c>
      <c r="DO45">
        <v>30.87</v>
      </c>
      <c r="DP45">
        <v>10.336499999999999</v>
      </c>
      <c r="DQ45">
        <v>1</v>
      </c>
      <c r="DR45">
        <v>0.24271100000000001</v>
      </c>
      <c r="DS45">
        <v>1.2209399999999999</v>
      </c>
      <c r="DT45">
        <v>20.363</v>
      </c>
      <c r="DU45">
        <v>5.2117800000000001</v>
      </c>
      <c r="DV45">
        <v>11.852399999999999</v>
      </c>
      <c r="DW45">
        <v>4.9677600000000002</v>
      </c>
      <c r="DX45">
        <v>3.2929200000000001</v>
      </c>
      <c r="DY45">
        <v>894.7</v>
      </c>
      <c r="DZ45">
        <v>0</v>
      </c>
      <c r="EA45">
        <v>823.5</v>
      </c>
      <c r="EB45">
        <v>107.1</v>
      </c>
      <c r="EC45">
        <v>4.9715999999999996</v>
      </c>
      <c r="ED45">
        <v>1.8718300000000001</v>
      </c>
      <c r="EE45">
        <v>1.8690500000000001</v>
      </c>
      <c r="EF45">
        <v>1.8714599999999999</v>
      </c>
      <c r="EG45">
        <v>1.8692</v>
      </c>
      <c r="EH45">
        <v>1.8681300000000001</v>
      </c>
      <c r="EI45">
        <v>1.8699600000000001</v>
      </c>
      <c r="EJ45">
        <v>1.87178</v>
      </c>
      <c r="EK45">
        <v>0</v>
      </c>
      <c r="EL45">
        <v>0</v>
      </c>
      <c r="EM45">
        <v>0</v>
      </c>
      <c r="EN45">
        <v>0</v>
      </c>
      <c r="EO45" t="s">
        <v>320</v>
      </c>
      <c r="EP45" t="s">
        <v>321</v>
      </c>
      <c r="EQ45" t="s">
        <v>322</v>
      </c>
      <c r="ER45" t="s">
        <v>322</v>
      </c>
      <c r="ES45" t="s">
        <v>322</v>
      </c>
      <c r="ET45" t="s">
        <v>322</v>
      </c>
      <c r="EU45">
        <v>0</v>
      </c>
      <c r="EV45">
        <v>100</v>
      </c>
      <c r="EW45">
        <v>100</v>
      </c>
      <c r="EX45">
        <v>8.3810000000000002</v>
      </c>
      <c r="EY45">
        <v>-1.2230000000000001</v>
      </c>
      <c r="EZ45">
        <v>8.3596744999999988</v>
      </c>
      <c r="FA45">
        <v>0</v>
      </c>
      <c r="FB45">
        <v>0</v>
      </c>
      <c r="FC45">
        <v>0</v>
      </c>
      <c r="FD45">
        <v>-1.22070035</v>
      </c>
      <c r="FE45">
        <v>0</v>
      </c>
      <c r="FF45">
        <v>0</v>
      </c>
      <c r="FG45">
        <v>0</v>
      </c>
      <c r="FH45">
        <v>-1</v>
      </c>
      <c r="FI45">
        <v>-1</v>
      </c>
      <c r="FJ45">
        <v>-1</v>
      </c>
      <c r="FK45">
        <v>-1</v>
      </c>
      <c r="FL45">
        <v>0.4</v>
      </c>
      <c r="FM45">
        <v>0.5</v>
      </c>
      <c r="FN45">
        <v>0.142822</v>
      </c>
      <c r="FO45">
        <v>4.99756</v>
      </c>
      <c r="FP45">
        <v>1.5979000000000001</v>
      </c>
      <c r="FQ45">
        <v>2.1557599999999999</v>
      </c>
      <c r="FR45">
        <v>1.5478499999999999</v>
      </c>
      <c r="FS45">
        <v>2.32422</v>
      </c>
      <c r="FT45">
        <v>35.290199999999999</v>
      </c>
      <c r="FU45">
        <v>15.900700000000001</v>
      </c>
      <c r="FV45">
        <v>2</v>
      </c>
      <c r="FW45">
        <v>488.29700000000003</v>
      </c>
      <c r="FX45">
        <v>398.048</v>
      </c>
      <c r="FY45">
        <v>25.3034</v>
      </c>
      <c r="FZ45">
        <v>30.2332</v>
      </c>
      <c r="GA45">
        <v>30.0001</v>
      </c>
      <c r="GB45">
        <v>30.535699999999999</v>
      </c>
      <c r="GC45">
        <v>30.594000000000001</v>
      </c>
      <c r="GD45">
        <v>-1</v>
      </c>
      <c r="GE45">
        <v>0</v>
      </c>
      <c r="GF45">
        <v>100</v>
      </c>
      <c r="GG45">
        <v>25.299099999999999</v>
      </c>
      <c r="GH45">
        <v>432.1</v>
      </c>
      <c r="GI45">
        <v>78.840199999999996</v>
      </c>
      <c r="GJ45">
        <v>102.197</v>
      </c>
      <c r="GK45">
        <v>96.406099999999995</v>
      </c>
    </row>
    <row r="46" spans="1:193" x14ac:dyDescent="0.35">
      <c r="A46">
        <v>30</v>
      </c>
      <c r="B46">
        <v>1775465794</v>
      </c>
      <c r="C46">
        <v>1837.900000095367</v>
      </c>
      <c r="D46" t="s">
        <v>411</v>
      </c>
      <c r="E46" t="s">
        <v>412</v>
      </c>
      <c r="F46">
        <v>30</v>
      </c>
      <c r="G46">
        <v>1775465778.5</v>
      </c>
      <c r="H46">
        <f t="shared" si="0"/>
        <v>2.4005037168784481E-3</v>
      </c>
      <c r="I46">
        <f>1000*AY46*AG46*(AU46-AV46)/(100*AN46*(1000-AG46*AU46))</f>
        <v>2.4005037168784482</v>
      </c>
      <c r="J46">
        <f>AY46*AG46*(AT46-AS46*(1000-AG46*AV46)/(1000-AG46*AU46))/(100*AN46)</f>
        <v>-2.3756890486041429</v>
      </c>
      <c r="K46">
        <f t="shared" si="1"/>
        <v>12.650739016393439</v>
      </c>
      <c r="L46">
        <f t="shared" si="2"/>
        <v>65.064066346997876</v>
      </c>
      <c r="M46">
        <f>L46*(AZ46+BA46)/1000</f>
        <v>6.509626985783429</v>
      </c>
      <c r="N46">
        <f>(AS46 - IF(AG46&gt;1, J46*AN46*100/(AI46), 0))*(AZ46+BA46)/1000</f>
        <v>1.2657000509624283</v>
      </c>
      <c r="O46">
        <f t="shared" si="3"/>
        <v>7.0653332530965132E-2</v>
      </c>
      <c r="P46">
        <f>IF(LEFT(AP46,1)&lt;&gt;"0",IF(LEFT(AP46,1)="1",3,AQ46),$D$5+$E$5*(BG46*AZ46/($K$5*1000))+$F$5*(BG46*AZ46/($K$5*1000))*MAX(MIN(AN46,$J$5),$I$5)*MAX(MIN(AN46,$J$5),$I$5)+$G$5*MAX(MIN(AN46,$J$5),$I$5)*(BG46*AZ46/($K$5*1000))+$H$5*(BG46*AZ46/($K$5*1000))*(BG46*AZ46/($K$5*1000)))</f>
        <v>2.3890515183123013</v>
      </c>
      <c r="Q46">
        <f>H46*(1000-(1000*0.61365*EXP(17.502*U46/(240.97+U46))/(AZ46+BA46)+AU46)/2)/(1000*0.61365*EXP(17.502*U46/(240.97+U46))/(AZ46+BA46)-AU46)</f>
        <v>6.9512727798190593E-2</v>
      </c>
      <c r="R46">
        <f t="shared" si="4"/>
        <v>4.3546399842960881E-2</v>
      </c>
      <c r="S46">
        <f t="shared" si="5"/>
        <v>0.12357510321639346</v>
      </c>
      <c r="T46">
        <f>(BB46+(S46+2*0.95*0.0000000567*(((BB46+$B$7)+273)^4-(BB46+273)^4)-44100*H46)/(1.84*29.3*P46+8*0.95*0.0000000567*(BB46+273)^3))</f>
        <v>24.746517960735225</v>
      </c>
      <c r="U46">
        <f>($C$7*BC46+$D$7*BD46+$E$7*T46)</f>
        <v>25.611568852459019</v>
      </c>
      <c r="V46">
        <f t="shared" si="6"/>
        <v>3.2974760345142049</v>
      </c>
      <c r="W46">
        <f t="shared" si="7"/>
        <v>-3.1258056579507594</v>
      </c>
      <c r="X46">
        <f>AU46*(AZ46+BA46)/1000</f>
        <v>-0.10239460603866335</v>
      </c>
      <c r="Y46">
        <f t="shared" si="8"/>
        <v>3.2757828618747853</v>
      </c>
      <c r="Z46">
        <f>(V46-AU46*(AZ46+BA46)/1000)</f>
        <v>3.3998706405528685</v>
      </c>
      <c r="AA46">
        <f t="shared" si="9"/>
        <v>-105.86221391433956</v>
      </c>
      <c r="AB46">
        <f>2*29.3*P46*0.92*(BB46-U46)</f>
        <v>-14.319019932121217</v>
      </c>
      <c r="AC46">
        <f>2*0.95*0.0000000567*(((BB46+$B$7)+273)^4-(U46+273)^4)</f>
        <v>-1.2749006225379671</v>
      </c>
      <c r="AD46">
        <f t="shared" si="10"/>
        <v>-121.33255936578236</v>
      </c>
      <c r="AE46">
        <v>21</v>
      </c>
      <c r="AF46">
        <v>4</v>
      </c>
      <c r="AG46">
        <f t="shared" si="11"/>
        <v>1</v>
      </c>
      <c r="AH46">
        <f t="shared" si="12"/>
        <v>0</v>
      </c>
      <c r="AI46">
        <f t="shared" si="13"/>
        <v>25666.598328522799</v>
      </c>
      <c r="AJ46">
        <f t="shared" si="14"/>
        <v>0.64665150819672146</v>
      </c>
      <c r="AK46">
        <f t="shared" si="15"/>
        <v>0.51732120655737723</v>
      </c>
      <c r="AL46">
        <f t="shared" si="16"/>
        <v>0.8</v>
      </c>
      <c r="AM46">
        <f t="shared" si="17"/>
        <v>0.19109999999999999</v>
      </c>
      <c r="AN46">
        <v>3</v>
      </c>
      <c r="AO46">
        <v>0.5</v>
      </c>
      <c r="AP46" t="s">
        <v>317</v>
      </c>
      <c r="AQ46">
        <v>2</v>
      </c>
      <c r="AR46">
        <v>1775465778.5</v>
      </c>
      <c r="AS46">
        <v>12.650739016393439</v>
      </c>
      <c r="AT46">
        <v>11.24504918032787</v>
      </c>
      <c r="AU46">
        <v>-1.023439508196722</v>
      </c>
      <c r="AV46">
        <v>-2.463676163934426</v>
      </c>
      <c r="AW46">
        <v>4.2787390163934438</v>
      </c>
      <c r="AX46">
        <v>-1.2486761639344259</v>
      </c>
      <c r="AY46">
        <v>500.53450819672139</v>
      </c>
      <c r="AZ46">
        <v>100.00349180327871</v>
      </c>
      <c r="BA46">
        <v>4.6003275409836071E-2</v>
      </c>
      <c r="BB46">
        <v>25.500395081967209</v>
      </c>
      <c r="BC46">
        <v>25.611568852459019</v>
      </c>
      <c r="BD46">
        <v>999.9</v>
      </c>
      <c r="BE46">
        <v>0</v>
      </c>
      <c r="BF46">
        <v>0</v>
      </c>
      <c r="BG46">
        <v>5002.4508196721308</v>
      </c>
      <c r="BH46">
        <v>0.64665150819672146</v>
      </c>
      <c r="BI46">
        <v>200.6452786885246</v>
      </c>
      <c r="BJ46">
        <v>1.4148550655737699</v>
      </c>
      <c r="BK46">
        <v>12.62866557377049</v>
      </c>
      <c r="BL46">
        <v>11.23354754098361</v>
      </c>
      <c r="BM46">
        <v>-1.4486509672131149</v>
      </c>
      <c r="BN46">
        <v>11.24504918032787</v>
      </c>
      <c r="BO46">
        <v>-1.023439508196722</v>
      </c>
      <c r="BP46">
        <v>-0.24721757377049181</v>
      </c>
      <c r="BQ46">
        <v>-0.1023475409836066</v>
      </c>
      <c r="BR46">
        <v>-99.899999999999963</v>
      </c>
      <c r="BS46">
        <v>-99.899999999999963</v>
      </c>
      <c r="BT46">
        <v>1775465815</v>
      </c>
      <c r="BU46" t="s">
        <v>413</v>
      </c>
      <c r="BV46">
        <v>1775465815</v>
      </c>
      <c r="BW46">
        <v>1775465815</v>
      </c>
      <c r="BX46">
        <v>31</v>
      </c>
      <c r="BY46">
        <v>-8.9999999999999993E-3</v>
      </c>
      <c r="BZ46">
        <v>8.9999999999999993E-3</v>
      </c>
      <c r="CA46">
        <v>8.3719999999999999</v>
      </c>
      <c r="CB46">
        <v>-1.2150000000000001</v>
      </c>
      <c r="CC46">
        <v>10</v>
      </c>
      <c r="CD46">
        <v>-1</v>
      </c>
      <c r="CE46">
        <v>0.14000000000000001</v>
      </c>
      <c r="CF46">
        <v>0.03</v>
      </c>
      <c r="CG46">
        <v>11.25439180327869</v>
      </c>
      <c r="CH46">
        <v>0.97813516657852395</v>
      </c>
      <c r="CI46">
        <v>0.3392751793306768</v>
      </c>
      <c r="CJ46">
        <v>-1</v>
      </c>
      <c r="CK46">
        <v>500.64695081967221</v>
      </c>
      <c r="CL46">
        <v>-6.4662993125340247</v>
      </c>
      <c r="CM46">
        <v>1.385512551501491</v>
      </c>
      <c r="CN46">
        <v>-1</v>
      </c>
      <c r="CO46">
        <v>0</v>
      </c>
      <c r="CP46">
        <v>0</v>
      </c>
      <c r="CQ46" t="s">
        <v>319</v>
      </c>
      <c r="CR46">
        <v>3.16751</v>
      </c>
      <c r="CS46">
        <v>2.6670199999999999</v>
      </c>
      <c r="CT46">
        <v>1.29195E-3</v>
      </c>
      <c r="CU46">
        <v>3.3158800000000002E-3</v>
      </c>
      <c r="CV46">
        <v>-1.1587699999999999E-2</v>
      </c>
      <c r="CW46">
        <v>-8.9409299999999997E-3</v>
      </c>
      <c r="CX46">
        <v>21541.9</v>
      </c>
      <c r="CY46">
        <v>21863.5</v>
      </c>
      <c r="CZ46">
        <v>23098.5</v>
      </c>
      <c r="DA46">
        <v>22289.8</v>
      </c>
      <c r="DB46">
        <v>30135.1</v>
      </c>
      <c r="DC46">
        <v>26826.9</v>
      </c>
      <c r="DD46">
        <v>40602.199999999997</v>
      </c>
      <c r="DE46">
        <v>36948.1</v>
      </c>
      <c r="DF46">
        <v>2.0657399999999999</v>
      </c>
      <c r="DG46">
        <v>1.78176</v>
      </c>
      <c r="DH46">
        <v>-2.9495400000000001E-2</v>
      </c>
      <c r="DI46">
        <v>0</v>
      </c>
      <c r="DJ46">
        <v>26.0945</v>
      </c>
      <c r="DK46">
        <v>999.9</v>
      </c>
      <c r="DL46">
        <v>74.7</v>
      </c>
      <c r="DM46">
        <v>31.1</v>
      </c>
      <c r="DN46">
        <v>33.894100000000002</v>
      </c>
      <c r="DO46">
        <v>30.57</v>
      </c>
      <c r="DP46">
        <v>10.681100000000001</v>
      </c>
      <c r="DQ46">
        <v>1</v>
      </c>
      <c r="DR46">
        <v>0.24401</v>
      </c>
      <c r="DS46">
        <v>1.1813800000000001</v>
      </c>
      <c r="DT46">
        <v>20.363</v>
      </c>
      <c r="DU46">
        <v>5.2088999999999999</v>
      </c>
      <c r="DV46">
        <v>11.8512</v>
      </c>
      <c r="DW46">
        <v>4.96732</v>
      </c>
      <c r="DX46">
        <v>3.29236</v>
      </c>
      <c r="DY46">
        <v>894.7</v>
      </c>
      <c r="DZ46">
        <v>0</v>
      </c>
      <c r="EA46">
        <v>850.9</v>
      </c>
      <c r="EB46">
        <v>107.1</v>
      </c>
      <c r="EC46">
        <v>4.9715999999999996</v>
      </c>
      <c r="ED46">
        <v>1.8718600000000001</v>
      </c>
      <c r="EE46">
        <v>1.8690500000000001</v>
      </c>
      <c r="EF46">
        <v>1.87148</v>
      </c>
      <c r="EG46">
        <v>1.8692</v>
      </c>
      <c r="EH46">
        <v>1.8681300000000001</v>
      </c>
      <c r="EI46">
        <v>1.8699600000000001</v>
      </c>
      <c r="EJ46">
        <v>1.8717999999999999</v>
      </c>
      <c r="EK46">
        <v>0</v>
      </c>
      <c r="EL46">
        <v>0</v>
      </c>
      <c r="EM46">
        <v>0</v>
      </c>
      <c r="EN46">
        <v>0</v>
      </c>
      <c r="EO46" t="s">
        <v>320</v>
      </c>
      <c r="EP46" t="s">
        <v>321</v>
      </c>
      <c r="EQ46" t="s">
        <v>322</v>
      </c>
      <c r="ER46" t="s">
        <v>322</v>
      </c>
      <c r="ES46" t="s">
        <v>322</v>
      </c>
      <c r="ET46" t="s">
        <v>322</v>
      </c>
      <c r="EU46">
        <v>0</v>
      </c>
      <c r="EV46">
        <v>100</v>
      </c>
      <c r="EW46">
        <v>100</v>
      </c>
      <c r="EX46">
        <v>8.3719999999999999</v>
      </c>
      <c r="EY46">
        <v>-1.2150000000000001</v>
      </c>
      <c r="EZ46">
        <v>8.3811619999999998</v>
      </c>
      <c r="FA46">
        <v>0</v>
      </c>
      <c r="FB46">
        <v>0</v>
      </c>
      <c r="FC46">
        <v>0</v>
      </c>
      <c r="FD46">
        <v>-1.2234154500000001</v>
      </c>
      <c r="FE46">
        <v>0</v>
      </c>
      <c r="FF46">
        <v>0</v>
      </c>
      <c r="FG46">
        <v>0</v>
      </c>
      <c r="FH46">
        <v>-1</v>
      </c>
      <c r="FI46">
        <v>-1</v>
      </c>
      <c r="FJ46">
        <v>-1</v>
      </c>
      <c r="FK46">
        <v>-1</v>
      </c>
      <c r="FL46">
        <v>0.7</v>
      </c>
      <c r="FM46">
        <v>0.6</v>
      </c>
      <c r="FN46">
        <v>0.142822</v>
      </c>
      <c r="FO46">
        <v>4.99756</v>
      </c>
      <c r="FP46">
        <v>1.5979000000000001</v>
      </c>
      <c r="FQ46">
        <v>2.1545399999999999</v>
      </c>
      <c r="FR46">
        <v>1.5478499999999999</v>
      </c>
      <c r="FS46">
        <v>2.4658199999999999</v>
      </c>
      <c r="FT46">
        <v>35.336500000000001</v>
      </c>
      <c r="FU46">
        <v>15.900700000000001</v>
      </c>
      <c r="FV46">
        <v>2</v>
      </c>
      <c r="FW46">
        <v>488.625</v>
      </c>
      <c r="FX46">
        <v>398.07400000000001</v>
      </c>
      <c r="FY46">
        <v>25.315899999999999</v>
      </c>
      <c r="FZ46">
        <v>30.246400000000001</v>
      </c>
      <c r="GA46">
        <v>30.0001</v>
      </c>
      <c r="GB46">
        <v>30.5503</v>
      </c>
      <c r="GC46">
        <v>30.608599999999999</v>
      </c>
      <c r="GD46">
        <v>-1</v>
      </c>
      <c r="GE46">
        <v>0</v>
      </c>
      <c r="GF46">
        <v>100</v>
      </c>
      <c r="GG46">
        <v>25.314499999999999</v>
      </c>
      <c r="GH46">
        <v>432.1</v>
      </c>
      <c r="GI46">
        <v>78.840199999999996</v>
      </c>
      <c r="GJ46">
        <v>102.19499999999999</v>
      </c>
      <c r="GK46">
        <v>96.403400000000005</v>
      </c>
    </row>
    <row r="47" spans="1:193" x14ac:dyDescent="0.35">
      <c r="A47">
        <v>31</v>
      </c>
      <c r="B47">
        <v>1775465854</v>
      </c>
      <c r="C47">
        <v>1897.900000095367</v>
      </c>
      <c r="D47" t="s">
        <v>414</v>
      </c>
      <c r="E47" t="s">
        <v>415</v>
      </c>
      <c r="F47">
        <v>30</v>
      </c>
      <c r="G47">
        <v>1775465838.5</v>
      </c>
      <c r="H47">
        <f t="shared" si="0"/>
        <v>2.334687672896013E-3</v>
      </c>
      <c r="I47">
        <f>1000*AY47*AG47*(AU47-AV47)/(100*AN47*(1000-AG47*AU47))</f>
        <v>2.3346876728960129</v>
      </c>
      <c r="J47">
        <f>AY47*AG47*(AT47-AS47*(1000-AG47*AV47)/(1000-AG47*AU47))/(100*AN47)</f>
        <v>-1.7418010957153709</v>
      </c>
      <c r="K47">
        <f t="shared" si="1"/>
        <v>11.664618688524589</v>
      </c>
      <c r="L47">
        <f t="shared" si="2"/>
        <v>51.160071128474115</v>
      </c>
      <c r="M47">
        <f>L47*(AZ47+BA47)/1000</f>
        <v>5.1183215809623599</v>
      </c>
      <c r="N47">
        <f>(AS47 - IF(AG47&gt;1, J47*AN47*100/(AI47), 0))*(AZ47+BA47)/1000</f>
        <v>1.1669895731232334</v>
      </c>
      <c r="O47">
        <f t="shared" si="3"/>
        <v>6.851251847929736E-2</v>
      </c>
      <c r="P47">
        <f>IF(LEFT(AP47,1)&lt;&gt;"0",IF(LEFT(AP47,1)="1",3,AQ47),$D$5+$E$5*(BG47*AZ47/($K$5*1000))+$F$5*(BG47*AZ47/($K$5*1000))*MAX(MIN(AN47,$J$5),$I$5)*MAX(MIN(AN47,$J$5),$I$5)+$G$5*MAX(MIN(AN47,$J$5),$I$5)*(BG47*AZ47/($K$5*1000))+$H$5*(BG47*AZ47/($K$5*1000))*(BG47*AZ47/($K$5*1000)))</f>
        <v>2.3881388303924176</v>
      </c>
      <c r="Q47">
        <f>H47*(1000-(1000*0.61365*EXP(17.502*U47/(240.97+U47))/(AZ47+BA47)+AU47)/2)/(1000*0.61365*EXP(17.502*U47/(240.97+U47))/(AZ47+BA47)-AU47)</f>
        <v>6.743901865386609E-2</v>
      </c>
      <c r="R47">
        <f t="shared" si="4"/>
        <v>4.2244435199660965E-2</v>
      </c>
      <c r="S47">
        <f t="shared" si="5"/>
        <v>0.12443397867049183</v>
      </c>
      <c r="T47">
        <f>(BB47+(S47+2*0.95*0.0000000567*(((BB47+$B$7)+273)^4-(BB47+273)^4)-44100*H47)/(1.84*29.3*P47+8*0.95*0.0000000567*(BB47+273)^3))</f>
        <v>24.768786131366877</v>
      </c>
      <c r="U47">
        <f>($C$7*BC47+$D$7*BD47+$E$7*T47)</f>
        <v>25.607009836065579</v>
      </c>
      <c r="V47">
        <f t="shared" si="6"/>
        <v>3.2965839789707139</v>
      </c>
      <c r="W47">
        <f t="shared" si="7"/>
        <v>-3.4119004101281423</v>
      </c>
      <c r="X47">
        <f>AU47*(AZ47+BA47)/1000</f>
        <v>-0.11177856185317031</v>
      </c>
      <c r="Y47">
        <f t="shared" si="8"/>
        <v>3.2761378826110632</v>
      </c>
      <c r="Z47">
        <f>(V47-AU47*(AZ47+BA47)/1000)</f>
        <v>3.4083625408238842</v>
      </c>
      <c r="AA47">
        <f t="shared" si="9"/>
        <v>-102.95972637471418</v>
      </c>
      <c r="AB47">
        <f>2*29.3*P47*0.92*(BB47-U47)</f>
        <v>-13.491664510450654</v>
      </c>
      <c r="AC47">
        <f>2*0.95*0.0000000567*(((BB47+$B$7)+273)^4-(U47+273)^4)</f>
        <v>-1.2016792157531424</v>
      </c>
      <c r="AD47">
        <f t="shared" si="10"/>
        <v>-117.52863612224749</v>
      </c>
      <c r="AE47">
        <v>21</v>
      </c>
      <c r="AF47">
        <v>4</v>
      </c>
      <c r="AG47">
        <f t="shared" si="11"/>
        <v>1</v>
      </c>
      <c r="AH47">
        <f t="shared" si="12"/>
        <v>0</v>
      </c>
      <c r="AI47">
        <f t="shared" si="13"/>
        <v>25652.633576028926</v>
      </c>
      <c r="AJ47">
        <f t="shared" si="14"/>
        <v>0.65114588524590178</v>
      </c>
      <c r="AK47">
        <f t="shared" si="15"/>
        <v>0.52091670819672142</v>
      </c>
      <c r="AL47">
        <f t="shared" si="16"/>
        <v>0.8</v>
      </c>
      <c r="AM47">
        <f t="shared" si="17"/>
        <v>0.19109999999999999</v>
      </c>
      <c r="AN47">
        <v>3</v>
      </c>
      <c r="AO47">
        <v>0.5</v>
      </c>
      <c r="AP47" t="s">
        <v>317</v>
      </c>
      <c r="AQ47">
        <v>2</v>
      </c>
      <c r="AR47">
        <v>1775465838.5</v>
      </c>
      <c r="AS47">
        <v>11.664618688524589</v>
      </c>
      <c r="AT47">
        <v>10.63592114754098</v>
      </c>
      <c r="AU47">
        <v>-1.1172801639344261</v>
      </c>
      <c r="AV47">
        <v>-2.519599016393443</v>
      </c>
      <c r="AW47">
        <v>3.306618688524591</v>
      </c>
      <c r="AX47">
        <v>-1.303599016393443</v>
      </c>
      <c r="AY47">
        <v>500.02098360655742</v>
      </c>
      <c r="AZ47">
        <v>99.999886885245914</v>
      </c>
      <c r="BA47">
        <v>4.5352850819672143E-2</v>
      </c>
      <c r="BB47">
        <v>25.502219672131151</v>
      </c>
      <c r="BC47">
        <v>25.607009836065579</v>
      </c>
      <c r="BD47">
        <v>999.9</v>
      </c>
      <c r="BE47">
        <v>0</v>
      </c>
      <c r="BF47">
        <v>0</v>
      </c>
      <c r="BG47">
        <v>5000.2786885245914</v>
      </c>
      <c r="BH47">
        <v>0.65114588524590178</v>
      </c>
      <c r="BI47">
        <v>202.07863934426231</v>
      </c>
      <c r="BJ47">
        <v>1.0424376229508201</v>
      </c>
      <c r="BK47">
        <v>11.64901803278689</v>
      </c>
      <c r="BL47">
        <v>10.62403721311475</v>
      </c>
      <c r="BM47">
        <v>-1.401125081967213</v>
      </c>
      <c r="BN47">
        <v>10.63592114754098</v>
      </c>
      <c r="BO47">
        <v>-1.1172801639344261</v>
      </c>
      <c r="BP47">
        <v>-0.25184039344262288</v>
      </c>
      <c r="BQ47">
        <v>-0.1117279508196721</v>
      </c>
      <c r="BR47">
        <v>-99.899999999999963</v>
      </c>
      <c r="BS47">
        <v>-99.899999999999963</v>
      </c>
      <c r="BT47">
        <v>1775465878</v>
      </c>
      <c r="BU47" t="s">
        <v>416</v>
      </c>
      <c r="BV47">
        <v>1775465872</v>
      </c>
      <c r="BW47">
        <v>1775465878</v>
      </c>
      <c r="BX47">
        <v>32</v>
      </c>
      <c r="BY47">
        <v>-1.2999999999999999E-2</v>
      </c>
      <c r="BZ47">
        <v>-1E-3</v>
      </c>
      <c r="CA47">
        <v>8.3580000000000005</v>
      </c>
      <c r="CB47">
        <v>-1.216</v>
      </c>
      <c r="CC47">
        <v>11</v>
      </c>
      <c r="CD47">
        <v>-1</v>
      </c>
      <c r="CE47">
        <v>0.23</v>
      </c>
      <c r="CF47">
        <v>0.05</v>
      </c>
      <c r="CG47">
        <v>10.64028816666667</v>
      </c>
      <c r="CH47">
        <v>2.6933416504584802</v>
      </c>
      <c r="CI47">
        <v>0.51075895541012195</v>
      </c>
      <c r="CJ47">
        <v>-1</v>
      </c>
      <c r="CK47">
        <v>500.02105000000012</v>
      </c>
      <c r="CL47">
        <v>-0.2870163934415601</v>
      </c>
      <c r="CM47">
        <v>0.1157854949176815</v>
      </c>
      <c r="CN47">
        <v>-1</v>
      </c>
      <c r="CO47">
        <v>0</v>
      </c>
      <c r="CP47">
        <v>0</v>
      </c>
      <c r="CQ47" t="s">
        <v>319</v>
      </c>
      <c r="CR47">
        <v>3.1676000000000002</v>
      </c>
      <c r="CS47">
        <v>2.6665000000000001</v>
      </c>
      <c r="CT47">
        <v>1.14123E-3</v>
      </c>
      <c r="CU47">
        <v>3.0658399999999998E-3</v>
      </c>
      <c r="CV47">
        <v>-1.1675100000000001E-2</v>
      </c>
      <c r="CW47">
        <v>-9.5396999999999999E-3</v>
      </c>
      <c r="CX47">
        <v>21544.9</v>
      </c>
      <c r="CY47">
        <v>21869.8</v>
      </c>
      <c r="CZ47">
        <v>23098.3</v>
      </c>
      <c r="DA47">
        <v>22290.7</v>
      </c>
      <c r="DB47">
        <v>30137.599999999999</v>
      </c>
      <c r="DC47">
        <v>26843.7</v>
      </c>
      <c r="DD47">
        <v>40602.1</v>
      </c>
      <c r="DE47">
        <v>36949.4</v>
      </c>
      <c r="DF47">
        <v>2.0662199999999999</v>
      </c>
      <c r="DG47">
        <v>1.7819799999999999</v>
      </c>
      <c r="DH47">
        <v>-2.9379099999999998E-2</v>
      </c>
      <c r="DI47">
        <v>0</v>
      </c>
      <c r="DJ47">
        <v>26.087399999999999</v>
      </c>
      <c r="DK47">
        <v>999.9</v>
      </c>
      <c r="DL47">
        <v>74.599999999999994</v>
      </c>
      <c r="DM47">
        <v>31.2</v>
      </c>
      <c r="DN47">
        <v>34.039000000000001</v>
      </c>
      <c r="DO47">
        <v>30.57</v>
      </c>
      <c r="DP47">
        <v>10.444699999999999</v>
      </c>
      <c r="DQ47">
        <v>1</v>
      </c>
      <c r="DR47">
        <v>0.24421300000000001</v>
      </c>
      <c r="DS47">
        <v>1.20356</v>
      </c>
      <c r="DT47">
        <v>20.363299999999999</v>
      </c>
      <c r="DU47">
        <v>5.2110599999999998</v>
      </c>
      <c r="DV47">
        <v>11.852499999999999</v>
      </c>
      <c r="DW47">
        <v>4.9678800000000001</v>
      </c>
      <c r="DX47">
        <v>3.29298</v>
      </c>
      <c r="DY47">
        <v>894.7</v>
      </c>
      <c r="DZ47">
        <v>0</v>
      </c>
      <c r="EA47">
        <v>884.8</v>
      </c>
      <c r="EB47">
        <v>107.2</v>
      </c>
      <c r="EC47">
        <v>4.9715699999999998</v>
      </c>
      <c r="ED47">
        <v>1.87185</v>
      </c>
      <c r="EE47">
        <v>1.8690500000000001</v>
      </c>
      <c r="EF47">
        <v>1.87148</v>
      </c>
      <c r="EG47">
        <v>1.8692</v>
      </c>
      <c r="EH47">
        <v>1.8681300000000001</v>
      </c>
      <c r="EI47">
        <v>1.86995</v>
      </c>
      <c r="EJ47">
        <v>1.8717900000000001</v>
      </c>
      <c r="EK47">
        <v>0</v>
      </c>
      <c r="EL47">
        <v>0</v>
      </c>
      <c r="EM47">
        <v>0</v>
      </c>
      <c r="EN47">
        <v>0</v>
      </c>
      <c r="EO47" t="s">
        <v>320</v>
      </c>
      <c r="EP47" t="s">
        <v>321</v>
      </c>
      <c r="EQ47" t="s">
        <v>322</v>
      </c>
      <c r="ER47" t="s">
        <v>322</v>
      </c>
      <c r="ES47" t="s">
        <v>322</v>
      </c>
      <c r="ET47" t="s">
        <v>322</v>
      </c>
      <c r="EU47">
        <v>0</v>
      </c>
      <c r="EV47">
        <v>100</v>
      </c>
      <c r="EW47">
        <v>100</v>
      </c>
      <c r="EX47">
        <v>8.3580000000000005</v>
      </c>
      <c r="EY47">
        <v>-1.216</v>
      </c>
      <c r="EZ47">
        <v>8.3717344999999987</v>
      </c>
      <c r="FA47">
        <v>0</v>
      </c>
      <c r="FB47">
        <v>0</v>
      </c>
      <c r="FC47">
        <v>0</v>
      </c>
      <c r="FD47">
        <v>-1.2148064000000001</v>
      </c>
      <c r="FE47">
        <v>0</v>
      </c>
      <c r="FF47">
        <v>0</v>
      </c>
      <c r="FG47">
        <v>0</v>
      </c>
      <c r="FH47">
        <v>-1</v>
      </c>
      <c r="FI47">
        <v>-1</v>
      </c>
      <c r="FJ47">
        <v>-1</v>
      </c>
      <c r="FK47">
        <v>-1</v>
      </c>
      <c r="FL47">
        <v>0.7</v>
      </c>
      <c r="FM47">
        <v>0.7</v>
      </c>
      <c r="FN47">
        <v>0.142822</v>
      </c>
      <c r="FO47">
        <v>4.99756</v>
      </c>
      <c r="FP47">
        <v>1.5979000000000001</v>
      </c>
      <c r="FQ47">
        <v>2.1545399999999999</v>
      </c>
      <c r="FR47">
        <v>1.5478499999999999</v>
      </c>
      <c r="FS47">
        <v>2.3877000000000002</v>
      </c>
      <c r="FT47">
        <v>35.3827</v>
      </c>
      <c r="FU47">
        <v>15.8832</v>
      </c>
      <c r="FV47">
        <v>2</v>
      </c>
      <c r="FW47">
        <v>488.959</v>
      </c>
      <c r="FX47">
        <v>398.24799999999999</v>
      </c>
      <c r="FY47">
        <v>25.2957</v>
      </c>
      <c r="FZ47">
        <v>30.2516</v>
      </c>
      <c r="GA47">
        <v>30.0002</v>
      </c>
      <c r="GB47">
        <v>30.5581</v>
      </c>
      <c r="GC47">
        <v>30.616399999999999</v>
      </c>
      <c r="GD47">
        <v>-1</v>
      </c>
      <c r="GE47">
        <v>0</v>
      </c>
      <c r="GF47">
        <v>100</v>
      </c>
      <c r="GG47">
        <v>25.295000000000002</v>
      </c>
      <c r="GH47">
        <v>432.1</v>
      </c>
      <c r="GI47">
        <v>78.840199999999996</v>
      </c>
      <c r="GJ47">
        <v>102.19499999999999</v>
      </c>
      <c r="GK47">
        <v>96.406899999999993</v>
      </c>
    </row>
    <row r="48" spans="1:193" x14ac:dyDescent="0.35">
      <c r="A48">
        <v>32</v>
      </c>
      <c r="B48">
        <v>1775465914</v>
      </c>
      <c r="C48">
        <v>1957.900000095367</v>
      </c>
      <c r="D48" t="s">
        <v>417</v>
      </c>
      <c r="E48" t="s">
        <v>418</v>
      </c>
      <c r="F48">
        <v>30</v>
      </c>
      <c r="G48">
        <v>1775465898.5</v>
      </c>
      <c r="H48">
        <f t="shared" si="0"/>
        <v>2.3574501397821013E-3</v>
      </c>
      <c r="I48">
        <f>1000*AY48*AG48*(AU48-AV48)/(100*AN48*(1000-AG48*AU48))</f>
        <v>2.3574501397821015</v>
      </c>
      <c r="J48">
        <f>AY48*AG48*(AT48-AS48*(1000-AG48*AV48)/(1000-AG48*AU48))/(100*AN48)</f>
        <v>-2.4863760736971545</v>
      </c>
      <c r="K48">
        <f t="shared" si="1"/>
        <v>10.64933672131148</v>
      </c>
      <c r="L48">
        <f t="shared" si="2"/>
        <v>66.761553830405248</v>
      </c>
      <c r="M48">
        <f>L48*(AZ48+BA48)/1000</f>
        <v>6.6789936672138488</v>
      </c>
      <c r="N48">
        <f>(AS48 - IF(AG48&gt;1, J48*AN48*100/(AI48), 0))*(AZ48+BA48)/1000</f>
        <v>1.0653864153963704</v>
      </c>
      <c r="O48">
        <f t="shared" si="3"/>
        <v>6.9235804154279199E-2</v>
      </c>
      <c r="P48">
        <f>IF(LEFT(AP48,1)&lt;&gt;"0",IF(LEFT(AP48,1)="1",3,AQ48),$D$5+$E$5*(BG48*AZ48/($K$5*1000))+$F$5*(BG48*AZ48/($K$5*1000))*MAX(MIN(AN48,$J$5),$I$5)*MAX(MIN(AN48,$J$5),$I$5)+$G$5*MAX(MIN(AN48,$J$5),$I$5)*(BG48*AZ48/($K$5*1000))+$H$5*(BG48*AZ48/($K$5*1000))*(BG48*AZ48/($K$5*1000)))</f>
        <v>2.3893223659012222</v>
      </c>
      <c r="Q48">
        <f>H48*(1000-(1000*0.61365*EXP(17.502*U48/(240.97+U48))/(AZ48+BA48)+AU48)/2)/(1000*0.61365*EXP(17.502*U48/(240.97+U48))/(AZ48+BA48)-AU48)</f>
        <v>6.8140248005214427E-2</v>
      </c>
      <c r="R48">
        <f t="shared" si="4"/>
        <v>4.2684642306409414E-2</v>
      </c>
      <c r="S48">
        <f t="shared" si="5"/>
        <v>0.12533810409836066</v>
      </c>
      <c r="T48">
        <f>(BB48+(S48+2*0.95*0.0000000567*(((BB48+$B$7)+273)^4-(BB48+273)^4)-44100*H48)/(1.84*29.3*P48+8*0.95*0.0000000567*(BB48+273)^3))</f>
        <v>24.759670295013169</v>
      </c>
      <c r="U48">
        <f>($C$7*BC48+$D$7*BD48+$E$7*T48)</f>
        <v>25.607463934426221</v>
      </c>
      <c r="V48">
        <f t="shared" si="6"/>
        <v>3.2966728222259309</v>
      </c>
      <c r="W48">
        <f t="shared" si="7"/>
        <v>-3.3386927088224119</v>
      </c>
      <c r="X48">
        <f>AU48*(AZ48+BA48)/1000</f>
        <v>-0.1093652460032814</v>
      </c>
      <c r="Y48">
        <f t="shared" si="8"/>
        <v>3.2756906831912525</v>
      </c>
      <c r="Z48">
        <f>(V48-AU48*(AZ48+BA48)/1000)</f>
        <v>3.4060380682292122</v>
      </c>
      <c r="AA48">
        <f t="shared" si="9"/>
        <v>-103.96355116439067</v>
      </c>
      <c r="AB48">
        <f>2*29.3*P48*0.92*(BB48-U48)</f>
        <v>-13.852903740920027</v>
      </c>
      <c r="AC48">
        <f>2*0.95*0.0000000567*(((BB48+$B$7)+273)^4-(U48+273)^4)</f>
        <v>-1.2332315621592804</v>
      </c>
      <c r="AD48">
        <f t="shared" si="10"/>
        <v>-118.92434836337161</v>
      </c>
      <c r="AE48">
        <v>21</v>
      </c>
      <c r="AF48">
        <v>4</v>
      </c>
      <c r="AG48">
        <f t="shared" si="11"/>
        <v>1</v>
      </c>
      <c r="AH48">
        <f t="shared" si="12"/>
        <v>0</v>
      </c>
      <c r="AI48">
        <f t="shared" si="13"/>
        <v>25671.040763657886</v>
      </c>
      <c r="AJ48">
        <f t="shared" si="14"/>
        <v>0.65587704918032796</v>
      </c>
      <c r="AK48">
        <f t="shared" si="15"/>
        <v>0.52470163934426239</v>
      </c>
      <c r="AL48">
        <f t="shared" si="16"/>
        <v>0.8</v>
      </c>
      <c r="AM48">
        <f t="shared" si="17"/>
        <v>0.19109999999999999</v>
      </c>
      <c r="AN48">
        <v>3</v>
      </c>
      <c r="AO48">
        <v>0.5</v>
      </c>
      <c r="AP48" t="s">
        <v>317</v>
      </c>
      <c r="AQ48">
        <v>2</v>
      </c>
      <c r="AR48">
        <v>1775465898.5</v>
      </c>
      <c r="AS48">
        <v>10.64933672131148</v>
      </c>
      <c r="AT48">
        <v>9.1733763934426218</v>
      </c>
      <c r="AU48">
        <v>-1.093187704918033</v>
      </c>
      <c r="AV48">
        <v>-2.508434918032787</v>
      </c>
      <c r="AW48">
        <v>2.2753367213114748</v>
      </c>
      <c r="AX48">
        <v>-1.296434918032787</v>
      </c>
      <c r="AY48">
        <v>500.27173770491811</v>
      </c>
      <c r="AZ48">
        <v>99.996967213114743</v>
      </c>
      <c r="BA48">
        <v>4.5546539344262303E-2</v>
      </c>
      <c r="BB48">
        <v>25.499921311475411</v>
      </c>
      <c r="BC48">
        <v>25.607463934426221</v>
      </c>
      <c r="BD48">
        <v>999.9</v>
      </c>
      <c r="BE48">
        <v>0</v>
      </c>
      <c r="BF48">
        <v>0</v>
      </c>
      <c r="BG48">
        <v>5003.4754098360654</v>
      </c>
      <c r="BH48">
        <v>0.65587704918032796</v>
      </c>
      <c r="BI48">
        <v>202.96416393442621</v>
      </c>
      <c r="BJ48">
        <v>1.4604522950819669</v>
      </c>
      <c r="BK48">
        <v>10.60718852459016</v>
      </c>
      <c r="BL48">
        <v>9.1633598360655739</v>
      </c>
      <c r="BM48">
        <v>-1.4189037704918031</v>
      </c>
      <c r="BN48">
        <v>9.1733763934426218</v>
      </c>
      <c r="BO48">
        <v>-1.093187704918033</v>
      </c>
      <c r="BP48">
        <v>-0.25120157377049168</v>
      </c>
      <c r="BQ48">
        <v>-0.1093154754098361</v>
      </c>
      <c r="BR48">
        <v>-99.899999999999963</v>
      </c>
      <c r="BS48">
        <v>-99.899999999999963</v>
      </c>
      <c r="BT48">
        <v>1775465939</v>
      </c>
      <c r="BU48" t="s">
        <v>419</v>
      </c>
      <c r="BV48">
        <v>1775465933</v>
      </c>
      <c r="BW48">
        <v>1775465939</v>
      </c>
      <c r="BX48">
        <v>33</v>
      </c>
      <c r="BY48">
        <v>1.6E-2</v>
      </c>
      <c r="BZ48">
        <v>3.0000000000000001E-3</v>
      </c>
      <c r="CA48">
        <v>8.3740000000000006</v>
      </c>
      <c r="CB48">
        <v>-1.212</v>
      </c>
      <c r="CC48">
        <v>10</v>
      </c>
      <c r="CD48">
        <v>-1</v>
      </c>
      <c r="CE48">
        <v>0.16</v>
      </c>
      <c r="CF48">
        <v>7.0000000000000007E-2</v>
      </c>
      <c r="CG48">
        <v>9.1675983333333324</v>
      </c>
      <c r="CH48">
        <v>1.7191666129480569</v>
      </c>
      <c r="CI48">
        <v>0.27592947101367932</v>
      </c>
      <c r="CJ48">
        <v>-1</v>
      </c>
      <c r="CK48">
        <v>500.27616666666671</v>
      </c>
      <c r="CL48">
        <v>-3.1791164212273459</v>
      </c>
      <c r="CM48">
        <v>0.90587236346457356</v>
      </c>
      <c r="CN48">
        <v>-1</v>
      </c>
      <c r="CO48">
        <v>0</v>
      </c>
      <c r="CP48">
        <v>0</v>
      </c>
      <c r="CQ48" t="s">
        <v>319</v>
      </c>
      <c r="CR48">
        <v>3.1675399999999998</v>
      </c>
      <c r="CS48">
        <v>2.66629</v>
      </c>
      <c r="CT48">
        <v>7.2580500000000005E-4</v>
      </c>
      <c r="CU48">
        <v>2.8326200000000001E-3</v>
      </c>
      <c r="CV48">
        <v>-1.16282E-2</v>
      </c>
      <c r="CW48">
        <v>-9.5733299999999997E-3</v>
      </c>
      <c r="CX48">
        <v>21553.7</v>
      </c>
      <c r="CY48">
        <v>21875.3</v>
      </c>
      <c r="CZ48">
        <v>23098.1</v>
      </c>
      <c r="DA48">
        <v>22291.1</v>
      </c>
      <c r="DB48">
        <v>30135.9</v>
      </c>
      <c r="DC48">
        <v>26845</v>
      </c>
      <c r="DD48">
        <v>40601.699999999997</v>
      </c>
      <c r="DE48">
        <v>36950</v>
      </c>
      <c r="DF48">
        <v>2.0660599999999998</v>
      </c>
      <c r="DG48">
        <v>1.7822</v>
      </c>
      <c r="DH48">
        <v>-2.9119800000000001E-2</v>
      </c>
      <c r="DI48">
        <v>0</v>
      </c>
      <c r="DJ48">
        <v>26.086099999999998</v>
      </c>
      <c r="DK48">
        <v>999.9</v>
      </c>
      <c r="DL48">
        <v>74.5</v>
      </c>
      <c r="DM48">
        <v>31.2</v>
      </c>
      <c r="DN48">
        <v>33.996600000000001</v>
      </c>
      <c r="DO48">
        <v>30.51</v>
      </c>
      <c r="DP48">
        <v>10.4247</v>
      </c>
      <c r="DQ48">
        <v>1</v>
      </c>
      <c r="DR48">
        <v>0.244565</v>
      </c>
      <c r="DS48">
        <v>1.1846699999999999</v>
      </c>
      <c r="DT48">
        <v>20.363199999999999</v>
      </c>
      <c r="DU48">
        <v>5.2104600000000003</v>
      </c>
      <c r="DV48">
        <v>11.8527</v>
      </c>
      <c r="DW48">
        <v>4.9676400000000003</v>
      </c>
      <c r="DX48">
        <v>3.2924000000000002</v>
      </c>
      <c r="DY48">
        <v>894.7</v>
      </c>
      <c r="DZ48">
        <v>0</v>
      </c>
      <c r="EA48">
        <v>918</v>
      </c>
      <c r="EB48">
        <v>107.2</v>
      </c>
      <c r="EC48">
        <v>4.9716100000000001</v>
      </c>
      <c r="ED48">
        <v>1.8718399999999999</v>
      </c>
      <c r="EE48">
        <v>1.8690500000000001</v>
      </c>
      <c r="EF48">
        <v>1.87148</v>
      </c>
      <c r="EG48">
        <v>1.8692</v>
      </c>
      <c r="EH48">
        <v>1.8681300000000001</v>
      </c>
      <c r="EI48">
        <v>1.8699600000000001</v>
      </c>
      <c r="EJ48">
        <v>1.8717999999999999</v>
      </c>
      <c r="EK48">
        <v>0</v>
      </c>
      <c r="EL48">
        <v>0</v>
      </c>
      <c r="EM48">
        <v>0</v>
      </c>
      <c r="EN48">
        <v>0</v>
      </c>
      <c r="EO48" t="s">
        <v>320</v>
      </c>
      <c r="EP48" t="s">
        <v>321</v>
      </c>
      <c r="EQ48" t="s">
        <v>322</v>
      </c>
      <c r="ER48" t="s">
        <v>322</v>
      </c>
      <c r="ES48" t="s">
        <v>322</v>
      </c>
      <c r="ET48" t="s">
        <v>322</v>
      </c>
      <c r="EU48">
        <v>0</v>
      </c>
      <c r="EV48">
        <v>100</v>
      </c>
      <c r="EW48">
        <v>100</v>
      </c>
      <c r="EX48">
        <v>8.3740000000000006</v>
      </c>
      <c r="EY48">
        <v>-1.212</v>
      </c>
      <c r="EZ48">
        <v>8.3584929999999993</v>
      </c>
      <c r="FA48">
        <v>0</v>
      </c>
      <c r="FB48">
        <v>0</v>
      </c>
      <c r="FC48">
        <v>0</v>
      </c>
      <c r="FD48">
        <v>-1.2156563</v>
      </c>
      <c r="FE48">
        <v>0</v>
      </c>
      <c r="FF48">
        <v>0</v>
      </c>
      <c r="FG48">
        <v>0</v>
      </c>
      <c r="FH48">
        <v>-1</v>
      </c>
      <c r="FI48">
        <v>-1</v>
      </c>
      <c r="FJ48">
        <v>-1</v>
      </c>
      <c r="FK48">
        <v>-1</v>
      </c>
      <c r="FL48">
        <v>0.7</v>
      </c>
      <c r="FM48">
        <v>0.6</v>
      </c>
      <c r="FN48">
        <v>0.142822</v>
      </c>
      <c r="FO48">
        <v>4.99756</v>
      </c>
      <c r="FP48">
        <v>1.5979000000000001</v>
      </c>
      <c r="FQ48">
        <v>2.1545399999999999</v>
      </c>
      <c r="FR48">
        <v>1.5478499999999999</v>
      </c>
      <c r="FS48">
        <v>2.4145500000000002</v>
      </c>
      <c r="FT48">
        <v>35.429099999999998</v>
      </c>
      <c r="FU48">
        <v>15.8832</v>
      </c>
      <c r="FV48">
        <v>2</v>
      </c>
      <c r="FW48">
        <v>488.92599999999999</v>
      </c>
      <c r="FX48">
        <v>398.40800000000002</v>
      </c>
      <c r="FY48">
        <v>25.308700000000002</v>
      </c>
      <c r="FZ48">
        <v>30.254300000000001</v>
      </c>
      <c r="GA48">
        <v>30.0001</v>
      </c>
      <c r="GB48">
        <v>30.565899999999999</v>
      </c>
      <c r="GC48">
        <v>30.6221</v>
      </c>
      <c r="GD48">
        <v>-1</v>
      </c>
      <c r="GE48">
        <v>0</v>
      </c>
      <c r="GF48">
        <v>100</v>
      </c>
      <c r="GG48">
        <v>25.3079</v>
      </c>
      <c r="GH48">
        <v>432.1</v>
      </c>
      <c r="GI48">
        <v>78.840199999999996</v>
      </c>
      <c r="GJ48">
        <v>102.194</v>
      </c>
      <c r="GK48">
        <v>96.4084</v>
      </c>
    </row>
    <row r="49" spans="1:193" x14ac:dyDescent="0.35">
      <c r="A49">
        <v>33</v>
      </c>
      <c r="B49">
        <v>1775465974</v>
      </c>
      <c r="C49">
        <v>2017.900000095367</v>
      </c>
      <c r="D49" t="s">
        <v>420</v>
      </c>
      <c r="E49" t="s">
        <v>421</v>
      </c>
      <c r="F49">
        <v>30</v>
      </c>
      <c r="G49">
        <v>1775465958.5</v>
      </c>
      <c r="H49">
        <f t="shared" ref="H49:H80" si="18">(I49)/1000</f>
        <v>2.2202236776771183E-3</v>
      </c>
      <c r="I49">
        <f>1000*AY49*AG49*(AU49-AV49)/(100*AN49*(1000-AG49*AU49))</f>
        <v>2.2202236776771183</v>
      </c>
      <c r="J49">
        <f>AY49*AG49*(AT49-AS49*(1000-AG49*AV49)/(1000-AG49*AU49))/(100*AN49)</f>
        <v>-2.1649566192908849</v>
      </c>
      <c r="K49">
        <f t="shared" ref="K49:K80" si="19">AS49 - IF(AG49&gt;1, J49*AN49*100/(AI49), 0)</f>
        <v>10.708572131147539</v>
      </c>
      <c r="L49">
        <f t="shared" ref="L49:L80" si="20">((R49-H49/2)*K49-J49)/(R49+H49/2)</f>
        <v>62.625240529540626</v>
      </c>
      <c r="M49">
        <f>L49*(AZ49+BA49)/1000</f>
        <v>6.2650305075756725</v>
      </c>
      <c r="N49">
        <f>(AS49 - IF(AG49&gt;1, J49*AN49*100/(AI49), 0))*(AZ49+BA49)/1000</f>
        <v>1.0712858030871357</v>
      </c>
      <c r="O49">
        <f t="shared" ref="O49:O80" si="21">2/((1/Q49-1/P49)+SIGN(Q49)*SQRT((1/Q49-1/P49)*(1/Q49-1/P49) + 4*AO49/((AO49+1)*(AO49+1))*(2*1/Q49*1/P49-1/P49*1/P49)))</f>
        <v>6.50431982769335E-2</v>
      </c>
      <c r="P49">
        <f>IF(LEFT(AP49,1)&lt;&gt;"0",IF(LEFT(AP49,1)="1",3,AQ49),$D$5+$E$5*(BG49*AZ49/($K$5*1000))+$F$5*(BG49*AZ49/($K$5*1000))*MAX(MIN(AN49,$J$5),$I$5)*MAX(MIN(AN49,$J$5),$I$5)+$G$5*MAX(MIN(AN49,$J$5),$I$5)*(BG49*AZ49/($K$5*1000))+$H$5*(BG49*AZ49/($K$5*1000))*(BG49*AZ49/($K$5*1000)))</f>
        <v>2.3879844540778725</v>
      </c>
      <c r="Q49">
        <f>H49*(1000-(1000*0.61365*EXP(17.502*U49/(240.97+U49))/(AZ49+BA49)+AU49)/2)/(1000*0.61365*EXP(17.502*U49/(240.97+U49))/(AZ49+BA49)-AU49)</f>
        <v>6.4074775013096996E-2</v>
      </c>
      <c r="R49">
        <f t="shared" ref="R49:R80" si="22">1/((AO49+1)/(O49/1.6)+1/(P49/1.37)) + AO49/((AO49+1)/(O49/1.6) + AO49/(P49/1.37))</f>
        <v>4.0132542205531349E-2</v>
      </c>
      <c r="S49">
        <f t="shared" ref="S49:S80" si="23">(AJ49*AM49)</f>
        <v>0.12638587407049182</v>
      </c>
      <c r="T49">
        <f>(BB49+(S49+2*0.95*0.0000000567*(((BB49+$B$7)+273)^4-(BB49+273)^4)-44100*H49)/(1.84*29.3*P49+8*0.95*0.0000000567*(BB49+273)^3))</f>
        <v>24.797244826337728</v>
      </c>
      <c r="U49">
        <f>($C$7*BC49+$D$7*BD49+$E$7*T49)</f>
        <v>25.601034426229511</v>
      </c>
      <c r="V49">
        <f t="shared" ref="V49:V80" si="24">0.61365*EXP(17.502*U49/(240.97+U49))</f>
        <v>3.2954150991986255</v>
      </c>
      <c r="W49">
        <f t="shared" ref="W49:W80" si="25">(X49/Y49*100)</f>
        <v>-3.5404269407503</v>
      </c>
      <c r="X49">
        <f>AU49*(AZ49+BA49)/1000</f>
        <v>-0.11593753074045741</v>
      </c>
      <c r="Y49">
        <f t="shared" ref="Y49:Y80" si="26">0.61365*EXP(17.502*BB49/(240.97+BB49))</f>
        <v>3.2746765483568354</v>
      </c>
      <c r="Z49">
        <f>(V49-AU49*(AZ49+BA49)/1000)</f>
        <v>3.4113526299390831</v>
      </c>
      <c r="AA49">
        <f t="shared" ref="AA49:AA80" si="27">(-H49*44100)</f>
        <v>-97.911864185560916</v>
      </c>
      <c r="AB49">
        <f>2*29.3*P49*0.92*(BB49-U49)</f>
        <v>-13.6885470151052</v>
      </c>
      <c r="AC49">
        <f>2*0.95*0.0000000567*(((BB49+$B$7)+273)^4-(U49+273)^4)</f>
        <v>-1.219211401085271</v>
      </c>
      <c r="AD49">
        <f t="shared" ref="AD49:AD80" si="28">S49+AC49+AA49+AB49</f>
        <v>-112.6932367276809</v>
      </c>
      <c r="AE49">
        <v>21</v>
      </c>
      <c r="AF49">
        <v>4</v>
      </c>
      <c r="AG49">
        <f t="shared" ref="AG49:AG80" si="29">IF(AE49*$H$13&gt;=AI49,1,(AI49/(AI49-AE49*$H$13)))</f>
        <v>1</v>
      </c>
      <c r="AH49">
        <f t="shared" ref="AH49:AH80" si="30">(AG49-1)*100</f>
        <v>0</v>
      </c>
      <c r="AI49">
        <f t="shared" ref="AI49:AI80" si="31">MAX(0,($B$13+$C$13*BG49)/(1+$D$13*BG49)*AZ49/(BB49+273)*$E$13)</f>
        <v>25651.139389918357</v>
      </c>
      <c r="AJ49">
        <f t="shared" ref="AJ49:AJ80" si="32">$B$11*BH49+$C$11*BI49</f>
        <v>0.66135988524590172</v>
      </c>
      <c r="AK49">
        <f t="shared" ref="AK49:AK80" si="33">AJ49*AL49</f>
        <v>0.52908790819672136</v>
      </c>
      <c r="AL49">
        <f t="shared" ref="AL49:AL80" si="34">($B$11*$D$9+$C$11*$D$9)/($B$11+$C$11)</f>
        <v>0.8</v>
      </c>
      <c r="AM49">
        <f t="shared" ref="AM49:AM80" si="35">($B$11*$K$9+$C$11*$K$9)/($B$11+$C$11)</f>
        <v>0.19109999999999999</v>
      </c>
      <c r="AN49">
        <v>3</v>
      </c>
      <c r="AO49">
        <v>0.5</v>
      </c>
      <c r="AP49" t="s">
        <v>317</v>
      </c>
      <c r="AQ49">
        <v>2</v>
      </c>
      <c r="AR49">
        <v>1775465958.5</v>
      </c>
      <c r="AS49">
        <v>10.708572131147539</v>
      </c>
      <c r="AT49">
        <v>9.4249116393442591</v>
      </c>
      <c r="AU49">
        <v>-1.158911475409836</v>
      </c>
      <c r="AV49">
        <v>-2.491501327868852</v>
      </c>
      <c r="AW49">
        <v>2.3885721311475412</v>
      </c>
      <c r="AX49">
        <v>-1.279501327868853</v>
      </c>
      <c r="AY49">
        <v>500.4082950819672</v>
      </c>
      <c r="AZ49">
        <v>99.994388524590178</v>
      </c>
      <c r="BA49">
        <v>4.5634549180327867E-2</v>
      </c>
      <c r="BB49">
        <v>25.494708196721309</v>
      </c>
      <c r="BC49">
        <v>25.601034426229511</v>
      </c>
      <c r="BD49">
        <v>999.9</v>
      </c>
      <c r="BE49">
        <v>0</v>
      </c>
      <c r="BF49">
        <v>0</v>
      </c>
      <c r="BG49">
        <v>5000.1557377049176</v>
      </c>
      <c r="BH49">
        <v>0.66135988524590172</v>
      </c>
      <c r="BI49">
        <v>203.3797704918033</v>
      </c>
      <c r="BJ49">
        <v>1.337994918032787</v>
      </c>
      <c r="BK49">
        <v>10.736142622950821</v>
      </c>
      <c r="BL49">
        <v>9.4139993442622956</v>
      </c>
      <c r="BM49">
        <v>-1.332962213114754</v>
      </c>
      <c r="BN49">
        <v>9.4249116393442591</v>
      </c>
      <c r="BO49">
        <v>-1.158911475409836</v>
      </c>
      <c r="BP49">
        <v>-0.2491732786885246</v>
      </c>
      <c r="BQ49">
        <v>-0.1158846393442623</v>
      </c>
      <c r="BR49">
        <v>-99.899999999999963</v>
      </c>
      <c r="BS49">
        <v>-99.899999999999963</v>
      </c>
      <c r="BT49">
        <v>1775466006</v>
      </c>
      <c r="BU49" t="s">
        <v>422</v>
      </c>
      <c r="BV49">
        <v>1775465991.5</v>
      </c>
      <c r="BW49">
        <v>1775466006</v>
      </c>
      <c r="BX49">
        <v>34</v>
      </c>
      <c r="BY49">
        <v>-5.3999999999999999E-2</v>
      </c>
      <c r="BZ49">
        <v>1E-3</v>
      </c>
      <c r="CA49">
        <v>8.32</v>
      </c>
      <c r="CB49">
        <v>-1.212</v>
      </c>
      <c r="CC49">
        <v>9</v>
      </c>
      <c r="CD49">
        <v>-1</v>
      </c>
      <c r="CE49">
        <v>0.32</v>
      </c>
      <c r="CF49">
        <v>0.05</v>
      </c>
      <c r="CG49">
        <v>9.4184088333333307</v>
      </c>
      <c r="CH49">
        <v>1.2070280522367329</v>
      </c>
      <c r="CI49">
        <v>0.22229020971162641</v>
      </c>
      <c r="CJ49">
        <v>-1</v>
      </c>
      <c r="CK49">
        <v>500.41516666666672</v>
      </c>
      <c r="CL49">
        <v>-4.6065195887740824</v>
      </c>
      <c r="CM49">
        <v>1.1375060903377869</v>
      </c>
      <c r="CN49">
        <v>-1</v>
      </c>
      <c r="CO49">
        <v>0</v>
      </c>
      <c r="CP49">
        <v>0</v>
      </c>
      <c r="CQ49" t="s">
        <v>319</v>
      </c>
      <c r="CR49">
        <v>3.1675399999999998</v>
      </c>
      <c r="CS49">
        <v>2.6666699999999999</v>
      </c>
      <c r="CT49">
        <v>7.7411999999999999E-4</v>
      </c>
      <c r="CU49">
        <v>2.9231600000000002E-3</v>
      </c>
      <c r="CV49">
        <v>-1.1546900000000001E-2</v>
      </c>
      <c r="CW49">
        <v>-1.0141600000000001E-2</v>
      </c>
      <c r="CX49">
        <v>21552.799999999999</v>
      </c>
      <c r="CY49">
        <v>21873.9</v>
      </c>
      <c r="CZ49">
        <v>23098.3</v>
      </c>
      <c r="DA49">
        <v>22291.7</v>
      </c>
      <c r="DB49">
        <v>30133.599999999999</v>
      </c>
      <c r="DC49">
        <v>26860.7</v>
      </c>
      <c r="DD49">
        <v>40601.800000000003</v>
      </c>
      <c r="DE49">
        <v>36950.9</v>
      </c>
      <c r="DF49">
        <v>2.0663399999999998</v>
      </c>
      <c r="DG49">
        <v>1.78166</v>
      </c>
      <c r="DH49">
        <v>-2.81841E-2</v>
      </c>
      <c r="DI49">
        <v>0</v>
      </c>
      <c r="DJ49">
        <v>26.072099999999999</v>
      </c>
      <c r="DK49">
        <v>999.9</v>
      </c>
      <c r="DL49">
        <v>74.400000000000006</v>
      </c>
      <c r="DM49">
        <v>31.2</v>
      </c>
      <c r="DN49">
        <v>33.9527</v>
      </c>
      <c r="DO49">
        <v>30.48</v>
      </c>
      <c r="DP49">
        <v>10.5609</v>
      </c>
      <c r="DQ49">
        <v>1</v>
      </c>
      <c r="DR49">
        <v>0.24427199999999999</v>
      </c>
      <c r="DS49">
        <v>1.1328</v>
      </c>
      <c r="DT49">
        <v>20.363600000000002</v>
      </c>
      <c r="DU49">
        <v>5.20723</v>
      </c>
      <c r="DV49">
        <v>11.8523</v>
      </c>
      <c r="DW49">
        <v>4.9675200000000004</v>
      </c>
      <c r="DX49">
        <v>3.2922799999999999</v>
      </c>
      <c r="DY49">
        <v>894.7</v>
      </c>
      <c r="DZ49">
        <v>0</v>
      </c>
      <c r="EA49">
        <v>945.4</v>
      </c>
      <c r="EB49">
        <v>107.2</v>
      </c>
      <c r="EC49">
        <v>4.9715999999999996</v>
      </c>
      <c r="ED49">
        <v>1.8718399999999999</v>
      </c>
      <c r="EE49">
        <v>1.8690500000000001</v>
      </c>
      <c r="EF49">
        <v>1.87148</v>
      </c>
      <c r="EG49">
        <v>1.8692</v>
      </c>
      <c r="EH49">
        <v>1.8681300000000001</v>
      </c>
      <c r="EI49">
        <v>1.8699600000000001</v>
      </c>
      <c r="EJ49">
        <v>1.8717900000000001</v>
      </c>
      <c r="EK49">
        <v>0</v>
      </c>
      <c r="EL49">
        <v>0</v>
      </c>
      <c r="EM49">
        <v>0</v>
      </c>
      <c r="EN49">
        <v>0</v>
      </c>
      <c r="EO49" t="s">
        <v>320</v>
      </c>
      <c r="EP49" t="s">
        <v>321</v>
      </c>
      <c r="EQ49" t="s">
        <v>322</v>
      </c>
      <c r="ER49" t="s">
        <v>322</v>
      </c>
      <c r="ES49" t="s">
        <v>322</v>
      </c>
      <c r="ET49" t="s">
        <v>322</v>
      </c>
      <c r="EU49">
        <v>0</v>
      </c>
      <c r="EV49">
        <v>100</v>
      </c>
      <c r="EW49">
        <v>100</v>
      </c>
      <c r="EX49">
        <v>8.32</v>
      </c>
      <c r="EY49">
        <v>-1.212</v>
      </c>
      <c r="EZ49">
        <v>8.3743340000000011</v>
      </c>
      <c r="FA49">
        <v>0</v>
      </c>
      <c r="FB49">
        <v>0</v>
      </c>
      <c r="FC49">
        <v>0</v>
      </c>
      <c r="FD49">
        <v>-1.2123715399999999</v>
      </c>
      <c r="FE49">
        <v>0</v>
      </c>
      <c r="FF49">
        <v>0</v>
      </c>
      <c r="FG49">
        <v>0</v>
      </c>
      <c r="FH49">
        <v>-1</v>
      </c>
      <c r="FI49">
        <v>-1</v>
      </c>
      <c r="FJ49">
        <v>-1</v>
      </c>
      <c r="FK49">
        <v>-1</v>
      </c>
      <c r="FL49">
        <v>0.7</v>
      </c>
      <c r="FM49">
        <v>0.6</v>
      </c>
      <c r="FN49">
        <v>0.142822</v>
      </c>
      <c r="FO49">
        <v>4.99756</v>
      </c>
      <c r="FP49">
        <v>1.5979000000000001</v>
      </c>
      <c r="FQ49">
        <v>2.1545399999999999</v>
      </c>
      <c r="FR49">
        <v>1.5478499999999999</v>
      </c>
      <c r="FS49">
        <v>2.4023400000000001</v>
      </c>
      <c r="FT49">
        <v>35.452300000000001</v>
      </c>
      <c r="FU49">
        <v>15.8657</v>
      </c>
      <c r="FV49">
        <v>2</v>
      </c>
      <c r="FW49">
        <v>489.10599999999999</v>
      </c>
      <c r="FX49">
        <v>398.13299999999998</v>
      </c>
      <c r="FY49">
        <v>25.331499999999998</v>
      </c>
      <c r="FZ49">
        <v>30.256799999999998</v>
      </c>
      <c r="GA49">
        <v>30.0001</v>
      </c>
      <c r="GB49">
        <v>30.5685</v>
      </c>
      <c r="GC49">
        <v>30.626799999999999</v>
      </c>
      <c r="GD49">
        <v>-1</v>
      </c>
      <c r="GE49">
        <v>0</v>
      </c>
      <c r="GF49">
        <v>100</v>
      </c>
      <c r="GG49">
        <v>25.334900000000001</v>
      </c>
      <c r="GH49">
        <v>432.1</v>
      </c>
      <c r="GI49">
        <v>78.840199999999996</v>
      </c>
      <c r="GJ49">
        <v>102.194</v>
      </c>
      <c r="GK49">
        <v>96.411000000000001</v>
      </c>
    </row>
    <row r="50" spans="1:193" x14ac:dyDescent="0.35">
      <c r="A50">
        <v>34</v>
      </c>
      <c r="B50">
        <v>1775466034</v>
      </c>
      <c r="C50">
        <v>2077.900000095367</v>
      </c>
      <c r="D50" t="s">
        <v>423</v>
      </c>
      <c r="E50" t="s">
        <v>424</v>
      </c>
      <c r="F50">
        <v>30</v>
      </c>
      <c r="G50">
        <v>1775466020</v>
      </c>
      <c r="H50">
        <f t="shared" si="18"/>
        <v>1.9743711140967793E-3</v>
      </c>
      <c r="I50">
        <f>1000*AY50*AG50*(AU50-AV50)/(100*AN50*(1000-AG50*AU50))</f>
        <v>1.9743711140967795</v>
      </c>
      <c r="J50">
        <f>AY50*AG50*(AT50-AS50*(1000-AG50*AV50)/(1000-AG50*AU50))/(100*AN50)</f>
        <v>-1.830351476174646</v>
      </c>
      <c r="K50">
        <f t="shared" si="19"/>
        <v>10.78239236363636</v>
      </c>
      <c r="L50">
        <f t="shared" si="20"/>
        <v>60.130277283446681</v>
      </c>
      <c r="M50">
        <f>L50*(AZ50+BA50)/1000</f>
        <v>6.0154791701077199</v>
      </c>
      <c r="N50">
        <f>(AS50 - IF(AG50&gt;1, J50*AN50*100/(AI50), 0))*(AZ50+BA50)/1000</f>
        <v>1.0786788220123305</v>
      </c>
      <c r="O50">
        <f t="shared" si="21"/>
        <v>5.7732212033760277E-2</v>
      </c>
      <c r="P50">
        <f>IF(LEFT(AP50,1)&lt;&gt;"0",IF(LEFT(AP50,1)="1",3,AQ50),$D$5+$E$5*(BG50*AZ50/($K$5*1000))+$F$5*(BG50*AZ50/($K$5*1000))*MAX(MIN(AN50,$J$5),$I$5)*MAX(MIN(AN50,$J$5),$I$5)+$G$5*MAX(MIN(AN50,$J$5),$I$5)*(BG50*AZ50/($K$5*1000))+$H$5*(BG50*AZ50/($K$5*1000))*(BG50*AZ50/($K$5*1000)))</f>
        <v>2.3847092152955001</v>
      </c>
      <c r="Q50">
        <f>H50*(1000-(1000*0.61365*EXP(17.502*U50/(240.97+U50))/(AZ50+BA50)+AU50)/2)/(1000*0.61365*EXP(17.502*U50/(240.97+U50))/(AZ50+BA50)-AU50)</f>
        <v>5.6966844793931971E-2</v>
      </c>
      <c r="R50">
        <f t="shared" si="22"/>
        <v>3.5672197820592388E-2</v>
      </c>
      <c r="S50">
        <f t="shared" si="23"/>
        <v>0.12466828572545452</v>
      </c>
      <c r="T50">
        <f>(BB50+(S50+2*0.95*0.0000000567*(((BB50+$B$7)+273)^4-(BB50+273)^4)-44100*H50)/(1.84*29.3*P50+8*0.95*0.0000000567*(BB50+273)^3))</f>
        <v>24.881207446311535</v>
      </c>
      <c r="U50">
        <f>($C$7*BC50+$D$7*BD50+$E$7*T50)</f>
        <v>25.620038181818181</v>
      </c>
      <c r="V50">
        <f t="shared" si="24"/>
        <v>3.2991337745816978</v>
      </c>
      <c r="W50">
        <f t="shared" si="25"/>
        <v>-3.4458232649602891</v>
      </c>
      <c r="X50">
        <f>AU50*(AZ50+BA50)/1000</f>
        <v>-0.11288931400109475</v>
      </c>
      <c r="Y50">
        <f t="shared" si="26"/>
        <v>3.2761202569219905</v>
      </c>
      <c r="Z50">
        <f>(V50-AU50*(AZ50+BA50)/1000)</f>
        <v>3.4120230885827927</v>
      </c>
      <c r="AA50">
        <f t="shared" si="27"/>
        <v>-87.069766131667961</v>
      </c>
      <c r="AB50">
        <f>2*29.3*P50*0.92*(BB50-U50)</f>
        <v>-15.158916622715394</v>
      </c>
      <c r="AC50">
        <f>2*0.95*0.0000000567*(((BB50+$B$7)+273)^4-(U50+273)^4)</f>
        <v>-1.3522081653098468</v>
      </c>
      <c r="AD50">
        <f t="shared" si="28"/>
        <v>-103.45622263396776</v>
      </c>
      <c r="AE50">
        <v>21</v>
      </c>
      <c r="AF50">
        <v>4</v>
      </c>
      <c r="AG50">
        <f t="shared" si="29"/>
        <v>1</v>
      </c>
      <c r="AH50">
        <f t="shared" si="30"/>
        <v>0</v>
      </c>
      <c r="AI50">
        <f t="shared" si="31"/>
        <v>25600.478710364088</v>
      </c>
      <c r="AJ50">
        <f t="shared" si="32"/>
        <v>0.65237198181818168</v>
      </c>
      <c r="AK50">
        <f t="shared" si="33"/>
        <v>0.52189758545454534</v>
      </c>
      <c r="AL50">
        <f t="shared" si="34"/>
        <v>0.8</v>
      </c>
      <c r="AM50">
        <f t="shared" si="35"/>
        <v>0.19109999999999999</v>
      </c>
      <c r="AN50">
        <v>3</v>
      </c>
      <c r="AO50">
        <v>0.5</v>
      </c>
      <c r="AP50" t="s">
        <v>317</v>
      </c>
      <c r="AQ50">
        <v>2</v>
      </c>
      <c r="AR50">
        <v>1775466020</v>
      </c>
      <c r="AS50">
        <v>10.78239236363636</v>
      </c>
      <c r="AT50">
        <v>9.6986443636363635</v>
      </c>
      <c r="AU50">
        <v>-1.1284330909090909</v>
      </c>
      <c r="AV50">
        <v>-2.3125462145454549</v>
      </c>
      <c r="AW50">
        <v>2.4103923636363631</v>
      </c>
      <c r="AX50">
        <v>-1.1055462145454551</v>
      </c>
      <c r="AY50">
        <v>500.77961818181819</v>
      </c>
      <c r="AZ50">
        <v>99.993432727272719</v>
      </c>
      <c r="BA50">
        <v>4.7336114545454541E-2</v>
      </c>
      <c r="BB50">
        <v>25.50212909090909</v>
      </c>
      <c r="BC50">
        <v>25.620038181818181</v>
      </c>
      <c r="BD50">
        <v>999.90000000000009</v>
      </c>
      <c r="BE50">
        <v>0</v>
      </c>
      <c r="BF50">
        <v>0</v>
      </c>
      <c r="BG50">
        <v>4991.7636363636366</v>
      </c>
      <c r="BH50">
        <v>0.65237198181818168</v>
      </c>
      <c r="BI50">
        <v>203.43865454545451</v>
      </c>
      <c r="BJ50">
        <v>1.031644316363636</v>
      </c>
      <c r="BK50">
        <v>10.70529236363636</v>
      </c>
      <c r="BL50">
        <v>9.6877132727272723</v>
      </c>
      <c r="BM50">
        <v>-1.1889062457999999</v>
      </c>
      <c r="BN50">
        <v>9.6986443636363635</v>
      </c>
      <c r="BO50">
        <v>-1.1284330909090909</v>
      </c>
      <c r="BP50">
        <v>-0.23171816363636369</v>
      </c>
      <c r="BQ50">
        <v>-0.1128359090909091</v>
      </c>
      <c r="BR50">
        <v>-99.899999999999949</v>
      </c>
      <c r="BS50">
        <v>-99.899999999999949</v>
      </c>
      <c r="BT50">
        <v>1775466059</v>
      </c>
      <c r="BU50" t="s">
        <v>425</v>
      </c>
      <c r="BV50">
        <v>1775466059</v>
      </c>
      <c r="BW50">
        <v>1775466058</v>
      </c>
      <c r="BX50">
        <v>35</v>
      </c>
      <c r="BY50">
        <v>5.1999999999999998E-2</v>
      </c>
      <c r="BZ50">
        <v>4.0000000000000001E-3</v>
      </c>
      <c r="CA50">
        <v>8.3719999999999999</v>
      </c>
      <c r="CB50">
        <v>-1.2070000000000001</v>
      </c>
      <c r="CC50">
        <v>11</v>
      </c>
      <c r="CD50">
        <v>-1</v>
      </c>
      <c r="CE50">
        <v>0.19</v>
      </c>
      <c r="CF50">
        <v>0.06</v>
      </c>
      <c r="CG50">
        <v>9.6620133333333342</v>
      </c>
      <c r="CH50">
        <v>0.74923872186718632</v>
      </c>
      <c r="CI50">
        <v>0.17372176110730109</v>
      </c>
      <c r="CJ50">
        <v>-1</v>
      </c>
      <c r="CK50">
        <v>500.71170000000012</v>
      </c>
      <c r="CL50">
        <v>-4.5115398721864928</v>
      </c>
      <c r="CM50">
        <v>1.4178378644965011</v>
      </c>
      <c r="CN50">
        <v>-1</v>
      </c>
      <c r="CO50">
        <v>0</v>
      </c>
      <c r="CP50">
        <v>0</v>
      </c>
      <c r="CQ50" t="s">
        <v>319</v>
      </c>
      <c r="CR50">
        <v>3.1675499999999999</v>
      </c>
      <c r="CS50">
        <v>2.6668799999999999</v>
      </c>
      <c r="CT50">
        <v>8.0821899999999999E-4</v>
      </c>
      <c r="CU50">
        <v>2.88208E-3</v>
      </c>
      <c r="CV50">
        <v>-1.15224E-2</v>
      </c>
      <c r="CW50">
        <v>-9.8956100000000009E-3</v>
      </c>
      <c r="CX50">
        <v>21551.5</v>
      </c>
      <c r="CY50">
        <v>21875</v>
      </c>
      <c r="CZ50">
        <v>23097.7</v>
      </c>
      <c r="DA50">
        <v>22291.9</v>
      </c>
      <c r="DB50">
        <v>30132.3</v>
      </c>
      <c r="DC50">
        <v>26854.3</v>
      </c>
      <c r="DD50">
        <v>40601</v>
      </c>
      <c r="DE50">
        <v>36951.1</v>
      </c>
      <c r="DF50">
        <v>2.0660599999999998</v>
      </c>
      <c r="DG50">
        <v>1.7812399999999999</v>
      </c>
      <c r="DH50">
        <v>-2.80142E-2</v>
      </c>
      <c r="DI50">
        <v>0</v>
      </c>
      <c r="DJ50">
        <v>26.0747</v>
      </c>
      <c r="DK50">
        <v>999.9</v>
      </c>
      <c r="DL50">
        <v>74.3</v>
      </c>
      <c r="DM50">
        <v>31.2</v>
      </c>
      <c r="DN50">
        <v>33.906799999999997</v>
      </c>
      <c r="DO50">
        <v>30.66</v>
      </c>
      <c r="DP50">
        <v>10.5809</v>
      </c>
      <c r="DQ50">
        <v>1</v>
      </c>
      <c r="DR50">
        <v>0.24446499999999999</v>
      </c>
      <c r="DS50">
        <v>1.1879200000000001</v>
      </c>
      <c r="DT50">
        <v>20.363800000000001</v>
      </c>
      <c r="DU50">
        <v>5.2109399999999999</v>
      </c>
      <c r="DV50">
        <v>11.8521</v>
      </c>
      <c r="DW50">
        <v>4.9677600000000002</v>
      </c>
      <c r="DX50">
        <v>3.2929599999999999</v>
      </c>
      <c r="DY50">
        <v>894.7</v>
      </c>
      <c r="DZ50">
        <v>0</v>
      </c>
      <c r="EA50">
        <v>978.2</v>
      </c>
      <c r="EB50">
        <v>107.2</v>
      </c>
      <c r="EC50">
        <v>4.9716399999999998</v>
      </c>
      <c r="ED50">
        <v>1.87185</v>
      </c>
      <c r="EE50">
        <v>1.8690500000000001</v>
      </c>
      <c r="EF50">
        <v>1.8714900000000001</v>
      </c>
      <c r="EG50">
        <v>1.8692</v>
      </c>
      <c r="EH50">
        <v>1.8681300000000001</v>
      </c>
      <c r="EI50">
        <v>1.8699600000000001</v>
      </c>
      <c r="EJ50">
        <v>1.8717999999999999</v>
      </c>
      <c r="EK50">
        <v>0</v>
      </c>
      <c r="EL50">
        <v>0</v>
      </c>
      <c r="EM50">
        <v>0</v>
      </c>
      <c r="EN50">
        <v>0</v>
      </c>
      <c r="EO50" t="s">
        <v>320</v>
      </c>
      <c r="EP50" t="s">
        <v>321</v>
      </c>
      <c r="EQ50" t="s">
        <v>322</v>
      </c>
      <c r="ER50" t="s">
        <v>322</v>
      </c>
      <c r="ES50" t="s">
        <v>322</v>
      </c>
      <c r="ET50" t="s">
        <v>322</v>
      </c>
      <c r="EU50">
        <v>0</v>
      </c>
      <c r="EV50">
        <v>100</v>
      </c>
      <c r="EW50">
        <v>100</v>
      </c>
      <c r="EX50">
        <v>8.3719999999999999</v>
      </c>
      <c r="EY50">
        <v>-1.2070000000000001</v>
      </c>
      <c r="EZ50">
        <v>8.3198958095238087</v>
      </c>
      <c r="FA50">
        <v>0</v>
      </c>
      <c r="FB50">
        <v>0</v>
      </c>
      <c r="FC50">
        <v>0</v>
      </c>
      <c r="FD50">
        <v>-1.211792255</v>
      </c>
      <c r="FE50">
        <v>0</v>
      </c>
      <c r="FF50">
        <v>0</v>
      </c>
      <c r="FG50">
        <v>0</v>
      </c>
      <c r="FH50">
        <v>-1</v>
      </c>
      <c r="FI50">
        <v>-1</v>
      </c>
      <c r="FJ50">
        <v>-1</v>
      </c>
      <c r="FK50">
        <v>-1</v>
      </c>
      <c r="FL50">
        <v>0.7</v>
      </c>
      <c r="FM50">
        <v>0.5</v>
      </c>
      <c r="FN50">
        <v>0.142822</v>
      </c>
      <c r="FO50">
        <v>4.99756</v>
      </c>
      <c r="FP50">
        <v>1.5979000000000001</v>
      </c>
      <c r="FQ50">
        <v>2.1533199999999999</v>
      </c>
      <c r="FR50">
        <v>1.5478499999999999</v>
      </c>
      <c r="FS50">
        <v>2.4487299999999999</v>
      </c>
      <c r="FT50">
        <v>35.4754</v>
      </c>
      <c r="FU50">
        <v>15.874499999999999</v>
      </c>
      <c r="FV50">
        <v>2</v>
      </c>
      <c r="FW50">
        <v>488.96499999999997</v>
      </c>
      <c r="FX50">
        <v>397.928</v>
      </c>
      <c r="FY50">
        <v>25.318200000000001</v>
      </c>
      <c r="FZ50">
        <v>30.256799999999998</v>
      </c>
      <c r="GA50">
        <v>30.0001</v>
      </c>
      <c r="GB50">
        <v>30.571100000000001</v>
      </c>
      <c r="GC50">
        <v>30.632000000000001</v>
      </c>
      <c r="GD50">
        <v>-1</v>
      </c>
      <c r="GE50">
        <v>0</v>
      </c>
      <c r="GF50">
        <v>100</v>
      </c>
      <c r="GG50">
        <v>25.316199999999998</v>
      </c>
      <c r="GH50">
        <v>432.1</v>
      </c>
      <c r="GI50">
        <v>78.840199999999996</v>
      </c>
      <c r="GJ50">
        <v>102.19199999999999</v>
      </c>
      <c r="GK50">
        <v>96.411500000000004</v>
      </c>
    </row>
    <row r="51" spans="1:193" x14ac:dyDescent="0.35">
      <c r="A51">
        <v>35</v>
      </c>
      <c r="B51">
        <v>1775466094</v>
      </c>
      <c r="C51">
        <v>2137.900000095367</v>
      </c>
      <c r="D51" t="s">
        <v>426</v>
      </c>
      <c r="E51" t="s">
        <v>427</v>
      </c>
      <c r="F51">
        <v>30</v>
      </c>
      <c r="G51">
        <v>1775466078.5</v>
      </c>
      <c r="H51">
        <f t="shared" si="18"/>
        <v>2.2334771438491997E-3</v>
      </c>
      <c r="I51">
        <f>1000*AY51*AG51*(AU51-AV51)/(100*AN51*(1000-AG51*AU51))</f>
        <v>2.2334771438491998</v>
      </c>
      <c r="J51">
        <f>AY51*AG51*(AT51-AS51*(1000-AG51*AV51)/(1000-AG51*AU51))/(100*AN51)</f>
        <v>-1.827437543646665</v>
      </c>
      <c r="K51">
        <f t="shared" si="19"/>
        <v>12.73479508196721</v>
      </c>
      <c r="L51">
        <f t="shared" si="20"/>
        <v>56.098407484079139</v>
      </c>
      <c r="M51">
        <f>L51*(AZ51+BA51)/1000</f>
        <v>5.6119274702078075</v>
      </c>
      <c r="N51">
        <f>(AS51 - IF(AG51&gt;1, J51*AN51*100/(AI51), 0))*(AZ51+BA51)/1000</f>
        <v>1.2739532110290566</v>
      </c>
      <c r="O51">
        <f t="shared" si="21"/>
        <v>6.5432906877117031E-2</v>
      </c>
      <c r="P51">
        <f>IF(LEFT(AP51,1)&lt;&gt;"0",IF(LEFT(AP51,1)="1",3,AQ51),$D$5+$E$5*(BG51*AZ51/($K$5*1000))+$F$5*(BG51*AZ51/($K$5*1000))*MAX(MIN(AN51,$J$5),$I$5)*MAX(MIN(AN51,$J$5),$I$5)+$G$5*MAX(MIN(AN51,$J$5),$I$5)*(BG51*AZ51/($K$5*1000))+$H$5*(BG51*AZ51/($K$5*1000))*(BG51*AZ51/($K$5*1000)))</f>
        <v>2.386255634695126</v>
      </c>
      <c r="Q51">
        <f>H51*(1000-(1000*0.61365*EXP(17.502*U51/(240.97+U51))/(AZ51+BA51)+AU51)/2)/(1000*0.61365*EXP(17.502*U51/(240.97+U51))/(AZ51+BA51)-AU51)</f>
        <v>6.4452239924182114E-2</v>
      </c>
      <c r="R51">
        <f t="shared" si="22"/>
        <v>4.0369534601476242E-2</v>
      </c>
      <c r="S51">
        <f t="shared" si="23"/>
        <v>0.1258022797327869</v>
      </c>
      <c r="T51">
        <f>(BB51+(S51+2*0.95*0.0000000567*(((BB51+$B$7)+273)^4-(BB51+273)^4)-44100*H51)/(1.84*29.3*P51+8*0.95*0.0000000567*(BB51+273)^3))</f>
        <v>24.796420392121412</v>
      </c>
      <c r="U51">
        <f>($C$7*BC51+$D$7*BD51+$E$7*T51)</f>
        <v>25.60615573770492</v>
      </c>
      <c r="V51">
        <f t="shared" si="24"/>
        <v>3.2964168823414637</v>
      </c>
      <c r="W51">
        <f t="shared" si="25"/>
        <v>-3.5131826340740759</v>
      </c>
      <c r="X51">
        <f>AU51*(AZ51+BA51)/1000</f>
        <v>-0.11507142714878241</v>
      </c>
      <c r="Y51">
        <f t="shared" si="26"/>
        <v>3.2754183068285116</v>
      </c>
      <c r="Z51">
        <f>(V51-AU51*(AZ51+BA51)/1000)</f>
        <v>3.4114883094902462</v>
      </c>
      <c r="AA51">
        <f t="shared" si="27"/>
        <v>-98.496342043749706</v>
      </c>
      <c r="AB51">
        <f>2*29.3*P51*0.92*(BB51-U51)</f>
        <v>-13.846933621641766</v>
      </c>
      <c r="AC51">
        <f>2*0.95*0.0000000567*(((BB51+$B$7)+273)^4-(U51+273)^4)</f>
        <v>-1.2342675105170593</v>
      </c>
      <c r="AD51">
        <f t="shared" si="28"/>
        <v>-113.45174089617575</v>
      </c>
      <c r="AE51">
        <v>21</v>
      </c>
      <c r="AF51">
        <v>4</v>
      </c>
      <c r="AG51">
        <f t="shared" si="29"/>
        <v>1</v>
      </c>
      <c r="AH51">
        <f t="shared" si="30"/>
        <v>0</v>
      </c>
      <c r="AI51">
        <f t="shared" si="31"/>
        <v>25624.48791279869</v>
      </c>
      <c r="AJ51">
        <f t="shared" si="32"/>
        <v>0.65830601639344277</v>
      </c>
      <c r="AK51">
        <f t="shared" si="33"/>
        <v>0.5266448131147542</v>
      </c>
      <c r="AL51">
        <f t="shared" si="34"/>
        <v>0.8</v>
      </c>
      <c r="AM51">
        <f t="shared" si="35"/>
        <v>0.19109999999999999</v>
      </c>
      <c r="AN51">
        <v>3</v>
      </c>
      <c r="AO51">
        <v>0.5</v>
      </c>
      <c r="AP51" t="s">
        <v>317</v>
      </c>
      <c r="AQ51">
        <v>2</v>
      </c>
      <c r="AR51">
        <v>1775466078.5</v>
      </c>
      <c r="AS51">
        <v>12.73479508196721</v>
      </c>
      <c r="AT51">
        <v>11.65627213114754</v>
      </c>
      <c r="AU51">
        <v>-1.1502863934426231</v>
      </c>
      <c r="AV51">
        <v>-2.4908280163934431</v>
      </c>
      <c r="AW51">
        <v>4.4437950819672141</v>
      </c>
      <c r="AX51">
        <v>-1.278828016393442</v>
      </c>
      <c r="AY51">
        <v>500.40511475409841</v>
      </c>
      <c r="AZ51">
        <v>99.991836065573764</v>
      </c>
      <c r="BA51">
        <v>4.5361457377049171E-2</v>
      </c>
      <c r="BB51">
        <v>25.498521311475411</v>
      </c>
      <c r="BC51">
        <v>25.60615573770492</v>
      </c>
      <c r="BD51">
        <v>999.9</v>
      </c>
      <c r="BE51">
        <v>0</v>
      </c>
      <c r="BF51">
        <v>0</v>
      </c>
      <c r="BG51">
        <v>4995.8278688524588</v>
      </c>
      <c r="BH51">
        <v>0.65830601639344277</v>
      </c>
      <c r="BI51">
        <v>203.27731147540979</v>
      </c>
      <c r="BJ51">
        <v>1.1596933524590161</v>
      </c>
      <c r="BK51">
        <v>12.78417377049181</v>
      </c>
      <c r="BL51">
        <v>11.64288032786885</v>
      </c>
      <c r="BM51">
        <v>-1.3359091803278691</v>
      </c>
      <c r="BN51">
        <v>11.65627213114754</v>
      </c>
      <c r="BO51">
        <v>-1.1502863934426231</v>
      </c>
      <c r="BP51">
        <v>-0.2485994262295082</v>
      </c>
      <c r="BQ51">
        <v>-0.1150192950819672</v>
      </c>
      <c r="BR51">
        <v>-99.899999999999963</v>
      </c>
      <c r="BS51">
        <v>-99.899999999999963</v>
      </c>
      <c r="BT51">
        <v>1775466118.5</v>
      </c>
      <c r="BU51" t="s">
        <v>428</v>
      </c>
      <c r="BV51">
        <v>1775466111</v>
      </c>
      <c r="BW51">
        <v>1775466118.5</v>
      </c>
      <c r="BX51">
        <v>36</v>
      </c>
      <c r="BY51">
        <v>-8.1000000000000003E-2</v>
      </c>
      <c r="BZ51">
        <v>-4.0000000000000001E-3</v>
      </c>
      <c r="CA51">
        <v>8.2910000000000004</v>
      </c>
      <c r="CB51">
        <v>-1.212</v>
      </c>
      <c r="CC51">
        <v>10</v>
      </c>
      <c r="CD51">
        <v>-1</v>
      </c>
      <c r="CE51">
        <v>0.21</v>
      </c>
      <c r="CF51">
        <v>7.0000000000000007E-2</v>
      </c>
      <c r="CG51">
        <v>11.650681666666671</v>
      </c>
      <c r="CH51">
        <v>-2.3200567935537562</v>
      </c>
      <c r="CI51">
        <v>0.45638524862651819</v>
      </c>
      <c r="CJ51">
        <v>-1</v>
      </c>
      <c r="CK51">
        <v>500.41148333333342</v>
      </c>
      <c r="CL51">
        <v>-4.4126557377043696</v>
      </c>
      <c r="CM51">
        <v>1.1405920464341739</v>
      </c>
      <c r="CN51">
        <v>-1</v>
      </c>
      <c r="CO51">
        <v>0</v>
      </c>
      <c r="CP51">
        <v>0</v>
      </c>
      <c r="CQ51" t="s">
        <v>319</v>
      </c>
      <c r="CR51">
        <v>3.1676000000000002</v>
      </c>
      <c r="CS51">
        <v>2.6663899999999998</v>
      </c>
      <c r="CT51">
        <v>1.3187400000000001E-3</v>
      </c>
      <c r="CU51">
        <v>3.5652499999999998E-3</v>
      </c>
      <c r="CV51">
        <v>-1.15692E-2</v>
      </c>
      <c r="CW51">
        <v>-9.9235E-3</v>
      </c>
      <c r="CX51">
        <v>21540.6</v>
      </c>
      <c r="CY51">
        <v>21860.400000000001</v>
      </c>
      <c r="CZ51">
        <v>23097.8</v>
      </c>
      <c r="DA51">
        <v>22292.2</v>
      </c>
      <c r="DB51">
        <v>30133.9</v>
      </c>
      <c r="DC51">
        <v>26855.5</v>
      </c>
      <c r="DD51">
        <v>40601.300000000003</v>
      </c>
      <c r="DE51">
        <v>36951.699999999997</v>
      </c>
      <c r="DF51">
        <v>2.0664400000000001</v>
      </c>
      <c r="DG51">
        <v>1.78148</v>
      </c>
      <c r="DH51">
        <v>-2.8252599999999999E-2</v>
      </c>
      <c r="DI51">
        <v>0</v>
      </c>
      <c r="DJ51">
        <v>26.072500000000002</v>
      </c>
      <c r="DK51">
        <v>999.9</v>
      </c>
      <c r="DL51">
        <v>74.3</v>
      </c>
      <c r="DM51">
        <v>31.2</v>
      </c>
      <c r="DN51">
        <v>33.906599999999997</v>
      </c>
      <c r="DO51">
        <v>30.69</v>
      </c>
      <c r="DP51">
        <v>10.444699999999999</v>
      </c>
      <c r="DQ51">
        <v>1</v>
      </c>
      <c r="DR51">
        <v>0.24410399999999999</v>
      </c>
      <c r="DS51">
        <v>1.15011</v>
      </c>
      <c r="DT51">
        <v>20.363199999999999</v>
      </c>
      <c r="DU51">
        <v>5.2081799999999996</v>
      </c>
      <c r="DV51">
        <v>11.853300000000001</v>
      </c>
      <c r="DW51">
        <v>4.9673600000000002</v>
      </c>
      <c r="DX51">
        <v>3.2921800000000001</v>
      </c>
      <c r="DY51">
        <v>894.7</v>
      </c>
      <c r="DZ51">
        <v>0</v>
      </c>
      <c r="EA51">
        <v>1011.6</v>
      </c>
      <c r="EB51">
        <v>107.2</v>
      </c>
      <c r="EC51">
        <v>4.9716199999999997</v>
      </c>
      <c r="ED51">
        <v>1.8718399999999999</v>
      </c>
      <c r="EE51">
        <v>1.8690500000000001</v>
      </c>
      <c r="EF51">
        <v>1.8714900000000001</v>
      </c>
      <c r="EG51">
        <v>1.8692</v>
      </c>
      <c r="EH51">
        <v>1.8681300000000001</v>
      </c>
      <c r="EI51">
        <v>1.8699600000000001</v>
      </c>
      <c r="EJ51">
        <v>1.8717999999999999</v>
      </c>
      <c r="EK51">
        <v>0</v>
      </c>
      <c r="EL51">
        <v>0</v>
      </c>
      <c r="EM51">
        <v>0</v>
      </c>
      <c r="EN51">
        <v>0</v>
      </c>
      <c r="EO51" t="s">
        <v>320</v>
      </c>
      <c r="EP51" t="s">
        <v>321</v>
      </c>
      <c r="EQ51" t="s">
        <v>322</v>
      </c>
      <c r="ER51" t="s">
        <v>322</v>
      </c>
      <c r="ES51" t="s">
        <v>322</v>
      </c>
      <c r="ET51" t="s">
        <v>322</v>
      </c>
      <c r="EU51">
        <v>0</v>
      </c>
      <c r="EV51">
        <v>100</v>
      </c>
      <c r="EW51">
        <v>100</v>
      </c>
      <c r="EX51">
        <v>8.2910000000000004</v>
      </c>
      <c r="EY51">
        <v>-1.212</v>
      </c>
      <c r="EZ51">
        <v>8.3721734999999988</v>
      </c>
      <c r="FA51">
        <v>0</v>
      </c>
      <c r="FB51">
        <v>0</v>
      </c>
      <c r="FC51">
        <v>0</v>
      </c>
      <c r="FD51">
        <v>-1.207367885</v>
      </c>
      <c r="FE51">
        <v>0</v>
      </c>
      <c r="FF51">
        <v>0</v>
      </c>
      <c r="FG51">
        <v>0</v>
      </c>
      <c r="FH51">
        <v>-1</v>
      </c>
      <c r="FI51">
        <v>-1</v>
      </c>
      <c r="FJ51">
        <v>-1</v>
      </c>
      <c r="FK51">
        <v>-1</v>
      </c>
      <c r="FL51">
        <v>0.6</v>
      </c>
      <c r="FM51">
        <v>0.6</v>
      </c>
      <c r="FN51">
        <v>0.142822</v>
      </c>
      <c r="FO51">
        <v>4.99756</v>
      </c>
      <c r="FP51">
        <v>1.5979000000000001</v>
      </c>
      <c r="FQ51">
        <v>2.1533199999999999</v>
      </c>
      <c r="FR51">
        <v>1.5478499999999999</v>
      </c>
      <c r="FS51">
        <v>2.3901400000000002</v>
      </c>
      <c r="FT51">
        <v>35.521799999999999</v>
      </c>
      <c r="FU51">
        <v>15.8482</v>
      </c>
      <c r="FV51">
        <v>2</v>
      </c>
      <c r="FW51">
        <v>489.20299999999997</v>
      </c>
      <c r="FX51">
        <v>398.08</v>
      </c>
      <c r="FY51">
        <v>25.322399999999998</v>
      </c>
      <c r="FZ51">
        <v>30.256799999999998</v>
      </c>
      <c r="GA51">
        <v>30.0001</v>
      </c>
      <c r="GB51">
        <v>30.573799999999999</v>
      </c>
      <c r="GC51">
        <v>30.634599999999999</v>
      </c>
      <c r="GD51">
        <v>-1</v>
      </c>
      <c r="GE51">
        <v>0</v>
      </c>
      <c r="GF51">
        <v>100</v>
      </c>
      <c r="GG51">
        <v>25.324100000000001</v>
      </c>
      <c r="GH51">
        <v>432.1</v>
      </c>
      <c r="GI51">
        <v>78.840199999999996</v>
      </c>
      <c r="GJ51">
        <v>102.193</v>
      </c>
      <c r="GK51">
        <v>96.413200000000003</v>
      </c>
    </row>
    <row r="52" spans="1:193" x14ac:dyDescent="0.35">
      <c r="A52">
        <v>36</v>
      </c>
      <c r="B52">
        <v>1775466154</v>
      </c>
      <c r="C52">
        <v>2197.900000095367</v>
      </c>
      <c r="D52" t="s">
        <v>429</v>
      </c>
      <c r="E52" t="s">
        <v>430</v>
      </c>
      <c r="F52">
        <v>30</v>
      </c>
      <c r="G52">
        <v>1775466138.75</v>
      </c>
      <c r="H52">
        <f t="shared" si="18"/>
        <v>2.2662843081941299E-3</v>
      </c>
      <c r="I52">
        <f>1000*AY52*AG52*(AU52-AV52)/(100*AN52*(1000-AG52*AU52))</f>
        <v>2.26628430819413</v>
      </c>
      <c r="J52">
        <f>AY52*AG52*(AT52-AS52*(1000-AG52*AV52)/(1000-AG52*AU52))/(100*AN52)</f>
        <v>-1.9794056388940324</v>
      </c>
      <c r="K52">
        <f t="shared" si="19"/>
        <v>11.87419166666667</v>
      </c>
      <c r="L52">
        <f t="shared" si="20"/>
        <v>58.243795584853835</v>
      </c>
      <c r="M52">
        <f>L52*(AZ52+BA52)/1000</f>
        <v>5.826452407313262</v>
      </c>
      <c r="N52">
        <f>(AS52 - IF(AG52&gt;1, J52*AN52*100/(AI52), 0))*(AZ52+BA52)/1000</f>
        <v>1.1878417593914561</v>
      </c>
      <c r="O52">
        <f t="shared" si="21"/>
        <v>6.6425116750991053E-2</v>
      </c>
      <c r="P52">
        <f>IF(LEFT(AP52,1)&lt;&gt;"0",IF(LEFT(AP52,1)="1",3,AQ52),$D$5+$E$5*(BG52*AZ52/($K$5*1000))+$F$5*(BG52*AZ52/($K$5*1000))*MAX(MIN(AN52,$J$5),$I$5)*MAX(MIN(AN52,$J$5),$I$5)+$G$5*MAX(MIN(AN52,$J$5),$I$5)*(BG52*AZ52/($K$5*1000))+$H$5*(BG52*AZ52/($K$5*1000))*(BG52*AZ52/($K$5*1000)))</f>
        <v>2.3879415422125594</v>
      </c>
      <c r="Q52">
        <f>H52*(1000-(1000*0.61365*EXP(17.502*U52/(240.97+U52))/(AZ52+BA52)+AU52)/2)/(1000*0.61365*EXP(17.502*U52/(240.97+U52))/(AZ52+BA52)-AU52)</f>
        <v>6.5415432323453857E-2</v>
      </c>
      <c r="R52">
        <f t="shared" si="22"/>
        <v>4.0974082830879895E-2</v>
      </c>
      <c r="S52">
        <f t="shared" si="23"/>
        <v>0.12766504933</v>
      </c>
      <c r="T52">
        <f>(BB52+(S52+2*0.95*0.0000000567*(((BB52+$B$7)+273)^4-(BB52+273)^4)-44100*H52)/(1.84*29.3*P52+8*0.95*0.0000000567*(BB52+273)^3))</f>
        <v>24.787815395136327</v>
      </c>
      <c r="U52">
        <f>($C$7*BC52+$D$7*BD52+$E$7*T52)</f>
        <v>25.608113333333328</v>
      </c>
      <c r="V52">
        <f t="shared" si="24"/>
        <v>3.2967998791991597</v>
      </c>
      <c r="W52">
        <f t="shared" si="25"/>
        <v>-3.4724125511522916</v>
      </c>
      <c r="X52">
        <f>AU52*(AZ52+BA52)/1000</f>
        <v>-0.11374444964673387</v>
      </c>
      <c r="Y52">
        <f t="shared" si="26"/>
        <v>3.2756605953687363</v>
      </c>
      <c r="Z52">
        <f>(V52-AU52*(AZ52+BA52)/1000)</f>
        <v>3.4105443288458934</v>
      </c>
      <c r="AA52">
        <f t="shared" si="27"/>
        <v>-99.943137991361127</v>
      </c>
      <c r="AB52">
        <f>2*29.3*P52*0.92*(BB52-U52)</f>
        <v>-13.948409495299021</v>
      </c>
      <c r="AC52">
        <f>2*0.95*0.0000000567*(((BB52+$B$7)+273)^4-(U52+273)^4)</f>
        <v>-1.2424549218253349</v>
      </c>
      <c r="AD52">
        <f t="shared" si="28"/>
        <v>-115.00633735915548</v>
      </c>
      <c r="AE52">
        <v>21</v>
      </c>
      <c r="AF52">
        <v>4</v>
      </c>
      <c r="AG52">
        <f t="shared" si="29"/>
        <v>1</v>
      </c>
      <c r="AH52">
        <f t="shared" si="30"/>
        <v>0</v>
      </c>
      <c r="AI52">
        <f t="shared" si="31"/>
        <v>25650.212795363041</v>
      </c>
      <c r="AJ52">
        <f t="shared" si="32"/>
        <v>0.66805363333333334</v>
      </c>
      <c r="AK52">
        <f t="shared" si="33"/>
        <v>0.53444290666666672</v>
      </c>
      <c r="AL52">
        <f t="shared" si="34"/>
        <v>0.8</v>
      </c>
      <c r="AM52">
        <f t="shared" si="35"/>
        <v>0.19109999999999999</v>
      </c>
      <c r="AN52">
        <v>3</v>
      </c>
      <c r="AO52">
        <v>0.5</v>
      </c>
      <c r="AP52" t="s">
        <v>317</v>
      </c>
      <c r="AQ52">
        <v>2</v>
      </c>
      <c r="AR52">
        <v>1775466138.75</v>
      </c>
      <c r="AS52">
        <v>11.87419166666667</v>
      </c>
      <c r="AT52">
        <v>10.703327</v>
      </c>
      <c r="AU52">
        <v>-1.1370398333333329</v>
      </c>
      <c r="AV52">
        <v>-2.4976215000000002</v>
      </c>
      <c r="AW52">
        <v>3.5171916666666672</v>
      </c>
      <c r="AX52">
        <v>-1.2826215000000001</v>
      </c>
      <c r="AY52">
        <v>500.27011666666669</v>
      </c>
      <c r="AZ52">
        <v>99.99029166666665</v>
      </c>
      <c r="BA52">
        <v>4.5297511666666658E-2</v>
      </c>
      <c r="BB52">
        <v>25.49976666666667</v>
      </c>
      <c r="BC52">
        <v>25.608113333333328</v>
      </c>
      <c r="BD52">
        <v>999.9</v>
      </c>
      <c r="BE52">
        <v>0</v>
      </c>
      <c r="BF52">
        <v>0</v>
      </c>
      <c r="BG52">
        <v>5000.25</v>
      </c>
      <c r="BH52">
        <v>0.66805363333333334</v>
      </c>
      <c r="BI52">
        <v>202.69234999999989</v>
      </c>
      <c r="BJ52">
        <v>1.1048807366666671</v>
      </c>
      <c r="BK52">
        <v>11.778818333333341</v>
      </c>
      <c r="BL52">
        <v>10.69116833333333</v>
      </c>
      <c r="BM52">
        <v>-1.3573166666666669</v>
      </c>
      <c r="BN52">
        <v>10.703327</v>
      </c>
      <c r="BO52">
        <v>-1.1370398333333329</v>
      </c>
      <c r="BP52">
        <v>-0.24941138333333329</v>
      </c>
      <c r="BQ52">
        <v>-0.1136928666666667</v>
      </c>
      <c r="BR52">
        <v>-99.899999999999963</v>
      </c>
      <c r="BS52">
        <v>-99.899999999999963</v>
      </c>
      <c r="BT52">
        <v>1775466177</v>
      </c>
      <c r="BU52" t="s">
        <v>431</v>
      </c>
      <c r="BV52">
        <v>1775466172.5</v>
      </c>
      <c r="BW52">
        <v>1775466177</v>
      </c>
      <c r="BX52">
        <v>37</v>
      </c>
      <c r="BY52">
        <v>6.6000000000000003E-2</v>
      </c>
      <c r="BZ52">
        <v>-3.0000000000000001E-3</v>
      </c>
      <c r="CA52">
        <v>8.3569999999999993</v>
      </c>
      <c r="CB52">
        <v>-1.2150000000000001</v>
      </c>
      <c r="CC52">
        <v>12</v>
      </c>
      <c r="CD52">
        <v>-1</v>
      </c>
      <c r="CE52">
        <v>0.79</v>
      </c>
      <c r="CF52">
        <v>0.05</v>
      </c>
      <c r="CG52">
        <v>10.697829</v>
      </c>
      <c r="CH52">
        <v>4.4551626785218126</v>
      </c>
      <c r="CI52">
        <v>1.272470409591385</v>
      </c>
      <c r="CJ52">
        <v>-1</v>
      </c>
      <c r="CK52">
        <v>500.34210000000002</v>
      </c>
      <c r="CL52">
        <v>-3.738258405112306</v>
      </c>
      <c r="CM52">
        <v>1.0340406133223199</v>
      </c>
      <c r="CN52">
        <v>-1</v>
      </c>
      <c r="CO52">
        <v>0</v>
      </c>
      <c r="CP52">
        <v>0</v>
      </c>
      <c r="CQ52" t="s">
        <v>319</v>
      </c>
      <c r="CR52">
        <v>3.1676099999999998</v>
      </c>
      <c r="CS52">
        <v>2.6665800000000002</v>
      </c>
      <c r="CT52">
        <v>1.16555E-3</v>
      </c>
      <c r="CU52">
        <v>3.0168700000000001E-3</v>
      </c>
      <c r="CV52">
        <v>-1.1461600000000001E-2</v>
      </c>
      <c r="CW52">
        <v>-9.6226200000000001E-3</v>
      </c>
      <c r="CX52">
        <v>21544.1</v>
      </c>
      <c r="CY52">
        <v>21872.5</v>
      </c>
      <c r="CZ52">
        <v>23098</v>
      </c>
      <c r="DA52">
        <v>22292.400000000001</v>
      </c>
      <c r="DB52">
        <v>30131</v>
      </c>
      <c r="DC52">
        <v>26847.599999999999</v>
      </c>
      <c r="DD52">
        <v>40601.699999999997</v>
      </c>
      <c r="DE52">
        <v>36951.800000000003</v>
      </c>
      <c r="DF52">
        <v>2.0662799999999999</v>
      </c>
      <c r="DG52">
        <v>1.7815799999999999</v>
      </c>
      <c r="DH52">
        <v>-2.7537300000000001E-2</v>
      </c>
      <c r="DI52">
        <v>0</v>
      </c>
      <c r="DJ52">
        <v>26.065899999999999</v>
      </c>
      <c r="DK52">
        <v>999.9</v>
      </c>
      <c r="DL52">
        <v>74.2</v>
      </c>
      <c r="DM52">
        <v>31.2</v>
      </c>
      <c r="DN52">
        <v>33.860199999999999</v>
      </c>
      <c r="DO52">
        <v>30.6</v>
      </c>
      <c r="DP52">
        <v>10.6571</v>
      </c>
      <c r="DQ52">
        <v>1</v>
      </c>
      <c r="DR52">
        <v>0.24416299999999999</v>
      </c>
      <c r="DS52">
        <v>1.19573</v>
      </c>
      <c r="DT52">
        <v>20.363</v>
      </c>
      <c r="DU52">
        <v>5.2086600000000001</v>
      </c>
      <c r="DV52">
        <v>11.8523</v>
      </c>
      <c r="DW52">
        <v>4.9673600000000002</v>
      </c>
      <c r="DX52">
        <v>3.2923200000000001</v>
      </c>
      <c r="DY52">
        <v>894.7</v>
      </c>
      <c r="DZ52">
        <v>0</v>
      </c>
      <c r="EA52">
        <v>1044.9000000000001</v>
      </c>
      <c r="EB52">
        <v>107.3</v>
      </c>
      <c r="EC52">
        <v>4.9716199999999997</v>
      </c>
      <c r="ED52">
        <v>1.87185</v>
      </c>
      <c r="EE52">
        <v>1.8690500000000001</v>
      </c>
      <c r="EF52">
        <v>1.8714900000000001</v>
      </c>
      <c r="EG52">
        <v>1.8692</v>
      </c>
      <c r="EH52">
        <v>1.8681300000000001</v>
      </c>
      <c r="EI52">
        <v>1.8699600000000001</v>
      </c>
      <c r="EJ52">
        <v>1.8717900000000001</v>
      </c>
      <c r="EK52">
        <v>0</v>
      </c>
      <c r="EL52">
        <v>0</v>
      </c>
      <c r="EM52">
        <v>0</v>
      </c>
      <c r="EN52">
        <v>0</v>
      </c>
      <c r="EO52" t="s">
        <v>320</v>
      </c>
      <c r="EP52" t="s">
        <v>321</v>
      </c>
      <c r="EQ52" t="s">
        <v>322</v>
      </c>
      <c r="ER52" t="s">
        <v>322</v>
      </c>
      <c r="ES52" t="s">
        <v>322</v>
      </c>
      <c r="ET52" t="s">
        <v>322</v>
      </c>
      <c r="EU52">
        <v>0</v>
      </c>
      <c r="EV52">
        <v>100</v>
      </c>
      <c r="EW52">
        <v>100</v>
      </c>
      <c r="EX52">
        <v>8.3569999999999993</v>
      </c>
      <c r="EY52">
        <v>-1.2150000000000001</v>
      </c>
      <c r="EZ52">
        <v>8.2910154999999985</v>
      </c>
      <c r="FA52">
        <v>0</v>
      </c>
      <c r="FB52">
        <v>0</v>
      </c>
      <c r="FC52">
        <v>0</v>
      </c>
      <c r="FD52">
        <v>-1.211735095238095</v>
      </c>
      <c r="FE52">
        <v>0</v>
      </c>
      <c r="FF52">
        <v>0</v>
      </c>
      <c r="FG52">
        <v>0</v>
      </c>
      <c r="FH52">
        <v>-1</v>
      </c>
      <c r="FI52">
        <v>-1</v>
      </c>
      <c r="FJ52">
        <v>-1</v>
      </c>
      <c r="FK52">
        <v>-1</v>
      </c>
      <c r="FL52">
        <v>0.7</v>
      </c>
      <c r="FM52">
        <v>0.6</v>
      </c>
      <c r="FN52">
        <v>0.142822</v>
      </c>
      <c r="FO52">
        <v>4.99756</v>
      </c>
      <c r="FP52">
        <v>1.5979000000000001</v>
      </c>
      <c r="FQ52">
        <v>2.1533199999999999</v>
      </c>
      <c r="FR52">
        <v>1.5478499999999999</v>
      </c>
      <c r="FS52">
        <v>2.4377399999999998</v>
      </c>
      <c r="FT52">
        <v>35.545099999999998</v>
      </c>
      <c r="FU52">
        <v>15.8482</v>
      </c>
      <c r="FV52">
        <v>2</v>
      </c>
      <c r="FW52">
        <v>489.13</v>
      </c>
      <c r="FX52">
        <v>398.154</v>
      </c>
      <c r="FY52">
        <v>25.3352</v>
      </c>
      <c r="FZ52">
        <v>30.256799999999998</v>
      </c>
      <c r="GA52">
        <v>30.0002</v>
      </c>
      <c r="GB52">
        <v>30.5764</v>
      </c>
      <c r="GC52">
        <v>30.6372</v>
      </c>
      <c r="GD52">
        <v>-1</v>
      </c>
      <c r="GE52">
        <v>0</v>
      </c>
      <c r="GF52">
        <v>100</v>
      </c>
      <c r="GG52">
        <v>25.326799999999999</v>
      </c>
      <c r="GH52">
        <v>432.1</v>
      </c>
      <c r="GI52">
        <v>78.840199999999996</v>
      </c>
      <c r="GJ52">
        <v>102.194</v>
      </c>
      <c r="GK52">
        <v>96.413499999999999</v>
      </c>
    </row>
    <row r="53" spans="1:193" x14ac:dyDescent="0.35">
      <c r="A53">
        <v>37</v>
      </c>
      <c r="B53">
        <v>1775466214</v>
      </c>
      <c r="C53">
        <v>2257.900000095367</v>
      </c>
      <c r="D53" t="s">
        <v>432</v>
      </c>
      <c r="E53" t="s">
        <v>433</v>
      </c>
      <c r="F53">
        <v>30</v>
      </c>
      <c r="G53">
        <v>1775466198.5</v>
      </c>
      <c r="H53">
        <f t="shared" si="18"/>
        <v>2.381142104844428E-3</v>
      </c>
      <c r="I53">
        <f>1000*AY53*AG53*(AU53-AV53)/(100*AN53*(1000-AG53*AU53))</f>
        <v>2.3811421048444279</v>
      </c>
      <c r="J53">
        <f>AY53*AG53*(AT53-AS53*(1000-AG53*AV53)/(1000-AG53*AU53))/(100*AN53)</f>
        <v>-3.2268568810893274</v>
      </c>
      <c r="K53">
        <f t="shared" si="19"/>
        <v>10.783128524590159</v>
      </c>
      <c r="L53">
        <f t="shared" si="20"/>
        <v>83.027091590867471</v>
      </c>
      <c r="M53">
        <f>L53*(AZ53+BA53)/1000</f>
        <v>8.305630151120873</v>
      </c>
      <c r="N53">
        <f>(AS53 - IF(AG53&gt;1, J53*AN53*100/(AI53), 0))*(AZ53+BA53)/1000</f>
        <v>1.0786922157718788</v>
      </c>
      <c r="O53">
        <f t="shared" si="21"/>
        <v>6.9952449320735965E-2</v>
      </c>
      <c r="P53">
        <f>IF(LEFT(AP53,1)&lt;&gt;"0",IF(LEFT(AP53,1)="1",3,AQ53),$D$5+$E$5*(BG53*AZ53/($K$5*1000))+$F$5*(BG53*AZ53/($K$5*1000))*MAX(MIN(AN53,$J$5),$I$5)*MAX(MIN(AN53,$J$5),$I$5)+$G$5*MAX(MIN(AN53,$J$5),$I$5)*(BG53*AZ53/($K$5*1000))+$H$5*(BG53*AZ53/($K$5*1000))*(BG53*AZ53/($K$5*1000)))</f>
        <v>2.3882090461866521</v>
      </c>
      <c r="Q53">
        <f>H53*(1000-(1000*0.61365*EXP(17.502*U53/(240.97+U53))/(AZ53+BA53)+AU53)/2)/(1000*0.61365*EXP(17.502*U53/(240.97+U53))/(AZ53+BA53)-AU53)</f>
        <v>6.8833781241876307E-2</v>
      </c>
      <c r="R53">
        <f t="shared" si="22"/>
        <v>4.3120130961539598E-2</v>
      </c>
      <c r="S53">
        <f t="shared" si="23"/>
        <v>0.12337730531803277</v>
      </c>
      <c r="T53">
        <f>(BB53+(S53+2*0.95*0.0000000567*(((BB53+$B$7)+273)^4-(BB53+273)^4)-44100*H53)/(1.84*29.3*P53+8*0.95*0.0000000567*(BB53+273)^3))</f>
        <v>24.750491931004948</v>
      </c>
      <c r="U53">
        <f>($C$7*BC53+$D$7*BD53+$E$7*T53)</f>
        <v>25.603603278688521</v>
      </c>
      <c r="V53">
        <f t="shared" si="24"/>
        <v>3.2959175608868589</v>
      </c>
      <c r="W53">
        <f t="shared" si="25"/>
        <v>-3.341529926492099</v>
      </c>
      <c r="X53">
        <f>AU53*(AZ53+BA53)/1000</f>
        <v>-0.10944911491193308</v>
      </c>
      <c r="Y53">
        <f t="shared" si="26"/>
        <v>3.2754192636195105</v>
      </c>
      <c r="Z53">
        <f>(V53-AU53*(AZ53+BA53)/1000)</f>
        <v>3.4053666757987919</v>
      </c>
      <c r="AA53">
        <f t="shared" si="27"/>
        <v>-105.00836682363928</v>
      </c>
      <c r="AB53">
        <f>2*29.3*P53*0.92*(BB53-U53)</f>
        <v>-13.528998563121032</v>
      </c>
      <c r="AC53">
        <f>2*0.95*0.0000000567*(((BB53+$B$7)+273)^4-(U53+273)^4)</f>
        <v>-1.2049260840858029</v>
      </c>
      <c r="AD53">
        <f t="shared" si="28"/>
        <v>-119.61891416552808</v>
      </c>
      <c r="AE53">
        <v>21</v>
      </c>
      <c r="AF53">
        <v>4</v>
      </c>
      <c r="AG53">
        <f t="shared" si="29"/>
        <v>1</v>
      </c>
      <c r="AH53">
        <f t="shared" si="30"/>
        <v>0</v>
      </c>
      <c r="AI53">
        <f t="shared" si="31"/>
        <v>25654.417606843173</v>
      </c>
      <c r="AJ53">
        <f t="shared" si="32"/>
        <v>0.64561645901639342</v>
      </c>
      <c r="AK53">
        <f t="shared" si="33"/>
        <v>0.51649316721311478</v>
      </c>
      <c r="AL53">
        <f t="shared" si="34"/>
        <v>0.8</v>
      </c>
      <c r="AM53">
        <f t="shared" si="35"/>
        <v>0.19109999999999999</v>
      </c>
      <c r="AN53">
        <v>3</v>
      </c>
      <c r="AO53">
        <v>0.5</v>
      </c>
      <c r="AP53" t="s">
        <v>317</v>
      </c>
      <c r="AQ53">
        <v>2</v>
      </c>
      <c r="AR53">
        <v>1775466198.5</v>
      </c>
      <c r="AS53">
        <v>10.783128524590159</v>
      </c>
      <c r="AT53">
        <v>8.8629209836065588</v>
      </c>
      <c r="AU53">
        <v>-1.094106229508196</v>
      </c>
      <c r="AV53">
        <v>-2.5239816393442629</v>
      </c>
      <c r="AW53">
        <v>2.4561285245901638</v>
      </c>
      <c r="AX53">
        <v>-1.3059816393442629</v>
      </c>
      <c r="AY53">
        <v>500.13042622950809</v>
      </c>
      <c r="AZ53">
        <v>99.99006557377048</v>
      </c>
      <c r="BA53">
        <v>4.5115618032786881E-2</v>
      </c>
      <c r="BB53">
        <v>25.498526229508201</v>
      </c>
      <c r="BC53">
        <v>25.603603278688521</v>
      </c>
      <c r="BD53">
        <v>999.9</v>
      </c>
      <c r="BE53">
        <v>0</v>
      </c>
      <c r="BF53">
        <v>0</v>
      </c>
      <c r="BG53">
        <v>5000.9508196721308</v>
      </c>
      <c r="BH53">
        <v>0.64561645901639342</v>
      </c>
      <c r="BI53">
        <v>201.87462295081971</v>
      </c>
      <c r="BJ53">
        <v>1.9506514754098361</v>
      </c>
      <c r="BK53">
        <v>10.786383606557379</v>
      </c>
      <c r="BL53">
        <v>8.8532342622950821</v>
      </c>
      <c r="BM53">
        <v>-1.4268216393442621</v>
      </c>
      <c r="BN53">
        <v>8.8629209836065588</v>
      </c>
      <c r="BO53">
        <v>-1.094106229508196</v>
      </c>
      <c r="BP53">
        <v>-0.2520676557377049</v>
      </c>
      <c r="BQ53">
        <v>-0.1093996721311476</v>
      </c>
      <c r="BR53">
        <v>-99.899999999999963</v>
      </c>
      <c r="BS53">
        <v>-99.899999999999963</v>
      </c>
      <c r="BT53">
        <v>1775466238.5</v>
      </c>
      <c r="BU53" t="s">
        <v>434</v>
      </c>
      <c r="BV53">
        <v>1775466235.5</v>
      </c>
      <c r="BW53">
        <v>1775466238.5</v>
      </c>
      <c r="BX53">
        <v>38</v>
      </c>
      <c r="BY53">
        <v>-0.03</v>
      </c>
      <c r="BZ53">
        <v>-3.0000000000000001E-3</v>
      </c>
      <c r="CA53">
        <v>8.327</v>
      </c>
      <c r="CB53">
        <v>-1.218</v>
      </c>
      <c r="CC53">
        <v>9</v>
      </c>
      <c r="CD53">
        <v>-1</v>
      </c>
      <c r="CE53">
        <v>0.23</v>
      </c>
      <c r="CF53">
        <v>0.06</v>
      </c>
      <c r="CG53">
        <v>8.8830631147540959</v>
      </c>
      <c r="CH53">
        <v>-1.0592809941829739</v>
      </c>
      <c r="CI53">
        <v>0.28263410290756458</v>
      </c>
      <c r="CJ53">
        <v>-1</v>
      </c>
      <c r="CK53">
        <v>500.27281967213111</v>
      </c>
      <c r="CL53">
        <v>-2.9691782125856649</v>
      </c>
      <c r="CM53">
        <v>0.88005969447675136</v>
      </c>
      <c r="CN53">
        <v>-1</v>
      </c>
      <c r="CO53">
        <v>0</v>
      </c>
      <c r="CP53">
        <v>0</v>
      </c>
      <c r="CQ53" t="s">
        <v>319</v>
      </c>
      <c r="CR53">
        <v>3.1675300000000002</v>
      </c>
      <c r="CS53">
        <v>2.6663800000000002</v>
      </c>
      <c r="CT53">
        <v>5.8090099999999999E-4</v>
      </c>
      <c r="CU53">
        <v>2.6459999999999999E-3</v>
      </c>
      <c r="CV53">
        <v>-1.16048E-2</v>
      </c>
      <c r="CW53">
        <v>-9.3376199999999996E-3</v>
      </c>
      <c r="CX53">
        <v>21556.5</v>
      </c>
      <c r="CY53">
        <v>21880.1</v>
      </c>
      <c r="CZ53">
        <v>23097.8</v>
      </c>
      <c r="DA53">
        <v>22291.8</v>
      </c>
      <c r="DB53">
        <v>30134.9</v>
      </c>
      <c r="DC53">
        <v>26839.5</v>
      </c>
      <c r="DD53">
        <v>40601.300000000003</v>
      </c>
      <c r="DE53">
        <v>36950.9</v>
      </c>
      <c r="DF53">
        <v>2.06616</v>
      </c>
      <c r="DG53">
        <v>1.7816799999999999</v>
      </c>
      <c r="DH53">
        <v>-2.8163199999999999E-2</v>
      </c>
      <c r="DI53">
        <v>0</v>
      </c>
      <c r="DJ53">
        <v>26.063700000000001</v>
      </c>
      <c r="DK53">
        <v>999.9</v>
      </c>
      <c r="DL53">
        <v>74.099999999999994</v>
      </c>
      <c r="DM53">
        <v>31.2</v>
      </c>
      <c r="DN53">
        <v>33.814399999999999</v>
      </c>
      <c r="DO53">
        <v>30.51</v>
      </c>
      <c r="DP53">
        <v>10.3566</v>
      </c>
      <c r="DQ53">
        <v>1</v>
      </c>
      <c r="DR53">
        <v>0.244752</v>
      </c>
      <c r="DS53">
        <v>1.16404</v>
      </c>
      <c r="DT53">
        <v>20.364000000000001</v>
      </c>
      <c r="DU53">
        <v>5.2119</v>
      </c>
      <c r="DV53">
        <v>11.8521</v>
      </c>
      <c r="DW53">
        <v>4.9678800000000001</v>
      </c>
      <c r="DX53">
        <v>3.29298</v>
      </c>
      <c r="DY53">
        <v>894.7</v>
      </c>
      <c r="DZ53">
        <v>0</v>
      </c>
      <c r="EA53">
        <v>1072.9000000000001</v>
      </c>
      <c r="EB53">
        <v>107.3</v>
      </c>
      <c r="EC53">
        <v>4.9715999999999996</v>
      </c>
      <c r="ED53">
        <v>1.8718600000000001</v>
      </c>
      <c r="EE53">
        <v>1.8690500000000001</v>
      </c>
      <c r="EF53">
        <v>1.8714900000000001</v>
      </c>
      <c r="EG53">
        <v>1.8692</v>
      </c>
      <c r="EH53">
        <v>1.86812</v>
      </c>
      <c r="EI53">
        <v>1.8699600000000001</v>
      </c>
      <c r="EJ53">
        <v>1.8717900000000001</v>
      </c>
      <c r="EK53">
        <v>0</v>
      </c>
      <c r="EL53">
        <v>0</v>
      </c>
      <c r="EM53">
        <v>0</v>
      </c>
      <c r="EN53">
        <v>0</v>
      </c>
      <c r="EO53" t="s">
        <v>320</v>
      </c>
      <c r="EP53" t="s">
        <v>321</v>
      </c>
      <c r="EQ53" t="s">
        <v>322</v>
      </c>
      <c r="ER53" t="s">
        <v>322</v>
      </c>
      <c r="ES53" t="s">
        <v>322</v>
      </c>
      <c r="ET53" t="s">
        <v>322</v>
      </c>
      <c r="EU53">
        <v>0</v>
      </c>
      <c r="EV53">
        <v>100</v>
      </c>
      <c r="EW53">
        <v>100</v>
      </c>
      <c r="EX53">
        <v>8.327</v>
      </c>
      <c r="EY53">
        <v>-1.218</v>
      </c>
      <c r="EZ53">
        <v>8.3574442857142852</v>
      </c>
      <c r="FA53">
        <v>0</v>
      </c>
      <c r="FB53">
        <v>0</v>
      </c>
      <c r="FC53">
        <v>0</v>
      </c>
      <c r="FD53">
        <v>-1.21494525</v>
      </c>
      <c r="FE53">
        <v>0</v>
      </c>
      <c r="FF53">
        <v>0</v>
      </c>
      <c r="FG53">
        <v>0</v>
      </c>
      <c r="FH53">
        <v>-1</v>
      </c>
      <c r="FI53">
        <v>-1</v>
      </c>
      <c r="FJ53">
        <v>-1</v>
      </c>
      <c r="FK53">
        <v>-1</v>
      </c>
      <c r="FL53">
        <v>0.7</v>
      </c>
      <c r="FM53">
        <v>0.6</v>
      </c>
      <c r="FN53">
        <v>0.142822</v>
      </c>
      <c r="FO53">
        <v>4.99756</v>
      </c>
      <c r="FP53">
        <v>1.5979000000000001</v>
      </c>
      <c r="FQ53">
        <v>2.1533199999999999</v>
      </c>
      <c r="FR53">
        <v>1.5478499999999999</v>
      </c>
      <c r="FS53">
        <v>2.3535200000000001</v>
      </c>
      <c r="FT53">
        <v>35.568300000000001</v>
      </c>
      <c r="FU53">
        <v>15.8307</v>
      </c>
      <c r="FV53">
        <v>2</v>
      </c>
      <c r="FW53">
        <v>489.11200000000002</v>
      </c>
      <c r="FX53">
        <v>398.26</v>
      </c>
      <c r="FY53">
        <v>25.319299999999998</v>
      </c>
      <c r="FZ53">
        <v>30.264700000000001</v>
      </c>
      <c r="GA53">
        <v>30.0002</v>
      </c>
      <c r="GB53">
        <v>30.583200000000001</v>
      </c>
      <c r="GC53">
        <v>30.645</v>
      </c>
      <c r="GD53">
        <v>-1</v>
      </c>
      <c r="GE53">
        <v>0</v>
      </c>
      <c r="GF53">
        <v>100</v>
      </c>
      <c r="GG53">
        <v>25.3184</v>
      </c>
      <c r="GH53">
        <v>432.1</v>
      </c>
      <c r="GI53">
        <v>78.840199999999996</v>
      </c>
      <c r="GJ53">
        <v>102.193</v>
      </c>
      <c r="GK53">
        <v>96.411199999999994</v>
      </c>
    </row>
    <row r="54" spans="1:193" x14ac:dyDescent="0.35">
      <c r="A54">
        <v>38</v>
      </c>
      <c r="B54">
        <v>1775466274</v>
      </c>
      <c r="C54">
        <v>2317.900000095367</v>
      </c>
      <c r="D54" t="s">
        <v>435</v>
      </c>
      <c r="E54" t="s">
        <v>436</v>
      </c>
      <c r="F54">
        <v>30</v>
      </c>
      <c r="G54">
        <v>1775466258.75</v>
      </c>
      <c r="H54">
        <f t="shared" si="18"/>
        <v>2.3313656396495275E-3</v>
      </c>
      <c r="I54">
        <f>1000*AY54*AG54*(AU54-AV54)/(100*AN54*(1000-AG54*AU54))</f>
        <v>2.3313656396495275</v>
      </c>
      <c r="J54">
        <f>AY54*AG54*(AT54-AS54*(1000-AG54*AV54)/(1000-AG54*AU54))/(100*AN54)</f>
        <v>-2.1630447945671132</v>
      </c>
      <c r="K54">
        <f t="shared" si="19"/>
        <v>10.718508999999999</v>
      </c>
      <c r="L54">
        <f t="shared" si="20"/>
        <v>60.02997323470214</v>
      </c>
      <c r="M54">
        <f>L54*(AZ54+BA54)/1000</f>
        <v>6.0051191537095638</v>
      </c>
      <c r="N54">
        <f>(AS54 - IF(AG54&gt;1, J54*AN54*100/(AI54), 0))*(AZ54+BA54)/1000</f>
        <v>1.0722297583484457</v>
      </c>
      <c r="O54">
        <f t="shared" si="21"/>
        <v>6.8427729870471077E-2</v>
      </c>
      <c r="P54">
        <f>IF(LEFT(AP54,1)&lt;&gt;"0",IF(LEFT(AP54,1)="1",3,AQ54),$D$5+$E$5*(BG54*AZ54/($K$5*1000))+$F$5*(BG54*AZ54/($K$5*1000))*MAX(MIN(AN54,$J$5),$I$5)*MAX(MIN(AN54,$J$5),$I$5)+$G$5*MAX(MIN(AN54,$J$5),$I$5)*(BG54*AZ54/($K$5*1000))+$H$5*(BG54*AZ54/($K$5*1000))*(BG54*AZ54/($K$5*1000)))</f>
        <v>2.3866828323960529</v>
      </c>
      <c r="Q54">
        <f>H54*(1000-(1000*0.61365*EXP(17.502*U54/(240.97+U54))/(AZ54+BA54)+AU54)/2)/(1000*0.61365*EXP(17.502*U54/(240.97+U54))/(AZ54+BA54)-AU54)</f>
        <v>6.7356220807358994E-2</v>
      </c>
      <c r="R54">
        <f t="shared" si="22"/>
        <v>4.219251114496967E-2</v>
      </c>
      <c r="S54">
        <f t="shared" si="23"/>
        <v>0.12734224639499997</v>
      </c>
      <c r="T54">
        <f>(BB54+(S54+2*0.95*0.0000000567*(((BB54+$B$7)+273)^4-(BB54+273)^4)-44100*H54)/(1.84*29.3*P54+8*0.95*0.0000000567*(BB54+273)^3))</f>
        <v>24.765819649021683</v>
      </c>
      <c r="U54">
        <f>($C$7*BC54+$D$7*BD54+$E$7*T54)</f>
        <v>25.608421666666668</v>
      </c>
      <c r="V54">
        <f t="shared" si="24"/>
        <v>3.296860207099737</v>
      </c>
      <c r="W54">
        <f t="shared" si="25"/>
        <v>-3.3725737768520809</v>
      </c>
      <c r="X54">
        <f>AU54*(AZ54+BA54)/1000</f>
        <v>-0.11046641519501561</v>
      </c>
      <c r="Y54">
        <f t="shared" si="26"/>
        <v>3.275433615513776</v>
      </c>
      <c r="Z54">
        <f>(V54-AU54*(AZ54+BA54)/1000)</f>
        <v>3.4073266222947525</v>
      </c>
      <c r="AA54">
        <f t="shared" si="27"/>
        <v>-102.81322470854417</v>
      </c>
      <c r="AB54">
        <f>2*29.3*P54*0.92*(BB54-U54)</f>
        <v>-14.130846633948499</v>
      </c>
      <c r="AC54">
        <f>2*0.95*0.0000000567*(((BB54+$B$7)+273)^4-(U54+273)^4)</f>
        <v>-1.2593639118516917</v>
      </c>
      <c r="AD54">
        <f t="shared" si="28"/>
        <v>-118.07609300794935</v>
      </c>
      <c r="AE54">
        <v>21</v>
      </c>
      <c r="AF54">
        <v>4</v>
      </c>
      <c r="AG54">
        <f t="shared" si="29"/>
        <v>1</v>
      </c>
      <c r="AH54">
        <f t="shared" si="30"/>
        <v>0</v>
      </c>
      <c r="AI54">
        <f t="shared" si="31"/>
        <v>25631.081389618405</v>
      </c>
      <c r="AJ54">
        <f t="shared" si="32"/>
        <v>0.66636444999999989</v>
      </c>
      <c r="AK54">
        <f t="shared" si="33"/>
        <v>0.53309155999999991</v>
      </c>
      <c r="AL54">
        <f t="shared" si="34"/>
        <v>0.8</v>
      </c>
      <c r="AM54">
        <f t="shared" si="35"/>
        <v>0.19109999999999999</v>
      </c>
      <c r="AN54">
        <v>3</v>
      </c>
      <c r="AO54">
        <v>0.5</v>
      </c>
      <c r="AP54" t="s">
        <v>317</v>
      </c>
      <c r="AQ54">
        <v>2</v>
      </c>
      <c r="AR54">
        <v>1775466258.75</v>
      </c>
      <c r="AS54">
        <v>10.718508999999999</v>
      </c>
      <c r="AT54">
        <v>9.4363733333333339</v>
      </c>
      <c r="AU54">
        <v>-1.1042738333333331</v>
      </c>
      <c r="AV54">
        <v>-2.503876</v>
      </c>
      <c r="AW54">
        <v>2.4355090000000001</v>
      </c>
      <c r="AX54">
        <v>-1.2888759999999999</v>
      </c>
      <c r="AY54">
        <v>500.27218333333337</v>
      </c>
      <c r="AZ54">
        <v>99.990076666666681</v>
      </c>
      <c r="BA54">
        <v>4.5269513333333317E-2</v>
      </c>
      <c r="BB54">
        <v>25.4986</v>
      </c>
      <c r="BC54">
        <v>25.608421666666668</v>
      </c>
      <c r="BD54">
        <v>999.9</v>
      </c>
      <c r="BE54">
        <v>0</v>
      </c>
      <c r="BF54">
        <v>0</v>
      </c>
      <c r="BG54">
        <v>4997.0166666666664</v>
      </c>
      <c r="BH54">
        <v>0.66636444999999989</v>
      </c>
      <c r="BI54">
        <v>201.24616666666671</v>
      </c>
      <c r="BJ54">
        <v>1.3266009999999999</v>
      </c>
      <c r="BK54">
        <v>10.73605666666667</v>
      </c>
      <c r="BL54">
        <v>9.4259644999999974</v>
      </c>
      <c r="BM54">
        <v>-1.402943166666667</v>
      </c>
      <c r="BN54">
        <v>9.4363733333333339</v>
      </c>
      <c r="BO54">
        <v>-1.1042738333333331</v>
      </c>
      <c r="BP54">
        <v>-0.25069675000000002</v>
      </c>
      <c r="BQ54">
        <v>-0.1104164333333333</v>
      </c>
      <c r="BR54">
        <v>-99.899999999999963</v>
      </c>
      <c r="BS54">
        <v>-99.899999999999963</v>
      </c>
      <c r="BT54">
        <v>1775466297.5</v>
      </c>
      <c r="BU54" t="s">
        <v>437</v>
      </c>
      <c r="BV54">
        <v>1775466294</v>
      </c>
      <c r="BW54">
        <v>1775466297.5</v>
      </c>
      <c r="BX54">
        <v>39</v>
      </c>
      <c r="BY54">
        <v>-4.4999999999999998E-2</v>
      </c>
      <c r="BZ54">
        <v>3.0000000000000001E-3</v>
      </c>
      <c r="CA54">
        <v>8.2829999999999995</v>
      </c>
      <c r="CB54">
        <v>-1.2150000000000001</v>
      </c>
      <c r="CC54">
        <v>9</v>
      </c>
      <c r="CD54">
        <v>-1</v>
      </c>
      <c r="CE54">
        <v>0.28000000000000003</v>
      </c>
      <c r="CF54">
        <v>0.06</v>
      </c>
      <c r="CG54">
        <v>9.4302914754098346</v>
      </c>
      <c r="CH54">
        <v>0.2016615547329354</v>
      </c>
      <c r="CI54">
        <v>4.3814053357269553E-2</v>
      </c>
      <c r="CJ54">
        <v>-1</v>
      </c>
      <c r="CK54">
        <v>500.47678688524587</v>
      </c>
      <c r="CL54">
        <v>-4.9740031729245953</v>
      </c>
      <c r="CM54">
        <v>1.2383862068050711</v>
      </c>
      <c r="CN54">
        <v>-1</v>
      </c>
      <c r="CO54">
        <v>0</v>
      </c>
      <c r="CP54">
        <v>0</v>
      </c>
      <c r="CQ54" t="s">
        <v>319</v>
      </c>
      <c r="CR54">
        <v>3.1675200000000001</v>
      </c>
      <c r="CS54">
        <v>2.6660699999999999</v>
      </c>
      <c r="CT54">
        <v>7.4754400000000005E-4</v>
      </c>
      <c r="CU54">
        <v>2.8302900000000001E-3</v>
      </c>
      <c r="CV54">
        <v>-1.1540399999999999E-2</v>
      </c>
      <c r="CW54">
        <v>-9.5962800000000004E-3</v>
      </c>
      <c r="CX54">
        <v>21552.2</v>
      </c>
      <c r="CY54">
        <v>21876.1</v>
      </c>
      <c r="CZ54">
        <v>23097.1</v>
      </c>
      <c r="DA54">
        <v>22292</v>
      </c>
      <c r="DB54">
        <v>30132.2</v>
      </c>
      <c r="DC54">
        <v>26846.400000000001</v>
      </c>
      <c r="DD54">
        <v>40600.300000000003</v>
      </c>
      <c r="DE54">
        <v>36951</v>
      </c>
      <c r="DF54">
        <v>2.0663800000000001</v>
      </c>
      <c r="DG54">
        <v>1.7814000000000001</v>
      </c>
      <c r="DH54">
        <v>-2.6911500000000001E-2</v>
      </c>
      <c r="DI54">
        <v>0</v>
      </c>
      <c r="DJ54">
        <v>26.0549</v>
      </c>
      <c r="DK54">
        <v>999.9</v>
      </c>
      <c r="DL54">
        <v>74</v>
      </c>
      <c r="DM54">
        <v>31.3</v>
      </c>
      <c r="DN54">
        <v>33.961599999999997</v>
      </c>
      <c r="DO54">
        <v>30.57</v>
      </c>
      <c r="DP54">
        <v>10.665100000000001</v>
      </c>
      <c r="DQ54">
        <v>1</v>
      </c>
      <c r="DR54">
        <v>0.245722</v>
      </c>
      <c r="DS54">
        <v>1.1556999999999999</v>
      </c>
      <c r="DT54">
        <v>20.363499999999998</v>
      </c>
      <c r="DU54">
        <v>5.20878</v>
      </c>
      <c r="DV54">
        <v>11.850099999999999</v>
      </c>
      <c r="DW54">
        <v>4.9673999999999996</v>
      </c>
      <c r="DX54">
        <v>3.29244</v>
      </c>
      <c r="DY54">
        <v>894.7</v>
      </c>
      <c r="DZ54">
        <v>0</v>
      </c>
      <c r="EA54">
        <v>1106.8</v>
      </c>
      <c r="EB54">
        <v>107.3</v>
      </c>
      <c r="EC54">
        <v>4.9716300000000002</v>
      </c>
      <c r="ED54">
        <v>1.87185</v>
      </c>
      <c r="EE54">
        <v>1.8690500000000001</v>
      </c>
      <c r="EF54">
        <v>1.8714900000000001</v>
      </c>
      <c r="EG54">
        <v>1.8692</v>
      </c>
      <c r="EH54">
        <v>1.8681300000000001</v>
      </c>
      <c r="EI54">
        <v>1.8699600000000001</v>
      </c>
      <c r="EJ54">
        <v>1.87178</v>
      </c>
      <c r="EK54">
        <v>0</v>
      </c>
      <c r="EL54">
        <v>0</v>
      </c>
      <c r="EM54">
        <v>0</v>
      </c>
      <c r="EN54">
        <v>0</v>
      </c>
      <c r="EO54" t="s">
        <v>320</v>
      </c>
      <c r="EP54" t="s">
        <v>321</v>
      </c>
      <c r="EQ54" t="s">
        <v>322</v>
      </c>
      <c r="ER54" t="s">
        <v>322</v>
      </c>
      <c r="ES54" t="s">
        <v>322</v>
      </c>
      <c r="ET54" t="s">
        <v>322</v>
      </c>
      <c r="EU54">
        <v>0</v>
      </c>
      <c r="EV54">
        <v>100</v>
      </c>
      <c r="EW54">
        <v>100</v>
      </c>
      <c r="EX54">
        <v>8.2829999999999995</v>
      </c>
      <c r="EY54">
        <v>-1.2150000000000001</v>
      </c>
      <c r="EZ54">
        <v>8.3274660476190459</v>
      </c>
      <c r="FA54">
        <v>0</v>
      </c>
      <c r="FB54">
        <v>0</v>
      </c>
      <c r="FC54">
        <v>0</v>
      </c>
      <c r="FD54">
        <v>-1.218340380952381</v>
      </c>
      <c r="FE54">
        <v>0</v>
      </c>
      <c r="FF54">
        <v>0</v>
      </c>
      <c r="FG54">
        <v>0</v>
      </c>
      <c r="FH54">
        <v>-1</v>
      </c>
      <c r="FI54">
        <v>-1</v>
      </c>
      <c r="FJ54">
        <v>-1</v>
      </c>
      <c r="FK54">
        <v>-1</v>
      </c>
      <c r="FL54">
        <v>0.6</v>
      </c>
      <c r="FM54">
        <v>0.6</v>
      </c>
      <c r="FN54">
        <v>0.142822</v>
      </c>
      <c r="FO54">
        <v>4.99756</v>
      </c>
      <c r="FP54">
        <v>1.5979000000000001</v>
      </c>
      <c r="FQ54">
        <v>2.1533199999999999</v>
      </c>
      <c r="FR54">
        <v>1.5478499999999999</v>
      </c>
      <c r="FS54">
        <v>2.4499499999999999</v>
      </c>
      <c r="FT54">
        <v>35.614800000000002</v>
      </c>
      <c r="FU54">
        <v>15.8307</v>
      </c>
      <c r="FV54">
        <v>2</v>
      </c>
      <c r="FW54">
        <v>489.30500000000001</v>
      </c>
      <c r="FX54">
        <v>398.15199999999999</v>
      </c>
      <c r="FY54">
        <v>25.3279</v>
      </c>
      <c r="FZ54">
        <v>30.275200000000002</v>
      </c>
      <c r="GA54">
        <v>30.0001</v>
      </c>
      <c r="GB54">
        <v>30.591999999999999</v>
      </c>
      <c r="GC54">
        <v>30.652799999999999</v>
      </c>
      <c r="GD54">
        <v>-1</v>
      </c>
      <c r="GE54">
        <v>0</v>
      </c>
      <c r="GF54">
        <v>100</v>
      </c>
      <c r="GG54">
        <v>25.3293</v>
      </c>
      <c r="GH54">
        <v>432.1</v>
      </c>
      <c r="GI54">
        <v>78.840199999999996</v>
      </c>
      <c r="GJ54">
        <v>102.19</v>
      </c>
      <c r="GK54">
        <v>96.411600000000007</v>
      </c>
    </row>
    <row r="55" spans="1:193" x14ac:dyDescent="0.35">
      <c r="A55">
        <v>39</v>
      </c>
      <c r="B55">
        <v>1775466334</v>
      </c>
      <c r="C55">
        <v>2377.900000095367</v>
      </c>
      <c r="D55" t="s">
        <v>438</v>
      </c>
      <c r="E55" t="s">
        <v>439</v>
      </c>
      <c r="F55">
        <v>30</v>
      </c>
      <c r="G55">
        <v>1775466318.75</v>
      </c>
      <c r="H55">
        <f t="shared" si="18"/>
        <v>2.3627820825229818E-3</v>
      </c>
      <c r="I55">
        <f>1000*AY55*AG55*(AU55-AV55)/(100*AN55*(1000-AG55*AU55))</f>
        <v>2.3627820825229819</v>
      </c>
      <c r="J55">
        <f>AY55*AG55*(AT55-AS55*(1000-AG55*AV55)/(1000-AG55*AU55))/(100*AN55)</f>
        <v>-2.2078795643776981</v>
      </c>
      <c r="K55">
        <f t="shared" si="19"/>
        <v>10.963708666666671</v>
      </c>
      <c r="L55">
        <f t="shared" si="20"/>
        <v>60.642023988825521</v>
      </c>
      <c r="M55">
        <f>L55*(AZ55+BA55)/1000</f>
        <v>6.0663482049751307</v>
      </c>
      <c r="N55">
        <f>(AS55 - IF(AG55&gt;1, J55*AN55*100/(AI55), 0))*(AZ55+BA55)/1000</f>
        <v>1.096758815341641</v>
      </c>
      <c r="O55">
        <f t="shared" si="21"/>
        <v>6.9328524961984689E-2</v>
      </c>
      <c r="P55">
        <f>IF(LEFT(AP55,1)&lt;&gt;"0",IF(LEFT(AP55,1)="1",3,AQ55),$D$5+$E$5*(BG55*AZ55/($K$5*1000))+$F$5*(BG55*AZ55/($K$5*1000))*MAX(MIN(AN55,$J$5),$I$5)*MAX(MIN(AN55,$J$5),$I$5)+$G$5*MAX(MIN(AN55,$J$5),$I$5)*(BG55*AZ55/($K$5*1000))+$H$5*(BG55*AZ55/($K$5*1000))*(BG55*AZ55/($K$5*1000)))</f>
        <v>2.3879044249499186</v>
      </c>
      <c r="Q55">
        <f>H55*(1000-(1000*0.61365*EXP(17.502*U55/(240.97+U55))/(AZ55+BA55)+AU55)/2)/(1000*0.61365*EXP(17.502*U55/(240.97+U55))/(AZ55+BA55)-AU55)</f>
        <v>6.8229416478693794E-2</v>
      </c>
      <c r="R55">
        <f t="shared" si="22"/>
        <v>4.2740684331709813E-2</v>
      </c>
      <c r="S55">
        <f t="shared" si="23"/>
        <v>0.12728776378499998</v>
      </c>
      <c r="T55">
        <f>(BB55+(S55+2*0.95*0.0000000567*(((BB55+$B$7)+273)^4-(BB55+273)^4)-44100*H55)/(1.84*29.3*P55+8*0.95*0.0000000567*(BB55+273)^3))</f>
        <v>24.763694116646093</v>
      </c>
      <c r="U55">
        <f>($C$7*BC55+$D$7*BD55+$E$7*T55)</f>
        <v>25.61564833333334</v>
      </c>
      <c r="V55">
        <f t="shared" si="24"/>
        <v>3.2982744388617755</v>
      </c>
      <c r="W55">
        <f t="shared" si="25"/>
        <v>-3.3799052723629699</v>
      </c>
      <c r="X55">
        <f>AU55*(AZ55+BA55)/1000</f>
        <v>-0.11075527667424331</v>
      </c>
      <c r="Y55">
        <f t="shared" si="26"/>
        <v>3.2768751710254809</v>
      </c>
      <c r="Z55">
        <f>(V55-AU55*(AZ55+BA55)/1000)</f>
        <v>3.4090297155360187</v>
      </c>
      <c r="AA55">
        <f t="shared" si="27"/>
        <v>-104.19868983926349</v>
      </c>
      <c r="AB55">
        <f>2*29.3*P55*0.92*(BB55-U55)</f>
        <v>-14.114692156161381</v>
      </c>
      <c r="AC55">
        <f>2*0.95*0.0000000567*(((BB55+$B$7)+273)^4-(U55+273)^4)</f>
        <v>-1.2573731252859002</v>
      </c>
      <c r="AD55">
        <f t="shared" si="28"/>
        <v>-119.44346735692578</v>
      </c>
      <c r="AE55">
        <v>21</v>
      </c>
      <c r="AF55">
        <v>4</v>
      </c>
      <c r="AG55">
        <f t="shared" si="29"/>
        <v>1</v>
      </c>
      <c r="AH55">
        <f t="shared" si="30"/>
        <v>0</v>
      </c>
      <c r="AI55">
        <f t="shared" si="31"/>
        <v>25649.132314038154</v>
      </c>
      <c r="AJ55">
        <f t="shared" si="32"/>
        <v>0.66607934999999996</v>
      </c>
      <c r="AK55">
        <f t="shared" si="33"/>
        <v>0.53286347999999994</v>
      </c>
      <c r="AL55">
        <f t="shared" si="34"/>
        <v>0.8</v>
      </c>
      <c r="AM55">
        <f t="shared" si="35"/>
        <v>0.19109999999999999</v>
      </c>
      <c r="AN55">
        <v>3</v>
      </c>
      <c r="AO55">
        <v>0.5</v>
      </c>
      <c r="AP55" t="s">
        <v>317</v>
      </c>
      <c r="AQ55">
        <v>2</v>
      </c>
      <c r="AR55">
        <v>1775466318.75</v>
      </c>
      <c r="AS55">
        <v>10.963708666666671</v>
      </c>
      <c r="AT55">
        <v>9.6548451666666644</v>
      </c>
      <c r="AU55">
        <v>-1.1071610000000001</v>
      </c>
      <c r="AV55">
        <v>-2.5260514999999999</v>
      </c>
      <c r="AW55">
        <v>2.6447086666666668</v>
      </c>
      <c r="AX55">
        <v>-1.3010515</v>
      </c>
      <c r="AY55">
        <v>500.12275000000011</v>
      </c>
      <c r="AZ55">
        <v>99.989711666666651</v>
      </c>
      <c r="BA55">
        <v>4.5673136666666662E-2</v>
      </c>
      <c r="BB55">
        <v>25.50600833333333</v>
      </c>
      <c r="BC55">
        <v>25.61564833333334</v>
      </c>
      <c r="BD55">
        <v>999.9</v>
      </c>
      <c r="BE55">
        <v>0</v>
      </c>
      <c r="BF55">
        <v>0</v>
      </c>
      <c r="BG55">
        <v>5000.1833333333334</v>
      </c>
      <c r="BH55">
        <v>0.66607934999999996</v>
      </c>
      <c r="BI55">
        <v>200.47315</v>
      </c>
      <c r="BJ55">
        <v>1.2724005</v>
      </c>
      <c r="BK55">
        <v>10.89982</v>
      </c>
      <c r="BL55">
        <v>9.6441680000000023</v>
      </c>
      <c r="BM55">
        <v>-1.408876</v>
      </c>
      <c r="BN55">
        <v>9.6548451666666644</v>
      </c>
      <c r="BO55">
        <v>-1.1071610000000001</v>
      </c>
      <c r="BP55">
        <v>-0.25157780000000002</v>
      </c>
      <c r="BQ55">
        <v>-0.1107046666666667</v>
      </c>
      <c r="BR55">
        <v>-99.899999999999963</v>
      </c>
      <c r="BS55">
        <v>-99.899999999999963</v>
      </c>
      <c r="BT55">
        <v>1775466363</v>
      </c>
      <c r="BU55" t="s">
        <v>440</v>
      </c>
      <c r="BV55">
        <v>1775466351</v>
      </c>
      <c r="BW55">
        <v>1775466363</v>
      </c>
      <c r="BX55">
        <v>40</v>
      </c>
      <c r="BY55">
        <v>3.5999999999999997E-2</v>
      </c>
      <c r="BZ55">
        <v>-0.01</v>
      </c>
      <c r="CA55">
        <v>8.3190000000000008</v>
      </c>
      <c r="CB55">
        <v>-1.2250000000000001</v>
      </c>
      <c r="CC55">
        <v>11</v>
      </c>
      <c r="CD55">
        <v>-1</v>
      </c>
      <c r="CE55">
        <v>0.18</v>
      </c>
      <c r="CF55">
        <v>0.05</v>
      </c>
      <c r="CG55">
        <v>9.6512236666666631</v>
      </c>
      <c r="CH55">
        <v>0.37204307863296032</v>
      </c>
      <c r="CI55">
        <v>0.1155407060876046</v>
      </c>
      <c r="CJ55">
        <v>-1</v>
      </c>
      <c r="CK55">
        <v>500.19628333333338</v>
      </c>
      <c r="CL55">
        <v>-2.4011036398991181</v>
      </c>
      <c r="CM55">
        <v>0.72858527507462012</v>
      </c>
      <c r="CN55">
        <v>-1</v>
      </c>
      <c r="CO55">
        <v>0</v>
      </c>
      <c r="CP55">
        <v>0</v>
      </c>
      <c r="CQ55" t="s">
        <v>319</v>
      </c>
      <c r="CR55">
        <v>3.1675300000000002</v>
      </c>
      <c r="CS55">
        <v>2.66656</v>
      </c>
      <c r="CT55">
        <v>8.2985100000000005E-4</v>
      </c>
      <c r="CU55">
        <v>2.9798899999999998E-3</v>
      </c>
      <c r="CV55">
        <v>-1.1703E-2</v>
      </c>
      <c r="CW55">
        <v>-9.5483200000000008E-3</v>
      </c>
      <c r="CX55">
        <v>21549.9</v>
      </c>
      <c r="CY55">
        <v>21872.6</v>
      </c>
      <c r="CZ55">
        <v>23096.6</v>
      </c>
      <c r="DA55">
        <v>22291.7</v>
      </c>
      <c r="DB55">
        <v>30136.5</v>
      </c>
      <c r="DC55">
        <v>26844.9</v>
      </c>
      <c r="DD55">
        <v>40599.5</v>
      </c>
      <c r="DE55">
        <v>36950.699999999997</v>
      </c>
      <c r="DF55">
        <v>2.0663999999999998</v>
      </c>
      <c r="DG55">
        <v>1.78146</v>
      </c>
      <c r="DH55">
        <v>-2.76864E-2</v>
      </c>
      <c r="DI55">
        <v>0</v>
      </c>
      <c r="DJ55">
        <v>26.066199999999998</v>
      </c>
      <c r="DK55">
        <v>999.9</v>
      </c>
      <c r="DL55">
        <v>73.900000000000006</v>
      </c>
      <c r="DM55">
        <v>31.3</v>
      </c>
      <c r="DN55">
        <v>33.914200000000001</v>
      </c>
      <c r="DO55">
        <v>30.18</v>
      </c>
      <c r="DP55">
        <v>10.5288</v>
      </c>
      <c r="DQ55">
        <v>1</v>
      </c>
      <c r="DR55">
        <v>0.24674399999999999</v>
      </c>
      <c r="DS55">
        <v>1.24122</v>
      </c>
      <c r="DT55">
        <v>20.363399999999999</v>
      </c>
      <c r="DU55">
        <v>5.2102199999999996</v>
      </c>
      <c r="DV55">
        <v>11.8515</v>
      </c>
      <c r="DW55">
        <v>4.9676400000000003</v>
      </c>
      <c r="DX55">
        <v>3.29278</v>
      </c>
      <c r="DY55">
        <v>894.7</v>
      </c>
      <c r="DZ55">
        <v>0</v>
      </c>
      <c r="EA55">
        <v>1140.4000000000001</v>
      </c>
      <c r="EB55">
        <v>107.3</v>
      </c>
      <c r="EC55">
        <v>4.9716199999999997</v>
      </c>
      <c r="ED55">
        <v>1.87182</v>
      </c>
      <c r="EE55">
        <v>1.8690500000000001</v>
      </c>
      <c r="EF55">
        <v>1.8714900000000001</v>
      </c>
      <c r="EG55">
        <v>1.8692</v>
      </c>
      <c r="EH55">
        <v>1.8681300000000001</v>
      </c>
      <c r="EI55">
        <v>1.8699600000000001</v>
      </c>
      <c r="EJ55">
        <v>1.8717999999999999</v>
      </c>
      <c r="EK55">
        <v>0</v>
      </c>
      <c r="EL55">
        <v>0</v>
      </c>
      <c r="EM55">
        <v>0</v>
      </c>
      <c r="EN55">
        <v>0</v>
      </c>
      <c r="EO55" t="s">
        <v>320</v>
      </c>
      <c r="EP55" t="s">
        <v>321</v>
      </c>
      <c r="EQ55" t="s">
        <v>322</v>
      </c>
      <c r="ER55" t="s">
        <v>322</v>
      </c>
      <c r="ES55" t="s">
        <v>322</v>
      </c>
      <c r="ET55" t="s">
        <v>322</v>
      </c>
      <c r="EU55">
        <v>0</v>
      </c>
      <c r="EV55">
        <v>100</v>
      </c>
      <c r="EW55">
        <v>100</v>
      </c>
      <c r="EX55">
        <v>8.3190000000000008</v>
      </c>
      <c r="EY55">
        <v>-1.2250000000000001</v>
      </c>
      <c r="EZ55">
        <v>8.2825376000000013</v>
      </c>
      <c r="FA55">
        <v>0</v>
      </c>
      <c r="FB55">
        <v>0</v>
      </c>
      <c r="FC55">
        <v>0</v>
      </c>
      <c r="FD55">
        <v>-1.21498499047619</v>
      </c>
      <c r="FE55">
        <v>0</v>
      </c>
      <c r="FF55">
        <v>0</v>
      </c>
      <c r="FG55">
        <v>0</v>
      </c>
      <c r="FH55">
        <v>-1</v>
      </c>
      <c r="FI55">
        <v>-1</v>
      </c>
      <c r="FJ55">
        <v>-1</v>
      </c>
      <c r="FK55">
        <v>-1</v>
      </c>
      <c r="FL55">
        <v>0.7</v>
      </c>
      <c r="FM55">
        <v>0.6</v>
      </c>
      <c r="FN55">
        <v>0.142822</v>
      </c>
      <c r="FO55">
        <v>4.99756</v>
      </c>
      <c r="FP55">
        <v>1.5979000000000001</v>
      </c>
      <c r="FQ55">
        <v>2.1533199999999999</v>
      </c>
      <c r="FR55">
        <v>1.5478499999999999</v>
      </c>
      <c r="FS55">
        <v>2.3938000000000001</v>
      </c>
      <c r="FT55">
        <v>35.637999999999998</v>
      </c>
      <c r="FU55">
        <v>15.8132</v>
      </c>
      <c r="FV55">
        <v>2</v>
      </c>
      <c r="FW55">
        <v>489.37900000000002</v>
      </c>
      <c r="FX55">
        <v>398.24099999999999</v>
      </c>
      <c r="FY55">
        <v>25.283899999999999</v>
      </c>
      <c r="FZ55">
        <v>30.284600000000001</v>
      </c>
      <c r="GA55">
        <v>30.0002</v>
      </c>
      <c r="GB55">
        <v>30.6004</v>
      </c>
      <c r="GC55">
        <v>30.6616</v>
      </c>
      <c r="GD55">
        <v>-1</v>
      </c>
      <c r="GE55">
        <v>0</v>
      </c>
      <c r="GF55">
        <v>100</v>
      </c>
      <c r="GG55">
        <v>25.280799999999999</v>
      </c>
      <c r="GH55">
        <v>432.1</v>
      </c>
      <c r="GI55">
        <v>78.840199999999996</v>
      </c>
      <c r="GJ55">
        <v>102.188</v>
      </c>
      <c r="GK55">
        <v>96.410700000000006</v>
      </c>
    </row>
    <row r="56" spans="1:193" x14ac:dyDescent="0.35">
      <c r="A56">
        <v>40</v>
      </c>
      <c r="B56">
        <v>1775466394</v>
      </c>
      <c r="C56">
        <v>2437.900000095367</v>
      </c>
      <c r="D56" t="s">
        <v>441</v>
      </c>
      <c r="E56" t="s">
        <v>442</v>
      </c>
      <c r="F56">
        <v>30</v>
      </c>
      <c r="G56">
        <v>1775466378.5</v>
      </c>
      <c r="H56">
        <f t="shared" si="18"/>
        <v>2.122733677371392E-3</v>
      </c>
      <c r="I56">
        <f>1000*AY56*AG56*(AU56-AV56)/(100*AN56*(1000-AG56*AU56))</f>
        <v>2.1227336773713921</v>
      </c>
      <c r="J56">
        <f>AY56*AG56*(AT56-AS56*(1000-AG56*AV56)/(1000-AG56*AU56))/(100*AN56)</f>
        <v>-2.1572531947098752</v>
      </c>
      <c r="K56">
        <f t="shared" si="19"/>
        <v>10.31777104918033</v>
      </c>
      <c r="L56">
        <f t="shared" si="20"/>
        <v>64.377127981610897</v>
      </c>
      <c r="M56">
        <f>L56*(AZ56+BA56)/1000</f>
        <v>6.4401602698715275</v>
      </c>
      <c r="N56">
        <f>(AS56 - IF(AG56&gt;1, J56*AN56*100/(AI56), 0))*(AZ56+BA56)/1000</f>
        <v>1.0321693630623363</v>
      </c>
      <c r="O56">
        <f t="shared" si="21"/>
        <v>6.2263859402742955E-2</v>
      </c>
      <c r="P56">
        <f>IF(LEFT(AP56,1)&lt;&gt;"0",IF(LEFT(AP56,1)="1",3,AQ56),$D$5+$E$5*(BG56*AZ56/($K$5*1000))+$F$5*(BG56*AZ56/($K$5*1000))*MAX(MIN(AN56,$J$5),$I$5)*MAX(MIN(AN56,$J$5),$I$5)+$G$5*MAX(MIN(AN56,$J$5),$I$5)*(BG56*AZ56/($K$5*1000))+$H$5*(BG56*AZ56/($K$5*1000))*(BG56*AZ56/($K$5*1000)))</f>
        <v>2.3886832595491629</v>
      </c>
      <c r="Q56">
        <f>H56*(1000-(1000*0.61365*EXP(17.502*U56/(240.97+U56))/(AZ56+BA56)+AU56)/2)/(1000*0.61365*EXP(17.502*U56/(240.97+U56))/(AZ56+BA56)-AU56)</f>
        <v>6.1376077186523666E-2</v>
      </c>
      <c r="R56">
        <f t="shared" si="22"/>
        <v>3.8438757391378184E-2</v>
      </c>
      <c r="S56">
        <f t="shared" si="23"/>
        <v>0.12782252314426226</v>
      </c>
      <c r="T56">
        <f>(BB56+(S56+2*0.95*0.0000000567*(((BB56+$B$7)+273)^4-(BB56+273)^4)-44100*H56)/(1.84*29.3*P56+8*0.95*0.0000000567*(BB56+273)^3))</f>
        <v>24.834914597580614</v>
      </c>
      <c r="U56">
        <f>($C$7*BC56+$D$7*BD56+$E$7*T56)</f>
        <v>25.607555737704921</v>
      </c>
      <c r="V56">
        <f t="shared" si="24"/>
        <v>3.2966907835714117</v>
      </c>
      <c r="W56">
        <f t="shared" si="25"/>
        <v>-3.2982878404479798</v>
      </c>
      <c r="X56">
        <f>AU56*(AZ56+BA56)/1000</f>
        <v>-0.10805196492291556</v>
      </c>
      <c r="Y56">
        <f t="shared" si="26"/>
        <v>3.2760016757130495</v>
      </c>
      <c r="Z56">
        <f>(V56-AU56*(AZ56+BA56)/1000)</f>
        <v>3.4047427484943271</v>
      </c>
      <c r="AA56">
        <f t="shared" si="27"/>
        <v>-93.612555172078387</v>
      </c>
      <c r="AB56">
        <f>2*29.3*P56*0.92*(BB56-U56)</f>
        <v>-13.655185817626883</v>
      </c>
      <c r="AC56">
        <f>2*0.95*0.0000000567*(((BB56+$B$7)+273)^4-(U56+273)^4)</f>
        <v>-1.2159656286202793</v>
      </c>
      <c r="AD56">
        <f t="shared" si="28"/>
        <v>-108.3558840951813</v>
      </c>
      <c r="AE56">
        <v>21</v>
      </c>
      <c r="AF56">
        <v>4</v>
      </c>
      <c r="AG56">
        <f t="shared" si="29"/>
        <v>1</v>
      </c>
      <c r="AH56">
        <f t="shared" si="30"/>
        <v>0</v>
      </c>
      <c r="AI56">
        <f t="shared" si="31"/>
        <v>25661.395445354952</v>
      </c>
      <c r="AJ56">
        <f t="shared" si="32"/>
        <v>0.66887767213114746</v>
      </c>
      <c r="AK56">
        <f t="shared" si="33"/>
        <v>0.53510213770491799</v>
      </c>
      <c r="AL56">
        <f t="shared" si="34"/>
        <v>0.8</v>
      </c>
      <c r="AM56">
        <f t="shared" si="35"/>
        <v>0.19109999999999999</v>
      </c>
      <c r="AN56">
        <v>3</v>
      </c>
      <c r="AO56">
        <v>0.5</v>
      </c>
      <c r="AP56" t="s">
        <v>317</v>
      </c>
      <c r="AQ56">
        <v>2</v>
      </c>
      <c r="AR56">
        <v>1775466378.5</v>
      </c>
      <c r="AS56">
        <v>10.31777104918033</v>
      </c>
      <c r="AT56">
        <v>9.0383640983606561</v>
      </c>
      <c r="AU56">
        <v>-1.080109016393443</v>
      </c>
      <c r="AV56">
        <v>-2.353329777049181</v>
      </c>
      <c r="AW56">
        <v>2.0117710491803269</v>
      </c>
      <c r="AX56">
        <v>-1.14232977704918</v>
      </c>
      <c r="AY56">
        <v>500.70495081967209</v>
      </c>
      <c r="AZ56">
        <v>99.990414754098367</v>
      </c>
      <c r="BA56">
        <v>4.7602967213114737E-2</v>
      </c>
      <c r="BB56">
        <v>25.501519672131149</v>
      </c>
      <c r="BC56">
        <v>25.607555737704921</v>
      </c>
      <c r="BD56">
        <v>999.9</v>
      </c>
      <c r="BE56">
        <v>0</v>
      </c>
      <c r="BF56">
        <v>0</v>
      </c>
      <c r="BG56">
        <v>5002.1557377049176</v>
      </c>
      <c r="BH56">
        <v>0.66887767213114746</v>
      </c>
      <c r="BI56">
        <v>199.7764098360656</v>
      </c>
      <c r="BJ56">
        <v>1.2920221443606561</v>
      </c>
      <c r="BK56">
        <v>10.305817704918031</v>
      </c>
      <c r="BL56">
        <v>9.0286106557377082</v>
      </c>
      <c r="BM56">
        <v>-1.2869877886885239</v>
      </c>
      <c r="BN56">
        <v>9.0383640983606561</v>
      </c>
      <c r="BO56">
        <v>-1.080109016393443</v>
      </c>
      <c r="BP56">
        <v>-0.2366868360655737</v>
      </c>
      <c r="BQ56">
        <v>-0.10800055737704919</v>
      </c>
      <c r="BR56">
        <v>-99.899999999999963</v>
      </c>
      <c r="BS56">
        <v>-99.899999999999963</v>
      </c>
      <c r="BT56">
        <v>1775466415</v>
      </c>
      <c r="BU56" t="s">
        <v>443</v>
      </c>
      <c r="BV56">
        <v>1775466411.5</v>
      </c>
      <c r="BW56">
        <v>1775466415</v>
      </c>
      <c r="BX56">
        <v>41</v>
      </c>
      <c r="BY56">
        <v>-1.2999999999999999E-2</v>
      </c>
      <c r="BZ56">
        <v>1.4E-2</v>
      </c>
      <c r="CA56">
        <v>8.3059999999999992</v>
      </c>
      <c r="CB56">
        <v>-1.2110000000000001</v>
      </c>
      <c r="CC56">
        <v>9</v>
      </c>
      <c r="CD56">
        <v>-1</v>
      </c>
      <c r="CE56">
        <v>0.11</v>
      </c>
      <c r="CF56">
        <v>0.05</v>
      </c>
      <c r="CG56">
        <v>9.0383640983606561</v>
      </c>
      <c r="CH56">
        <v>0.21285829719723129</v>
      </c>
      <c r="CI56">
        <v>3.7319033397118541E-2</v>
      </c>
      <c r="CJ56">
        <v>-1</v>
      </c>
      <c r="CK56">
        <v>500.70495081967209</v>
      </c>
      <c r="CL56">
        <v>-5.9846303543100694</v>
      </c>
      <c r="CM56">
        <v>1.3896865246974071</v>
      </c>
      <c r="CN56">
        <v>-1</v>
      </c>
      <c r="CO56">
        <v>0</v>
      </c>
      <c r="CP56">
        <v>0</v>
      </c>
      <c r="CQ56" t="s">
        <v>319</v>
      </c>
      <c r="CR56">
        <v>3.16757</v>
      </c>
      <c r="CS56">
        <v>2.66743</v>
      </c>
      <c r="CT56">
        <v>6.3661700000000002E-4</v>
      </c>
      <c r="CU56">
        <v>2.71361E-3</v>
      </c>
      <c r="CV56">
        <v>-1.17237E-2</v>
      </c>
      <c r="CW56">
        <v>-9.5590299999999996E-3</v>
      </c>
      <c r="CX56">
        <v>21553.1</v>
      </c>
      <c r="CY56">
        <v>21877.599999999999</v>
      </c>
      <c r="CZ56">
        <v>23095.7</v>
      </c>
      <c r="DA56">
        <v>22290.9</v>
      </c>
      <c r="DB56">
        <v>30135.9</v>
      </c>
      <c r="DC56">
        <v>26843.9</v>
      </c>
      <c r="DD56">
        <v>40597.9</v>
      </c>
      <c r="DE56">
        <v>36949</v>
      </c>
      <c r="DF56">
        <v>2.0662600000000002</v>
      </c>
      <c r="DG56">
        <v>1.7810600000000001</v>
      </c>
      <c r="DH56">
        <v>-2.9534100000000001E-2</v>
      </c>
      <c r="DI56">
        <v>0</v>
      </c>
      <c r="DJ56">
        <v>26.101099999999999</v>
      </c>
      <c r="DK56">
        <v>999.9</v>
      </c>
      <c r="DL56">
        <v>73.8</v>
      </c>
      <c r="DM56">
        <v>31.3</v>
      </c>
      <c r="DN56">
        <v>33.872599999999998</v>
      </c>
      <c r="DO56">
        <v>30.39</v>
      </c>
      <c r="DP56">
        <v>10.3446</v>
      </c>
      <c r="DQ56">
        <v>1</v>
      </c>
      <c r="DR56">
        <v>0.248337</v>
      </c>
      <c r="DS56">
        <v>1.25237</v>
      </c>
      <c r="DT56">
        <v>20.363299999999999</v>
      </c>
      <c r="DU56">
        <v>5.2112999999999996</v>
      </c>
      <c r="DV56">
        <v>11.851800000000001</v>
      </c>
      <c r="DW56">
        <v>4.9678399999999998</v>
      </c>
      <c r="DX56">
        <v>3.2928999999999999</v>
      </c>
      <c r="DY56">
        <v>894.7</v>
      </c>
      <c r="DZ56">
        <v>0</v>
      </c>
      <c r="EA56">
        <v>1167.0999999999999</v>
      </c>
      <c r="EB56">
        <v>107.3</v>
      </c>
      <c r="EC56">
        <v>4.9715800000000003</v>
      </c>
      <c r="ED56">
        <v>1.8718399999999999</v>
      </c>
      <c r="EE56">
        <v>1.8690500000000001</v>
      </c>
      <c r="EF56">
        <v>1.8714900000000001</v>
      </c>
      <c r="EG56">
        <v>1.8692</v>
      </c>
      <c r="EH56">
        <v>1.8681300000000001</v>
      </c>
      <c r="EI56">
        <v>1.8699600000000001</v>
      </c>
      <c r="EJ56">
        <v>1.8717900000000001</v>
      </c>
      <c r="EK56">
        <v>0</v>
      </c>
      <c r="EL56">
        <v>0</v>
      </c>
      <c r="EM56">
        <v>0</v>
      </c>
      <c r="EN56">
        <v>0</v>
      </c>
      <c r="EO56" t="s">
        <v>320</v>
      </c>
      <c r="EP56" t="s">
        <v>321</v>
      </c>
      <c r="EQ56" t="s">
        <v>322</v>
      </c>
      <c r="ER56" t="s">
        <v>322</v>
      </c>
      <c r="ES56" t="s">
        <v>322</v>
      </c>
      <c r="ET56" t="s">
        <v>322</v>
      </c>
      <c r="EU56">
        <v>0</v>
      </c>
      <c r="EV56">
        <v>100</v>
      </c>
      <c r="EW56">
        <v>100</v>
      </c>
      <c r="EX56">
        <v>8.3059999999999992</v>
      </c>
      <c r="EY56">
        <v>-1.2110000000000001</v>
      </c>
      <c r="EZ56">
        <v>8.3186149999999994</v>
      </c>
      <c r="FA56">
        <v>0</v>
      </c>
      <c r="FB56">
        <v>0</v>
      </c>
      <c r="FC56">
        <v>0</v>
      </c>
      <c r="FD56">
        <v>-1.22476655</v>
      </c>
      <c r="FE56">
        <v>0</v>
      </c>
      <c r="FF56">
        <v>0</v>
      </c>
      <c r="FG56">
        <v>0</v>
      </c>
      <c r="FH56">
        <v>-1</v>
      </c>
      <c r="FI56">
        <v>-1</v>
      </c>
      <c r="FJ56">
        <v>-1</v>
      </c>
      <c r="FK56">
        <v>-1</v>
      </c>
      <c r="FL56">
        <v>0.7</v>
      </c>
      <c r="FM56">
        <v>0.5</v>
      </c>
      <c r="FN56">
        <v>0.142822</v>
      </c>
      <c r="FO56">
        <v>4.99756</v>
      </c>
      <c r="FP56">
        <v>1.5979000000000001</v>
      </c>
      <c r="FQ56">
        <v>2.1533199999999999</v>
      </c>
      <c r="FR56">
        <v>1.5478499999999999</v>
      </c>
      <c r="FS56">
        <v>2.36328</v>
      </c>
      <c r="FT56">
        <v>35.6845</v>
      </c>
      <c r="FU56">
        <v>15.7957</v>
      </c>
      <c r="FV56">
        <v>2</v>
      </c>
      <c r="FW56">
        <v>489.39699999999999</v>
      </c>
      <c r="FX56">
        <v>398.09100000000001</v>
      </c>
      <c r="FY56">
        <v>25.293600000000001</v>
      </c>
      <c r="FZ56">
        <v>30.301400000000001</v>
      </c>
      <c r="GA56">
        <v>30.0001</v>
      </c>
      <c r="GB56">
        <v>30.613499999999998</v>
      </c>
      <c r="GC56">
        <v>30.6736</v>
      </c>
      <c r="GD56">
        <v>-1</v>
      </c>
      <c r="GE56">
        <v>0</v>
      </c>
      <c r="GF56">
        <v>100</v>
      </c>
      <c r="GG56">
        <v>25.2849</v>
      </c>
      <c r="GH56">
        <v>432.1</v>
      </c>
      <c r="GI56">
        <v>78.840199999999996</v>
      </c>
      <c r="GJ56">
        <v>102.184</v>
      </c>
      <c r="GK56">
        <v>96.406599999999997</v>
      </c>
    </row>
    <row r="57" spans="1:193" x14ac:dyDescent="0.35">
      <c r="A57">
        <v>41</v>
      </c>
      <c r="B57">
        <v>1775466454</v>
      </c>
      <c r="C57">
        <v>2497.900000095367</v>
      </c>
      <c r="D57" t="s">
        <v>444</v>
      </c>
      <c r="E57" t="s">
        <v>445</v>
      </c>
      <c r="F57">
        <v>30</v>
      </c>
      <c r="G57">
        <v>1775466438.5</v>
      </c>
      <c r="H57">
        <f t="shared" si="18"/>
        <v>2.343473453177447E-3</v>
      </c>
      <c r="I57">
        <f>1000*AY57*AG57*(AU57-AV57)/(100*AN57*(1000-AG57*AU57))</f>
        <v>2.343473453177447</v>
      </c>
      <c r="J57">
        <f>AY57*AG57*(AT57-AS57*(1000-AG57*AV57)/(1000-AG57*AU57))/(100*AN57)</f>
        <v>-2.072653341981451</v>
      </c>
      <c r="K57">
        <f t="shared" si="19"/>
        <v>10.42482360655738</v>
      </c>
      <c r="L57">
        <f t="shared" si="20"/>
        <v>57.442794335901752</v>
      </c>
      <c r="M57">
        <f>L57*(AZ57+BA57)/1000</f>
        <v>5.7463750654740471</v>
      </c>
      <c r="N57">
        <f>(AS57 - IF(AG57&gt;1, J57*AN57*100/(AI57), 0))*(AZ57+BA57)/1000</f>
        <v>1.0428626797712373</v>
      </c>
      <c r="O57">
        <f t="shared" si="21"/>
        <v>6.8753658061857695E-2</v>
      </c>
      <c r="P57">
        <f>IF(LEFT(AP57,1)&lt;&gt;"0",IF(LEFT(AP57,1)="1",3,AQ57),$D$5+$E$5*(BG57*AZ57/($K$5*1000))+$F$5*(BG57*AZ57/($K$5*1000))*MAX(MIN(AN57,$J$5),$I$5)*MAX(MIN(AN57,$J$5),$I$5)+$G$5*MAX(MIN(AN57,$J$5),$I$5)*(BG57*AZ57/($K$5*1000))+$H$5*(BG57*AZ57/($K$5*1000))*(BG57*AZ57/($K$5*1000)))</f>
        <v>2.3869046984013584</v>
      </c>
      <c r="Q57">
        <f>H57*(1000-(1000*0.61365*EXP(17.502*U57/(240.97+U57))/(AZ57+BA57)+AU57)/2)/(1000*0.61365*EXP(17.502*U57/(240.97+U57))/(AZ57+BA57)-AU57)</f>
        <v>6.7672103097024788E-2</v>
      </c>
      <c r="R57">
        <f t="shared" si="22"/>
        <v>4.2390820585718039E-2</v>
      </c>
      <c r="S57">
        <f t="shared" si="23"/>
        <v>0.12904693530491804</v>
      </c>
      <c r="T57">
        <f>(BB57+(S57+2*0.95*0.0000000567*(((BB57+$B$7)+273)^4-(BB57+273)^4)-44100*H57)/(1.84*29.3*P57+8*0.95*0.0000000567*(BB57+273)^3))</f>
        <v>24.763599979664981</v>
      </c>
      <c r="U57">
        <f>($C$7*BC57+$D$7*BD57+$E$7*T57)</f>
        <v>25.60414426229508</v>
      </c>
      <c r="V57">
        <f t="shared" si="24"/>
        <v>3.2960233845786191</v>
      </c>
      <c r="W57">
        <f t="shared" si="25"/>
        <v>-3.4530082238360507</v>
      </c>
      <c r="X57">
        <f>AU57*(AZ57+BA57)/1000</f>
        <v>-0.11311116827628143</v>
      </c>
      <c r="Y57">
        <f t="shared" si="26"/>
        <v>3.2757283198886458</v>
      </c>
      <c r="Z57">
        <f>(V57-AU57*(AZ57+BA57)/1000)</f>
        <v>3.4091345528549004</v>
      </c>
      <c r="AA57">
        <f t="shared" si="27"/>
        <v>-103.34717928512541</v>
      </c>
      <c r="AB57">
        <f>2*29.3*P57*0.92*(BB57-U57)</f>
        <v>-13.38680903197926</v>
      </c>
      <c r="AC57">
        <f>2*0.95*0.0000000567*(((BB57+$B$7)+273)^4-(U57+273)^4)</f>
        <v>-1.1929266188034899</v>
      </c>
      <c r="AD57">
        <f t="shared" si="28"/>
        <v>-117.79786800060323</v>
      </c>
      <c r="AE57">
        <v>20</v>
      </c>
      <c r="AF57">
        <v>4</v>
      </c>
      <c r="AG57">
        <f t="shared" si="29"/>
        <v>1</v>
      </c>
      <c r="AH57">
        <f t="shared" si="30"/>
        <v>0</v>
      </c>
      <c r="AI57">
        <f t="shared" si="31"/>
        <v>25634.304535600768</v>
      </c>
      <c r="AJ57">
        <f t="shared" si="32"/>
        <v>0.67528485245901637</v>
      </c>
      <c r="AK57">
        <f t="shared" si="33"/>
        <v>0.54022788196721316</v>
      </c>
      <c r="AL57">
        <f t="shared" si="34"/>
        <v>0.8</v>
      </c>
      <c r="AM57">
        <f t="shared" si="35"/>
        <v>0.19109999999999999</v>
      </c>
      <c r="AN57">
        <v>3</v>
      </c>
      <c r="AO57">
        <v>0.5</v>
      </c>
      <c r="AP57" t="s">
        <v>317</v>
      </c>
      <c r="AQ57">
        <v>2</v>
      </c>
      <c r="AR57">
        <v>1775466438.5</v>
      </c>
      <c r="AS57">
        <v>10.42482360655738</v>
      </c>
      <c r="AT57">
        <v>9.195917540983606</v>
      </c>
      <c r="AU57">
        <v>-1.130699180327869</v>
      </c>
      <c r="AV57">
        <v>-2.5383413114754099</v>
      </c>
      <c r="AW57">
        <v>2.1368236065573769</v>
      </c>
      <c r="AX57">
        <v>-1.3263413114754099</v>
      </c>
      <c r="AY57">
        <v>500.01129508196732</v>
      </c>
      <c r="AZ57">
        <v>99.991026229508194</v>
      </c>
      <c r="BA57">
        <v>4.5455837704918033E-2</v>
      </c>
      <c r="BB57">
        <v>25.500114754098359</v>
      </c>
      <c r="BC57">
        <v>25.60414426229508</v>
      </c>
      <c r="BD57">
        <v>999.9</v>
      </c>
      <c r="BE57">
        <v>0</v>
      </c>
      <c r="BF57">
        <v>0</v>
      </c>
      <c r="BG57">
        <v>4997.5409836065573</v>
      </c>
      <c r="BH57">
        <v>0.67528485245901637</v>
      </c>
      <c r="BI57">
        <v>199.25988524590159</v>
      </c>
      <c r="BJ57">
        <v>1.246940163934426</v>
      </c>
      <c r="BK57">
        <v>10.41643114754098</v>
      </c>
      <c r="BL57">
        <v>9.1855331147540973</v>
      </c>
      <c r="BM57">
        <v>-1.406266885245901</v>
      </c>
      <c r="BN57">
        <v>9.195917540983606</v>
      </c>
      <c r="BO57">
        <v>-1.130699180327869</v>
      </c>
      <c r="BP57">
        <v>-0.25367395081967209</v>
      </c>
      <c r="BQ57">
        <v>-0.113059868852459</v>
      </c>
      <c r="BR57">
        <v>-99.899999999999963</v>
      </c>
      <c r="BS57">
        <v>-99.899999999999963</v>
      </c>
      <c r="BT57">
        <v>1775466477</v>
      </c>
      <c r="BU57" t="s">
        <v>446</v>
      </c>
      <c r="BV57">
        <v>1775466473</v>
      </c>
      <c r="BW57">
        <v>1775466477</v>
      </c>
      <c r="BX57">
        <v>42</v>
      </c>
      <c r="BY57">
        <v>-1.7999999999999999E-2</v>
      </c>
      <c r="BZ57">
        <v>-1E-3</v>
      </c>
      <c r="CA57">
        <v>8.2880000000000003</v>
      </c>
      <c r="CB57">
        <v>-1.212</v>
      </c>
      <c r="CC57">
        <v>9</v>
      </c>
      <c r="CD57">
        <v>-1</v>
      </c>
      <c r="CE57">
        <v>0.39</v>
      </c>
      <c r="CF57">
        <v>0.05</v>
      </c>
      <c r="CG57">
        <v>9.1694847540983631</v>
      </c>
      <c r="CH57">
        <v>1.711518815441561</v>
      </c>
      <c r="CI57">
        <v>0.29374090658045909</v>
      </c>
      <c r="CJ57">
        <v>-1</v>
      </c>
      <c r="CK57">
        <v>500.04291803278687</v>
      </c>
      <c r="CL57">
        <v>-0.51336647276615499</v>
      </c>
      <c r="CM57">
        <v>0.20341126031358131</v>
      </c>
      <c r="CN57">
        <v>-1</v>
      </c>
      <c r="CO57">
        <v>0</v>
      </c>
      <c r="CP57">
        <v>0</v>
      </c>
      <c r="CQ57" t="s">
        <v>319</v>
      </c>
      <c r="CR57">
        <v>3.1675599999999999</v>
      </c>
      <c r="CS57">
        <v>2.6665100000000002</v>
      </c>
      <c r="CT57">
        <v>7.3892300000000005E-4</v>
      </c>
      <c r="CU57">
        <v>2.88441E-3</v>
      </c>
      <c r="CV57">
        <v>-1.1803299999999999E-2</v>
      </c>
      <c r="CW57">
        <v>-9.7100599999999995E-3</v>
      </c>
      <c r="CX57">
        <v>21550.3</v>
      </c>
      <c r="CY57">
        <v>21873.7</v>
      </c>
      <c r="CZ57">
        <v>23095</v>
      </c>
      <c r="DA57">
        <v>22290.799999999999</v>
      </c>
      <c r="DB57">
        <v>30137.5</v>
      </c>
      <c r="DC57">
        <v>26848</v>
      </c>
      <c r="DD57">
        <v>40597</v>
      </c>
      <c r="DE57">
        <v>36949.1</v>
      </c>
      <c r="DF57">
        <v>2.0663399999999998</v>
      </c>
      <c r="DG57">
        <v>1.78068</v>
      </c>
      <c r="DH57">
        <v>-3.0189799999999999E-2</v>
      </c>
      <c r="DI57">
        <v>0</v>
      </c>
      <c r="DJ57">
        <v>26.103300000000001</v>
      </c>
      <c r="DK57">
        <v>999.9</v>
      </c>
      <c r="DL57">
        <v>73.7</v>
      </c>
      <c r="DM57">
        <v>31.3</v>
      </c>
      <c r="DN57">
        <v>33.826300000000003</v>
      </c>
      <c r="DO57">
        <v>30.42</v>
      </c>
      <c r="DP57">
        <v>10.7692</v>
      </c>
      <c r="DQ57">
        <v>1</v>
      </c>
      <c r="DR57">
        <v>0.249142</v>
      </c>
      <c r="DS57">
        <v>1.2415799999999999</v>
      </c>
      <c r="DT57">
        <v>20.363</v>
      </c>
      <c r="DU57">
        <v>5.2105800000000002</v>
      </c>
      <c r="DV57">
        <v>11.8506</v>
      </c>
      <c r="DW57">
        <v>4.9677600000000002</v>
      </c>
      <c r="DX57">
        <v>3.2929599999999999</v>
      </c>
      <c r="DY57">
        <v>894.7</v>
      </c>
      <c r="DZ57">
        <v>0</v>
      </c>
      <c r="EA57">
        <v>1201.5</v>
      </c>
      <c r="EB57">
        <v>107.3</v>
      </c>
      <c r="EC57">
        <v>4.97159</v>
      </c>
      <c r="ED57">
        <v>1.8718699999999999</v>
      </c>
      <c r="EE57">
        <v>1.8690500000000001</v>
      </c>
      <c r="EF57">
        <v>1.8714900000000001</v>
      </c>
      <c r="EG57">
        <v>1.8692</v>
      </c>
      <c r="EH57">
        <v>1.8681300000000001</v>
      </c>
      <c r="EI57">
        <v>1.8699600000000001</v>
      </c>
      <c r="EJ57">
        <v>1.8717999999999999</v>
      </c>
      <c r="EK57">
        <v>0</v>
      </c>
      <c r="EL57">
        <v>0</v>
      </c>
      <c r="EM57">
        <v>0</v>
      </c>
      <c r="EN57">
        <v>0</v>
      </c>
      <c r="EO57" t="s">
        <v>320</v>
      </c>
      <c r="EP57" t="s">
        <v>321</v>
      </c>
      <c r="EQ57" t="s">
        <v>322</v>
      </c>
      <c r="ER57" t="s">
        <v>322</v>
      </c>
      <c r="ES57" t="s">
        <v>322</v>
      </c>
      <c r="ET57" t="s">
        <v>322</v>
      </c>
      <c r="EU57">
        <v>0</v>
      </c>
      <c r="EV57">
        <v>100</v>
      </c>
      <c r="EW57">
        <v>100</v>
      </c>
      <c r="EX57">
        <v>8.2880000000000003</v>
      </c>
      <c r="EY57">
        <v>-1.212</v>
      </c>
      <c r="EZ57">
        <v>8.3060332380952371</v>
      </c>
      <c r="FA57">
        <v>0</v>
      </c>
      <c r="FB57">
        <v>0</v>
      </c>
      <c r="FC57">
        <v>0</v>
      </c>
      <c r="FD57">
        <v>-1.21062483</v>
      </c>
      <c r="FE57">
        <v>0</v>
      </c>
      <c r="FF57">
        <v>0</v>
      </c>
      <c r="FG57">
        <v>0</v>
      </c>
      <c r="FH57">
        <v>-1</v>
      </c>
      <c r="FI57">
        <v>-1</v>
      </c>
      <c r="FJ57">
        <v>-1</v>
      </c>
      <c r="FK57">
        <v>-1</v>
      </c>
      <c r="FL57">
        <v>0.7</v>
      </c>
      <c r="FM57">
        <v>0.7</v>
      </c>
      <c r="FN57">
        <v>0.142822</v>
      </c>
      <c r="FO57">
        <v>4.99756</v>
      </c>
      <c r="FP57">
        <v>1.5979000000000001</v>
      </c>
      <c r="FQ57">
        <v>2.1533199999999999</v>
      </c>
      <c r="FR57">
        <v>1.5478499999999999</v>
      </c>
      <c r="FS57">
        <v>2.4633799999999999</v>
      </c>
      <c r="FT57">
        <v>35.707799999999999</v>
      </c>
      <c r="FU57">
        <v>15.804399999999999</v>
      </c>
      <c r="FV57">
        <v>2</v>
      </c>
      <c r="FW57">
        <v>489.53699999999998</v>
      </c>
      <c r="FX57">
        <v>397.94200000000001</v>
      </c>
      <c r="FY57">
        <v>25.280899999999999</v>
      </c>
      <c r="FZ57">
        <v>30.3124</v>
      </c>
      <c r="GA57">
        <v>30.000299999999999</v>
      </c>
      <c r="GB57">
        <v>30.626100000000001</v>
      </c>
      <c r="GC57">
        <v>30.684100000000001</v>
      </c>
      <c r="GD57">
        <v>-1</v>
      </c>
      <c r="GE57">
        <v>0</v>
      </c>
      <c r="GF57">
        <v>100</v>
      </c>
      <c r="GG57">
        <v>25.2788</v>
      </c>
      <c r="GH57">
        <v>432.1</v>
      </c>
      <c r="GI57">
        <v>78.840199999999996</v>
      </c>
      <c r="GJ57">
        <v>102.181</v>
      </c>
      <c r="GK57">
        <v>96.406700000000001</v>
      </c>
    </row>
    <row r="58" spans="1:193" x14ac:dyDescent="0.35">
      <c r="A58">
        <v>42</v>
      </c>
      <c r="B58">
        <v>1775466514</v>
      </c>
      <c r="C58">
        <v>2557.900000095367</v>
      </c>
      <c r="D58" t="s">
        <v>447</v>
      </c>
      <c r="E58" t="s">
        <v>448</v>
      </c>
      <c r="F58">
        <v>30</v>
      </c>
      <c r="G58">
        <v>1775466498.5</v>
      </c>
      <c r="H58">
        <f t="shared" si="18"/>
        <v>2.3863830133352376E-3</v>
      </c>
      <c r="I58">
        <f>1000*AY58*AG58*(AU58-AV58)/(100*AN58*(1000-AG58*AU58))</f>
        <v>2.3863830133352377</v>
      </c>
      <c r="J58">
        <f>AY58*AG58*(AT58-AS58*(1000-AG58*AV58)/(1000-AG58*AU58))/(100*AN58)</f>
        <v>-1.5279125527396109</v>
      </c>
      <c r="K58">
        <f t="shared" si="19"/>
        <v>11.692835409836061</v>
      </c>
      <c r="L58">
        <f t="shared" si="20"/>
        <v>45.495717323122584</v>
      </c>
      <c r="M58">
        <f>L58*(AZ58+BA58)/1000</f>
        <v>4.551228858325894</v>
      </c>
      <c r="N58">
        <f>(AS58 - IF(AG58&gt;1, J58*AN58*100/(AI58), 0))*(AZ58+BA58)/1000</f>
        <v>1.1697094382519837</v>
      </c>
      <c r="O58">
        <f t="shared" si="21"/>
        <v>7.0054199224464597E-2</v>
      </c>
      <c r="P58">
        <f>IF(LEFT(AP58,1)&lt;&gt;"0",IF(LEFT(AP58,1)="1",3,AQ58),$D$5+$E$5*(BG58*AZ58/($K$5*1000))+$F$5*(BG58*AZ58/($K$5*1000))*MAX(MIN(AN58,$J$5),$I$5)*MAX(MIN(AN58,$J$5),$I$5)+$G$5*MAX(MIN(AN58,$J$5),$I$5)*(BG58*AZ58/($K$5*1000))+$H$5*(BG58*AZ58/($K$5*1000))*(BG58*AZ58/($K$5*1000)))</f>
        <v>2.388201164769038</v>
      </c>
      <c r="Q58">
        <f>H58*(1000-(1000*0.61365*EXP(17.502*U58/(240.97+U58))/(AZ58+BA58)+AU58)/2)/(1000*0.61365*EXP(17.502*U58/(240.97+U58))/(AZ58+BA58)-AU58)</f>
        <v>6.8932298940914655E-2</v>
      </c>
      <c r="R58">
        <f t="shared" si="22"/>
        <v>4.31819884791034E-2</v>
      </c>
      <c r="S58">
        <f t="shared" si="23"/>
        <v>0.12341899331311476</v>
      </c>
      <c r="T58">
        <f>(BB58+(S58+2*0.95*0.0000000567*(((BB58+$B$7)+273)^4-(BB58+273)^4)-44100*H58)/(1.84*29.3*P58+8*0.95*0.0000000567*(BB58+273)^3))</f>
        <v>24.7510593501272</v>
      </c>
      <c r="U58">
        <f>($C$7*BC58+$D$7*BD58+$E$7*T58)</f>
        <v>25.612340983606561</v>
      </c>
      <c r="V58">
        <f t="shared" si="24"/>
        <v>3.2976271370770887</v>
      </c>
      <c r="W58">
        <f t="shared" si="25"/>
        <v>-3.3697137021552872</v>
      </c>
      <c r="X58">
        <f>AU58*(AZ58+BA58)/1000</f>
        <v>-0.11038678256353501</v>
      </c>
      <c r="Y58">
        <f t="shared" si="26"/>
        <v>3.2758504822807657</v>
      </c>
      <c r="Z58">
        <f>(V58-AU58*(AZ58+BA58)/1000)</f>
        <v>3.4080139196406236</v>
      </c>
      <c r="AA58">
        <f t="shared" si="27"/>
        <v>-105.23949088808398</v>
      </c>
      <c r="AB58">
        <f>2*29.3*P58*0.92*(BB58-U58)</f>
        <v>-14.368590383364966</v>
      </c>
      <c r="AC58">
        <f>2*0.95*0.0000000567*(((BB58+$B$7)+273)^4-(U58+273)^4)</f>
        <v>-1.2797768687116302</v>
      </c>
      <c r="AD58">
        <f t="shared" si="28"/>
        <v>-120.76443914684745</v>
      </c>
      <c r="AE58">
        <v>21</v>
      </c>
      <c r="AF58">
        <v>4</v>
      </c>
      <c r="AG58">
        <f t="shared" si="29"/>
        <v>1</v>
      </c>
      <c r="AH58">
        <f t="shared" si="30"/>
        <v>0</v>
      </c>
      <c r="AI58">
        <f t="shared" si="31"/>
        <v>25654.07041067602</v>
      </c>
      <c r="AJ58">
        <f t="shared" si="32"/>
        <v>0.64583460655737712</v>
      </c>
      <c r="AK58">
        <f t="shared" si="33"/>
        <v>0.51666768524590168</v>
      </c>
      <c r="AL58">
        <f t="shared" si="34"/>
        <v>0.8</v>
      </c>
      <c r="AM58">
        <f t="shared" si="35"/>
        <v>0.19109999999999999</v>
      </c>
      <c r="AN58">
        <v>3</v>
      </c>
      <c r="AO58">
        <v>0.5</v>
      </c>
      <c r="AP58" t="s">
        <v>317</v>
      </c>
      <c r="AQ58">
        <v>2</v>
      </c>
      <c r="AR58">
        <v>1775466498.5</v>
      </c>
      <c r="AS58">
        <v>11.692835409836061</v>
      </c>
      <c r="AT58">
        <v>10.79305459016393</v>
      </c>
      <c r="AU58">
        <v>-1.103465901639344</v>
      </c>
      <c r="AV58">
        <v>-2.5365180327868848</v>
      </c>
      <c r="AW58">
        <v>3.386835409836066</v>
      </c>
      <c r="AX58">
        <v>-1.3155180327868849</v>
      </c>
      <c r="AY58">
        <v>500.1247868852459</v>
      </c>
      <c r="AZ58">
        <v>99.990970491803282</v>
      </c>
      <c r="BA58">
        <v>4.5453288524590171E-2</v>
      </c>
      <c r="BB58">
        <v>25.50074262295081</v>
      </c>
      <c r="BC58">
        <v>25.612340983606561</v>
      </c>
      <c r="BD58">
        <v>999.9</v>
      </c>
      <c r="BE58">
        <v>0</v>
      </c>
      <c r="BF58">
        <v>0</v>
      </c>
      <c r="BG58">
        <v>5000.8852459016398</v>
      </c>
      <c r="BH58">
        <v>0.64583460655737712</v>
      </c>
      <c r="BI58">
        <v>198.8224426229508</v>
      </c>
      <c r="BJ58">
        <v>0.88207005573770492</v>
      </c>
      <c r="BK58">
        <v>11.645691803278689</v>
      </c>
      <c r="BL58">
        <v>10.781163442622949</v>
      </c>
      <c r="BM58">
        <v>-1.424037049180328</v>
      </c>
      <c r="BN58">
        <v>10.79305459016393</v>
      </c>
      <c r="BO58">
        <v>-1.103465901639344</v>
      </c>
      <c r="BP58">
        <v>-0.2527275245901639</v>
      </c>
      <c r="BQ58">
        <v>-0.1103366229508197</v>
      </c>
      <c r="BR58">
        <v>-99.899999999999963</v>
      </c>
      <c r="BS58">
        <v>-99.899999999999963</v>
      </c>
      <c r="BT58">
        <v>1775466543</v>
      </c>
      <c r="BU58" t="s">
        <v>449</v>
      </c>
      <c r="BV58">
        <v>1775466536.5</v>
      </c>
      <c r="BW58">
        <v>1775466543</v>
      </c>
      <c r="BX58">
        <v>43</v>
      </c>
      <c r="BY58">
        <v>1.7999999999999999E-2</v>
      </c>
      <c r="BZ58">
        <v>-8.9999999999999993E-3</v>
      </c>
      <c r="CA58">
        <v>8.3059999999999992</v>
      </c>
      <c r="CB58">
        <v>-1.2210000000000001</v>
      </c>
      <c r="CC58">
        <v>10</v>
      </c>
      <c r="CD58">
        <v>-1</v>
      </c>
      <c r="CE58">
        <v>0.54</v>
      </c>
      <c r="CF58">
        <v>7.0000000000000007E-2</v>
      </c>
      <c r="CG58">
        <v>10.807285333333329</v>
      </c>
      <c r="CH58">
        <v>3.5998146818560808</v>
      </c>
      <c r="CI58">
        <v>1.1614415812650909</v>
      </c>
      <c r="CJ58">
        <v>-1</v>
      </c>
      <c r="CK58">
        <v>500.12720000000002</v>
      </c>
      <c r="CL58">
        <v>-1.574317310362366</v>
      </c>
      <c r="CM58">
        <v>0.46631769571112458</v>
      </c>
      <c r="CN58">
        <v>-1</v>
      </c>
      <c r="CO58">
        <v>0</v>
      </c>
      <c r="CP58">
        <v>0</v>
      </c>
      <c r="CQ58" t="s">
        <v>319</v>
      </c>
      <c r="CR58">
        <v>3.1675499999999999</v>
      </c>
      <c r="CS58">
        <v>2.66683</v>
      </c>
      <c r="CT58">
        <v>1.1929099999999999E-3</v>
      </c>
      <c r="CU58">
        <v>2.9528000000000002E-3</v>
      </c>
      <c r="CV58">
        <v>-1.17657E-2</v>
      </c>
      <c r="CW58">
        <v>-9.4789000000000002E-3</v>
      </c>
      <c r="CX58">
        <v>21540.5</v>
      </c>
      <c r="CY58">
        <v>21872.1</v>
      </c>
      <c r="CZ58">
        <v>23095.1</v>
      </c>
      <c r="DA58">
        <v>22290.7</v>
      </c>
      <c r="DB58">
        <v>30136.400000000001</v>
      </c>
      <c r="DC58">
        <v>26841.599999999999</v>
      </c>
      <c r="DD58">
        <v>40597</v>
      </c>
      <c r="DE58">
        <v>36948.699999999997</v>
      </c>
      <c r="DF58">
        <v>2.06596</v>
      </c>
      <c r="DG58">
        <v>1.78108</v>
      </c>
      <c r="DH58">
        <v>-3.01301E-2</v>
      </c>
      <c r="DI58">
        <v>0</v>
      </c>
      <c r="DJ58">
        <v>26.112500000000001</v>
      </c>
      <c r="DK58">
        <v>999.9</v>
      </c>
      <c r="DL58">
        <v>73.7</v>
      </c>
      <c r="DM58">
        <v>31.4</v>
      </c>
      <c r="DN58">
        <v>34.015599999999999</v>
      </c>
      <c r="DO58">
        <v>30.84</v>
      </c>
      <c r="DP58">
        <v>10.352600000000001</v>
      </c>
      <c r="DQ58">
        <v>1</v>
      </c>
      <c r="DR58">
        <v>0.250199</v>
      </c>
      <c r="DS58">
        <v>1.2641</v>
      </c>
      <c r="DT58">
        <v>20.363299999999999</v>
      </c>
      <c r="DU58">
        <v>5.2112999999999996</v>
      </c>
      <c r="DV58">
        <v>11.8527</v>
      </c>
      <c r="DW58">
        <v>4.9677600000000002</v>
      </c>
      <c r="DX58">
        <v>3.2929599999999999</v>
      </c>
      <c r="DY58">
        <v>894.7</v>
      </c>
      <c r="DZ58">
        <v>0</v>
      </c>
      <c r="EA58">
        <v>1235.3</v>
      </c>
      <c r="EB58">
        <v>107.3</v>
      </c>
      <c r="EC58">
        <v>4.9716199999999997</v>
      </c>
      <c r="ED58">
        <v>1.8718600000000001</v>
      </c>
      <c r="EE58">
        <v>1.8690500000000001</v>
      </c>
      <c r="EF58">
        <v>1.8714900000000001</v>
      </c>
      <c r="EG58">
        <v>1.8692</v>
      </c>
      <c r="EH58">
        <v>1.8681300000000001</v>
      </c>
      <c r="EI58">
        <v>1.8699600000000001</v>
      </c>
      <c r="EJ58">
        <v>1.8717999999999999</v>
      </c>
      <c r="EK58">
        <v>0</v>
      </c>
      <c r="EL58">
        <v>0</v>
      </c>
      <c r="EM58">
        <v>0</v>
      </c>
      <c r="EN58">
        <v>0</v>
      </c>
      <c r="EO58" t="s">
        <v>320</v>
      </c>
      <c r="EP58" t="s">
        <v>321</v>
      </c>
      <c r="EQ58" t="s">
        <v>322</v>
      </c>
      <c r="ER58" t="s">
        <v>322</v>
      </c>
      <c r="ES58" t="s">
        <v>322</v>
      </c>
      <c r="ET58" t="s">
        <v>322</v>
      </c>
      <c r="EU58">
        <v>0</v>
      </c>
      <c r="EV58">
        <v>100</v>
      </c>
      <c r="EW58">
        <v>100</v>
      </c>
      <c r="EX58">
        <v>8.3059999999999992</v>
      </c>
      <c r="EY58">
        <v>-1.2210000000000001</v>
      </c>
      <c r="EZ58">
        <v>8.2882891500000007</v>
      </c>
      <c r="FA58">
        <v>0</v>
      </c>
      <c r="FB58">
        <v>0</v>
      </c>
      <c r="FC58">
        <v>0</v>
      </c>
      <c r="FD58">
        <v>-1.2119857700000001</v>
      </c>
      <c r="FE58">
        <v>0</v>
      </c>
      <c r="FF58">
        <v>0</v>
      </c>
      <c r="FG58">
        <v>0</v>
      </c>
      <c r="FH58">
        <v>-1</v>
      </c>
      <c r="FI58">
        <v>-1</v>
      </c>
      <c r="FJ58">
        <v>-1</v>
      </c>
      <c r="FK58">
        <v>-1</v>
      </c>
      <c r="FL58">
        <v>0.7</v>
      </c>
      <c r="FM58">
        <v>0.6</v>
      </c>
      <c r="FN58">
        <v>0.142822</v>
      </c>
      <c r="FO58">
        <v>4.99756</v>
      </c>
      <c r="FP58">
        <v>1.5979000000000001</v>
      </c>
      <c r="FQ58">
        <v>2.1520999999999999</v>
      </c>
      <c r="FR58">
        <v>1.5478499999999999</v>
      </c>
      <c r="FS58">
        <v>2.3327599999999999</v>
      </c>
      <c r="FT58">
        <v>35.731099999999998</v>
      </c>
      <c r="FU58">
        <v>15.7781</v>
      </c>
      <c r="FV58">
        <v>2</v>
      </c>
      <c r="FW58">
        <v>489.39800000000002</v>
      </c>
      <c r="FX58">
        <v>398.24799999999999</v>
      </c>
      <c r="FY58">
        <v>25.280999999999999</v>
      </c>
      <c r="FZ58">
        <v>30.324999999999999</v>
      </c>
      <c r="GA58">
        <v>30.0001</v>
      </c>
      <c r="GB58">
        <v>30.636600000000001</v>
      </c>
      <c r="GC58">
        <v>30.6965</v>
      </c>
      <c r="GD58">
        <v>-1</v>
      </c>
      <c r="GE58">
        <v>0</v>
      </c>
      <c r="GF58">
        <v>100</v>
      </c>
      <c r="GG58">
        <v>25.277899999999999</v>
      </c>
      <c r="GH58">
        <v>432.1</v>
      </c>
      <c r="GI58">
        <v>78.840199999999996</v>
      </c>
      <c r="GJ58">
        <v>102.181</v>
      </c>
      <c r="GK58">
        <v>96.405799999999999</v>
      </c>
    </row>
    <row r="59" spans="1:193" x14ac:dyDescent="0.35">
      <c r="A59">
        <v>43</v>
      </c>
      <c r="B59">
        <v>1775466574</v>
      </c>
      <c r="C59">
        <v>2617.900000095367</v>
      </c>
      <c r="D59" t="s">
        <v>450</v>
      </c>
      <c r="E59" t="s">
        <v>451</v>
      </c>
      <c r="F59">
        <v>30</v>
      </c>
      <c r="G59">
        <v>1775466558.5</v>
      </c>
      <c r="H59">
        <f t="shared" si="18"/>
        <v>2.3242503039437434E-3</v>
      </c>
      <c r="I59">
        <f>1000*AY59*AG59*(AU59-AV59)/(100*AN59*(1000-AG59*AU59))</f>
        <v>2.3242503039437432</v>
      </c>
      <c r="J59">
        <f>AY59*AG59*(AT59-AS59*(1000-AG59*AV59)/(1000-AG59*AU59))/(100*AN59)</f>
        <v>2.7861063947400182</v>
      </c>
      <c r="K59">
        <f t="shared" si="19"/>
        <v>15.59368803278689</v>
      </c>
      <c r="L59">
        <f t="shared" si="20"/>
        <v>-49.53907451441944</v>
      </c>
      <c r="M59">
        <f>L59*(AZ59+BA59)/1000</f>
        <v>-4.955779082262266</v>
      </c>
      <c r="N59">
        <f>(AS59 - IF(AG59&gt;1, J59*AN59*100/(AI59), 0))*(AZ59+BA59)/1000</f>
        <v>1.5599579468468872</v>
      </c>
      <c r="O59">
        <f t="shared" si="21"/>
        <v>6.8392572067613719E-2</v>
      </c>
      <c r="P59">
        <f>IF(LEFT(AP59,1)&lt;&gt;"0",IF(LEFT(AP59,1)="1",3,AQ59),$D$5+$E$5*(BG59*AZ59/($K$5*1000))+$F$5*(BG59*AZ59/($K$5*1000))*MAX(MIN(AN59,$J$5),$I$5)*MAX(MIN(AN59,$J$5),$I$5)+$G$5*MAX(MIN(AN59,$J$5),$I$5)*(BG59*AZ59/($K$5*1000))+$H$5*(BG59*AZ59/($K$5*1000))*(BG59*AZ59/($K$5*1000)))</f>
        <v>2.3825340280911762</v>
      </c>
      <c r="Q59">
        <f>H59*(1000-(1000*0.61365*EXP(17.502*U59/(240.97+U59))/(AZ59+BA59)+AU59)/2)/(1000*0.61365*EXP(17.502*U59/(240.97+U59))/(AZ59+BA59)-AU59)</f>
        <v>6.7320322053472492E-2</v>
      </c>
      <c r="R59">
        <f t="shared" si="22"/>
        <v>4.2170138343596425E-2</v>
      </c>
      <c r="S59">
        <f t="shared" si="23"/>
        <v>0.11847651762295082</v>
      </c>
      <c r="T59">
        <f>(BB59+(S59+2*0.95*0.0000000567*(((BB59+$B$7)+273)^4-(BB59+273)^4)-44100*H59)/(1.84*29.3*P59+8*0.95*0.0000000567*(BB59+273)^3))</f>
        <v>24.746740086929854</v>
      </c>
      <c r="U59">
        <f>($C$7*BC59+$D$7*BD59+$E$7*T59)</f>
        <v>25.587995081967211</v>
      </c>
      <c r="V59">
        <f t="shared" si="24"/>
        <v>3.2928656649270072</v>
      </c>
      <c r="W59">
        <f t="shared" si="25"/>
        <v>-3.2384916468004454</v>
      </c>
      <c r="X59">
        <f>AU59*(AZ59+BA59)/1000</f>
        <v>-0.10594822619084278</v>
      </c>
      <c r="Y59">
        <f t="shared" si="26"/>
        <v>3.2715300129156475</v>
      </c>
      <c r="Z59">
        <f>(V59-AU59*(AZ59+BA59)/1000)</f>
        <v>3.3988138911178498</v>
      </c>
      <c r="AA59">
        <f t="shared" si="27"/>
        <v>-102.49943840391909</v>
      </c>
      <c r="AB59">
        <f>2*29.3*P59*0.92*(BB59-U59)</f>
        <v>-14.061175365714822</v>
      </c>
      <c r="AC59">
        <f>2*0.95*0.0000000567*(((BB59+$B$7)+273)^4-(U59+273)^4)</f>
        <v>-1.2550814325728421</v>
      </c>
      <c r="AD59">
        <f t="shared" si="28"/>
        <v>-117.69721868458379</v>
      </c>
      <c r="AE59">
        <v>22</v>
      </c>
      <c r="AF59">
        <v>4</v>
      </c>
      <c r="AG59">
        <f t="shared" si="29"/>
        <v>1</v>
      </c>
      <c r="AH59">
        <f t="shared" si="30"/>
        <v>0</v>
      </c>
      <c r="AI59">
        <f t="shared" si="31"/>
        <v>25569.37356952054</v>
      </c>
      <c r="AJ59">
        <f t="shared" si="32"/>
        <v>0.61997131147540985</v>
      </c>
      <c r="AK59">
        <f t="shared" si="33"/>
        <v>0.49597704918032792</v>
      </c>
      <c r="AL59">
        <f t="shared" si="34"/>
        <v>0.8</v>
      </c>
      <c r="AM59">
        <f t="shared" si="35"/>
        <v>0.19109999999999999</v>
      </c>
      <c r="AN59">
        <v>3</v>
      </c>
      <c r="AO59">
        <v>0.5</v>
      </c>
      <c r="AP59" t="s">
        <v>317</v>
      </c>
      <c r="AQ59">
        <v>2</v>
      </c>
      <c r="AR59">
        <v>1775466558.5</v>
      </c>
      <c r="AS59">
        <v>15.59368803278689</v>
      </c>
      <c r="AT59">
        <v>17.28468098360656</v>
      </c>
      <c r="AU59">
        <v>-1.0590821311475409</v>
      </c>
      <c r="AV59">
        <v>-2.4531166557377051</v>
      </c>
      <c r="AW59">
        <v>7.3326880327868862</v>
      </c>
      <c r="AX59">
        <v>-1.230116655737705</v>
      </c>
      <c r="AY59">
        <v>500.7146885245902</v>
      </c>
      <c r="AZ59">
        <v>99.990570491803297</v>
      </c>
      <c r="BA59">
        <v>4.7210408196721322E-2</v>
      </c>
      <c r="BB59">
        <v>25.478524590163929</v>
      </c>
      <c r="BC59">
        <v>25.587995081967211</v>
      </c>
      <c r="BD59">
        <v>999.9</v>
      </c>
      <c r="BE59">
        <v>0</v>
      </c>
      <c r="BF59">
        <v>0</v>
      </c>
      <c r="BG59">
        <v>4986.3032786885242</v>
      </c>
      <c r="BH59">
        <v>0.61997131147540985</v>
      </c>
      <c r="BI59">
        <v>198.3742131147541</v>
      </c>
      <c r="BJ59">
        <v>-1.6461381468852461</v>
      </c>
      <c r="BK59">
        <v>15.598704918032791</v>
      </c>
      <c r="BL59">
        <v>17.266344918032789</v>
      </c>
      <c r="BM59">
        <v>-1.392464746557377</v>
      </c>
      <c r="BN59">
        <v>17.28468098360656</v>
      </c>
      <c r="BO59">
        <v>-1.0590821311475409</v>
      </c>
      <c r="BP59">
        <v>-0.24513129508196721</v>
      </c>
      <c r="BQ59">
        <v>-0.1058982131147541</v>
      </c>
      <c r="BR59">
        <v>-99.899999999999963</v>
      </c>
      <c r="BS59">
        <v>-99.899999999999963</v>
      </c>
      <c r="BT59">
        <v>1775466613</v>
      </c>
      <c r="BU59" t="s">
        <v>452</v>
      </c>
      <c r="BV59">
        <v>1775466593</v>
      </c>
      <c r="BW59">
        <v>1775466613</v>
      </c>
      <c r="BX59">
        <v>44</v>
      </c>
      <c r="BY59">
        <v>-4.4999999999999998E-2</v>
      </c>
      <c r="BZ59">
        <v>-2E-3</v>
      </c>
      <c r="CA59">
        <v>8.2609999999999992</v>
      </c>
      <c r="CB59">
        <v>-1.2230000000000001</v>
      </c>
      <c r="CC59">
        <v>10</v>
      </c>
      <c r="CD59">
        <v>-1</v>
      </c>
      <c r="CE59">
        <v>7.0000000000000007E-2</v>
      </c>
      <c r="CF59">
        <v>0.04</v>
      </c>
      <c r="CG59">
        <v>17.381314</v>
      </c>
      <c r="CH59">
        <v>44.448294948596839</v>
      </c>
      <c r="CI59">
        <v>11.964851587157581</v>
      </c>
      <c r="CJ59">
        <v>-1</v>
      </c>
      <c r="CK59">
        <v>500.72775000000001</v>
      </c>
      <c r="CL59">
        <v>-6.2899372047781377</v>
      </c>
      <c r="CM59">
        <v>1.412294452595964</v>
      </c>
      <c r="CN59">
        <v>-1</v>
      </c>
      <c r="CO59">
        <v>0</v>
      </c>
      <c r="CP59">
        <v>0</v>
      </c>
      <c r="CQ59" t="s">
        <v>319</v>
      </c>
      <c r="CR59">
        <v>3.1674899999999999</v>
      </c>
      <c r="CS59">
        <v>2.6673900000000001</v>
      </c>
      <c r="CT59">
        <v>4.4116700000000003E-3</v>
      </c>
      <c r="CU59">
        <v>3.3517E-3</v>
      </c>
      <c r="CV59">
        <v>-1.6805199999999999E-2</v>
      </c>
      <c r="CW59">
        <v>-9.2326600000000002E-3</v>
      </c>
      <c r="CX59">
        <v>21469.4</v>
      </c>
      <c r="CY59">
        <v>21860.9</v>
      </c>
      <c r="CZ59">
        <v>23093.3</v>
      </c>
      <c r="DA59">
        <v>22288.2</v>
      </c>
      <c r="DB59">
        <v>30284</v>
      </c>
      <c r="DC59">
        <v>26832</v>
      </c>
      <c r="DD59">
        <v>40594.300000000003</v>
      </c>
      <c r="DE59">
        <v>36944.5</v>
      </c>
      <c r="DF59">
        <v>2.0628199999999999</v>
      </c>
      <c r="DG59">
        <v>1.7806599999999999</v>
      </c>
      <c r="DH59">
        <v>-4.49419E-2</v>
      </c>
      <c r="DI59">
        <v>0</v>
      </c>
      <c r="DJ59">
        <v>26.1342</v>
      </c>
      <c r="DK59">
        <v>999.9</v>
      </c>
      <c r="DL59">
        <v>73.599999999999994</v>
      </c>
      <c r="DM59">
        <v>31.4</v>
      </c>
      <c r="DN59">
        <v>33.972799999999999</v>
      </c>
      <c r="DO59">
        <v>31.11</v>
      </c>
      <c r="DP59">
        <v>10.745200000000001</v>
      </c>
      <c r="DQ59">
        <v>1</v>
      </c>
      <c r="DR59">
        <v>0.273289</v>
      </c>
      <c r="DS59">
        <v>5.4155300000000004</v>
      </c>
      <c r="DT59">
        <v>20.250900000000001</v>
      </c>
      <c r="DU59">
        <v>5.2090199999999998</v>
      </c>
      <c r="DV59">
        <v>11.8523</v>
      </c>
      <c r="DW59">
        <v>4.9674399999999999</v>
      </c>
      <c r="DX59">
        <v>3.2923800000000001</v>
      </c>
      <c r="DY59">
        <v>894.7</v>
      </c>
      <c r="DZ59">
        <v>0</v>
      </c>
      <c r="EA59">
        <v>1268.4000000000001</v>
      </c>
      <c r="EB59">
        <v>107.4</v>
      </c>
      <c r="EC59">
        <v>4.9715299999999996</v>
      </c>
      <c r="ED59">
        <v>1.8717999999999999</v>
      </c>
      <c r="EE59">
        <v>1.86904</v>
      </c>
      <c r="EF59">
        <v>1.8713900000000001</v>
      </c>
      <c r="EG59">
        <v>1.8691800000000001</v>
      </c>
      <c r="EH59">
        <v>1.86812</v>
      </c>
      <c r="EI59">
        <v>1.86995</v>
      </c>
      <c r="EJ59">
        <v>1.87174</v>
      </c>
      <c r="EK59">
        <v>0</v>
      </c>
      <c r="EL59">
        <v>0</v>
      </c>
      <c r="EM59">
        <v>0</v>
      </c>
      <c r="EN59">
        <v>0</v>
      </c>
      <c r="EO59" t="s">
        <v>320</v>
      </c>
      <c r="EP59" t="s">
        <v>321</v>
      </c>
      <c r="EQ59" t="s">
        <v>322</v>
      </c>
      <c r="ER59" t="s">
        <v>322</v>
      </c>
      <c r="ES59" t="s">
        <v>322</v>
      </c>
      <c r="ET59" t="s">
        <v>322</v>
      </c>
      <c r="EU59">
        <v>0</v>
      </c>
      <c r="EV59">
        <v>100</v>
      </c>
      <c r="EW59">
        <v>100</v>
      </c>
      <c r="EX59">
        <v>8.2609999999999992</v>
      </c>
      <c r="EY59">
        <v>-1.2230000000000001</v>
      </c>
      <c r="EZ59">
        <v>8.305852857142856</v>
      </c>
      <c r="FA59">
        <v>0</v>
      </c>
      <c r="FB59">
        <v>0</v>
      </c>
      <c r="FC59">
        <v>0</v>
      </c>
      <c r="FD59">
        <v>-1.22143015</v>
      </c>
      <c r="FE59">
        <v>0</v>
      </c>
      <c r="FF59">
        <v>0</v>
      </c>
      <c r="FG59">
        <v>0</v>
      </c>
      <c r="FH59">
        <v>-1</v>
      </c>
      <c r="FI59">
        <v>-1</v>
      </c>
      <c r="FJ59">
        <v>-1</v>
      </c>
      <c r="FK59">
        <v>-1</v>
      </c>
      <c r="FL59">
        <v>0.6</v>
      </c>
      <c r="FM59">
        <v>0.5</v>
      </c>
      <c r="FN59">
        <v>0.142822</v>
      </c>
      <c r="FO59">
        <v>4.99756</v>
      </c>
      <c r="FP59">
        <v>1.5979000000000001</v>
      </c>
      <c r="FQ59">
        <v>2.1520999999999999</v>
      </c>
      <c r="FR59">
        <v>1.5478499999999999</v>
      </c>
      <c r="FS59">
        <v>2.4572799999999999</v>
      </c>
      <c r="FT59">
        <v>35.754399999999997</v>
      </c>
      <c r="FU59">
        <v>15.611800000000001</v>
      </c>
      <c r="FV59">
        <v>2</v>
      </c>
      <c r="FW59">
        <v>487.65300000000002</v>
      </c>
      <c r="FX59">
        <v>398.11200000000002</v>
      </c>
      <c r="FY59">
        <v>23.8401</v>
      </c>
      <c r="FZ59">
        <v>30.344000000000001</v>
      </c>
      <c r="GA59">
        <v>30.005400000000002</v>
      </c>
      <c r="GB59">
        <v>30.644400000000001</v>
      </c>
      <c r="GC59">
        <v>30.712599999999998</v>
      </c>
      <c r="GD59">
        <v>-1</v>
      </c>
      <c r="GE59">
        <v>0</v>
      </c>
      <c r="GF59">
        <v>100</v>
      </c>
      <c r="GG59">
        <v>23.3813</v>
      </c>
      <c r="GH59">
        <v>432.1</v>
      </c>
      <c r="GI59">
        <v>78.840199999999996</v>
      </c>
      <c r="GJ59">
        <v>102.17400000000001</v>
      </c>
      <c r="GK59">
        <v>96.394900000000007</v>
      </c>
    </row>
    <row r="60" spans="1:193" x14ac:dyDescent="0.35">
      <c r="A60">
        <v>44</v>
      </c>
      <c r="B60">
        <v>1775466634</v>
      </c>
      <c r="C60">
        <v>2677.900000095367</v>
      </c>
      <c r="D60" t="s">
        <v>453</v>
      </c>
      <c r="E60" t="s">
        <v>454</v>
      </c>
      <c r="F60">
        <v>30</v>
      </c>
      <c r="G60">
        <v>1775466623.5</v>
      </c>
      <c r="H60">
        <f t="shared" si="18"/>
        <v>3.061127508670563E-3</v>
      </c>
      <c r="I60">
        <f>1000*AY60*AG60*(AU60-AV60)/(100*AN60*(1000-AG60*AU60))</f>
        <v>3.0611275086705629</v>
      </c>
      <c r="J60">
        <f>AY60*AG60*(AT60-AS60*(1000-AG60*AV60)/(1000-AG60*AU60))/(100*AN60)</f>
        <v>-3.5198165079771853</v>
      </c>
      <c r="K60">
        <f t="shared" si="19"/>
        <v>12.035448292682929</v>
      </c>
      <c r="L60">
        <f t="shared" si="20"/>
        <v>70.509149563917106</v>
      </c>
      <c r="M60">
        <f>L60*(AZ60+BA60)/1000</f>
        <v>7.0536019634324658</v>
      </c>
      <c r="N60">
        <f>(AS60 - IF(AG60&gt;1, J60*AN60*100/(AI60), 0))*(AZ60+BA60)/1000</f>
        <v>1.2040034837053568</v>
      </c>
      <c r="O60">
        <f t="shared" si="21"/>
        <v>9.460111757273422E-2</v>
      </c>
      <c r="P60">
        <f>IF(LEFT(AP60,1)&lt;&gt;"0",IF(LEFT(AP60,1)="1",3,AQ60),$D$5+$E$5*(BG60*AZ60/($K$5*1000))+$F$5*(BG60*AZ60/($K$5*1000))*MAX(MIN(AN60,$J$5),$I$5)*MAX(MIN(AN60,$J$5),$I$5)+$G$5*MAX(MIN(AN60,$J$5),$I$5)*(BG60*AZ60/($K$5*1000))+$H$5*(BG60*AZ60/($K$5*1000))*(BG60*AZ60/($K$5*1000)))</f>
        <v>2.3892178121356689</v>
      </c>
      <c r="Q60">
        <f>H60*(1000-(1000*0.61365*EXP(17.502*U60/(240.97+U60))/(AZ60+BA60)+AU60)/2)/(1000*0.61365*EXP(17.502*U60/(240.97+U60))/(AZ60+BA60)-AU60)</f>
        <v>9.2568390665581174E-2</v>
      </c>
      <c r="R60">
        <f t="shared" si="22"/>
        <v>5.8034238719400083E-2</v>
      </c>
      <c r="S60">
        <f t="shared" si="23"/>
        <v>0.12391820771707317</v>
      </c>
      <c r="T60">
        <f>(BB60+(S60+2*0.95*0.0000000567*(((BB60+$B$7)+273)^4-(BB60+273)^4)-44100*H60)/(1.84*29.3*P60+8*0.95*0.0000000567*(BB60+273)^3))</f>
        <v>23.946296689315162</v>
      </c>
      <c r="U60">
        <f>($C$7*BC60+$D$7*BD60+$E$7*T60)</f>
        <v>24.862814634146339</v>
      </c>
      <c r="V60">
        <f t="shared" si="24"/>
        <v>3.1537641801891199</v>
      </c>
      <c r="W60">
        <f t="shared" si="25"/>
        <v>-3.2871688616099659</v>
      </c>
      <c r="X60">
        <f>AU60*(AZ60+BA60)/1000</f>
        <v>-0.10395123344576497</v>
      </c>
      <c r="Y60">
        <f t="shared" si="26"/>
        <v>3.1623332363538053</v>
      </c>
      <c r="Z60">
        <f>(V60-AU60*(AZ60+BA60)/1000)</f>
        <v>3.2577154136348847</v>
      </c>
      <c r="AA60">
        <f t="shared" si="27"/>
        <v>-134.99572313237184</v>
      </c>
      <c r="AB60">
        <f>2*29.3*P60*0.92*(BB60-U60)</f>
        <v>5.8572859250356473</v>
      </c>
      <c r="AC60">
        <f>2*0.95*0.0000000567*(((BB60+$B$7)+273)^4-(U60+273)^4)</f>
        <v>0.51796475219007432</v>
      </c>
      <c r="AD60">
        <f t="shared" si="28"/>
        <v>-128.49655424742903</v>
      </c>
      <c r="AE60">
        <v>22</v>
      </c>
      <c r="AF60">
        <v>4</v>
      </c>
      <c r="AG60">
        <f t="shared" si="29"/>
        <v>1</v>
      </c>
      <c r="AH60">
        <f t="shared" si="30"/>
        <v>0</v>
      </c>
      <c r="AI60">
        <f t="shared" si="31"/>
        <v>25720.705378721774</v>
      </c>
      <c r="AJ60">
        <f t="shared" si="32"/>
        <v>0.6484469268292683</v>
      </c>
      <c r="AK60">
        <f t="shared" si="33"/>
        <v>0.51875754146341468</v>
      </c>
      <c r="AL60">
        <f t="shared" si="34"/>
        <v>0.8</v>
      </c>
      <c r="AM60">
        <f t="shared" si="35"/>
        <v>0.19109999999999999</v>
      </c>
      <c r="AN60">
        <v>3</v>
      </c>
      <c r="AO60">
        <v>0.5</v>
      </c>
      <c r="AP60" t="s">
        <v>317</v>
      </c>
      <c r="AQ60">
        <v>2</v>
      </c>
      <c r="AR60">
        <v>1775466623.5</v>
      </c>
      <c r="AS60">
        <v>12.035448292682929</v>
      </c>
      <c r="AT60">
        <v>9.9500582926829271</v>
      </c>
      <c r="AU60">
        <v>-1.039116341463415</v>
      </c>
      <c r="AV60">
        <v>-2.8738349439024389</v>
      </c>
      <c r="AW60">
        <v>3.748448292682927</v>
      </c>
      <c r="AX60">
        <v>-1.652834943902439</v>
      </c>
      <c r="AY60">
        <v>501.0536829268292</v>
      </c>
      <c r="AZ60">
        <v>99.989870731707327</v>
      </c>
      <c r="BA60">
        <v>4.8237897560975608E-2</v>
      </c>
      <c r="BB60">
        <v>24.90828780487805</v>
      </c>
      <c r="BC60">
        <v>24.862814634146339</v>
      </c>
      <c r="BD60">
        <v>999.90000000000009</v>
      </c>
      <c r="BE60">
        <v>0</v>
      </c>
      <c r="BF60">
        <v>0</v>
      </c>
      <c r="BG60">
        <v>5003.5609756097556</v>
      </c>
      <c r="BH60">
        <v>0.6484469268292683</v>
      </c>
      <c r="BI60">
        <v>197.92697560975611</v>
      </c>
      <c r="BJ60">
        <v>2.0594130707317069</v>
      </c>
      <c r="BK60">
        <v>11.97470975609756</v>
      </c>
      <c r="BL60">
        <v>9.93973487804878</v>
      </c>
      <c r="BM60">
        <v>-1.8370871985365851</v>
      </c>
      <c r="BN60">
        <v>9.9500582926829271</v>
      </c>
      <c r="BO60">
        <v>-1.039116341463415</v>
      </c>
      <c r="BP60">
        <v>-0.28759136585365858</v>
      </c>
      <c r="BQ60">
        <v>-0.1039010243902439</v>
      </c>
      <c r="BR60">
        <v>-99.9</v>
      </c>
      <c r="BS60">
        <v>-99.9</v>
      </c>
      <c r="BT60">
        <v>1775466659</v>
      </c>
      <c r="BU60" t="s">
        <v>455</v>
      </c>
      <c r="BV60">
        <v>1775466652</v>
      </c>
      <c r="BW60">
        <v>1775466659</v>
      </c>
      <c r="BX60">
        <v>45</v>
      </c>
      <c r="BY60">
        <v>2.5999999999999999E-2</v>
      </c>
      <c r="BZ60">
        <v>2E-3</v>
      </c>
      <c r="CA60">
        <v>8.2870000000000008</v>
      </c>
      <c r="CB60">
        <v>-1.2210000000000001</v>
      </c>
      <c r="CC60">
        <v>10</v>
      </c>
      <c r="CD60">
        <v>-1</v>
      </c>
      <c r="CE60">
        <v>0.1</v>
      </c>
      <c r="CF60">
        <v>0.02</v>
      </c>
      <c r="CG60">
        <v>10.398949333333331</v>
      </c>
      <c r="CH60">
        <v>-5.056884090024977</v>
      </c>
      <c r="CI60">
        <v>0.7627166423840217</v>
      </c>
      <c r="CJ60">
        <v>-1</v>
      </c>
      <c r="CK60">
        <v>500.72670000000011</v>
      </c>
      <c r="CL60">
        <v>-0.53546874131734068</v>
      </c>
      <c r="CM60">
        <v>1.4169296065789581</v>
      </c>
      <c r="CN60">
        <v>-1</v>
      </c>
      <c r="CO60">
        <v>0</v>
      </c>
      <c r="CP60">
        <v>0</v>
      </c>
      <c r="CQ60" t="s">
        <v>319</v>
      </c>
      <c r="CR60">
        <v>3.16751</v>
      </c>
      <c r="CS60">
        <v>2.6669999999999998</v>
      </c>
      <c r="CT60">
        <v>1.02815E-3</v>
      </c>
      <c r="CU60">
        <v>2.8165199999999999E-3</v>
      </c>
      <c r="CV60">
        <v>-1.8740799999999998E-2</v>
      </c>
      <c r="CW60">
        <v>-8.8231300000000002E-3</v>
      </c>
      <c r="CX60">
        <v>21543.8</v>
      </c>
      <c r="CY60">
        <v>21873.7</v>
      </c>
      <c r="CZ60">
        <v>23095</v>
      </c>
      <c r="DA60">
        <v>22289.5</v>
      </c>
      <c r="DB60">
        <v>30344</v>
      </c>
      <c r="DC60">
        <v>26822.6</v>
      </c>
      <c r="DD60">
        <v>40597.699999999997</v>
      </c>
      <c r="DE60">
        <v>36946.400000000001</v>
      </c>
      <c r="DF60">
        <v>2.0624799999999999</v>
      </c>
      <c r="DG60">
        <v>1.7788200000000001</v>
      </c>
      <c r="DH60">
        <v>-6.7085000000000006E-2</v>
      </c>
      <c r="DI60">
        <v>0</v>
      </c>
      <c r="DJ60">
        <v>26.034800000000001</v>
      </c>
      <c r="DK60">
        <v>999.9</v>
      </c>
      <c r="DL60">
        <v>73.5</v>
      </c>
      <c r="DM60">
        <v>31.4</v>
      </c>
      <c r="DN60">
        <v>33.922199999999997</v>
      </c>
      <c r="DO60">
        <v>30.57</v>
      </c>
      <c r="DP60">
        <v>10.368600000000001</v>
      </c>
      <c r="DQ60">
        <v>1</v>
      </c>
      <c r="DR60">
        <v>0.255909</v>
      </c>
      <c r="DS60">
        <v>1.86578</v>
      </c>
      <c r="DT60">
        <v>20.3566</v>
      </c>
      <c r="DU60">
        <v>5.2120199999999999</v>
      </c>
      <c r="DV60">
        <v>11.852399999999999</v>
      </c>
      <c r="DW60">
        <v>4.9678000000000004</v>
      </c>
      <c r="DX60">
        <v>3.2928999999999999</v>
      </c>
      <c r="DY60">
        <v>894.7</v>
      </c>
      <c r="DZ60">
        <v>0</v>
      </c>
      <c r="EA60">
        <v>1294.0999999999999</v>
      </c>
      <c r="EB60">
        <v>107.4</v>
      </c>
      <c r="EC60">
        <v>4.9715699999999998</v>
      </c>
      <c r="ED60">
        <v>1.87185</v>
      </c>
      <c r="EE60">
        <v>1.8690500000000001</v>
      </c>
      <c r="EF60">
        <v>1.87147</v>
      </c>
      <c r="EG60">
        <v>1.8692</v>
      </c>
      <c r="EH60">
        <v>1.8681300000000001</v>
      </c>
      <c r="EI60">
        <v>1.8699600000000001</v>
      </c>
      <c r="EJ60">
        <v>1.8717999999999999</v>
      </c>
      <c r="EK60">
        <v>0</v>
      </c>
      <c r="EL60">
        <v>0</v>
      </c>
      <c r="EM60">
        <v>0</v>
      </c>
      <c r="EN60">
        <v>0</v>
      </c>
      <c r="EO60" t="s">
        <v>320</v>
      </c>
      <c r="EP60" t="s">
        <v>321</v>
      </c>
      <c r="EQ60" t="s">
        <v>322</v>
      </c>
      <c r="ER60" t="s">
        <v>322</v>
      </c>
      <c r="ES60" t="s">
        <v>322</v>
      </c>
      <c r="ET60" t="s">
        <v>322</v>
      </c>
      <c r="EU60">
        <v>0</v>
      </c>
      <c r="EV60">
        <v>100</v>
      </c>
      <c r="EW60">
        <v>100</v>
      </c>
      <c r="EX60">
        <v>8.2870000000000008</v>
      </c>
      <c r="EY60">
        <v>-1.2210000000000001</v>
      </c>
      <c r="EZ60">
        <v>8.2610230000000016</v>
      </c>
      <c r="FA60">
        <v>0</v>
      </c>
      <c r="FB60">
        <v>0</v>
      </c>
      <c r="FC60">
        <v>0</v>
      </c>
      <c r="FD60">
        <v>-1.22337005</v>
      </c>
      <c r="FE60">
        <v>0</v>
      </c>
      <c r="FF60">
        <v>0</v>
      </c>
      <c r="FG60">
        <v>0</v>
      </c>
      <c r="FH60">
        <v>-1</v>
      </c>
      <c r="FI60">
        <v>-1</v>
      </c>
      <c r="FJ60">
        <v>-1</v>
      </c>
      <c r="FK60">
        <v>-1</v>
      </c>
      <c r="FL60">
        <v>0.7</v>
      </c>
      <c r="FM60">
        <v>0.3</v>
      </c>
      <c r="FN60">
        <v>0.142822</v>
      </c>
      <c r="FO60">
        <v>4.99756</v>
      </c>
      <c r="FP60">
        <v>1.5979000000000001</v>
      </c>
      <c r="FQ60">
        <v>2.1520999999999999</v>
      </c>
      <c r="FR60">
        <v>1.5478499999999999</v>
      </c>
      <c r="FS60">
        <v>2.32056</v>
      </c>
      <c r="FT60">
        <v>35.801000000000002</v>
      </c>
      <c r="FU60">
        <v>15.734400000000001</v>
      </c>
      <c r="FV60">
        <v>2</v>
      </c>
      <c r="FW60">
        <v>487.65300000000002</v>
      </c>
      <c r="FX60">
        <v>397.20299999999997</v>
      </c>
      <c r="FY60">
        <v>24.1937</v>
      </c>
      <c r="FZ60">
        <v>30.389299999999999</v>
      </c>
      <c r="GA60">
        <v>30.0002</v>
      </c>
      <c r="GB60">
        <v>30.6707</v>
      </c>
      <c r="GC60">
        <v>30.733499999999999</v>
      </c>
      <c r="GD60">
        <v>-1</v>
      </c>
      <c r="GE60">
        <v>0</v>
      </c>
      <c r="GF60">
        <v>100</v>
      </c>
      <c r="GG60">
        <v>24.264099999999999</v>
      </c>
      <c r="GH60">
        <v>432.1</v>
      </c>
      <c r="GI60">
        <v>78.840199999999996</v>
      </c>
      <c r="GJ60">
        <v>102.182</v>
      </c>
      <c r="GK60">
        <v>96.4</v>
      </c>
    </row>
    <row r="61" spans="1:193" x14ac:dyDescent="0.35">
      <c r="A61">
        <v>45</v>
      </c>
      <c r="B61">
        <v>1775466694</v>
      </c>
      <c r="C61">
        <v>2737.900000095367</v>
      </c>
      <c r="D61" t="s">
        <v>456</v>
      </c>
      <c r="E61" t="s">
        <v>457</v>
      </c>
      <c r="F61">
        <v>30</v>
      </c>
      <c r="G61">
        <v>1775466678.5</v>
      </c>
      <c r="H61">
        <f t="shared" si="18"/>
        <v>2.9753977650515376E-3</v>
      </c>
      <c r="I61">
        <f>1000*AY61*AG61*(AU61-AV61)/(100*AN61*(1000-AG61*AU61))</f>
        <v>2.9753977650515377</v>
      </c>
      <c r="J61">
        <f>AY61*AG61*(AT61-AS61*(1000-AG61*AV61)/(1000-AG61*AU61))/(100*AN61)</f>
        <v>-2.7576938397449444</v>
      </c>
      <c r="K61">
        <f t="shared" si="19"/>
        <v>11.086628524590161</v>
      </c>
      <c r="L61">
        <f t="shared" si="20"/>
        <v>58.921402149109525</v>
      </c>
      <c r="M61">
        <f>L61*(AZ61+BA61)/1000</f>
        <v>5.8942138126345958</v>
      </c>
      <c r="N61">
        <f>(AS61 - IF(AG61&gt;1, J61*AN61*100/(AI61), 0))*(AZ61+BA61)/1000</f>
        <v>1.1090530198147297</v>
      </c>
      <c r="O61">
        <f t="shared" si="21"/>
        <v>9.0349998071795362E-2</v>
      </c>
      <c r="P61">
        <f>IF(LEFT(AP61,1)&lt;&gt;"0",IF(LEFT(AP61,1)="1",3,AQ61),$D$5+$E$5*(BG61*AZ61/($K$5*1000))+$F$5*(BG61*AZ61/($K$5*1000))*MAX(MIN(AN61,$J$5),$I$5)*MAX(MIN(AN61,$J$5),$I$5)+$G$5*MAX(MIN(AN61,$J$5),$I$5)*(BG61*AZ61/($K$5*1000))+$H$5*(BG61*AZ61/($K$5*1000))*(BG61*AZ61/($K$5*1000)))</f>
        <v>2.3911921727147774</v>
      </c>
      <c r="Q61">
        <f>H61*(1000-(1000*0.61365*EXP(17.502*U61/(240.97+U61))/(AZ61+BA61)+AU61)/2)/(1000*0.61365*EXP(17.502*U61/(240.97+U61))/(AZ61+BA61)-AU61)</f>
        <v>8.8495424295108399E-2</v>
      </c>
      <c r="R61">
        <f t="shared" si="22"/>
        <v>5.5473095609752957E-2</v>
      </c>
      <c r="S61">
        <f t="shared" si="23"/>
        <v>0.12214674662950821</v>
      </c>
      <c r="T61">
        <f>(BB61+(S61+2*0.95*0.0000000567*(((BB61+$B$7)+273)^4-(BB61+273)^4)-44100*H61)/(1.84*29.3*P61+8*0.95*0.0000000567*(BB61+273)^3))</f>
        <v>24.025187979890717</v>
      </c>
      <c r="U61">
        <f>($C$7*BC61+$D$7*BD61+$E$7*T61)</f>
        <v>25.1092524590164</v>
      </c>
      <c r="V61">
        <f t="shared" si="24"/>
        <v>3.200447560529553</v>
      </c>
      <c r="W61">
        <f t="shared" si="25"/>
        <v>-3.4994971757560478</v>
      </c>
      <c r="X61">
        <f>AU61*(AZ61+BA61)/1000</f>
        <v>-0.11100418266956164</v>
      </c>
      <c r="Y61">
        <f t="shared" si="26"/>
        <v>3.1720037792452214</v>
      </c>
      <c r="Z61">
        <f>(V61-AU61*(AZ61+BA61)/1000)</f>
        <v>3.3114517431991146</v>
      </c>
      <c r="AA61">
        <f t="shared" si="27"/>
        <v>-131.2150414387728</v>
      </c>
      <c r="AB61">
        <f>2*29.3*P61*0.92*(BB61-U61)</f>
        <v>-19.308140056604138</v>
      </c>
      <c r="AC61">
        <f>2*0.95*0.0000000567*(((BB61+$B$7)+273)^4-(U61+273)^4)</f>
        <v>-1.7085835655365604</v>
      </c>
      <c r="AD61">
        <f t="shared" si="28"/>
        <v>-152.10961831428401</v>
      </c>
      <c r="AE61">
        <v>21</v>
      </c>
      <c r="AF61">
        <v>4</v>
      </c>
      <c r="AG61">
        <f t="shared" si="29"/>
        <v>1</v>
      </c>
      <c r="AH61">
        <f t="shared" si="30"/>
        <v>0</v>
      </c>
      <c r="AI61">
        <f t="shared" si="31"/>
        <v>25746.555204949989</v>
      </c>
      <c r="AJ61">
        <f t="shared" si="32"/>
        <v>0.63917711475409844</v>
      </c>
      <c r="AK61">
        <f t="shared" si="33"/>
        <v>0.51134169180327882</v>
      </c>
      <c r="AL61">
        <f t="shared" si="34"/>
        <v>0.8</v>
      </c>
      <c r="AM61">
        <f t="shared" si="35"/>
        <v>0.19109999999999999</v>
      </c>
      <c r="AN61">
        <v>3</v>
      </c>
      <c r="AO61">
        <v>0.5</v>
      </c>
      <c r="AP61" t="s">
        <v>317</v>
      </c>
      <c r="AQ61">
        <v>2</v>
      </c>
      <c r="AR61">
        <v>1775466678.5</v>
      </c>
      <c r="AS61">
        <v>11.086628524590161</v>
      </c>
      <c r="AT61">
        <v>9.4531785245901645</v>
      </c>
      <c r="AU61">
        <v>-1.1096513114754101</v>
      </c>
      <c r="AV61">
        <v>-2.8953688524590171</v>
      </c>
      <c r="AW61">
        <v>2.7986285245901641</v>
      </c>
      <c r="AX61">
        <v>-1.678368852459017</v>
      </c>
      <c r="AY61">
        <v>500.42059016393449</v>
      </c>
      <c r="AZ61">
        <v>99.989132786885236</v>
      </c>
      <c r="BA61">
        <v>4.6059819672131137E-2</v>
      </c>
      <c r="BB61">
        <v>24.959477049180329</v>
      </c>
      <c r="BC61">
        <v>25.1092524590164</v>
      </c>
      <c r="BD61">
        <v>999.9</v>
      </c>
      <c r="BE61">
        <v>0</v>
      </c>
      <c r="BF61">
        <v>0</v>
      </c>
      <c r="BG61">
        <v>5008.688524590164</v>
      </c>
      <c r="BH61">
        <v>0.63917711475409844</v>
      </c>
      <c r="BI61">
        <v>197.62357377049179</v>
      </c>
      <c r="BJ61">
        <v>1.6320729508196721</v>
      </c>
      <c r="BK61">
        <v>11.053190163934429</v>
      </c>
      <c r="BL61">
        <v>9.4426986885245903</v>
      </c>
      <c r="BM61">
        <v>-1.7899057377049179</v>
      </c>
      <c r="BN61">
        <v>9.4531785245901645</v>
      </c>
      <c r="BO61">
        <v>-1.1096513114754101</v>
      </c>
      <c r="BP61">
        <v>-0.28992422950819668</v>
      </c>
      <c r="BQ61">
        <v>-0.1109530327868853</v>
      </c>
      <c r="BR61">
        <v>-99.899999999999963</v>
      </c>
      <c r="BS61">
        <v>-99.899999999999963</v>
      </c>
      <c r="BT61">
        <v>1775466730</v>
      </c>
      <c r="BU61" t="s">
        <v>458</v>
      </c>
      <c r="BV61">
        <v>1775466730</v>
      </c>
      <c r="BW61">
        <v>1775466727</v>
      </c>
      <c r="BX61">
        <v>46</v>
      </c>
      <c r="BY61">
        <v>1E-3</v>
      </c>
      <c r="BZ61">
        <v>4.0000000000000001E-3</v>
      </c>
      <c r="CA61">
        <v>8.2880000000000003</v>
      </c>
      <c r="CB61">
        <v>-1.2170000000000001</v>
      </c>
      <c r="CC61">
        <v>10</v>
      </c>
      <c r="CD61">
        <v>-1</v>
      </c>
      <c r="CE61">
        <v>0.3</v>
      </c>
      <c r="CF61">
        <v>0.05</v>
      </c>
      <c r="CG61">
        <v>9.4486699999999999</v>
      </c>
      <c r="CH61">
        <v>0.98679050847458638</v>
      </c>
      <c r="CI61">
        <v>0.15757661824225899</v>
      </c>
      <c r="CJ61">
        <v>-1</v>
      </c>
      <c r="CK61">
        <v>500.42748333333333</v>
      </c>
      <c r="CL61">
        <v>-4.5195787718805223</v>
      </c>
      <c r="CM61">
        <v>1.139841648236964</v>
      </c>
      <c r="CN61">
        <v>-1</v>
      </c>
      <c r="CO61">
        <v>0</v>
      </c>
      <c r="CP61">
        <v>0</v>
      </c>
      <c r="CQ61" t="s">
        <v>319</v>
      </c>
      <c r="CR61">
        <v>3.1675599999999999</v>
      </c>
      <c r="CS61">
        <v>2.66675</v>
      </c>
      <c r="CT61">
        <v>8.6806399999999999E-4</v>
      </c>
      <c r="CU61">
        <v>2.9335699999999999E-3</v>
      </c>
      <c r="CV61">
        <v>-1.4991300000000001E-2</v>
      </c>
      <c r="CW61">
        <v>-9.7908100000000005E-3</v>
      </c>
      <c r="CX61">
        <v>21544.5</v>
      </c>
      <c r="CY61">
        <v>21869.599999999999</v>
      </c>
      <c r="CZ61">
        <v>23092.2</v>
      </c>
      <c r="DA61">
        <v>22288</v>
      </c>
      <c r="DB61">
        <v>30228.799999999999</v>
      </c>
      <c r="DC61">
        <v>26846.5</v>
      </c>
      <c r="DD61">
        <v>40592.6</v>
      </c>
      <c r="DE61">
        <v>36944.199999999997</v>
      </c>
      <c r="DF61">
        <v>2.0645199999999999</v>
      </c>
      <c r="DG61">
        <v>1.77946</v>
      </c>
      <c r="DH61">
        <v>-5.0008299999999999E-2</v>
      </c>
      <c r="DI61">
        <v>0</v>
      </c>
      <c r="DJ61">
        <v>25.991099999999999</v>
      </c>
      <c r="DK61">
        <v>999.9</v>
      </c>
      <c r="DL61">
        <v>73.400000000000006</v>
      </c>
      <c r="DM61">
        <v>31.4</v>
      </c>
      <c r="DN61">
        <v>33.884099999999997</v>
      </c>
      <c r="DO61">
        <v>30.69</v>
      </c>
      <c r="DP61">
        <v>10.677099999999999</v>
      </c>
      <c r="DQ61">
        <v>1</v>
      </c>
      <c r="DR61">
        <v>0.25827600000000001</v>
      </c>
      <c r="DS61">
        <v>1.40944</v>
      </c>
      <c r="DT61">
        <v>20.362400000000001</v>
      </c>
      <c r="DU61">
        <v>5.2110599999999998</v>
      </c>
      <c r="DV61">
        <v>11.853300000000001</v>
      </c>
      <c r="DW61">
        <v>4.9677199999999999</v>
      </c>
      <c r="DX61">
        <v>3.29298</v>
      </c>
      <c r="DY61">
        <v>894.7</v>
      </c>
      <c r="DZ61">
        <v>0</v>
      </c>
      <c r="EA61">
        <v>1328.3</v>
      </c>
      <c r="EB61">
        <v>107.4</v>
      </c>
      <c r="EC61">
        <v>4.9716100000000001</v>
      </c>
      <c r="ED61">
        <v>1.8718999999999999</v>
      </c>
      <c r="EE61">
        <v>1.8690599999999999</v>
      </c>
      <c r="EF61">
        <v>1.87148</v>
      </c>
      <c r="EG61">
        <v>1.8692</v>
      </c>
      <c r="EH61">
        <v>1.8681300000000001</v>
      </c>
      <c r="EI61">
        <v>1.8699600000000001</v>
      </c>
      <c r="EJ61">
        <v>1.8717999999999999</v>
      </c>
      <c r="EK61">
        <v>0</v>
      </c>
      <c r="EL61">
        <v>0</v>
      </c>
      <c r="EM61">
        <v>0</v>
      </c>
      <c r="EN61">
        <v>0</v>
      </c>
      <c r="EO61" t="s">
        <v>320</v>
      </c>
      <c r="EP61" t="s">
        <v>321</v>
      </c>
      <c r="EQ61" t="s">
        <v>322</v>
      </c>
      <c r="ER61" t="s">
        <v>322</v>
      </c>
      <c r="ES61" t="s">
        <v>322</v>
      </c>
      <c r="ET61" t="s">
        <v>322</v>
      </c>
      <c r="EU61">
        <v>0</v>
      </c>
      <c r="EV61">
        <v>100</v>
      </c>
      <c r="EW61">
        <v>100</v>
      </c>
      <c r="EX61">
        <v>8.2880000000000003</v>
      </c>
      <c r="EY61">
        <v>-1.2170000000000001</v>
      </c>
      <c r="EZ61">
        <v>8.2866219999999977</v>
      </c>
      <c r="FA61">
        <v>0</v>
      </c>
      <c r="FB61">
        <v>0</v>
      </c>
      <c r="FC61">
        <v>0</v>
      </c>
      <c r="FD61">
        <v>-1.2211884</v>
      </c>
      <c r="FE61">
        <v>0</v>
      </c>
      <c r="FF61">
        <v>0</v>
      </c>
      <c r="FG61">
        <v>0</v>
      </c>
      <c r="FH61">
        <v>-1</v>
      </c>
      <c r="FI61">
        <v>-1</v>
      </c>
      <c r="FJ61">
        <v>-1</v>
      </c>
      <c r="FK61">
        <v>-1</v>
      </c>
      <c r="FL61">
        <v>0.7</v>
      </c>
      <c r="FM61">
        <v>0.6</v>
      </c>
      <c r="FN61">
        <v>0.142822</v>
      </c>
      <c r="FO61">
        <v>4.99756</v>
      </c>
      <c r="FP61">
        <v>1.5979000000000001</v>
      </c>
      <c r="FQ61">
        <v>2.1520999999999999</v>
      </c>
      <c r="FR61">
        <v>1.5478499999999999</v>
      </c>
      <c r="FS61">
        <v>2.47437</v>
      </c>
      <c r="FT61">
        <v>35.824399999999997</v>
      </c>
      <c r="FU61">
        <v>15.7431</v>
      </c>
      <c r="FV61">
        <v>2</v>
      </c>
      <c r="FW61">
        <v>489.08800000000002</v>
      </c>
      <c r="FX61">
        <v>397.71699999999998</v>
      </c>
      <c r="FY61">
        <v>24.842199999999998</v>
      </c>
      <c r="FZ61">
        <v>30.430399999999999</v>
      </c>
      <c r="GA61">
        <v>30.000399999999999</v>
      </c>
      <c r="GB61">
        <v>30.7059</v>
      </c>
      <c r="GC61">
        <v>30.7575</v>
      </c>
      <c r="GD61">
        <v>-1</v>
      </c>
      <c r="GE61">
        <v>0</v>
      </c>
      <c r="GF61">
        <v>100</v>
      </c>
      <c r="GG61">
        <v>24.8428</v>
      </c>
      <c r="GH61">
        <v>432.1</v>
      </c>
      <c r="GI61">
        <v>78.840199999999996</v>
      </c>
      <c r="GJ61">
        <v>102.17</v>
      </c>
      <c r="GK61">
        <v>96.394099999999995</v>
      </c>
    </row>
    <row r="62" spans="1:193" x14ac:dyDescent="0.35">
      <c r="A62">
        <v>46</v>
      </c>
      <c r="B62">
        <v>1775466754</v>
      </c>
      <c r="C62">
        <v>2797.900000095367</v>
      </c>
      <c r="D62" t="s">
        <v>459</v>
      </c>
      <c r="E62" t="s">
        <v>460</v>
      </c>
      <c r="F62">
        <v>30</v>
      </c>
      <c r="G62">
        <v>1775466742</v>
      </c>
      <c r="H62">
        <f t="shared" si="18"/>
        <v>2.7341473912326419E-3</v>
      </c>
      <c r="I62">
        <f>1000*AY62*AG62*(AU62-AV62)/(100*AN62*(1000-AG62*AU62))</f>
        <v>2.7341473912326419</v>
      </c>
      <c r="J62">
        <f>AY62*AG62*(AT62-AS62*(1000-AG62*AV62)/(1000-AG62*AU62))/(100*AN62)</f>
        <v>-2.7968007029151738</v>
      </c>
      <c r="K62">
        <f t="shared" si="19"/>
        <v>11.20380106382979</v>
      </c>
      <c r="L62">
        <f t="shared" si="20"/>
        <v>63.930267144323942</v>
      </c>
      <c r="M62">
        <f>L62*(AZ62+BA62)/1000</f>
        <v>6.3954513310236747</v>
      </c>
      <c r="N62">
        <f>(AS62 - IF(AG62&gt;1, J62*AN62*100/(AI62), 0))*(AZ62+BA62)/1000</f>
        <v>1.1208050212653686</v>
      </c>
      <c r="O62">
        <f t="shared" si="21"/>
        <v>8.3103266211342577E-2</v>
      </c>
      <c r="P62">
        <f>IF(LEFT(AP62,1)&lt;&gt;"0",IF(LEFT(AP62,1)="1",3,AQ62),$D$5+$E$5*(BG62*AZ62/($K$5*1000))+$F$5*(BG62*AZ62/($K$5*1000))*MAX(MIN(AN62,$J$5),$I$5)*MAX(MIN(AN62,$J$5),$I$5)+$G$5*MAX(MIN(AN62,$J$5),$I$5)*(BG62*AZ62/($K$5*1000))+$H$5*(BG62*AZ62/($K$5*1000))*(BG62*AZ62/($K$5*1000)))</f>
        <v>2.390093536324053</v>
      </c>
      <c r="Q62">
        <f>H62*(1000-(1000*0.61365*EXP(17.502*U62/(240.97+U62))/(AZ62+BA62)+AU62)/2)/(1000*0.61365*EXP(17.502*U62/(240.97+U62))/(AZ62+BA62)-AU62)</f>
        <v>8.1530765704008662E-2</v>
      </c>
      <c r="R62">
        <f t="shared" si="22"/>
        <v>5.1095533133403495E-2</v>
      </c>
      <c r="S62">
        <f t="shared" si="23"/>
        <v>0.12185213795106382</v>
      </c>
      <c r="T62">
        <f>(BB62+(S62+2*0.95*0.0000000567*(((BB62+$B$7)+273)^4-(BB62+273)^4)-44100*H62)/(1.84*29.3*P62+8*0.95*0.0000000567*(BB62+273)^3))</f>
        <v>24.102469799838254</v>
      </c>
      <c r="U62">
        <f>($C$7*BC62+$D$7*BD62+$E$7*T62)</f>
        <v>25.083046808510641</v>
      </c>
      <c r="V62">
        <f t="shared" si="24"/>
        <v>3.1954548303443739</v>
      </c>
      <c r="W62">
        <f t="shared" si="25"/>
        <v>-3.3904406695866438</v>
      </c>
      <c r="X62">
        <f>AU62*(AZ62+BA62)/1000</f>
        <v>-0.10755658491042266</v>
      </c>
      <c r="Y62">
        <f t="shared" si="26"/>
        <v>3.1723482400161203</v>
      </c>
      <c r="Z62">
        <f>(V62-AU62*(AZ62+BA62)/1000)</f>
        <v>3.3030114152547965</v>
      </c>
      <c r="AA62">
        <f t="shared" si="27"/>
        <v>-120.57589995335951</v>
      </c>
      <c r="AB62">
        <f>2*29.3*P62*0.92*(BB62-U62)</f>
        <v>-15.687925412923059</v>
      </c>
      <c r="AC62">
        <f>2*0.95*0.0000000567*(((BB62+$B$7)+273)^4-(U62+273)^4)</f>
        <v>-1.3886972405076912</v>
      </c>
      <c r="AD62">
        <f t="shared" si="28"/>
        <v>-137.53067046883919</v>
      </c>
      <c r="AE62">
        <v>21</v>
      </c>
      <c r="AF62">
        <v>4</v>
      </c>
      <c r="AG62">
        <f t="shared" si="29"/>
        <v>1</v>
      </c>
      <c r="AH62">
        <f t="shared" si="30"/>
        <v>0</v>
      </c>
      <c r="AI62">
        <f t="shared" si="31"/>
        <v>25729.52472919389</v>
      </c>
      <c r="AJ62">
        <f t="shared" si="32"/>
        <v>0.6376354680851064</v>
      </c>
      <c r="AK62">
        <f t="shared" si="33"/>
        <v>0.5101083744680851</v>
      </c>
      <c r="AL62">
        <f t="shared" si="34"/>
        <v>0.8</v>
      </c>
      <c r="AM62">
        <f t="shared" si="35"/>
        <v>0.19109999999999999</v>
      </c>
      <c r="AN62">
        <v>3</v>
      </c>
      <c r="AO62">
        <v>0.5</v>
      </c>
      <c r="AP62" t="s">
        <v>317</v>
      </c>
      <c r="AQ62">
        <v>2</v>
      </c>
      <c r="AR62">
        <v>1775466742</v>
      </c>
      <c r="AS62">
        <v>11.20380106382979</v>
      </c>
      <c r="AT62">
        <v>9.5472563829787251</v>
      </c>
      <c r="AU62">
        <v>-1.0751580851063831</v>
      </c>
      <c r="AV62">
        <v>-2.714287448936171</v>
      </c>
      <c r="AW62">
        <v>2.9248010638297872</v>
      </c>
      <c r="AX62">
        <v>-1.49128744893617</v>
      </c>
      <c r="AY62">
        <v>500.95259574468071</v>
      </c>
      <c r="AZ62">
        <v>99.990287234042569</v>
      </c>
      <c r="BA62">
        <v>4.7638723404255311E-2</v>
      </c>
      <c r="BB62">
        <v>24.96129787234042</v>
      </c>
      <c r="BC62">
        <v>25.083046808510641</v>
      </c>
      <c r="BD62">
        <v>999.9000000000002</v>
      </c>
      <c r="BE62">
        <v>0</v>
      </c>
      <c r="BF62">
        <v>0</v>
      </c>
      <c r="BG62">
        <v>5005.7978723404258</v>
      </c>
      <c r="BH62">
        <v>0.6376354680851064</v>
      </c>
      <c r="BI62">
        <v>197.37385106382979</v>
      </c>
      <c r="BJ62">
        <v>1.6654550723404249</v>
      </c>
      <c r="BK62">
        <v>11.18207914893617</v>
      </c>
      <c r="BL62">
        <v>9.5370008510638282</v>
      </c>
      <c r="BM62">
        <v>-1.633029090638298</v>
      </c>
      <c r="BN62">
        <v>9.5472563829787251</v>
      </c>
      <c r="BO62">
        <v>-1.0751580851063831</v>
      </c>
      <c r="BP62">
        <v>-0.27079251063829801</v>
      </c>
      <c r="BQ62">
        <v>-0.1075054255319149</v>
      </c>
      <c r="BR62">
        <v>-99.899999999999963</v>
      </c>
      <c r="BS62">
        <v>-99.899999999999963</v>
      </c>
      <c r="BT62">
        <v>1775466782</v>
      </c>
      <c r="BU62" t="s">
        <v>461</v>
      </c>
      <c r="BV62">
        <v>1775466772</v>
      </c>
      <c r="BW62">
        <v>1775466782</v>
      </c>
      <c r="BX62">
        <v>47</v>
      </c>
      <c r="BY62">
        <v>-8.9999999999999993E-3</v>
      </c>
      <c r="BZ62">
        <v>-6.0000000000000001E-3</v>
      </c>
      <c r="CA62">
        <v>8.2789999999999999</v>
      </c>
      <c r="CB62">
        <v>-1.2230000000000001</v>
      </c>
      <c r="CC62">
        <v>10</v>
      </c>
      <c r="CD62">
        <v>-1</v>
      </c>
      <c r="CE62">
        <v>0.22</v>
      </c>
      <c r="CF62">
        <v>0.04</v>
      </c>
      <c r="CG62">
        <v>9.6122619999999976</v>
      </c>
      <c r="CH62">
        <v>-1.423952208946933</v>
      </c>
      <c r="CI62">
        <v>0.28545310548202729</v>
      </c>
      <c r="CJ62">
        <v>-1</v>
      </c>
      <c r="CK62">
        <v>500.74696666666659</v>
      </c>
      <c r="CL62">
        <v>-2.1602400666849411</v>
      </c>
      <c r="CM62">
        <v>1.4384481333097221</v>
      </c>
      <c r="CN62">
        <v>-1</v>
      </c>
      <c r="CO62">
        <v>0</v>
      </c>
      <c r="CP62">
        <v>0</v>
      </c>
      <c r="CQ62" t="s">
        <v>319</v>
      </c>
      <c r="CR62">
        <v>3.1676199999999999</v>
      </c>
      <c r="CS62">
        <v>2.6664099999999999</v>
      </c>
      <c r="CT62">
        <v>8.5232400000000001E-4</v>
      </c>
      <c r="CU62">
        <v>2.7217500000000002E-3</v>
      </c>
      <c r="CV62">
        <v>-1.6226399999999998E-2</v>
      </c>
      <c r="CW62">
        <v>-9.2801199999999993E-3</v>
      </c>
      <c r="CX62">
        <v>21543.599999999999</v>
      </c>
      <c r="CY62">
        <v>21873.9</v>
      </c>
      <c r="CZ62">
        <v>23091</v>
      </c>
      <c r="DA62">
        <v>22287.7</v>
      </c>
      <c r="DB62">
        <v>30264.3</v>
      </c>
      <c r="DC62">
        <v>26832.400000000001</v>
      </c>
      <c r="DD62">
        <v>40591.1</v>
      </c>
      <c r="DE62">
        <v>36943.4</v>
      </c>
      <c r="DF62">
        <v>2.0632199999999998</v>
      </c>
      <c r="DG62">
        <v>1.77912</v>
      </c>
      <c r="DH62">
        <v>-5.3882600000000003E-2</v>
      </c>
      <c r="DI62">
        <v>0</v>
      </c>
      <c r="DJ62">
        <v>25.986799999999999</v>
      </c>
      <c r="DK62">
        <v>999.9</v>
      </c>
      <c r="DL62">
        <v>73.3</v>
      </c>
      <c r="DM62">
        <v>31.4</v>
      </c>
      <c r="DN62">
        <v>33.8339</v>
      </c>
      <c r="DO62">
        <v>30.81</v>
      </c>
      <c r="DP62">
        <v>10.276400000000001</v>
      </c>
      <c r="DQ62">
        <v>1</v>
      </c>
      <c r="DR62">
        <v>0.26071699999999998</v>
      </c>
      <c r="DS62">
        <v>1.5700700000000001</v>
      </c>
      <c r="DT62">
        <v>20.360299999999999</v>
      </c>
      <c r="DU62">
        <v>5.2119</v>
      </c>
      <c r="DV62">
        <v>11.8537</v>
      </c>
      <c r="DW62">
        <v>4.9676799999999997</v>
      </c>
      <c r="DX62">
        <v>3.2930000000000001</v>
      </c>
      <c r="DY62">
        <v>894.7</v>
      </c>
      <c r="DZ62">
        <v>0</v>
      </c>
      <c r="EA62">
        <v>1360.1</v>
      </c>
      <c r="EB62">
        <v>107.4</v>
      </c>
      <c r="EC62">
        <v>4.9716100000000001</v>
      </c>
      <c r="ED62">
        <v>1.8718900000000001</v>
      </c>
      <c r="EE62">
        <v>1.8690599999999999</v>
      </c>
      <c r="EF62">
        <v>1.8714900000000001</v>
      </c>
      <c r="EG62">
        <v>1.8692</v>
      </c>
      <c r="EH62">
        <v>1.8681300000000001</v>
      </c>
      <c r="EI62">
        <v>1.8699699999999999</v>
      </c>
      <c r="EJ62">
        <v>1.8717999999999999</v>
      </c>
      <c r="EK62">
        <v>0</v>
      </c>
      <c r="EL62">
        <v>0</v>
      </c>
      <c r="EM62">
        <v>0</v>
      </c>
      <c r="EN62">
        <v>0</v>
      </c>
      <c r="EO62" t="s">
        <v>320</v>
      </c>
      <c r="EP62" t="s">
        <v>321</v>
      </c>
      <c r="EQ62" t="s">
        <v>322</v>
      </c>
      <c r="ER62" t="s">
        <v>322</v>
      </c>
      <c r="ES62" t="s">
        <v>322</v>
      </c>
      <c r="ET62" t="s">
        <v>322</v>
      </c>
      <c r="EU62">
        <v>0</v>
      </c>
      <c r="EV62">
        <v>100</v>
      </c>
      <c r="EW62">
        <v>100</v>
      </c>
      <c r="EX62">
        <v>8.2789999999999999</v>
      </c>
      <c r="EY62">
        <v>-1.2230000000000001</v>
      </c>
      <c r="EZ62">
        <v>8.2879100000000019</v>
      </c>
      <c r="FA62">
        <v>0</v>
      </c>
      <c r="FB62">
        <v>0</v>
      </c>
      <c r="FC62">
        <v>0</v>
      </c>
      <c r="FD62">
        <v>-1.2169001500000001</v>
      </c>
      <c r="FE62">
        <v>0</v>
      </c>
      <c r="FF62">
        <v>0</v>
      </c>
      <c r="FG62">
        <v>0</v>
      </c>
      <c r="FH62">
        <v>-1</v>
      </c>
      <c r="FI62">
        <v>-1</v>
      </c>
      <c r="FJ62">
        <v>-1</v>
      </c>
      <c r="FK62">
        <v>-1</v>
      </c>
      <c r="FL62">
        <v>0.4</v>
      </c>
      <c r="FM62">
        <v>0.5</v>
      </c>
      <c r="FN62">
        <v>0.142822</v>
      </c>
      <c r="FO62">
        <v>4.99756</v>
      </c>
      <c r="FP62">
        <v>1.5979000000000001</v>
      </c>
      <c r="FQ62">
        <v>2.1520999999999999</v>
      </c>
      <c r="FR62">
        <v>1.5478499999999999</v>
      </c>
      <c r="FS62">
        <v>2.32666</v>
      </c>
      <c r="FT62">
        <v>35.847700000000003</v>
      </c>
      <c r="FU62">
        <v>15.716900000000001</v>
      </c>
      <c r="FV62">
        <v>2</v>
      </c>
      <c r="FW62">
        <v>488.50099999999998</v>
      </c>
      <c r="FX62">
        <v>397.68099999999998</v>
      </c>
      <c r="FY62">
        <v>24.597999999999999</v>
      </c>
      <c r="FZ62">
        <v>30.453099999999999</v>
      </c>
      <c r="GA62">
        <v>30.000299999999999</v>
      </c>
      <c r="GB62">
        <v>30.727399999999999</v>
      </c>
      <c r="GC62">
        <v>30.7821</v>
      </c>
      <c r="GD62">
        <v>-1</v>
      </c>
      <c r="GE62">
        <v>0</v>
      </c>
      <c r="GF62">
        <v>100</v>
      </c>
      <c r="GG62">
        <v>24.619499999999999</v>
      </c>
      <c r="GH62">
        <v>432.1</v>
      </c>
      <c r="GI62">
        <v>78.840199999999996</v>
      </c>
      <c r="GJ62">
        <v>102.16500000000001</v>
      </c>
      <c r="GK62">
        <v>96.392399999999995</v>
      </c>
    </row>
    <row r="63" spans="1:193" x14ac:dyDescent="0.35">
      <c r="A63">
        <v>47</v>
      </c>
      <c r="B63">
        <v>1775466814</v>
      </c>
      <c r="C63">
        <v>2857.900000095367</v>
      </c>
      <c r="D63" t="s">
        <v>462</v>
      </c>
      <c r="E63" t="s">
        <v>463</v>
      </c>
      <c r="F63">
        <v>30</v>
      </c>
      <c r="G63">
        <v>1775466798.5</v>
      </c>
      <c r="H63">
        <f t="shared" si="18"/>
        <v>2.8539279623498335E-3</v>
      </c>
      <c r="I63">
        <f>1000*AY63*AG63*(AU63-AV63)/(100*AN63*(1000-AG63*AU63))</f>
        <v>2.8539279623498337</v>
      </c>
      <c r="J63">
        <f>AY63*AG63*(AT63-AS63*(1000-AG63*AV63)/(1000-AG63*AU63))/(100*AN63)</f>
        <v>-2.6732130936598577</v>
      </c>
      <c r="K63">
        <f t="shared" si="19"/>
        <v>10.969833114754101</v>
      </c>
      <c r="L63">
        <f t="shared" si="20"/>
        <v>59.392918756412804</v>
      </c>
      <c r="M63">
        <f>L63*(AZ63+BA63)/1000</f>
        <v>5.941414897234722</v>
      </c>
      <c r="N63">
        <f>(AS63 - IF(AG63&gt;1, J63*AN63*100/(AI63), 0))*(AZ63+BA63)/1000</f>
        <v>1.0973754321703801</v>
      </c>
      <c r="O63">
        <f t="shared" si="21"/>
        <v>8.6473012584740758E-2</v>
      </c>
      <c r="P63">
        <f>IF(LEFT(AP63,1)&lt;&gt;"0",IF(LEFT(AP63,1)="1",3,AQ63),$D$5+$E$5*(BG63*AZ63/($K$5*1000))+$F$5*(BG63*AZ63/($K$5*1000))*MAX(MIN(AN63,$J$5),$I$5)*MAX(MIN(AN63,$J$5),$I$5)+$G$5*MAX(MIN(AN63,$J$5),$I$5)*(BG63*AZ63/($K$5*1000))+$H$5*(BG63*AZ63/($K$5*1000))*(BG63*AZ63/($K$5*1000)))</f>
        <v>2.388518244597591</v>
      </c>
      <c r="Q63">
        <f>H63*(1000-(1000*0.61365*EXP(17.502*U63/(240.97+U63))/(AZ63+BA63)+AU63)/2)/(1000*0.61365*EXP(17.502*U63/(240.97+U63))/(AZ63+BA63)-AU63)</f>
        <v>8.4770708836624312E-2</v>
      </c>
      <c r="R63">
        <f t="shared" si="22"/>
        <v>5.3131847073164429E-2</v>
      </c>
      <c r="S63">
        <f t="shared" si="23"/>
        <v>0.12519429351639347</v>
      </c>
      <c r="T63">
        <f>(BB63+(S63+2*0.95*0.0000000567*(((BB63+$B$7)+273)^4-(BB63+273)^4)-44100*H63)/(1.84*29.3*P63+8*0.95*0.0000000567*(BB63+273)^3))</f>
        <v>24.101071136642101</v>
      </c>
      <c r="U63">
        <f>($C$7*BC63+$D$7*BD63+$E$7*T63)</f>
        <v>25.142581967213111</v>
      </c>
      <c r="V63">
        <f t="shared" si="24"/>
        <v>3.2068073832307555</v>
      </c>
      <c r="W63">
        <f t="shared" si="25"/>
        <v>-3.4250251393976265</v>
      </c>
      <c r="X63">
        <f>AU63*(AZ63+BA63)/1000</f>
        <v>-0.10889212309372079</v>
      </c>
      <c r="Y63">
        <f t="shared" si="26"/>
        <v>3.1793087250995216</v>
      </c>
      <c r="Z63">
        <f>(V63-AU63*(AZ63+BA63)/1000)</f>
        <v>3.3156995063244765</v>
      </c>
      <c r="AA63">
        <f t="shared" si="27"/>
        <v>-125.85822313962765</v>
      </c>
      <c r="AB63">
        <f>2*29.3*P63*0.92*(BB63-U63)</f>
        <v>-18.610824131030324</v>
      </c>
      <c r="AC63">
        <f>2*0.95*0.0000000567*(((BB63+$B$7)+273)^4-(U63+273)^4)</f>
        <v>-1.6493182645442415</v>
      </c>
      <c r="AD63">
        <f t="shared" si="28"/>
        <v>-145.99317124168581</v>
      </c>
      <c r="AE63">
        <v>21</v>
      </c>
      <c r="AF63">
        <v>4</v>
      </c>
      <c r="AG63">
        <f t="shared" si="29"/>
        <v>1</v>
      </c>
      <c r="AH63">
        <f t="shared" si="30"/>
        <v>0</v>
      </c>
      <c r="AI63">
        <f t="shared" si="31"/>
        <v>25702.294979826878</v>
      </c>
      <c r="AJ63">
        <f t="shared" si="32"/>
        <v>0.65512450819672141</v>
      </c>
      <c r="AK63">
        <f t="shared" si="33"/>
        <v>0.5240996065573772</v>
      </c>
      <c r="AL63">
        <f t="shared" si="34"/>
        <v>0.8</v>
      </c>
      <c r="AM63">
        <f t="shared" si="35"/>
        <v>0.19109999999999999</v>
      </c>
      <c r="AN63">
        <v>3</v>
      </c>
      <c r="AO63">
        <v>0.5</v>
      </c>
      <c r="AP63" t="s">
        <v>317</v>
      </c>
      <c r="AQ63">
        <v>2</v>
      </c>
      <c r="AR63">
        <v>1775466798.5</v>
      </c>
      <c r="AS63">
        <v>10.969833114754101</v>
      </c>
      <c r="AT63">
        <v>9.3869618032786892</v>
      </c>
      <c r="AU63">
        <v>-1.0885321311475411</v>
      </c>
      <c r="AV63">
        <v>-2.8002955573770492</v>
      </c>
      <c r="AW63">
        <v>2.7148331147540978</v>
      </c>
      <c r="AX63">
        <v>-1.590295557377049</v>
      </c>
      <c r="AY63">
        <v>500.71777049180332</v>
      </c>
      <c r="AZ63">
        <v>99.988629508196723</v>
      </c>
      <c r="BA63">
        <v>4.7115857377049188E-2</v>
      </c>
      <c r="BB63">
        <v>24.998054098360662</v>
      </c>
      <c r="BC63">
        <v>25.142581967213111</v>
      </c>
      <c r="BD63">
        <v>999.9</v>
      </c>
      <c r="BE63">
        <v>0</v>
      </c>
      <c r="BF63">
        <v>0</v>
      </c>
      <c r="BG63">
        <v>5001.8196721311479</v>
      </c>
      <c r="BH63">
        <v>0.65512450819672141</v>
      </c>
      <c r="BI63">
        <v>197.16363934426229</v>
      </c>
      <c r="BJ63">
        <v>1.6068203606557381</v>
      </c>
      <c r="BK63">
        <v>10.962793114754099</v>
      </c>
      <c r="BL63">
        <v>9.3767529508196681</v>
      </c>
      <c r="BM63">
        <v>-1.724489532786885</v>
      </c>
      <c r="BN63">
        <v>9.3869618032786892</v>
      </c>
      <c r="BO63">
        <v>-1.0885321311475411</v>
      </c>
      <c r="BP63">
        <v>-0.28127021311475409</v>
      </c>
      <c r="BQ63">
        <v>-0.1088408524590164</v>
      </c>
      <c r="BR63">
        <v>-99.899999999999963</v>
      </c>
      <c r="BS63">
        <v>-99.899999999999963</v>
      </c>
      <c r="BT63">
        <v>1775466838</v>
      </c>
      <c r="BU63" t="s">
        <v>464</v>
      </c>
      <c r="BV63">
        <v>1775466835</v>
      </c>
      <c r="BW63">
        <v>1775466838</v>
      </c>
      <c r="BX63">
        <v>48</v>
      </c>
      <c r="BY63">
        <v>-2.4E-2</v>
      </c>
      <c r="BZ63">
        <v>1.2999999999999999E-2</v>
      </c>
      <c r="CA63">
        <v>8.2550000000000008</v>
      </c>
      <c r="CB63">
        <v>-1.21</v>
      </c>
      <c r="CC63">
        <v>11</v>
      </c>
      <c r="CD63">
        <v>-1</v>
      </c>
      <c r="CE63">
        <v>0.33</v>
      </c>
      <c r="CF63">
        <v>0.04</v>
      </c>
      <c r="CG63">
        <v>9.3843966666666674</v>
      </c>
      <c r="CH63">
        <v>0.45382906362880537</v>
      </c>
      <c r="CI63">
        <v>0.10311670746726199</v>
      </c>
      <c r="CJ63">
        <v>-1</v>
      </c>
      <c r="CK63">
        <v>500.72993333333329</v>
      </c>
      <c r="CL63">
        <v>-6.9453892747990373</v>
      </c>
      <c r="CM63">
        <v>1.4347693643540389</v>
      </c>
      <c r="CN63">
        <v>-1</v>
      </c>
      <c r="CO63">
        <v>0</v>
      </c>
      <c r="CP63">
        <v>0</v>
      </c>
      <c r="CQ63" t="s">
        <v>319</v>
      </c>
      <c r="CR63">
        <v>3.1675300000000002</v>
      </c>
      <c r="CS63">
        <v>2.6671</v>
      </c>
      <c r="CT63">
        <v>8.6697599999999999E-4</v>
      </c>
      <c r="CU63">
        <v>2.8408399999999999E-3</v>
      </c>
      <c r="CV63">
        <v>-1.6623200000000001E-2</v>
      </c>
      <c r="CW63">
        <v>-9.6581299999999991E-3</v>
      </c>
      <c r="CX63">
        <v>21542.1</v>
      </c>
      <c r="CY63">
        <v>21870.5</v>
      </c>
      <c r="CZ63">
        <v>23089.8</v>
      </c>
      <c r="DA63">
        <v>22287</v>
      </c>
      <c r="DB63">
        <v>30274.5</v>
      </c>
      <c r="DC63">
        <v>26841.5</v>
      </c>
      <c r="DD63">
        <v>40589</v>
      </c>
      <c r="DE63">
        <v>36942.1</v>
      </c>
      <c r="DF63">
        <v>2.0632600000000001</v>
      </c>
      <c r="DG63">
        <v>1.77806</v>
      </c>
      <c r="DH63">
        <v>-5.3107700000000001E-2</v>
      </c>
      <c r="DI63">
        <v>0</v>
      </c>
      <c r="DJ63">
        <v>25.982399999999998</v>
      </c>
      <c r="DK63">
        <v>999.9</v>
      </c>
      <c r="DL63">
        <v>73.2</v>
      </c>
      <c r="DM63">
        <v>31.4</v>
      </c>
      <c r="DN63">
        <v>33.788200000000003</v>
      </c>
      <c r="DO63">
        <v>30.63</v>
      </c>
      <c r="DP63">
        <v>10.7051</v>
      </c>
      <c r="DQ63">
        <v>1</v>
      </c>
      <c r="DR63">
        <v>0.26374999999999998</v>
      </c>
      <c r="DS63">
        <v>1.73994</v>
      </c>
      <c r="DT63">
        <v>20.357199999999999</v>
      </c>
      <c r="DU63">
        <v>5.2098599999999999</v>
      </c>
      <c r="DV63">
        <v>11.852399999999999</v>
      </c>
      <c r="DW63">
        <v>4.9674399999999999</v>
      </c>
      <c r="DX63">
        <v>3.2923800000000001</v>
      </c>
      <c r="DY63">
        <v>894.7</v>
      </c>
      <c r="DZ63">
        <v>0</v>
      </c>
      <c r="EA63">
        <v>1387</v>
      </c>
      <c r="EB63">
        <v>107.4</v>
      </c>
      <c r="EC63">
        <v>4.97159</v>
      </c>
      <c r="ED63">
        <v>1.8719300000000001</v>
      </c>
      <c r="EE63">
        <v>1.8690599999999999</v>
      </c>
      <c r="EF63">
        <v>1.87148</v>
      </c>
      <c r="EG63">
        <v>1.8692</v>
      </c>
      <c r="EH63">
        <v>1.8681300000000001</v>
      </c>
      <c r="EI63">
        <v>1.8699600000000001</v>
      </c>
      <c r="EJ63">
        <v>1.8717999999999999</v>
      </c>
      <c r="EK63">
        <v>0</v>
      </c>
      <c r="EL63">
        <v>0</v>
      </c>
      <c r="EM63">
        <v>0</v>
      </c>
      <c r="EN63">
        <v>0</v>
      </c>
      <c r="EO63" t="s">
        <v>320</v>
      </c>
      <c r="EP63" t="s">
        <v>321</v>
      </c>
      <c r="EQ63" t="s">
        <v>322</v>
      </c>
      <c r="ER63" t="s">
        <v>322</v>
      </c>
      <c r="ES63" t="s">
        <v>322</v>
      </c>
      <c r="ET63" t="s">
        <v>322</v>
      </c>
      <c r="EU63">
        <v>0</v>
      </c>
      <c r="EV63">
        <v>100</v>
      </c>
      <c r="EW63">
        <v>100</v>
      </c>
      <c r="EX63">
        <v>8.2550000000000008</v>
      </c>
      <c r="EY63">
        <v>-1.21</v>
      </c>
      <c r="EZ63">
        <v>8.2789485000000003</v>
      </c>
      <c r="FA63">
        <v>0</v>
      </c>
      <c r="FB63">
        <v>0</v>
      </c>
      <c r="FC63">
        <v>0</v>
      </c>
      <c r="FD63">
        <v>-1.2227268499999999</v>
      </c>
      <c r="FE63">
        <v>0</v>
      </c>
      <c r="FF63">
        <v>0</v>
      </c>
      <c r="FG63">
        <v>0</v>
      </c>
      <c r="FH63">
        <v>-1</v>
      </c>
      <c r="FI63">
        <v>-1</v>
      </c>
      <c r="FJ63">
        <v>-1</v>
      </c>
      <c r="FK63">
        <v>-1</v>
      </c>
      <c r="FL63">
        <v>0.7</v>
      </c>
      <c r="FM63">
        <v>0.5</v>
      </c>
      <c r="FN63">
        <v>0.142822</v>
      </c>
      <c r="FO63">
        <v>4.99756</v>
      </c>
      <c r="FP63">
        <v>1.5979000000000001</v>
      </c>
      <c r="FQ63">
        <v>2.1520999999999999</v>
      </c>
      <c r="FR63">
        <v>1.5478499999999999</v>
      </c>
      <c r="FS63">
        <v>2.4462899999999999</v>
      </c>
      <c r="FT63">
        <v>35.871099999999998</v>
      </c>
      <c r="FU63">
        <v>15.699299999999999</v>
      </c>
      <c r="FV63">
        <v>2</v>
      </c>
      <c r="FW63">
        <v>488.721</v>
      </c>
      <c r="FX63">
        <v>397.23700000000002</v>
      </c>
      <c r="FY63">
        <v>24.478999999999999</v>
      </c>
      <c r="FZ63">
        <v>30.474799999999998</v>
      </c>
      <c r="GA63">
        <v>29.9998</v>
      </c>
      <c r="GB63">
        <v>30.753699999999998</v>
      </c>
      <c r="GC63">
        <v>30.806799999999999</v>
      </c>
      <c r="GD63">
        <v>-1</v>
      </c>
      <c r="GE63">
        <v>0</v>
      </c>
      <c r="GF63">
        <v>100</v>
      </c>
      <c r="GG63">
        <v>24.4969</v>
      </c>
      <c r="GH63">
        <v>432.1</v>
      </c>
      <c r="GI63">
        <v>78.840199999999996</v>
      </c>
      <c r="GJ63">
        <v>102.16</v>
      </c>
      <c r="GK63">
        <v>96.388999999999996</v>
      </c>
    </row>
    <row r="64" spans="1:193" x14ac:dyDescent="0.35">
      <c r="A64">
        <v>48</v>
      </c>
      <c r="B64">
        <v>1775466874</v>
      </c>
      <c r="C64">
        <v>2917.900000095367</v>
      </c>
      <c r="D64" t="s">
        <v>465</v>
      </c>
      <c r="E64" t="s">
        <v>466</v>
      </c>
      <c r="F64">
        <v>30</v>
      </c>
      <c r="G64">
        <v>1775466858.5</v>
      </c>
      <c r="H64">
        <f t="shared" si="18"/>
        <v>3.0352847422684378E-3</v>
      </c>
      <c r="I64">
        <f>1000*AY64*AG64*(AU64-AV64)/(100*AN64*(1000-AG64*AU64))</f>
        <v>3.0352847422684377</v>
      </c>
      <c r="J64">
        <f>AY64*AG64*(AT64-AS64*(1000-AG64*AV64)/(1000-AG64*AU64))/(100*AN64)</f>
        <v>-3.1570268004722526</v>
      </c>
      <c r="K64">
        <f t="shared" si="19"/>
        <v>12.1053206557377</v>
      </c>
      <c r="L64">
        <f t="shared" si="20"/>
        <v>65.891752681952255</v>
      </c>
      <c r="M64">
        <f>L64*(AZ64+BA64)/1000</f>
        <v>6.591539430471423</v>
      </c>
      <c r="N64">
        <f>(AS64 - IF(AG64&gt;1, J64*AN64*100/(AI64), 0))*(AZ64+BA64)/1000</f>
        <v>1.210966398267479</v>
      </c>
      <c r="O64">
        <f t="shared" si="21"/>
        <v>9.2047123616053647E-2</v>
      </c>
      <c r="P64">
        <f>IF(LEFT(AP64,1)&lt;&gt;"0",IF(LEFT(AP64,1)="1",3,AQ64),$D$5+$E$5*(BG64*AZ64/($K$5*1000))+$F$5*(BG64*AZ64/($K$5*1000))*MAX(MIN(AN64,$J$5),$I$5)*MAX(MIN(AN64,$J$5),$I$5)+$G$5*MAX(MIN(AN64,$J$5),$I$5)*(BG64*AZ64/($K$5*1000))+$H$5*(BG64*AZ64/($K$5*1000))*(BG64*AZ64/($K$5*1000)))</f>
        <v>2.3874549467179982</v>
      </c>
      <c r="Q64">
        <f>H64*(1000-(1000*0.61365*EXP(17.502*U64/(240.97+U64))/(AZ64+BA64)+AU64)/2)/(1000*0.61365*EXP(17.502*U64/(240.97+U64))/(AZ64+BA64)-AU64)</f>
        <v>9.0120078705843418E-2</v>
      </c>
      <c r="R64">
        <f t="shared" si="22"/>
        <v>5.6494826347089244E-2</v>
      </c>
      <c r="S64">
        <f t="shared" si="23"/>
        <v>0.12129066248852459</v>
      </c>
      <c r="T64">
        <f>(BB64+(S64+2*0.95*0.0000000567*(((BB64+$B$7)+273)^4-(BB64+273)^4)-44100*H64)/(1.84*29.3*P64+8*0.95*0.0000000567*(BB64+273)^3))</f>
        <v>24.038776025588731</v>
      </c>
      <c r="U64">
        <f>($C$7*BC64+$D$7*BD64+$E$7*T64)</f>
        <v>25.111139344262298</v>
      </c>
      <c r="V64">
        <f t="shared" si="24"/>
        <v>3.200807314972403</v>
      </c>
      <c r="W64">
        <f t="shared" si="25"/>
        <v>-3.6655509598312488</v>
      </c>
      <c r="X64">
        <f>AU64*(AZ64+BA64)/1000</f>
        <v>-0.11650572108830799</v>
      </c>
      <c r="Y64">
        <f t="shared" si="26"/>
        <v>3.1783958909596386</v>
      </c>
      <c r="Z64">
        <f>(V64-AU64*(AZ64+BA64)/1000)</f>
        <v>3.3173130360607108</v>
      </c>
      <c r="AA64">
        <f t="shared" si="27"/>
        <v>-133.85605713403811</v>
      </c>
      <c r="AB64">
        <f>2*29.3*P64*0.92*(BB64-U64)</f>
        <v>-15.175411345263317</v>
      </c>
      <c r="AC64">
        <f>2*0.95*0.0000000567*(((BB64+$B$7)+273)^4-(U64+273)^4)</f>
        <v>-1.3452204386654965</v>
      </c>
      <c r="AD64">
        <f t="shared" si="28"/>
        <v>-150.25539825547838</v>
      </c>
      <c r="AE64">
        <v>21</v>
      </c>
      <c r="AF64">
        <v>4</v>
      </c>
      <c r="AG64">
        <f t="shared" si="29"/>
        <v>1</v>
      </c>
      <c r="AH64">
        <f t="shared" si="30"/>
        <v>0</v>
      </c>
      <c r="AI64">
        <f t="shared" si="31"/>
        <v>25686.378800750161</v>
      </c>
      <c r="AJ64">
        <f t="shared" si="32"/>
        <v>0.63469734426229507</v>
      </c>
      <c r="AK64">
        <f t="shared" si="33"/>
        <v>0.50775787540983608</v>
      </c>
      <c r="AL64">
        <f t="shared" si="34"/>
        <v>0.8</v>
      </c>
      <c r="AM64">
        <f t="shared" si="35"/>
        <v>0.19109999999999999</v>
      </c>
      <c r="AN64">
        <v>3</v>
      </c>
      <c r="AO64">
        <v>0.5</v>
      </c>
      <c r="AP64" t="s">
        <v>317</v>
      </c>
      <c r="AQ64">
        <v>2</v>
      </c>
      <c r="AR64">
        <v>1775466858.5</v>
      </c>
      <c r="AS64">
        <v>12.1053206557377</v>
      </c>
      <c r="AT64">
        <v>10.234168032786879</v>
      </c>
      <c r="AU64">
        <v>-1.1646393442622951</v>
      </c>
      <c r="AV64">
        <v>-2.9869401639344262</v>
      </c>
      <c r="AW64">
        <v>3.842320655737705</v>
      </c>
      <c r="AX64">
        <v>-1.774940163934426</v>
      </c>
      <c r="AY64">
        <v>500.2719180327868</v>
      </c>
      <c r="AZ64">
        <v>99.989880327868846</v>
      </c>
      <c r="BA64">
        <v>4.5999159016393447E-2</v>
      </c>
      <c r="BB64">
        <v>24.99323770491803</v>
      </c>
      <c r="BC64">
        <v>25.111139344262298</v>
      </c>
      <c r="BD64">
        <v>999.9</v>
      </c>
      <c r="BE64">
        <v>0</v>
      </c>
      <c r="BF64">
        <v>0</v>
      </c>
      <c r="BG64">
        <v>4999.0163934426228</v>
      </c>
      <c r="BH64">
        <v>0.63469734426229507</v>
      </c>
      <c r="BI64">
        <v>196.85908196721309</v>
      </c>
      <c r="BJ64">
        <v>1.863471803278689</v>
      </c>
      <c r="BK64">
        <v>12.061642622950821</v>
      </c>
      <c r="BL64">
        <v>10.22226590163935</v>
      </c>
      <c r="BM64">
        <v>-1.820137213114754</v>
      </c>
      <c r="BN64">
        <v>10.234168032786879</v>
      </c>
      <c r="BO64">
        <v>-1.1646393442622951</v>
      </c>
      <c r="BP64">
        <v>-0.29844750819672128</v>
      </c>
      <c r="BQ64">
        <v>-0.1164521639344262</v>
      </c>
      <c r="BR64">
        <v>-99.899999999999963</v>
      </c>
      <c r="BS64">
        <v>-99.899999999999963</v>
      </c>
      <c r="BT64">
        <v>1775466906</v>
      </c>
      <c r="BU64" t="s">
        <v>467</v>
      </c>
      <c r="BV64">
        <v>1775466891.5</v>
      </c>
      <c r="BW64">
        <v>1775466906</v>
      </c>
      <c r="BX64">
        <v>49</v>
      </c>
      <c r="BY64">
        <v>7.0000000000000001E-3</v>
      </c>
      <c r="BZ64">
        <v>-2E-3</v>
      </c>
      <c r="CA64">
        <v>8.2629999999999999</v>
      </c>
      <c r="CB64">
        <v>-1.212</v>
      </c>
      <c r="CC64">
        <v>10</v>
      </c>
      <c r="CD64">
        <v>-1</v>
      </c>
      <c r="CE64">
        <v>0.15</v>
      </c>
      <c r="CF64">
        <v>0.05</v>
      </c>
      <c r="CG64">
        <v>10.27066409836066</v>
      </c>
      <c r="CH64">
        <v>-2.8717397990480888</v>
      </c>
      <c r="CI64">
        <v>0.46132843661619688</v>
      </c>
      <c r="CJ64">
        <v>-1</v>
      </c>
      <c r="CK64">
        <v>500.41157377049183</v>
      </c>
      <c r="CL64">
        <v>-4.3295060814382822</v>
      </c>
      <c r="CM64">
        <v>1.1370724339142839</v>
      </c>
      <c r="CN64">
        <v>-1</v>
      </c>
      <c r="CO64">
        <v>0</v>
      </c>
      <c r="CP64">
        <v>0</v>
      </c>
      <c r="CQ64" t="s">
        <v>319</v>
      </c>
      <c r="CR64">
        <v>3.1676199999999999</v>
      </c>
      <c r="CS64">
        <v>2.6670699999999998</v>
      </c>
      <c r="CT64">
        <v>9.6612E-4</v>
      </c>
      <c r="CU64">
        <v>2.8183399999999999E-3</v>
      </c>
      <c r="CV64">
        <v>-1.63844E-2</v>
      </c>
      <c r="CW64">
        <v>-1.0149200000000001E-2</v>
      </c>
      <c r="CX64">
        <v>21539.3</v>
      </c>
      <c r="CY64">
        <v>21871.4</v>
      </c>
      <c r="CZ64">
        <v>23089.1</v>
      </c>
      <c r="DA64">
        <v>22287.4</v>
      </c>
      <c r="DB64">
        <v>30266.5</v>
      </c>
      <c r="DC64">
        <v>26854.799999999999</v>
      </c>
      <c r="DD64">
        <v>40587.800000000003</v>
      </c>
      <c r="DE64">
        <v>36942.6</v>
      </c>
      <c r="DF64">
        <v>2.0638399999999999</v>
      </c>
      <c r="DG64">
        <v>1.7783599999999999</v>
      </c>
      <c r="DH64">
        <v>-5.1587800000000003E-2</v>
      </c>
      <c r="DI64">
        <v>0</v>
      </c>
      <c r="DJ64">
        <v>25.9575</v>
      </c>
      <c r="DK64">
        <v>999.9</v>
      </c>
      <c r="DL64">
        <v>73.099999999999994</v>
      </c>
      <c r="DM64">
        <v>31.5</v>
      </c>
      <c r="DN64">
        <v>33.933199999999999</v>
      </c>
      <c r="DO64">
        <v>30.72</v>
      </c>
      <c r="DP64">
        <v>10.4407</v>
      </c>
      <c r="DQ64">
        <v>1</v>
      </c>
      <c r="DR64">
        <v>0.26413399999999998</v>
      </c>
      <c r="DS64">
        <v>1.6829000000000001</v>
      </c>
      <c r="DT64">
        <v>20.3583</v>
      </c>
      <c r="DU64">
        <v>5.2090199999999998</v>
      </c>
      <c r="DV64">
        <v>11.851800000000001</v>
      </c>
      <c r="DW64">
        <v>4.9674800000000001</v>
      </c>
      <c r="DX64">
        <v>3.29244</v>
      </c>
      <c r="DY64">
        <v>894.7</v>
      </c>
      <c r="DZ64">
        <v>0</v>
      </c>
      <c r="EA64">
        <v>1421.7</v>
      </c>
      <c r="EB64">
        <v>107.4</v>
      </c>
      <c r="EC64">
        <v>4.9716199999999997</v>
      </c>
      <c r="ED64">
        <v>1.8718699999999999</v>
      </c>
      <c r="EE64">
        <v>1.8690500000000001</v>
      </c>
      <c r="EF64">
        <v>1.8714900000000001</v>
      </c>
      <c r="EG64">
        <v>1.8692</v>
      </c>
      <c r="EH64">
        <v>1.8681300000000001</v>
      </c>
      <c r="EI64">
        <v>1.8699600000000001</v>
      </c>
      <c r="EJ64">
        <v>1.8717999999999999</v>
      </c>
      <c r="EK64">
        <v>0</v>
      </c>
      <c r="EL64">
        <v>0</v>
      </c>
      <c r="EM64">
        <v>0</v>
      </c>
      <c r="EN64">
        <v>0</v>
      </c>
      <c r="EO64" t="s">
        <v>320</v>
      </c>
      <c r="EP64" t="s">
        <v>321</v>
      </c>
      <c r="EQ64" t="s">
        <v>322</v>
      </c>
      <c r="ER64" t="s">
        <v>322</v>
      </c>
      <c r="ES64" t="s">
        <v>322</v>
      </c>
      <c r="ET64" t="s">
        <v>322</v>
      </c>
      <c r="EU64">
        <v>0</v>
      </c>
      <c r="EV64">
        <v>100</v>
      </c>
      <c r="EW64">
        <v>100</v>
      </c>
      <c r="EX64">
        <v>8.2629999999999999</v>
      </c>
      <c r="EY64">
        <v>-1.212</v>
      </c>
      <c r="EZ64">
        <v>8.2553204999999981</v>
      </c>
      <c r="FA64">
        <v>0</v>
      </c>
      <c r="FB64">
        <v>0</v>
      </c>
      <c r="FC64">
        <v>0</v>
      </c>
      <c r="FD64">
        <v>-1.2098366149999999</v>
      </c>
      <c r="FE64">
        <v>0</v>
      </c>
      <c r="FF64">
        <v>0</v>
      </c>
      <c r="FG64">
        <v>0</v>
      </c>
      <c r="FH64">
        <v>-1</v>
      </c>
      <c r="FI64">
        <v>-1</v>
      </c>
      <c r="FJ64">
        <v>-1</v>
      </c>
      <c r="FK64">
        <v>-1</v>
      </c>
      <c r="FL64">
        <v>0.7</v>
      </c>
      <c r="FM64">
        <v>0.6</v>
      </c>
      <c r="FN64">
        <v>0.142822</v>
      </c>
      <c r="FO64">
        <v>4.99756</v>
      </c>
      <c r="FP64">
        <v>1.5979000000000001</v>
      </c>
      <c r="FQ64">
        <v>2.1520999999999999</v>
      </c>
      <c r="FR64">
        <v>1.5478499999999999</v>
      </c>
      <c r="FS64">
        <v>2.4304199999999998</v>
      </c>
      <c r="FT64">
        <v>35.894399999999997</v>
      </c>
      <c r="FU64">
        <v>15.6906</v>
      </c>
      <c r="FV64">
        <v>2</v>
      </c>
      <c r="FW64">
        <v>489.18400000000003</v>
      </c>
      <c r="FX64">
        <v>397.51900000000001</v>
      </c>
      <c r="FY64">
        <v>24.5425</v>
      </c>
      <c r="FZ64">
        <v>30.485900000000001</v>
      </c>
      <c r="GA64">
        <v>30</v>
      </c>
      <c r="GB64">
        <v>30.771100000000001</v>
      </c>
      <c r="GC64">
        <v>30.8245</v>
      </c>
      <c r="GD64">
        <v>-1</v>
      </c>
      <c r="GE64">
        <v>0</v>
      </c>
      <c r="GF64">
        <v>100</v>
      </c>
      <c r="GG64">
        <v>24.5444</v>
      </c>
      <c r="GH64">
        <v>432.1</v>
      </c>
      <c r="GI64">
        <v>78.840199999999996</v>
      </c>
      <c r="GJ64">
        <v>102.157</v>
      </c>
      <c r="GK64">
        <v>96.3904</v>
      </c>
    </row>
    <row r="65" spans="1:193" x14ac:dyDescent="0.35">
      <c r="A65">
        <v>49</v>
      </c>
      <c r="B65">
        <v>1775466934</v>
      </c>
      <c r="C65">
        <v>2977.900000095367</v>
      </c>
      <c r="D65" t="s">
        <v>468</v>
      </c>
      <c r="E65" t="s">
        <v>469</v>
      </c>
      <c r="F65">
        <v>30</v>
      </c>
      <c r="G65">
        <v>1775466920</v>
      </c>
      <c r="H65">
        <f t="shared" si="18"/>
        <v>2.6895649763599536E-3</v>
      </c>
      <c r="I65">
        <f>1000*AY65*AG65*(AU65-AV65)/(100*AN65*(1000-AG65*AU65))</f>
        <v>2.6895649763599536</v>
      </c>
      <c r="J65">
        <f>AY65*AG65*(AT65-AS65*(1000-AG65*AV65)/(1000-AG65*AU65))/(100*AN65)</f>
        <v>-2.4232837710806594</v>
      </c>
      <c r="K65">
        <f t="shared" si="19"/>
        <v>12.003405272727271</v>
      </c>
      <c r="L65">
        <f t="shared" si="20"/>
        <v>58.507179868228626</v>
      </c>
      <c r="M65">
        <f>L65*(AZ65+BA65)/1000</f>
        <v>5.8529404065167956</v>
      </c>
      <c r="N65">
        <f>(AS65 - IF(AG65&gt;1, J65*AN65*100/(AI65), 0))*(AZ65+BA65)/1000</f>
        <v>1.2007964816416172</v>
      </c>
      <c r="O65">
        <f t="shared" si="21"/>
        <v>8.1409206928679229E-2</v>
      </c>
      <c r="P65">
        <f>IF(LEFT(AP65,1)&lt;&gt;"0",IF(LEFT(AP65,1)="1",3,AQ65),$D$5+$E$5*(BG65*AZ65/($K$5*1000))+$F$5*(BG65*AZ65/($K$5*1000))*MAX(MIN(AN65,$J$5),$I$5)*MAX(MIN(AN65,$J$5),$I$5)+$G$5*MAX(MIN(AN65,$J$5),$I$5)*(BG65*AZ65/($K$5*1000))+$H$5*(BG65*AZ65/($K$5*1000))*(BG65*AZ65/($K$5*1000)))</f>
        <v>2.3897303697116179</v>
      </c>
      <c r="Q65">
        <f>H65*(1000-(1000*0.61365*EXP(17.502*U65/(240.97+U65))/(AZ65+BA65)+AU65)/2)/(1000*0.61365*EXP(17.502*U65/(240.97+U65))/(AZ65+BA65)-AU65)</f>
        <v>7.9899311295410474E-2</v>
      </c>
      <c r="R65">
        <f t="shared" si="22"/>
        <v>5.0070395171256214E-2</v>
      </c>
      <c r="S65">
        <f t="shared" si="23"/>
        <v>0.12327401317636363</v>
      </c>
      <c r="T65">
        <f>(BB65+(S65+2*0.95*0.0000000567*(((BB65+$B$7)+273)^4-(BB65+273)^4)-44100*H65)/(1.84*29.3*P65+8*0.95*0.0000000567*(BB65+273)^3))</f>
        <v>24.150804120183654</v>
      </c>
      <c r="U65">
        <f>($C$7*BC65+$D$7*BD65+$E$7*T65)</f>
        <v>25.114345454545461</v>
      </c>
      <c r="V65">
        <f t="shared" si="24"/>
        <v>3.2014186745233326</v>
      </c>
      <c r="W65">
        <f t="shared" si="25"/>
        <v>-3.5890266816917302</v>
      </c>
      <c r="X65">
        <f>AU65*(AZ65+BA65)/1000</f>
        <v>-0.11409021209752607</v>
      </c>
      <c r="Y65">
        <f t="shared" si="26"/>
        <v>3.1788621878884524</v>
      </c>
      <c r="Z65">
        <f>(V65-AU65*(AZ65+BA65)/1000)</f>
        <v>3.3155088866208589</v>
      </c>
      <c r="AA65">
        <f t="shared" si="27"/>
        <v>-118.60981545747396</v>
      </c>
      <c r="AB65">
        <f>2*29.3*P65*0.92*(BB65-U65)</f>
        <v>-15.28593843046894</v>
      </c>
      <c r="AC65">
        <f>2*0.95*0.0000000567*(((BB65+$B$7)+273)^4-(U65+273)^4)</f>
        <v>-1.3537664866654713</v>
      </c>
      <c r="AD65">
        <f t="shared" si="28"/>
        <v>-135.12624636143201</v>
      </c>
      <c r="AE65">
        <v>21</v>
      </c>
      <c r="AF65">
        <v>4</v>
      </c>
      <c r="AG65">
        <f t="shared" si="29"/>
        <v>1</v>
      </c>
      <c r="AH65">
        <f t="shared" si="30"/>
        <v>0</v>
      </c>
      <c r="AI65">
        <f t="shared" si="31"/>
        <v>25720.994761305148</v>
      </c>
      <c r="AJ65">
        <f t="shared" si="32"/>
        <v>0.6450759454545455</v>
      </c>
      <c r="AK65">
        <f t="shared" si="33"/>
        <v>0.51606075636363646</v>
      </c>
      <c r="AL65">
        <f t="shared" si="34"/>
        <v>0.8</v>
      </c>
      <c r="AM65">
        <f t="shared" si="35"/>
        <v>0.19109999999999999</v>
      </c>
      <c r="AN65">
        <v>3</v>
      </c>
      <c r="AO65">
        <v>0.5</v>
      </c>
      <c r="AP65" t="s">
        <v>317</v>
      </c>
      <c r="AQ65">
        <v>2</v>
      </c>
      <c r="AR65">
        <v>1775466920</v>
      </c>
      <c r="AS65">
        <v>12.003405272727271</v>
      </c>
      <c r="AT65">
        <v>10.571121818181821</v>
      </c>
      <c r="AU65">
        <v>-1.140468909090909</v>
      </c>
      <c r="AV65">
        <v>-2.7534396418181819</v>
      </c>
      <c r="AW65">
        <v>3.747405272727272</v>
      </c>
      <c r="AX65">
        <v>-1.5444396418181821</v>
      </c>
      <c r="AY65">
        <v>500.8086545454546</v>
      </c>
      <c r="AZ65">
        <v>99.990245454545445</v>
      </c>
      <c r="BA65">
        <v>4.7739963636363639E-2</v>
      </c>
      <c r="BB65">
        <v>24.995698181818192</v>
      </c>
      <c r="BC65">
        <v>25.114345454545461</v>
      </c>
      <c r="BD65">
        <v>999.90000000000009</v>
      </c>
      <c r="BE65">
        <v>0</v>
      </c>
      <c r="BF65">
        <v>0</v>
      </c>
      <c r="BG65">
        <v>5004.863636363636</v>
      </c>
      <c r="BH65">
        <v>0.6450759454545455</v>
      </c>
      <c r="BI65">
        <v>196.32332727272731</v>
      </c>
      <c r="BJ65">
        <v>1.4388295200000001</v>
      </c>
      <c r="BK65">
        <v>11.97665636363636</v>
      </c>
      <c r="BL65">
        <v>10.55908</v>
      </c>
      <c r="BM65">
        <v>-1.615880179690909</v>
      </c>
      <c r="BN65">
        <v>10.571121818181821</v>
      </c>
      <c r="BO65">
        <v>-1.140468909090909</v>
      </c>
      <c r="BP65">
        <v>-0.27560770909090909</v>
      </c>
      <c r="BQ65">
        <v>-0.11403574545454551</v>
      </c>
      <c r="BR65">
        <v>-99.899999999999949</v>
      </c>
      <c r="BS65">
        <v>-99.899999999999949</v>
      </c>
      <c r="BT65">
        <v>1775466958</v>
      </c>
      <c r="BU65" t="s">
        <v>470</v>
      </c>
      <c r="BV65">
        <v>1775466952</v>
      </c>
      <c r="BW65">
        <v>1775466958</v>
      </c>
      <c r="BX65">
        <v>50</v>
      </c>
      <c r="BY65">
        <v>-6.0000000000000001E-3</v>
      </c>
      <c r="BZ65">
        <v>3.0000000000000001E-3</v>
      </c>
      <c r="CA65">
        <v>8.2560000000000002</v>
      </c>
      <c r="CB65">
        <v>-1.2090000000000001</v>
      </c>
      <c r="CC65">
        <v>11</v>
      </c>
      <c r="CD65">
        <v>-1</v>
      </c>
      <c r="CE65">
        <v>0.28999999999999998</v>
      </c>
      <c r="CF65">
        <v>0.04</v>
      </c>
      <c r="CG65">
        <v>10.55294262295082</v>
      </c>
      <c r="CH65">
        <v>-0.18906504494976631</v>
      </c>
      <c r="CI65">
        <v>0.2335782232572321</v>
      </c>
      <c r="CJ65">
        <v>-1</v>
      </c>
      <c r="CK65">
        <v>500.7282295081967</v>
      </c>
      <c r="CL65">
        <v>-4.4438582760449528</v>
      </c>
      <c r="CM65">
        <v>1.423579492082125</v>
      </c>
      <c r="CN65">
        <v>-1</v>
      </c>
      <c r="CO65">
        <v>0</v>
      </c>
      <c r="CP65">
        <v>0</v>
      </c>
      <c r="CQ65" t="s">
        <v>319</v>
      </c>
      <c r="CR65">
        <v>3.1675300000000002</v>
      </c>
      <c r="CS65">
        <v>2.6670799999999999</v>
      </c>
      <c r="CT65">
        <v>1.15116E-3</v>
      </c>
      <c r="CU65">
        <v>3.1183299999999999E-3</v>
      </c>
      <c r="CV65">
        <v>-1.6494999999999999E-2</v>
      </c>
      <c r="CW65">
        <v>-9.9606699999999996E-3</v>
      </c>
      <c r="CX65">
        <v>21534.799999999999</v>
      </c>
      <c r="CY65">
        <v>21864.6</v>
      </c>
      <c r="CZ65">
        <v>23088.6</v>
      </c>
      <c r="DA65">
        <v>22287.3</v>
      </c>
      <c r="DB65">
        <v>30269.4</v>
      </c>
      <c r="DC65">
        <v>26849.599999999999</v>
      </c>
      <c r="DD65">
        <v>40587.300000000003</v>
      </c>
      <c r="DE65">
        <v>36942.300000000003</v>
      </c>
      <c r="DF65">
        <v>2.0631599999999999</v>
      </c>
      <c r="DG65">
        <v>1.7770600000000001</v>
      </c>
      <c r="DH65">
        <v>-5.16176E-2</v>
      </c>
      <c r="DI65">
        <v>0</v>
      </c>
      <c r="DJ65">
        <v>25.956</v>
      </c>
      <c r="DK65">
        <v>999.9</v>
      </c>
      <c r="DL65">
        <v>73.099999999999994</v>
      </c>
      <c r="DM65">
        <v>31.5</v>
      </c>
      <c r="DN65">
        <v>33.930900000000001</v>
      </c>
      <c r="DO65">
        <v>30.81</v>
      </c>
      <c r="DP65">
        <v>10.3285</v>
      </c>
      <c r="DQ65">
        <v>1</v>
      </c>
      <c r="DR65">
        <v>0.26502399999999998</v>
      </c>
      <c r="DS65">
        <v>1.69672</v>
      </c>
      <c r="DT65">
        <v>20.358599999999999</v>
      </c>
      <c r="DU65">
        <v>5.2104600000000003</v>
      </c>
      <c r="DV65">
        <v>11.852499999999999</v>
      </c>
      <c r="DW65">
        <v>4.9676799999999997</v>
      </c>
      <c r="DX65">
        <v>3.2929400000000002</v>
      </c>
      <c r="DY65">
        <v>894.7</v>
      </c>
      <c r="DZ65">
        <v>0</v>
      </c>
      <c r="EA65">
        <v>1454.7</v>
      </c>
      <c r="EB65">
        <v>107.5</v>
      </c>
      <c r="EC65">
        <v>4.9716199999999997</v>
      </c>
      <c r="ED65">
        <v>1.8718699999999999</v>
      </c>
      <c r="EE65">
        <v>1.8690599999999999</v>
      </c>
      <c r="EF65">
        <v>1.87148</v>
      </c>
      <c r="EG65">
        <v>1.8692</v>
      </c>
      <c r="EH65">
        <v>1.8681300000000001</v>
      </c>
      <c r="EI65">
        <v>1.8699699999999999</v>
      </c>
      <c r="EJ65">
        <v>1.8717999999999999</v>
      </c>
      <c r="EK65">
        <v>0</v>
      </c>
      <c r="EL65">
        <v>0</v>
      </c>
      <c r="EM65">
        <v>0</v>
      </c>
      <c r="EN65">
        <v>0</v>
      </c>
      <c r="EO65" t="s">
        <v>320</v>
      </c>
      <c r="EP65" t="s">
        <v>321</v>
      </c>
      <c r="EQ65" t="s">
        <v>322</v>
      </c>
      <c r="ER65" t="s">
        <v>322</v>
      </c>
      <c r="ES65" t="s">
        <v>322</v>
      </c>
      <c r="ET65" t="s">
        <v>322</v>
      </c>
      <c r="EU65">
        <v>0</v>
      </c>
      <c r="EV65">
        <v>100</v>
      </c>
      <c r="EW65">
        <v>100</v>
      </c>
      <c r="EX65">
        <v>8.2560000000000002</v>
      </c>
      <c r="EY65">
        <v>-1.2090000000000001</v>
      </c>
      <c r="EZ65">
        <v>8.2625485714285727</v>
      </c>
      <c r="FA65">
        <v>0</v>
      </c>
      <c r="FB65">
        <v>0</v>
      </c>
      <c r="FC65">
        <v>0</v>
      </c>
      <c r="FD65">
        <v>-1.211910015</v>
      </c>
      <c r="FE65">
        <v>0</v>
      </c>
      <c r="FF65">
        <v>0</v>
      </c>
      <c r="FG65">
        <v>0</v>
      </c>
      <c r="FH65">
        <v>-1</v>
      </c>
      <c r="FI65">
        <v>-1</v>
      </c>
      <c r="FJ65">
        <v>-1</v>
      </c>
      <c r="FK65">
        <v>-1</v>
      </c>
      <c r="FL65">
        <v>0.7</v>
      </c>
      <c r="FM65">
        <v>0.5</v>
      </c>
      <c r="FN65">
        <v>0.142822</v>
      </c>
      <c r="FO65">
        <v>4.99756</v>
      </c>
      <c r="FP65">
        <v>1.5979000000000001</v>
      </c>
      <c r="FQ65">
        <v>2.1520999999999999</v>
      </c>
      <c r="FR65">
        <v>1.5478499999999999</v>
      </c>
      <c r="FS65">
        <v>2.34253</v>
      </c>
      <c r="FT65">
        <v>35.9178</v>
      </c>
      <c r="FU65">
        <v>15.6731</v>
      </c>
      <c r="FV65">
        <v>2</v>
      </c>
      <c r="FW65">
        <v>488.88799999999998</v>
      </c>
      <c r="FX65">
        <v>396.87900000000002</v>
      </c>
      <c r="FY65">
        <v>24.518599999999999</v>
      </c>
      <c r="FZ65">
        <v>30.4938</v>
      </c>
      <c r="GA65">
        <v>30.0001</v>
      </c>
      <c r="GB65">
        <v>30.783799999999999</v>
      </c>
      <c r="GC65">
        <v>30.839700000000001</v>
      </c>
      <c r="GD65">
        <v>-1</v>
      </c>
      <c r="GE65">
        <v>0</v>
      </c>
      <c r="GF65">
        <v>100</v>
      </c>
      <c r="GG65">
        <v>24.523399999999999</v>
      </c>
      <c r="GH65">
        <v>432.1</v>
      </c>
      <c r="GI65">
        <v>78.840199999999996</v>
      </c>
      <c r="GJ65">
        <v>102.155</v>
      </c>
      <c r="GK65">
        <v>96.389700000000005</v>
      </c>
    </row>
    <row r="66" spans="1:193" x14ac:dyDescent="0.35">
      <c r="A66">
        <v>50</v>
      </c>
      <c r="B66">
        <v>1775466994.0999999</v>
      </c>
      <c r="C66">
        <v>3038</v>
      </c>
      <c r="D66" t="s">
        <v>471</v>
      </c>
      <c r="E66" t="s">
        <v>472</v>
      </c>
      <c r="F66">
        <v>30</v>
      </c>
      <c r="G66">
        <v>1775466978.6590171</v>
      </c>
      <c r="H66">
        <f t="shared" si="18"/>
        <v>3.0018686116946099E-3</v>
      </c>
      <c r="I66">
        <f>1000*AY66*AG66*(AU66-AV66)/(100*AN66*(1000-AG66*AU66))</f>
        <v>3.0018686116946101</v>
      </c>
      <c r="J66">
        <f>AY66*AG66*(AT66-AS66*(1000-AG66*AV66)/(1000-AG66*AU66))/(100*AN66)</f>
        <v>-2.3049830852628794</v>
      </c>
      <c r="K66">
        <f t="shared" si="19"/>
        <v>12.818944754098361</v>
      </c>
      <c r="L66">
        <f t="shared" si="20"/>
        <v>52.362005474688068</v>
      </c>
      <c r="M66">
        <f>L66*(AZ66+BA66)/1000</f>
        <v>5.238154679744377</v>
      </c>
      <c r="N66">
        <f>(AS66 - IF(AG66&gt;1, J66*AN66*100/(AI66), 0))*(AZ66+BA66)/1000</f>
        <v>1.2823728740780238</v>
      </c>
      <c r="O66">
        <f t="shared" si="21"/>
        <v>9.0920342118463129E-2</v>
      </c>
      <c r="P66">
        <f>IF(LEFT(AP66,1)&lt;&gt;"0",IF(LEFT(AP66,1)="1",3,AQ66),$D$5+$E$5*(BG66*AZ66/($K$5*1000))+$F$5*(BG66*AZ66/($K$5*1000))*MAX(MIN(AN66,$J$5),$I$5)*MAX(MIN(AN66,$J$5),$I$5)+$G$5*MAX(MIN(AN66,$J$5),$I$5)*(BG66*AZ66/($K$5*1000))+$H$5*(BG66*AZ66/($K$5*1000))*(BG66*AZ66/($K$5*1000)))</f>
        <v>2.3895366989546694</v>
      </c>
      <c r="Q66">
        <f>H66*(1000-(1000*0.61365*EXP(17.502*U66/(240.97+U66))/(AZ66+BA66)+AU66)/2)/(1000*0.61365*EXP(17.502*U66/(240.97+U66))/(AZ66+BA66)-AU66)</f>
        <v>8.9041270285525359E-2</v>
      </c>
      <c r="R66">
        <f t="shared" si="22"/>
        <v>5.5816386510200627E-2</v>
      </c>
      <c r="S66">
        <f t="shared" si="23"/>
        <v>0.12127565957213117</v>
      </c>
      <c r="T66">
        <f>(BB66+(S66+2*0.95*0.0000000567*(((BB66+$B$7)+273)^4-(BB66+273)^4)-44100*H66)/(1.84*29.3*P66+8*0.95*0.0000000567*(BB66+273)^3))</f>
        <v>24.058847410867422</v>
      </c>
      <c r="U66">
        <f>($C$7*BC66+$D$7*BD66+$E$7*T66)</f>
        <v>25.120662295081971</v>
      </c>
      <c r="V66">
        <f t="shared" si="24"/>
        <v>3.2026235045841154</v>
      </c>
      <c r="W66">
        <f t="shared" si="25"/>
        <v>-3.7093753489880408</v>
      </c>
      <c r="X66">
        <f>AU66*(AZ66+BA66)/1000</f>
        <v>-0.11796044863919503</v>
      </c>
      <c r="Y66">
        <f t="shared" si="26"/>
        <v>3.1800623431483137</v>
      </c>
      <c r="Z66">
        <f>(V66-AU66*(AZ66+BA66)/1000)</f>
        <v>3.3205839532233106</v>
      </c>
      <c r="AA66">
        <f t="shared" si="27"/>
        <v>-132.38240577573231</v>
      </c>
      <c r="AB66">
        <f>2*29.3*P66*0.92*(BB66-U66)</f>
        <v>-15.282833478904346</v>
      </c>
      <c r="AC66">
        <f>2*0.95*0.0000000567*(((BB66+$B$7)+273)^4-(U66+273)^4)</f>
        <v>-1.3536873663627034</v>
      </c>
      <c r="AD66">
        <f t="shared" si="28"/>
        <v>-148.89765096142722</v>
      </c>
      <c r="AE66">
        <v>21</v>
      </c>
      <c r="AF66">
        <v>4</v>
      </c>
      <c r="AG66">
        <f t="shared" si="29"/>
        <v>1</v>
      </c>
      <c r="AH66">
        <f t="shared" si="30"/>
        <v>0</v>
      </c>
      <c r="AI66">
        <f t="shared" si="31"/>
        <v>25717.446819060013</v>
      </c>
      <c r="AJ66">
        <f t="shared" si="32"/>
        <v>0.6346188360655739</v>
      </c>
      <c r="AK66">
        <f t="shared" si="33"/>
        <v>0.50769506885245919</v>
      </c>
      <c r="AL66">
        <f t="shared" si="34"/>
        <v>0.8</v>
      </c>
      <c r="AM66">
        <f t="shared" si="35"/>
        <v>0.19109999999999999</v>
      </c>
      <c r="AN66">
        <v>3</v>
      </c>
      <c r="AO66">
        <v>0.5</v>
      </c>
      <c r="AP66" t="s">
        <v>317</v>
      </c>
      <c r="AQ66">
        <v>2</v>
      </c>
      <c r="AR66">
        <v>1775466978.6590171</v>
      </c>
      <c r="AS66">
        <v>12.818944754098361</v>
      </c>
      <c r="AT66">
        <v>11.45956885245902</v>
      </c>
      <c r="AU66">
        <v>-1.179164426229508</v>
      </c>
      <c r="AV66">
        <v>-2.9817126229508202</v>
      </c>
      <c r="AW66">
        <v>4.5659447540983598</v>
      </c>
      <c r="AX66">
        <v>-1.77571262295082</v>
      </c>
      <c r="AY66">
        <v>500.19327868852457</v>
      </c>
      <c r="AZ66">
        <v>99.991137704918046</v>
      </c>
      <c r="BA66">
        <v>4.6181955737704908E-2</v>
      </c>
      <c r="BB66">
        <v>25.002029508196721</v>
      </c>
      <c r="BC66">
        <v>25.120662295081971</v>
      </c>
      <c r="BD66">
        <v>999.9</v>
      </c>
      <c r="BE66">
        <v>0</v>
      </c>
      <c r="BF66">
        <v>0</v>
      </c>
      <c r="BG66">
        <v>5004.3196721311479</v>
      </c>
      <c r="BH66">
        <v>0.6346188360655739</v>
      </c>
      <c r="BI66">
        <v>195.70485245901639</v>
      </c>
      <c r="BJ66">
        <v>1.3624440983606561</v>
      </c>
      <c r="BK66">
        <v>12.78384918032787</v>
      </c>
      <c r="BL66">
        <v>11.446062295081971</v>
      </c>
      <c r="BM66">
        <v>-1.805546229508197</v>
      </c>
      <c r="BN66">
        <v>11.45956885245902</v>
      </c>
      <c r="BO66">
        <v>-1.179164426229508</v>
      </c>
      <c r="BP66">
        <v>-0.29844455737704922</v>
      </c>
      <c r="BQ66">
        <v>-0.11790598360655739</v>
      </c>
      <c r="BR66">
        <v>-99.899999999999963</v>
      </c>
      <c r="BS66">
        <v>-99.899999999999963</v>
      </c>
      <c r="BT66">
        <v>1775467023.0999999</v>
      </c>
      <c r="BU66" t="s">
        <v>473</v>
      </c>
      <c r="BV66">
        <v>1775467013.0999999</v>
      </c>
      <c r="BW66">
        <v>1775467023.0999999</v>
      </c>
      <c r="BX66">
        <v>51</v>
      </c>
      <c r="BY66">
        <v>-3.0000000000000001E-3</v>
      </c>
      <c r="BZ66">
        <v>3.0000000000000001E-3</v>
      </c>
      <c r="CA66">
        <v>8.2530000000000001</v>
      </c>
      <c r="CB66">
        <v>-1.206</v>
      </c>
      <c r="CC66">
        <v>13</v>
      </c>
      <c r="CD66">
        <v>-1</v>
      </c>
      <c r="CE66">
        <v>0.28999999999999998</v>
      </c>
      <c r="CF66">
        <v>0.03</v>
      </c>
      <c r="CG66">
        <v>11.45956885245902</v>
      </c>
      <c r="CH66">
        <v>2.6753450570476138</v>
      </c>
      <c r="CI66">
        <v>0.44041022625557469</v>
      </c>
      <c r="CJ66">
        <v>-1</v>
      </c>
      <c r="CK66">
        <v>500.19327868852457</v>
      </c>
      <c r="CL66">
        <v>-2.113644144026595</v>
      </c>
      <c r="CM66">
        <v>0.70626171555401096</v>
      </c>
      <c r="CN66">
        <v>-1</v>
      </c>
      <c r="CO66">
        <v>0</v>
      </c>
      <c r="CP66">
        <v>0</v>
      </c>
      <c r="CQ66" t="s">
        <v>319</v>
      </c>
      <c r="CR66">
        <v>3.1676000000000002</v>
      </c>
      <c r="CS66">
        <v>2.6667399999999999</v>
      </c>
      <c r="CT66">
        <v>1.5196000000000001E-3</v>
      </c>
      <c r="CU66">
        <v>3.5021700000000002E-3</v>
      </c>
      <c r="CV66">
        <v>-1.64726E-2</v>
      </c>
      <c r="CW66">
        <v>-1.04324E-2</v>
      </c>
      <c r="CX66">
        <v>21526.400000000001</v>
      </c>
      <c r="CY66">
        <v>21856.5</v>
      </c>
      <c r="CZ66">
        <v>23088.2</v>
      </c>
      <c r="DA66">
        <v>22287.599999999999</v>
      </c>
      <c r="DB66">
        <v>30268.2</v>
      </c>
      <c r="DC66">
        <v>26862.3</v>
      </c>
      <c r="DD66">
        <v>40586.6</v>
      </c>
      <c r="DE66">
        <v>36942.6</v>
      </c>
      <c r="DF66">
        <v>2.0637799999999999</v>
      </c>
      <c r="DG66">
        <v>1.77674</v>
      </c>
      <c r="DH66">
        <v>-5.0330199999999999E-2</v>
      </c>
      <c r="DI66">
        <v>0</v>
      </c>
      <c r="DJ66">
        <v>25.950399999999998</v>
      </c>
      <c r="DK66">
        <v>999.9</v>
      </c>
      <c r="DL66">
        <v>73</v>
      </c>
      <c r="DM66">
        <v>31.5</v>
      </c>
      <c r="DN66">
        <v>33.887300000000003</v>
      </c>
      <c r="DO66">
        <v>30.695499999999999</v>
      </c>
      <c r="DP66">
        <v>10.4407</v>
      </c>
      <c r="DQ66">
        <v>1</v>
      </c>
      <c r="DR66">
        <v>0.26562400000000003</v>
      </c>
      <c r="DS66">
        <v>1.7214799999999999</v>
      </c>
      <c r="DT66">
        <v>20.358000000000001</v>
      </c>
      <c r="DU66">
        <v>5.2079500000000003</v>
      </c>
      <c r="DV66">
        <v>11.8522</v>
      </c>
      <c r="DW66">
        <v>4.9674399999999999</v>
      </c>
      <c r="DX66">
        <v>3.2925200000000001</v>
      </c>
      <c r="DY66">
        <v>894.7</v>
      </c>
      <c r="DZ66">
        <v>0</v>
      </c>
      <c r="EA66">
        <v>1488.5</v>
      </c>
      <c r="EB66">
        <v>107.5</v>
      </c>
      <c r="EC66">
        <v>4.9715999999999996</v>
      </c>
      <c r="ED66">
        <v>1.8718699999999999</v>
      </c>
      <c r="EE66">
        <v>1.8690500000000001</v>
      </c>
      <c r="EF66">
        <v>1.8714900000000001</v>
      </c>
      <c r="EG66">
        <v>1.8692</v>
      </c>
      <c r="EH66">
        <v>1.8681300000000001</v>
      </c>
      <c r="EI66">
        <v>1.8699600000000001</v>
      </c>
      <c r="EJ66">
        <v>1.8717999999999999</v>
      </c>
      <c r="EK66">
        <v>0</v>
      </c>
      <c r="EL66">
        <v>0</v>
      </c>
      <c r="EM66">
        <v>0</v>
      </c>
      <c r="EN66">
        <v>0</v>
      </c>
      <c r="EO66" t="s">
        <v>320</v>
      </c>
      <c r="EP66" t="s">
        <v>321</v>
      </c>
      <c r="EQ66" t="s">
        <v>322</v>
      </c>
      <c r="ER66" t="s">
        <v>322</v>
      </c>
      <c r="ES66" t="s">
        <v>322</v>
      </c>
      <c r="ET66" t="s">
        <v>322</v>
      </c>
      <c r="EU66">
        <v>0</v>
      </c>
      <c r="EV66">
        <v>100</v>
      </c>
      <c r="EW66">
        <v>100</v>
      </c>
      <c r="EX66">
        <v>8.2530000000000001</v>
      </c>
      <c r="EY66">
        <v>-1.206</v>
      </c>
      <c r="EZ66">
        <v>8.2560599999999997</v>
      </c>
      <c r="FA66">
        <v>0</v>
      </c>
      <c r="FB66">
        <v>0</v>
      </c>
      <c r="FC66">
        <v>0</v>
      </c>
      <c r="FD66">
        <v>-1.2089970249999999</v>
      </c>
      <c r="FE66">
        <v>0</v>
      </c>
      <c r="FF66">
        <v>0</v>
      </c>
      <c r="FG66">
        <v>0</v>
      </c>
      <c r="FH66">
        <v>-1</v>
      </c>
      <c r="FI66">
        <v>-1</v>
      </c>
      <c r="FJ66">
        <v>-1</v>
      </c>
      <c r="FK66">
        <v>-1</v>
      </c>
      <c r="FL66">
        <v>0.7</v>
      </c>
      <c r="FM66">
        <v>0.6</v>
      </c>
      <c r="FN66">
        <v>0.142822</v>
      </c>
      <c r="FO66">
        <v>4.99756</v>
      </c>
      <c r="FP66">
        <v>1.5979000000000001</v>
      </c>
      <c r="FQ66">
        <v>2.1520999999999999</v>
      </c>
      <c r="FR66">
        <v>1.5478499999999999</v>
      </c>
      <c r="FS66">
        <v>2.3730500000000001</v>
      </c>
      <c r="FT66">
        <v>35.9178</v>
      </c>
      <c r="FU66">
        <v>15.664300000000001</v>
      </c>
      <c r="FV66">
        <v>2</v>
      </c>
      <c r="FW66">
        <v>489.339</v>
      </c>
      <c r="FX66">
        <v>396.77199999999999</v>
      </c>
      <c r="FY66">
        <v>24.516999999999999</v>
      </c>
      <c r="FZ66">
        <v>30.499199999999998</v>
      </c>
      <c r="GA66">
        <v>30.0001</v>
      </c>
      <c r="GB66">
        <v>30.796500000000002</v>
      </c>
      <c r="GC66">
        <v>30.851299999999998</v>
      </c>
      <c r="GD66">
        <v>-1</v>
      </c>
      <c r="GE66">
        <v>0</v>
      </c>
      <c r="GF66">
        <v>100</v>
      </c>
      <c r="GG66">
        <v>24.5138</v>
      </c>
      <c r="GH66">
        <v>432.1</v>
      </c>
      <c r="GI66">
        <v>78.840199999999996</v>
      </c>
      <c r="GJ66">
        <v>102.15300000000001</v>
      </c>
      <c r="GK66">
        <v>96.390699999999995</v>
      </c>
    </row>
    <row r="67" spans="1:193" x14ac:dyDescent="0.35">
      <c r="A67">
        <v>51</v>
      </c>
      <c r="B67">
        <v>1775467054.0999999</v>
      </c>
      <c r="C67">
        <v>3098</v>
      </c>
      <c r="D67" t="s">
        <v>474</v>
      </c>
      <c r="E67" t="s">
        <v>475</v>
      </c>
      <c r="F67">
        <v>30</v>
      </c>
      <c r="G67">
        <v>1775467038.6000011</v>
      </c>
      <c r="H67">
        <f t="shared" si="18"/>
        <v>2.6025196011440423E-3</v>
      </c>
      <c r="I67">
        <f>1000*AY67*AG67*(AU67-AV67)/(100*AN67*(1000-AG67*AU67))</f>
        <v>2.6025196011440421</v>
      </c>
      <c r="J67">
        <f>AY67*AG67*(AT67-AS67*(1000-AG67*AV67)/(1000-AG67*AU67))/(100*AN67)</f>
        <v>-2.4329186384437209</v>
      </c>
      <c r="K67">
        <f t="shared" si="19"/>
        <v>13.81942081967213</v>
      </c>
      <c r="L67">
        <f t="shared" si="20"/>
        <v>62.118637681062808</v>
      </c>
      <c r="M67">
        <f>L67*(AZ67+BA67)/1000</f>
        <v>6.2142660187388419</v>
      </c>
      <c r="N67">
        <f>(AS67 - IF(AG67&gt;1, J67*AN67*100/(AI67), 0))*(AZ67+BA67)/1000</f>
        <v>1.3824765063146389</v>
      </c>
      <c r="O67">
        <f t="shared" si="21"/>
        <v>7.8529278955388193E-2</v>
      </c>
      <c r="P67">
        <f>IF(LEFT(AP67,1)&lt;&gt;"0",IF(LEFT(AP67,1)="1",3,AQ67),$D$5+$E$5*(BG67*AZ67/($K$5*1000))+$F$5*(BG67*AZ67/($K$5*1000))*MAX(MIN(AN67,$J$5),$I$5)*MAX(MIN(AN67,$J$5),$I$5)+$G$5*MAX(MIN(AN67,$J$5),$I$5)*(BG67*AZ67/($K$5*1000))+$H$5*(BG67*AZ67/($K$5*1000))*(BG67*AZ67/($K$5*1000)))</f>
        <v>2.388460546487694</v>
      </c>
      <c r="Q67">
        <f>H67*(1000-(1000*0.61365*EXP(17.502*U67/(240.97+U67))/(AZ67+BA67)+AU67)/2)/(1000*0.61365*EXP(17.502*U67/(240.97+U67))/(AZ67+BA67)-AU67)</f>
        <v>7.7122594363878805E-2</v>
      </c>
      <c r="R67">
        <f t="shared" si="22"/>
        <v>4.8325907690835841E-2</v>
      </c>
      <c r="S67">
        <f t="shared" si="23"/>
        <v>0.11970693846885246</v>
      </c>
      <c r="T67">
        <f>(BB67+(S67+2*0.95*0.0000000567*(((BB67+$B$7)+273)^4-(BB67+273)^4)-44100*H67)/(1.84*29.3*P67+8*0.95*0.0000000567*(BB67+273)^3))</f>
        <v>24.18351842324325</v>
      </c>
      <c r="U67">
        <f>($C$7*BC67+$D$7*BD67+$E$7*T67)</f>
        <v>25.121236065573768</v>
      </c>
      <c r="V67">
        <f t="shared" si="24"/>
        <v>3.2027329611880004</v>
      </c>
      <c r="W67">
        <f t="shared" si="25"/>
        <v>-3.8082216375595688</v>
      </c>
      <c r="X67">
        <f>AU67*(AZ67+BA67)/1000</f>
        <v>-0.12109971519166809</v>
      </c>
      <c r="Y67">
        <f t="shared" si="26"/>
        <v>3.1799544962743473</v>
      </c>
      <c r="Z67">
        <f>(V67-AU67*(AZ67+BA67)/1000)</f>
        <v>3.3238326763796686</v>
      </c>
      <c r="AA67">
        <f t="shared" si="27"/>
        <v>-114.77111441045227</v>
      </c>
      <c r="AB67">
        <f>2*29.3*P67*0.92*(BB67-U67)</f>
        <v>-15.423082466979055</v>
      </c>
      <c r="AC67">
        <f>2*0.95*0.0000000567*(((BB67+$B$7)+273)^4-(U67+273)^4)</f>
        <v>-1.3667255696356466</v>
      </c>
      <c r="AD67">
        <f t="shared" si="28"/>
        <v>-131.44121550859813</v>
      </c>
      <c r="AE67">
        <v>21</v>
      </c>
      <c r="AF67">
        <v>4</v>
      </c>
      <c r="AG67">
        <f t="shared" si="29"/>
        <v>1</v>
      </c>
      <c r="AH67">
        <f t="shared" si="30"/>
        <v>0</v>
      </c>
      <c r="AI67">
        <f t="shared" si="31"/>
        <v>25701.046359582757</v>
      </c>
      <c r="AJ67">
        <f t="shared" si="32"/>
        <v>0.6264099344262295</v>
      </c>
      <c r="AK67">
        <f t="shared" si="33"/>
        <v>0.50112794754098366</v>
      </c>
      <c r="AL67">
        <f t="shared" si="34"/>
        <v>0.8</v>
      </c>
      <c r="AM67">
        <f t="shared" si="35"/>
        <v>0.19109999999999999</v>
      </c>
      <c r="AN67">
        <v>3</v>
      </c>
      <c r="AO67">
        <v>0.5</v>
      </c>
      <c r="AP67" t="s">
        <v>317</v>
      </c>
      <c r="AQ67">
        <v>2</v>
      </c>
      <c r="AR67">
        <v>1775467038.6000011</v>
      </c>
      <c r="AS67">
        <v>13.81942081967213</v>
      </c>
      <c r="AT67">
        <v>12.383280327868849</v>
      </c>
      <c r="AU67">
        <v>-1.210529016393443</v>
      </c>
      <c r="AV67">
        <v>-2.7717226344262289</v>
      </c>
      <c r="AW67">
        <v>5.5844208196721317</v>
      </c>
      <c r="AX67">
        <v>-1.5687226344262291</v>
      </c>
      <c r="AY67">
        <v>500.70727868852453</v>
      </c>
      <c r="AZ67">
        <v>99.990408196721305</v>
      </c>
      <c r="BA67">
        <v>4.8263781967213107E-2</v>
      </c>
      <c r="BB67">
        <v>25.001460655737709</v>
      </c>
      <c r="BC67">
        <v>25.121236065573768</v>
      </c>
      <c r="BD67">
        <v>999.9</v>
      </c>
      <c r="BE67">
        <v>0</v>
      </c>
      <c r="BF67">
        <v>0</v>
      </c>
      <c r="BG67">
        <v>5001.5819672131147</v>
      </c>
      <c r="BH67">
        <v>0.6264099344262295</v>
      </c>
      <c r="BI67">
        <v>195.03178688524591</v>
      </c>
      <c r="BJ67">
        <v>1.45402543442623</v>
      </c>
      <c r="BK67">
        <v>13.798819672131151</v>
      </c>
      <c r="BL67">
        <v>12.36830491803279</v>
      </c>
      <c r="BM67">
        <v>-1.564398156442623</v>
      </c>
      <c r="BN67">
        <v>12.383280327868849</v>
      </c>
      <c r="BO67">
        <v>-1.210529016393443</v>
      </c>
      <c r="BP67">
        <v>-0.27746604918032802</v>
      </c>
      <c r="BQ67">
        <v>-0.12104122950819669</v>
      </c>
      <c r="BR67">
        <v>-99.899999999999963</v>
      </c>
      <c r="BS67">
        <v>-99.899999999999963</v>
      </c>
      <c r="BT67">
        <v>1775467081.0999999</v>
      </c>
      <c r="BU67" t="s">
        <v>476</v>
      </c>
      <c r="BV67">
        <v>1775467080.0999999</v>
      </c>
      <c r="BW67">
        <v>1775467081.0999999</v>
      </c>
      <c r="BX67">
        <v>52</v>
      </c>
      <c r="BY67">
        <v>-1.7000000000000001E-2</v>
      </c>
      <c r="BZ67">
        <v>3.0000000000000001E-3</v>
      </c>
      <c r="CA67">
        <v>8.2349999999999994</v>
      </c>
      <c r="CB67">
        <v>-1.2030000000000001</v>
      </c>
      <c r="CC67">
        <v>11</v>
      </c>
      <c r="CD67">
        <v>-1</v>
      </c>
      <c r="CE67">
        <v>0.17</v>
      </c>
      <c r="CF67">
        <v>0.05</v>
      </c>
      <c r="CG67">
        <v>12.372152459016389</v>
      </c>
      <c r="CH67">
        <v>0.70130132205183859</v>
      </c>
      <c r="CI67">
        <v>0.26891399478702088</v>
      </c>
      <c r="CJ67">
        <v>-1</v>
      </c>
      <c r="CK67">
        <v>500.70834426229499</v>
      </c>
      <c r="CL67">
        <v>-5.5025362242194937</v>
      </c>
      <c r="CM67">
        <v>1.3876066301989181</v>
      </c>
      <c r="CN67">
        <v>-1</v>
      </c>
      <c r="CO67">
        <v>0</v>
      </c>
      <c r="CP67">
        <v>0</v>
      </c>
      <c r="CQ67" t="s">
        <v>319</v>
      </c>
      <c r="CR67">
        <v>3.16757</v>
      </c>
      <c r="CS67">
        <v>2.6673900000000001</v>
      </c>
      <c r="CT67">
        <v>1.7836799999999999E-3</v>
      </c>
      <c r="CU67">
        <v>3.7735400000000001E-3</v>
      </c>
      <c r="CV67">
        <v>-1.6484599999999999E-2</v>
      </c>
      <c r="CW67">
        <v>-1.0640999999999999E-2</v>
      </c>
      <c r="CX67">
        <v>21520.799999999999</v>
      </c>
      <c r="CY67">
        <v>21851</v>
      </c>
      <c r="CZ67">
        <v>23088.2</v>
      </c>
      <c r="DA67">
        <v>22288</v>
      </c>
      <c r="DB67">
        <v>30268.400000000001</v>
      </c>
      <c r="DC67">
        <v>26868.2</v>
      </c>
      <c r="DD67">
        <v>40586.400000000001</v>
      </c>
      <c r="DE67">
        <v>36943.1</v>
      </c>
      <c r="DF67">
        <v>2.0636999999999999</v>
      </c>
      <c r="DG67">
        <v>1.77572</v>
      </c>
      <c r="DH67">
        <v>-5.0094699999999999E-2</v>
      </c>
      <c r="DI67">
        <v>0</v>
      </c>
      <c r="DJ67">
        <v>25.9407</v>
      </c>
      <c r="DK67">
        <v>999.9</v>
      </c>
      <c r="DL67">
        <v>72.900000000000006</v>
      </c>
      <c r="DM67">
        <v>31.5</v>
      </c>
      <c r="DN67">
        <v>33.838799999999999</v>
      </c>
      <c r="DO67">
        <v>30.665500000000002</v>
      </c>
      <c r="DP67">
        <v>10.396599999999999</v>
      </c>
      <c r="DQ67">
        <v>1</v>
      </c>
      <c r="DR67">
        <v>0.265602</v>
      </c>
      <c r="DS67">
        <v>1.7079800000000001</v>
      </c>
      <c r="DT67">
        <v>20.358599999999999</v>
      </c>
      <c r="DU67">
        <v>5.2121399999999998</v>
      </c>
      <c r="DV67">
        <v>11.852399999999999</v>
      </c>
      <c r="DW67">
        <v>4.9676</v>
      </c>
      <c r="DX67">
        <v>3.2928600000000001</v>
      </c>
      <c r="DY67">
        <v>894.7</v>
      </c>
      <c r="DZ67">
        <v>0</v>
      </c>
      <c r="EA67">
        <v>1515.5</v>
      </c>
      <c r="EB67">
        <v>107.5</v>
      </c>
      <c r="EC67">
        <v>4.9715699999999998</v>
      </c>
      <c r="ED67">
        <v>1.8718300000000001</v>
      </c>
      <c r="EE67">
        <v>1.8690500000000001</v>
      </c>
      <c r="EF67">
        <v>1.87147</v>
      </c>
      <c r="EG67">
        <v>1.8692</v>
      </c>
      <c r="EH67">
        <v>1.8681300000000001</v>
      </c>
      <c r="EI67">
        <v>1.8699600000000001</v>
      </c>
      <c r="EJ67">
        <v>1.8717900000000001</v>
      </c>
      <c r="EK67">
        <v>0</v>
      </c>
      <c r="EL67">
        <v>0</v>
      </c>
      <c r="EM67">
        <v>0</v>
      </c>
      <c r="EN67">
        <v>0</v>
      </c>
      <c r="EO67" t="s">
        <v>320</v>
      </c>
      <c r="EP67" t="s">
        <v>321</v>
      </c>
      <c r="EQ67" t="s">
        <v>322</v>
      </c>
      <c r="ER67" t="s">
        <v>322</v>
      </c>
      <c r="ES67" t="s">
        <v>322</v>
      </c>
      <c r="ET67" t="s">
        <v>322</v>
      </c>
      <c r="EU67">
        <v>0</v>
      </c>
      <c r="EV67">
        <v>100</v>
      </c>
      <c r="EW67">
        <v>100</v>
      </c>
      <c r="EX67">
        <v>8.2349999999999994</v>
      </c>
      <c r="EY67">
        <v>-1.2030000000000001</v>
      </c>
      <c r="EZ67">
        <v>8.2528900000000007</v>
      </c>
      <c r="FA67">
        <v>0</v>
      </c>
      <c r="FB67">
        <v>0</v>
      </c>
      <c r="FC67">
        <v>0</v>
      </c>
      <c r="FD67">
        <v>-1.2062039099999999</v>
      </c>
      <c r="FE67">
        <v>0</v>
      </c>
      <c r="FF67">
        <v>0</v>
      </c>
      <c r="FG67">
        <v>0</v>
      </c>
      <c r="FH67">
        <v>-1</v>
      </c>
      <c r="FI67">
        <v>-1</v>
      </c>
      <c r="FJ67">
        <v>-1</v>
      </c>
      <c r="FK67">
        <v>-1</v>
      </c>
      <c r="FL67">
        <v>0.7</v>
      </c>
      <c r="FM67">
        <v>0.5</v>
      </c>
      <c r="FN67">
        <v>0.142822</v>
      </c>
      <c r="FO67">
        <v>4.99756</v>
      </c>
      <c r="FP67">
        <v>1.5979000000000001</v>
      </c>
      <c r="FQ67">
        <v>2.1520999999999999</v>
      </c>
      <c r="FR67">
        <v>1.5478499999999999</v>
      </c>
      <c r="FS67">
        <v>2.4450699999999999</v>
      </c>
      <c r="FT67">
        <v>35.941200000000002</v>
      </c>
      <c r="FU67">
        <v>15.6556</v>
      </c>
      <c r="FV67">
        <v>2</v>
      </c>
      <c r="FW67">
        <v>489.33600000000001</v>
      </c>
      <c r="FX67">
        <v>396.245</v>
      </c>
      <c r="FY67">
        <v>24.515499999999999</v>
      </c>
      <c r="FZ67">
        <v>30.499199999999998</v>
      </c>
      <c r="GA67">
        <v>30.0001</v>
      </c>
      <c r="GB67">
        <v>30.802299999999999</v>
      </c>
      <c r="GC67">
        <v>30.859200000000001</v>
      </c>
      <c r="GD67">
        <v>-1</v>
      </c>
      <c r="GE67">
        <v>0</v>
      </c>
      <c r="GF67">
        <v>100</v>
      </c>
      <c r="GG67">
        <v>24.514099999999999</v>
      </c>
      <c r="GH67">
        <v>432.1</v>
      </c>
      <c r="GI67">
        <v>78.840199999999996</v>
      </c>
      <c r="GJ67">
        <v>102.15300000000001</v>
      </c>
      <c r="GK67">
        <v>96.392300000000006</v>
      </c>
    </row>
    <row r="68" spans="1:193" x14ac:dyDescent="0.35">
      <c r="A68">
        <v>52</v>
      </c>
      <c r="B68">
        <v>1775467114.0999999</v>
      </c>
      <c r="C68">
        <v>3158</v>
      </c>
      <c r="D68" t="s">
        <v>477</v>
      </c>
      <c r="E68" t="s">
        <v>478</v>
      </c>
      <c r="F68">
        <v>30</v>
      </c>
      <c r="G68">
        <v>1775467098.6000011</v>
      </c>
      <c r="H68">
        <f t="shared" si="18"/>
        <v>2.8129362173579045E-3</v>
      </c>
      <c r="I68">
        <f>1000*AY68*AG68*(AU68-AV68)/(100*AN68*(1000-AG68*AU68))</f>
        <v>2.8129362173579047</v>
      </c>
      <c r="J68">
        <f>AY68*AG68*(AT68-AS68*(1000-AG68*AV68)/(1000-AG68*AU68))/(100*AN68)</f>
        <v>-2.3883065588866215</v>
      </c>
      <c r="K68">
        <f t="shared" si="19"/>
        <v>13.341817868852459</v>
      </c>
      <c r="L68">
        <f t="shared" si="20"/>
        <v>57.145852751541845</v>
      </c>
      <c r="M68">
        <f>L68*(AZ68+BA68)/1000</f>
        <v>5.716717711714888</v>
      </c>
      <c r="N68">
        <f>(AS68 - IF(AG68&gt;1, J68*AN68*100/(AI68), 0))*(AZ68+BA68)/1000</f>
        <v>1.3346796459395762</v>
      </c>
      <c r="O68">
        <f t="shared" si="21"/>
        <v>8.5029384512315898E-2</v>
      </c>
      <c r="P68">
        <f>IF(LEFT(AP68,1)&lt;&gt;"0",IF(LEFT(AP68,1)="1",3,AQ68),$D$5+$E$5*(BG68*AZ68/($K$5*1000))+$F$5*(BG68*AZ68/($K$5*1000))*MAX(MIN(AN68,$J$5),$I$5)*MAX(MIN(AN68,$J$5),$I$5)+$G$5*MAX(MIN(AN68,$J$5),$I$5)*(BG68*AZ68/($K$5*1000))+$H$5*(BG68*AZ68/($K$5*1000))*(BG68*AZ68/($K$5*1000)))</f>
        <v>2.3877664165108592</v>
      </c>
      <c r="Q68">
        <f>H68*(1000-(1000*0.61365*EXP(17.502*U68/(240.97+U68))/(AZ68+BA68)+AU68)/2)/(1000*0.61365*EXP(17.502*U68/(240.97+U68))/(AZ68+BA68)-AU68)</f>
        <v>8.3382353898235728E-2</v>
      </c>
      <c r="R68">
        <f t="shared" si="22"/>
        <v>5.2259293104722895E-2</v>
      </c>
      <c r="S68">
        <f t="shared" si="23"/>
        <v>0.11950065071803277</v>
      </c>
      <c r="T68">
        <f>(BB68+(S68+2*0.95*0.0000000567*(((BB68+$B$7)+273)^4-(BB68+273)^4)-44100*H68)/(1.84*29.3*P68+8*0.95*0.0000000567*(BB68+273)^3))</f>
        <v>24.112465437635397</v>
      </c>
      <c r="U68">
        <f>($C$7*BC68+$D$7*BD68+$E$7*T68)</f>
        <v>25.11758196721312</v>
      </c>
      <c r="V68">
        <f t="shared" si="24"/>
        <v>3.2020359348656133</v>
      </c>
      <c r="W68">
        <f t="shared" si="25"/>
        <v>-3.7994751550620163</v>
      </c>
      <c r="X68">
        <f>AU68*(AZ68+BA68)/1000</f>
        <v>-0.12078836766749615</v>
      </c>
      <c r="Y68">
        <f t="shared" si="26"/>
        <v>3.1790803397298335</v>
      </c>
      <c r="Z68">
        <f>(V68-AU68*(AZ68+BA68)/1000)</f>
        <v>3.3228243025331095</v>
      </c>
      <c r="AA68">
        <f t="shared" si="27"/>
        <v>-124.05048718548359</v>
      </c>
      <c r="AB68">
        <f>2*29.3*P68*0.92*(BB68-U68)</f>
        <v>-15.541842681340551</v>
      </c>
      <c r="AC68">
        <f>2*0.95*0.0000000567*(((BB68+$B$7)+273)^4-(U68+273)^4)</f>
        <v>-1.3775926423392864</v>
      </c>
      <c r="AD68">
        <f t="shared" si="28"/>
        <v>-140.8504218584454</v>
      </c>
      <c r="AE68">
        <v>20</v>
      </c>
      <c r="AF68">
        <v>4</v>
      </c>
      <c r="AG68">
        <f t="shared" si="29"/>
        <v>1</v>
      </c>
      <c r="AH68">
        <f t="shared" si="30"/>
        <v>0</v>
      </c>
      <c r="AI68">
        <f t="shared" si="31"/>
        <v>25690.810723337956</v>
      </c>
      <c r="AJ68">
        <f t="shared" si="32"/>
        <v>0.62533045901639339</v>
      </c>
      <c r="AK68">
        <f t="shared" si="33"/>
        <v>0.50026436721311474</v>
      </c>
      <c r="AL68">
        <f t="shared" si="34"/>
        <v>0.8</v>
      </c>
      <c r="AM68">
        <f t="shared" si="35"/>
        <v>0.19109999999999999</v>
      </c>
      <c r="AN68">
        <v>3</v>
      </c>
      <c r="AO68">
        <v>0.5</v>
      </c>
      <c r="AP68" t="s">
        <v>317</v>
      </c>
      <c r="AQ68">
        <v>2</v>
      </c>
      <c r="AR68">
        <v>1775467098.6000011</v>
      </c>
      <c r="AS68">
        <v>13.341817868852459</v>
      </c>
      <c r="AT68">
        <v>11.93319016393442</v>
      </c>
      <c r="AU68">
        <v>-1.2074331147540991</v>
      </c>
      <c r="AV68">
        <v>-2.895030196721311</v>
      </c>
      <c r="AW68">
        <v>5.1008178688524586</v>
      </c>
      <c r="AX68">
        <v>-1.6880301967213109</v>
      </c>
      <c r="AY68">
        <v>500.65255737704899</v>
      </c>
      <c r="AZ68">
        <v>99.990526229508191</v>
      </c>
      <c r="BA68">
        <v>4.6789454098360647E-2</v>
      </c>
      <c r="BB68">
        <v>24.996849180327871</v>
      </c>
      <c r="BC68">
        <v>25.11758196721312</v>
      </c>
      <c r="BD68">
        <v>999.9</v>
      </c>
      <c r="BE68">
        <v>0</v>
      </c>
      <c r="BF68">
        <v>0</v>
      </c>
      <c r="BG68">
        <v>4999.7868852459014</v>
      </c>
      <c r="BH68">
        <v>0.62533045901639339</v>
      </c>
      <c r="BI68">
        <v>194.17634426229509</v>
      </c>
      <c r="BJ68">
        <v>1.4030949344262289</v>
      </c>
      <c r="BK68">
        <v>13.297747540983609</v>
      </c>
      <c r="BL68">
        <v>11.91880819672131</v>
      </c>
      <c r="BM68">
        <v>-1.6837722295081969</v>
      </c>
      <c r="BN68">
        <v>11.93319016393442</v>
      </c>
      <c r="BO68">
        <v>-1.2074331147540991</v>
      </c>
      <c r="BP68">
        <v>-0.28909303278688531</v>
      </c>
      <c r="BQ68">
        <v>-0.12073185245901639</v>
      </c>
      <c r="BR68">
        <v>-99.899999999999963</v>
      </c>
      <c r="BS68">
        <v>-99.899999999999963</v>
      </c>
      <c r="BT68">
        <v>1775467146.0999999</v>
      </c>
      <c r="BU68" t="s">
        <v>479</v>
      </c>
      <c r="BV68">
        <v>1775467133.5999999</v>
      </c>
      <c r="BW68">
        <v>1775467146.0999999</v>
      </c>
      <c r="BX68">
        <v>53</v>
      </c>
      <c r="BY68">
        <v>6.0000000000000001E-3</v>
      </c>
      <c r="BZ68">
        <v>-4.0000000000000001E-3</v>
      </c>
      <c r="CA68">
        <v>8.2409999999999997</v>
      </c>
      <c r="CB68">
        <v>-1.2070000000000001</v>
      </c>
      <c r="CC68">
        <v>12</v>
      </c>
      <c r="CD68">
        <v>-1</v>
      </c>
      <c r="CE68">
        <v>0.28000000000000003</v>
      </c>
      <c r="CF68">
        <v>0.05</v>
      </c>
      <c r="CG68">
        <v>11.93319016393442</v>
      </c>
      <c r="CH68">
        <v>1.5607278688524659</v>
      </c>
      <c r="CI68">
        <v>0.2750984066581898</v>
      </c>
      <c r="CJ68">
        <v>-1</v>
      </c>
      <c r="CK68">
        <v>500.65255737704899</v>
      </c>
      <c r="CL68">
        <v>-6.3367488101540284</v>
      </c>
      <c r="CM68">
        <v>1.384095023325032</v>
      </c>
      <c r="CN68">
        <v>-1</v>
      </c>
      <c r="CO68">
        <v>0</v>
      </c>
      <c r="CP68">
        <v>0</v>
      </c>
      <c r="CQ68" t="s">
        <v>319</v>
      </c>
      <c r="CR68">
        <v>3.1675200000000001</v>
      </c>
      <c r="CS68">
        <v>2.66675</v>
      </c>
      <c r="CT68">
        <v>1.62645E-3</v>
      </c>
      <c r="CU68">
        <v>3.5494900000000002E-3</v>
      </c>
      <c r="CV68">
        <v>-1.64815E-2</v>
      </c>
      <c r="CW68">
        <v>-1.05332E-2</v>
      </c>
      <c r="CX68">
        <v>21523.8</v>
      </c>
      <c r="CY68">
        <v>21856.400000000001</v>
      </c>
      <c r="CZ68">
        <v>23087.8</v>
      </c>
      <c r="DA68">
        <v>22288.5</v>
      </c>
      <c r="DB68">
        <v>30268.1</v>
      </c>
      <c r="DC68">
        <v>26865.599999999999</v>
      </c>
      <c r="DD68">
        <v>40586</v>
      </c>
      <c r="DE68">
        <v>36943.5</v>
      </c>
      <c r="DF68">
        <v>2.06392</v>
      </c>
      <c r="DG68">
        <v>1.77576</v>
      </c>
      <c r="DH68">
        <v>-4.8935399999999997E-2</v>
      </c>
      <c r="DI68">
        <v>0</v>
      </c>
      <c r="DJ68">
        <v>25.917999999999999</v>
      </c>
      <c r="DK68">
        <v>999.9</v>
      </c>
      <c r="DL68">
        <v>72.900000000000006</v>
      </c>
      <c r="DM68">
        <v>31.5</v>
      </c>
      <c r="DN68">
        <v>33.842100000000002</v>
      </c>
      <c r="DO68">
        <v>30.845500000000001</v>
      </c>
      <c r="DP68">
        <v>10.4968</v>
      </c>
      <c r="DQ68">
        <v>1</v>
      </c>
      <c r="DR68">
        <v>0.26531300000000002</v>
      </c>
      <c r="DS68">
        <v>1.66431</v>
      </c>
      <c r="DT68">
        <v>20.358599999999999</v>
      </c>
      <c r="DU68">
        <v>5.2078300000000004</v>
      </c>
      <c r="DV68">
        <v>11.851699999999999</v>
      </c>
      <c r="DW68">
        <v>4.9674800000000001</v>
      </c>
      <c r="DX68">
        <v>3.29236</v>
      </c>
      <c r="DY68">
        <v>894.7</v>
      </c>
      <c r="DZ68">
        <v>0</v>
      </c>
      <c r="EA68">
        <v>1549.9</v>
      </c>
      <c r="EB68">
        <v>107.5</v>
      </c>
      <c r="EC68">
        <v>4.9715699999999998</v>
      </c>
      <c r="ED68">
        <v>1.8718999999999999</v>
      </c>
      <c r="EE68">
        <v>1.86907</v>
      </c>
      <c r="EF68">
        <v>1.87148</v>
      </c>
      <c r="EG68">
        <v>1.8692</v>
      </c>
      <c r="EH68">
        <v>1.8681300000000001</v>
      </c>
      <c r="EI68">
        <v>1.8699600000000001</v>
      </c>
      <c r="EJ68">
        <v>1.87178</v>
      </c>
      <c r="EK68">
        <v>0</v>
      </c>
      <c r="EL68">
        <v>0</v>
      </c>
      <c r="EM68">
        <v>0</v>
      </c>
      <c r="EN68">
        <v>0</v>
      </c>
      <c r="EO68" t="s">
        <v>320</v>
      </c>
      <c r="EP68" t="s">
        <v>321</v>
      </c>
      <c r="EQ68" t="s">
        <v>322</v>
      </c>
      <c r="ER68" t="s">
        <v>322</v>
      </c>
      <c r="ES68" t="s">
        <v>322</v>
      </c>
      <c r="ET68" t="s">
        <v>322</v>
      </c>
      <c r="EU68">
        <v>0</v>
      </c>
      <c r="EV68">
        <v>100</v>
      </c>
      <c r="EW68">
        <v>100</v>
      </c>
      <c r="EX68">
        <v>8.2409999999999997</v>
      </c>
      <c r="EY68">
        <v>-1.2070000000000001</v>
      </c>
      <c r="EZ68">
        <v>8.2354714999999992</v>
      </c>
      <c r="FA68">
        <v>0</v>
      </c>
      <c r="FB68">
        <v>0</v>
      </c>
      <c r="FC68">
        <v>0</v>
      </c>
      <c r="FD68">
        <v>-1.2031748435</v>
      </c>
      <c r="FE68">
        <v>0</v>
      </c>
      <c r="FF68">
        <v>0</v>
      </c>
      <c r="FG68">
        <v>0</v>
      </c>
      <c r="FH68">
        <v>-1</v>
      </c>
      <c r="FI68">
        <v>-1</v>
      </c>
      <c r="FJ68">
        <v>-1</v>
      </c>
      <c r="FK68">
        <v>-1</v>
      </c>
      <c r="FL68">
        <v>0.6</v>
      </c>
      <c r="FM68">
        <v>0.6</v>
      </c>
      <c r="FN68">
        <v>0.142822</v>
      </c>
      <c r="FO68">
        <v>4.99756</v>
      </c>
      <c r="FP68">
        <v>1.5979000000000001</v>
      </c>
      <c r="FQ68">
        <v>2.1520999999999999</v>
      </c>
      <c r="FR68">
        <v>1.5478499999999999</v>
      </c>
      <c r="FS68">
        <v>2.4694799999999999</v>
      </c>
      <c r="FT68">
        <v>35.941200000000002</v>
      </c>
      <c r="FU68">
        <v>15.646800000000001</v>
      </c>
      <c r="FV68">
        <v>2</v>
      </c>
      <c r="FW68">
        <v>489.483</v>
      </c>
      <c r="FX68">
        <v>396.28399999999999</v>
      </c>
      <c r="FY68">
        <v>24.524100000000001</v>
      </c>
      <c r="FZ68">
        <v>30.4938</v>
      </c>
      <c r="GA68">
        <v>30</v>
      </c>
      <c r="GB68">
        <v>30.8049</v>
      </c>
      <c r="GC68">
        <v>30.861899999999999</v>
      </c>
      <c r="GD68">
        <v>-1</v>
      </c>
      <c r="GE68">
        <v>0</v>
      </c>
      <c r="GF68">
        <v>100</v>
      </c>
      <c r="GG68">
        <v>24.5276</v>
      </c>
      <c r="GH68">
        <v>432.1</v>
      </c>
      <c r="GI68">
        <v>78.840199999999996</v>
      </c>
      <c r="GJ68">
        <v>102.152</v>
      </c>
      <c r="GK68">
        <v>96.393699999999995</v>
      </c>
    </row>
    <row r="69" spans="1:193" x14ac:dyDescent="0.35">
      <c r="A69">
        <v>53</v>
      </c>
      <c r="B69">
        <v>1775467174.0999999</v>
      </c>
      <c r="C69">
        <v>3218</v>
      </c>
      <c r="D69" t="s">
        <v>480</v>
      </c>
      <c r="E69" t="s">
        <v>481</v>
      </c>
      <c r="F69">
        <v>30</v>
      </c>
      <c r="G69">
        <v>1775467160.1000011</v>
      </c>
      <c r="H69">
        <f t="shared" si="18"/>
        <v>2.6640769431372363E-3</v>
      </c>
      <c r="I69">
        <f>1000*AY69*AG69*(AU69-AV69)/(100*AN69*(1000-AG69*AU69))</f>
        <v>2.6640769431372364</v>
      </c>
      <c r="J69">
        <f>AY69*AG69*(AT69-AS69*(1000-AG69*AV69)/(1000-AG69*AU69))/(100*AN69)</f>
        <v>-2.648634279136429</v>
      </c>
      <c r="K69">
        <f t="shared" si="19"/>
        <v>13.237347818181821</v>
      </c>
      <c r="L69">
        <f t="shared" si="20"/>
        <v>64.600812353190889</v>
      </c>
      <c r="M69">
        <f>L69*(AZ69+BA69)/1000</f>
        <v>6.4625490722113348</v>
      </c>
      <c r="N69">
        <f>(AS69 - IF(AG69&gt;1, J69*AN69*100/(AI69), 0))*(AZ69+BA69)/1000</f>
        <v>1.3242404660984755</v>
      </c>
      <c r="O69">
        <f t="shared" si="21"/>
        <v>8.0547572641729723E-2</v>
      </c>
      <c r="P69">
        <f>IF(LEFT(AP69,1)&lt;&gt;"0",IF(LEFT(AP69,1)="1",3,AQ69),$D$5+$E$5*(BG69*AZ69/($K$5*1000))+$F$5*(BG69*AZ69/($K$5*1000))*MAX(MIN(AN69,$J$5),$I$5)*MAX(MIN(AN69,$J$5),$I$5)+$G$5*MAX(MIN(AN69,$J$5),$I$5)*(BG69*AZ69/($K$5*1000))+$H$5*(BG69*AZ69/($K$5*1000))*(BG69*AZ69/($K$5*1000)))</f>
        <v>2.3869426154137838</v>
      </c>
      <c r="Q69">
        <f>H69*(1000-(1000*0.61365*EXP(17.502*U69/(240.97+U69))/(AZ69+BA69)+AU69)/2)/(1000*0.61365*EXP(17.502*U69/(240.97+U69))/(AZ69+BA69)-AU69)</f>
        <v>7.9067464026341489E-2</v>
      </c>
      <c r="R69">
        <f t="shared" si="22"/>
        <v>4.9547881519896614E-2</v>
      </c>
      <c r="S69">
        <f t="shared" si="23"/>
        <v>0.12269333671636364</v>
      </c>
      <c r="T69">
        <f>(BB69+(S69+2*0.95*0.0000000567*(((BB69+$B$7)+273)^4-(BB69+273)^4)-44100*H69)/(1.84*29.3*P69+8*0.95*0.0000000567*(BB69+273)^3))</f>
        <v>24.162180139807639</v>
      </c>
      <c r="U69">
        <f>($C$7*BC69+$D$7*BD69+$E$7*T69)</f>
        <v>25.125376363636359</v>
      </c>
      <c r="V69">
        <f t="shared" si="24"/>
        <v>3.2035228912590137</v>
      </c>
      <c r="W69">
        <f t="shared" si="25"/>
        <v>-3.6200636091885778</v>
      </c>
      <c r="X69">
        <f>AU69*(AZ69+BA69)/1000</f>
        <v>-0.11510606434586187</v>
      </c>
      <c r="Y69">
        <f t="shared" si="26"/>
        <v>3.1796696625356375</v>
      </c>
      <c r="Z69">
        <f>(V69-AU69*(AZ69+BA69)/1000)</f>
        <v>3.3186289556048756</v>
      </c>
      <c r="AA69">
        <f t="shared" si="27"/>
        <v>-117.48579319235212</v>
      </c>
      <c r="AB69">
        <f>2*29.3*P69*0.92*(BB69-U69)</f>
        <v>-16.139419949936702</v>
      </c>
      <c r="AC69">
        <f>2*0.95*0.0000000567*(((BB69+$B$7)+273)^4-(U69+273)^4)</f>
        <v>-1.4311327540550114</v>
      </c>
      <c r="AD69">
        <f t="shared" si="28"/>
        <v>-134.93365255962746</v>
      </c>
      <c r="AE69">
        <v>21</v>
      </c>
      <c r="AF69">
        <v>4</v>
      </c>
      <c r="AG69">
        <f t="shared" si="29"/>
        <v>1</v>
      </c>
      <c r="AH69">
        <f t="shared" si="30"/>
        <v>0</v>
      </c>
      <c r="AI69">
        <f t="shared" si="31"/>
        <v>25677.936458156055</v>
      </c>
      <c r="AJ69">
        <f t="shared" si="32"/>
        <v>0.64203734545454549</v>
      </c>
      <c r="AK69">
        <f t="shared" si="33"/>
        <v>0.51362987636363644</v>
      </c>
      <c r="AL69">
        <f t="shared" si="34"/>
        <v>0.8</v>
      </c>
      <c r="AM69">
        <f t="shared" si="35"/>
        <v>0.19109999999999999</v>
      </c>
      <c r="AN69">
        <v>3</v>
      </c>
      <c r="AO69">
        <v>0.5</v>
      </c>
      <c r="AP69" t="s">
        <v>317</v>
      </c>
      <c r="AQ69">
        <v>2</v>
      </c>
      <c r="AR69">
        <v>1775467160.1000011</v>
      </c>
      <c r="AS69">
        <v>13.237347818181821</v>
      </c>
      <c r="AT69">
        <v>11.67178909090909</v>
      </c>
      <c r="AU69">
        <v>-1.150621090909091</v>
      </c>
      <c r="AV69">
        <v>-2.748393138181819</v>
      </c>
      <c r="AW69">
        <v>5.0503478181818178</v>
      </c>
      <c r="AX69">
        <v>-1.534393138181819</v>
      </c>
      <c r="AY69">
        <v>500.78650909090908</v>
      </c>
      <c r="AZ69">
        <v>99.990345454545476</v>
      </c>
      <c r="BA69">
        <v>4.7855874545454542E-2</v>
      </c>
      <c r="BB69">
        <v>24.99995818181818</v>
      </c>
      <c r="BC69">
        <v>25.125376363636359</v>
      </c>
      <c r="BD69">
        <v>999.90000000000009</v>
      </c>
      <c r="BE69">
        <v>0</v>
      </c>
      <c r="BF69">
        <v>0</v>
      </c>
      <c r="BG69">
        <v>4997.6727272727276</v>
      </c>
      <c r="BH69">
        <v>0.64203734545454549</v>
      </c>
      <c r="BI69">
        <v>193.0636545454546</v>
      </c>
      <c r="BJ69">
        <v>1.619986950909091</v>
      </c>
      <c r="BK69">
        <v>13.25523636363636</v>
      </c>
      <c r="BL69">
        <v>11.658378181818181</v>
      </c>
      <c r="BM69">
        <v>-1.591188474909091</v>
      </c>
      <c r="BN69">
        <v>11.67178909090909</v>
      </c>
      <c r="BO69">
        <v>-1.150621090909091</v>
      </c>
      <c r="BP69">
        <v>-0.2741543818181818</v>
      </c>
      <c r="BQ69">
        <v>-0.1150508727272727</v>
      </c>
      <c r="BR69">
        <v>-99.899999999999949</v>
      </c>
      <c r="BS69">
        <v>-99.899999999999949</v>
      </c>
      <c r="BT69">
        <v>1775467200.0999999</v>
      </c>
      <c r="BU69" t="s">
        <v>482</v>
      </c>
      <c r="BV69">
        <v>1775467191.0999999</v>
      </c>
      <c r="BW69">
        <v>1775467200.0999999</v>
      </c>
      <c r="BX69">
        <v>54</v>
      </c>
      <c r="BY69">
        <v>-5.3999999999999999E-2</v>
      </c>
      <c r="BZ69">
        <v>-7.0000000000000001E-3</v>
      </c>
      <c r="CA69">
        <v>8.1869999999999994</v>
      </c>
      <c r="CB69">
        <v>-1.214</v>
      </c>
      <c r="CC69">
        <v>11</v>
      </c>
      <c r="CD69">
        <v>-1</v>
      </c>
      <c r="CE69">
        <v>0.2</v>
      </c>
      <c r="CF69">
        <v>0.04</v>
      </c>
      <c r="CG69">
        <v>11.712547540983611</v>
      </c>
      <c r="CH69">
        <v>-0.88342337387624736</v>
      </c>
      <c r="CI69">
        <v>0.23717597921565339</v>
      </c>
      <c r="CJ69">
        <v>-1</v>
      </c>
      <c r="CK69">
        <v>500.70795081967208</v>
      </c>
      <c r="CL69">
        <v>-4.5013643574826174</v>
      </c>
      <c r="CM69">
        <v>1.420866307277032</v>
      </c>
      <c r="CN69">
        <v>-1</v>
      </c>
      <c r="CO69">
        <v>0</v>
      </c>
      <c r="CP69">
        <v>0</v>
      </c>
      <c r="CQ69" t="s">
        <v>319</v>
      </c>
      <c r="CR69">
        <v>3.1675300000000002</v>
      </c>
      <c r="CS69">
        <v>2.66723</v>
      </c>
      <c r="CT69">
        <v>1.5248799999999999E-3</v>
      </c>
      <c r="CU69">
        <v>3.4328800000000001E-3</v>
      </c>
      <c r="CV69">
        <v>-1.6422800000000001E-2</v>
      </c>
      <c r="CW69">
        <v>-9.75496E-3</v>
      </c>
      <c r="CX69">
        <v>21525.8</v>
      </c>
      <c r="CY69">
        <v>21858.6</v>
      </c>
      <c r="CZ69">
        <v>23087.7</v>
      </c>
      <c r="DA69">
        <v>22288.2</v>
      </c>
      <c r="DB69">
        <v>30266</v>
      </c>
      <c r="DC69">
        <v>26844.7</v>
      </c>
      <c r="DD69">
        <v>40585.599999999999</v>
      </c>
      <c r="DE69">
        <v>36943.1</v>
      </c>
      <c r="DF69">
        <v>2.06284</v>
      </c>
      <c r="DG69">
        <v>1.77586</v>
      </c>
      <c r="DH69">
        <v>-4.8106900000000001E-2</v>
      </c>
      <c r="DI69">
        <v>0</v>
      </c>
      <c r="DJ69">
        <v>25.912299999999998</v>
      </c>
      <c r="DK69">
        <v>999.9</v>
      </c>
      <c r="DL69">
        <v>72.8</v>
      </c>
      <c r="DM69">
        <v>31.6</v>
      </c>
      <c r="DN69">
        <v>33.9895</v>
      </c>
      <c r="DO69">
        <v>30.755500000000001</v>
      </c>
      <c r="DP69">
        <v>10.625</v>
      </c>
      <c r="DQ69">
        <v>1</v>
      </c>
      <c r="DR69">
        <v>0.26563999999999999</v>
      </c>
      <c r="DS69">
        <v>1.68824</v>
      </c>
      <c r="DT69">
        <v>20.358799999999999</v>
      </c>
      <c r="DU69">
        <v>5.2111799999999997</v>
      </c>
      <c r="DV69">
        <v>11.8528</v>
      </c>
      <c r="DW69">
        <v>4.9677199999999999</v>
      </c>
      <c r="DX69">
        <v>3.2928799999999998</v>
      </c>
      <c r="DY69">
        <v>894.7</v>
      </c>
      <c r="DZ69">
        <v>0</v>
      </c>
      <c r="EA69">
        <v>1583.1</v>
      </c>
      <c r="EB69">
        <v>107.5</v>
      </c>
      <c r="EC69">
        <v>4.9716199999999997</v>
      </c>
      <c r="ED69">
        <v>1.8718699999999999</v>
      </c>
      <c r="EE69">
        <v>1.8690500000000001</v>
      </c>
      <c r="EF69">
        <v>1.87148</v>
      </c>
      <c r="EG69">
        <v>1.8692</v>
      </c>
      <c r="EH69">
        <v>1.8681300000000001</v>
      </c>
      <c r="EI69">
        <v>1.8699600000000001</v>
      </c>
      <c r="EJ69">
        <v>1.8717999999999999</v>
      </c>
      <c r="EK69">
        <v>0</v>
      </c>
      <c r="EL69">
        <v>0</v>
      </c>
      <c r="EM69">
        <v>0</v>
      </c>
      <c r="EN69">
        <v>0</v>
      </c>
      <c r="EO69" t="s">
        <v>320</v>
      </c>
      <c r="EP69" t="s">
        <v>321</v>
      </c>
      <c r="EQ69" t="s">
        <v>322</v>
      </c>
      <c r="ER69" t="s">
        <v>322</v>
      </c>
      <c r="ES69" t="s">
        <v>322</v>
      </c>
      <c r="ET69" t="s">
        <v>322</v>
      </c>
      <c r="EU69">
        <v>0</v>
      </c>
      <c r="EV69">
        <v>100</v>
      </c>
      <c r="EW69">
        <v>100</v>
      </c>
      <c r="EX69">
        <v>8.1869999999999994</v>
      </c>
      <c r="EY69">
        <v>-1.214</v>
      </c>
      <c r="EZ69">
        <v>8.2414276190476183</v>
      </c>
      <c r="FA69">
        <v>0</v>
      </c>
      <c r="FB69">
        <v>0</v>
      </c>
      <c r="FC69">
        <v>0</v>
      </c>
      <c r="FD69">
        <v>-1.207415535</v>
      </c>
      <c r="FE69">
        <v>0</v>
      </c>
      <c r="FF69">
        <v>0</v>
      </c>
      <c r="FG69">
        <v>0</v>
      </c>
      <c r="FH69">
        <v>-1</v>
      </c>
      <c r="FI69">
        <v>-1</v>
      </c>
      <c r="FJ69">
        <v>-1</v>
      </c>
      <c r="FK69">
        <v>-1</v>
      </c>
      <c r="FL69">
        <v>0.7</v>
      </c>
      <c r="FM69">
        <v>0.5</v>
      </c>
      <c r="FN69">
        <v>0.142822</v>
      </c>
      <c r="FO69">
        <v>4.99756</v>
      </c>
      <c r="FP69">
        <v>1.5979000000000001</v>
      </c>
      <c r="FQ69">
        <v>2.1520999999999999</v>
      </c>
      <c r="FR69">
        <v>1.5478499999999999</v>
      </c>
      <c r="FS69">
        <v>2.4658199999999999</v>
      </c>
      <c r="FT69">
        <v>35.964500000000001</v>
      </c>
      <c r="FU69">
        <v>15.629300000000001</v>
      </c>
      <c r="FV69">
        <v>2</v>
      </c>
      <c r="FW69">
        <v>488.89299999999997</v>
      </c>
      <c r="FX69">
        <v>396.39299999999997</v>
      </c>
      <c r="FY69">
        <v>24.526299999999999</v>
      </c>
      <c r="FZ69">
        <v>30.496500000000001</v>
      </c>
      <c r="GA69">
        <v>30.0002</v>
      </c>
      <c r="GB69">
        <v>30.809200000000001</v>
      </c>
      <c r="GC69">
        <v>30.870200000000001</v>
      </c>
      <c r="GD69">
        <v>-1</v>
      </c>
      <c r="GE69">
        <v>0</v>
      </c>
      <c r="GF69">
        <v>100</v>
      </c>
      <c r="GG69">
        <v>24.53</v>
      </c>
      <c r="GH69">
        <v>432.1</v>
      </c>
      <c r="GI69">
        <v>78.840199999999996</v>
      </c>
      <c r="GJ69">
        <v>102.151</v>
      </c>
      <c r="GK69">
        <v>96.392499999999998</v>
      </c>
    </row>
    <row r="70" spans="1:193" x14ac:dyDescent="0.35">
      <c r="A70">
        <v>54</v>
      </c>
      <c r="B70">
        <v>1775467234.0999999</v>
      </c>
      <c r="C70">
        <v>3278</v>
      </c>
      <c r="D70" t="s">
        <v>483</v>
      </c>
      <c r="E70" t="s">
        <v>484</v>
      </c>
      <c r="F70">
        <v>30</v>
      </c>
      <c r="G70">
        <v>1775467218.6000011</v>
      </c>
      <c r="H70">
        <f t="shared" si="18"/>
        <v>2.9933719145492431E-3</v>
      </c>
      <c r="I70">
        <f>1000*AY70*AG70*(AU70-AV70)/(100*AN70*(1000-AG70*AU70))</f>
        <v>2.9933719145492432</v>
      </c>
      <c r="J70">
        <f>AY70*AG70*(AT70-AS70*(1000-AG70*AV70)/(1000-AG70*AU70))/(100*AN70)</f>
        <v>5.0552004334481246E-2</v>
      </c>
      <c r="K70">
        <f t="shared" si="19"/>
        <v>17.044252295081971</v>
      </c>
      <c r="L70">
        <f t="shared" si="20"/>
        <v>15.268360966319523</v>
      </c>
      <c r="M70">
        <f>L70*(AZ70+BA70)/1000</f>
        <v>1.5273839089285877</v>
      </c>
      <c r="N70">
        <f>(AS70 - IF(AG70&gt;1, J70*AN70*100/(AI70), 0))*(AZ70+BA70)/1000</f>
        <v>1.7050367588671635</v>
      </c>
      <c r="O70">
        <f t="shared" si="21"/>
        <v>9.0725546965074982E-2</v>
      </c>
      <c r="P70">
        <f>IF(LEFT(AP70,1)&lt;&gt;"0",IF(LEFT(AP70,1)="1",3,AQ70),$D$5+$E$5*(BG70*AZ70/($K$5*1000))+$F$5*(BG70*AZ70/($K$5*1000))*MAX(MIN(AN70,$J$5),$I$5)*MAX(MIN(AN70,$J$5),$I$5)+$G$5*MAX(MIN(AN70,$J$5),$I$5)*(BG70*AZ70/($K$5*1000))+$H$5*(BG70*AZ70/($K$5*1000))*(BG70*AZ70/($K$5*1000)))</f>
        <v>2.3876482727984234</v>
      </c>
      <c r="Q70">
        <f>H70*(1000-(1000*0.61365*EXP(17.502*U70/(240.97+U70))/(AZ70+BA70)+AU70)/2)/(1000*0.61365*EXP(17.502*U70/(240.97+U70))/(AZ70+BA70)-AU70)</f>
        <v>8.8852981998625735E-2</v>
      </c>
      <c r="R70">
        <f t="shared" si="22"/>
        <v>5.5698137179708951E-2</v>
      </c>
      <c r="S70">
        <f t="shared" si="23"/>
        <v>0.12097003114918031</v>
      </c>
      <c r="T70">
        <f>(BB70+(S70+2*0.95*0.0000000567*(((BB70+$B$7)+273)^4-(BB70+273)^4)-44100*H70)/(1.84*29.3*P70+8*0.95*0.0000000567*(BB70+273)^3))</f>
        <v>24.06454505642127</v>
      </c>
      <c r="U70">
        <f>($C$7*BC70+$D$7*BD70+$E$7*T70)</f>
        <v>25.12758360655738</v>
      </c>
      <c r="V70">
        <f t="shared" si="24"/>
        <v>3.2039440820922529</v>
      </c>
      <c r="W70">
        <f t="shared" si="25"/>
        <v>-3.5878897497407602</v>
      </c>
      <c r="X70">
        <f>AU70*(AZ70+BA70)/1000</f>
        <v>-0.1141223574127859</v>
      </c>
      <c r="Y70">
        <f t="shared" si="26"/>
        <v>3.180765446347166</v>
      </c>
      <c r="Z70">
        <f>(V70-AU70*(AZ70+BA70)/1000)</f>
        <v>3.318066439505039</v>
      </c>
      <c r="AA70">
        <f t="shared" si="27"/>
        <v>-132.00770143162163</v>
      </c>
      <c r="AB70">
        <f>2*29.3*P70*0.92*(BB70-U70)</f>
        <v>-15.684357042444596</v>
      </c>
      <c r="AC70">
        <f>2*0.95*0.0000000567*(((BB70+$B$7)+273)^4-(U70+273)^4)</f>
        <v>-1.3904257480452</v>
      </c>
      <c r="AD70">
        <f t="shared" si="28"/>
        <v>-148.96151419096225</v>
      </c>
      <c r="AE70">
        <v>21</v>
      </c>
      <c r="AF70">
        <v>4</v>
      </c>
      <c r="AG70">
        <f t="shared" si="29"/>
        <v>1</v>
      </c>
      <c r="AH70">
        <f t="shared" si="30"/>
        <v>0</v>
      </c>
      <c r="AI70">
        <f t="shared" si="31"/>
        <v>25688.269383020477</v>
      </c>
      <c r="AJ70">
        <f t="shared" si="32"/>
        <v>0.63301952459016386</v>
      </c>
      <c r="AK70">
        <f t="shared" si="33"/>
        <v>0.50641561967213111</v>
      </c>
      <c r="AL70">
        <f t="shared" si="34"/>
        <v>0.8</v>
      </c>
      <c r="AM70">
        <f t="shared" si="35"/>
        <v>0.19109999999999999</v>
      </c>
      <c r="AN70">
        <v>3</v>
      </c>
      <c r="AO70">
        <v>0.5</v>
      </c>
      <c r="AP70" t="s">
        <v>317</v>
      </c>
      <c r="AQ70">
        <v>2</v>
      </c>
      <c r="AR70">
        <v>1775467218.6000011</v>
      </c>
      <c r="AS70">
        <v>17.044252295081971</v>
      </c>
      <c r="AT70">
        <v>17.105129508196718</v>
      </c>
      <c r="AU70">
        <v>-1.1408142622950821</v>
      </c>
      <c r="AV70">
        <v>-2.9369431639344259</v>
      </c>
      <c r="AW70">
        <v>8.8412522950819667</v>
      </c>
      <c r="AX70">
        <v>-1.725943163934426</v>
      </c>
      <c r="AY70">
        <v>500.54093442622951</v>
      </c>
      <c r="AZ70">
        <v>99.989681967213102</v>
      </c>
      <c r="BA70">
        <v>4.6196952459016387E-2</v>
      </c>
      <c r="BB70">
        <v>25.00573770491803</v>
      </c>
      <c r="BC70">
        <v>25.12758360655738</v>
      </c>
      <c r="BD70">
        <v>999.9</v>
      </c>
      <c r="BE70">
        <v>0</v>
      </c>
      <c r="BF70">
        <v>0</v>
      </c>
      <c r="BG70">
        <v>4999.5245901639346</v>
      </c>
      <c r="BH70">
        <v>0.63301952459016386</v>
      </c>
      <c r="BI70">
        <v>191.7384754098361</v>
      </c>
      <c r="BJ70">
        <v>-7.6844704918032761E-2</v>
      </c>
      <c r="BK70">
        <v>16.97804754098361</v>
      </c>
      <c r="BL70">
        <v>17.085622950819669</v>
      </c>
      <c r="BM70">
        <v>-1.799282672131147</v>
      </c>
      <c r="BN70">
        <v>17.105129508196718</v>
      </c>
      <c r="BO70">
        <v>-1.1408142622950821</v>
      </c>
      <c r="BP70">
        <v>-0.29397921311475411</v>
      </c>
      <c r="BQ70">
        <v>-0.11406968852459019</v>
      </c>
      <c r="BR70">
        <v>-99.899999999999963</v>
      </c>
      <c r="BS70">
        <v>-99.899999999999963</v>
      </c>
      <c r="BT70">
        <v>1775467261.0999999</v>
      </c>
      <c r="BU70" t="s">
        <v>485</v>
      </c>
      <c r="BV70">
        <v>1775467255.0999999</v>
      </c>
      <c r="BW70">
        <v>1775467261.0999999</v>
      </c>
      <c r="BX70">
        <v>55</v>
      </c>
      <c r="BY70">
        <v>1.6E-2</v>
      </c>
      <c r="BZ70">
        <v>3.0000000000000001E-3</v>
      </c>
      <c r="CA70">
        <v>8.2029999999999994</v>
      </c>
      <c r="CB70">
        <v>-1.2110000000000001</v>
      </c>
      <c r="CC70">
        <v>11</v>
      </c>
      <c r="CD70">
        <v>-1</v>
      </c>
      <c r="CE70">
        <v>0.17</v>
      </c>
      <c r="CF70">
        <v>0.04</v>
      </c>
      <c r="CG70">
        <v>17.105129508196718</v>
      </c>
      <c r="CH70">
        <v>18.096259545214181</v>
      </c>
      <c r="CI70">
        <v>8.5833893563519421</v>
      </c>
      <c r="CJ70">
        <v>-1</v>
      </c>
      <c r="CK70">
        <v>500.54093442622951</v>
      </c>
      <c r="CL70">
        <v>-5.597863564251746</v>
      </c>
      <c r="CM70">
        <v>1.314063299980567</v>
      </c>
      <c r="CN70">
        <v>-1</v>
      </c>
      <c r="CO70">
        <v>0</v>
      </c>
      <c r="CP70">
        <v>0</v>
      </c>
      <c r="CQ70" t="s">
        <v>319</v>
      </c>
      <c r="CR70">
        <v>3.1675399999999998</v>
      </c>
      <c r="CS70">
        <v>2.6665999999999999</v>
      </c>
      <c r="CT70">
        <v>3.2098199999999999E-3</v>
      </c>
      <c r="CU70">
        <v>3.3944000000000001E-3</v>
      </c>
      <c r="CV70">
        <v>-1.65819E-2</v>
      </c>
      <c r="CW70">
        <v>-1.0032599999999999E-2</v>
      </c>
      <c r="CX70">
        <v>21488.9</v>
      </c>
      <c r="CY70">
        <v>21859</v>
      </c>
      <c r="CZ70">
        <v>23087</v>
      </c>
      <c r="DA70">
        <v>22287.7</v>
      </c>
      <c r="DB70">
        <v>30269.9</v>
      </c>
      <c r="DC70">
        <v>26851.4</v>
      </c>
      <c r="DD70">
        <v>40584.5</v>
      </c>
      <c r="DE70">
        <v>36942.1</v>
      </c>
      <c r="DF70">
        <v>2.0634999999999999</v>
      </c>
      <c r="DG70">
        <v>1.77658</v>
      </c>
      <c r="DH70">
        <v>-4.83513E-2</v>
      </c>
      <c r="DI70">
        <v>0</v>
      </c>
      <c r="DJ70">
        <v>25.914100000000001</v>
      </c>
      <c r="DK70">
        <v>999.9</v>
      </c>
      <c r="DL70">
        <v>72.8</v>
      </c>
      <c r="DM70">
        <v>31.6</v>
      </c>
      <c r="DN70">
        <v>33.986899999999999</v>
      </c>
      <c r="DO70">
        <v>30.185500000000001</v>
      </c>
      <c r="DP70">
        <v>10.536899999999999</v>
      </c>
      <c r="DQ70">
        <v>1</v>
      </c>
      <c r="DR70">
        <v>0.26712000000000002</v>
      </c>
      <c r="DS70">
        <v>1.77881</v>
      </c>
      <c r="DT70">
        <v>20.357199999999999</v>
      </c>
      <c r="DU70">
        <v>5.2080700000000002</v>
      </c>
      <c r="DV70">
        <v>11.8523</v>
      </c>
      <c r="DW70">
        <v>4.9672799999999997</v>
      </c>
      <c r="DX70">
        <v>3.29236</v>
      </c>
      <c r="DY70">
        <v>894.7</v>
      </c>
      <c r="DZ70">
        <v>0</v>
      </c>
      <c r="EA70">
        <v>1610.7</v>
      </c>
      <c r="EB70">
        <v>107.5</v>
      </c>
      <c r="EC70">
        <v>4.9716199999999997</v>
      </c>
      <c r="ED70">
        <v>1.87191</v>
      </c>
      <c r="EE70">
        <v>1.8690500000000001</v>
      </c>
      <c r="EF70">
        <v>1.87148</v>
      </c>
      <c r="EG70">
        <v>1.8692</v>
      </c>
      <c r="EH70">
        <v>1.8681300000000001</v>
      </c>
      <c r="EI70">
        <v>1.8699600000000001</v>
      </c>
      <c r="EJ70">
        <v>1.8717999999999999</v>
      </c>
      <c r="EK70">
        <v>0</v>
      </c>
      <c r="EL70">
        <v>0</v>
      </c>
      <c r="EM70">
        <v>0</v>
      </c>
      <c r="EN70">
        <v>0</v>
      </c>
      <c r="EO70" t="s">
        <v>320</v>
      </c>
      <c r="EP70" t="s">
        <v>321</v>
      </c>
      <c r="EQ70" t="s">
        <v>322</v>
      </c>
      <c r="ER70" t="s">
        <v>322</v>
      </c>
      <c r="ES70" t="s">
        <v>322</v>
      </c>
      <c r="ET70" t="s">
        <v>322</v>
      </c>
      <c r="EU70">
        <v>0</v>
      </c>
      <c r="EV70">
        <v>100</v>
      </c>
      <c r="EW70">
        <v>100</v>
      </c>
      <c r="EX70">
        <v>8.2029999999999994</v>
      </c>
      <c r="EY70">
        <v>-1.2110000000000001</v>
      </c>
      <c r="EZ70">
        <v>8.1870329999999996</v>
      </c>
      <c r="FA70">
        <v>0</v>
      </c>
      <c r="FB70">
        <v>0</v>
      </c>
      <c r="FC70">
        <v>0</v>
      </c>
      <c r="FD70">
        <v>-1.2141520649999999</v>
      </c>
      <c r="FE70">
        <v>0</v>
      </c>
      <c r="FF70">
        <v>0</v>
      </c>
      <c r="FG70">
        <v>0</v>
      </c>
      <c r="FH70">
        <v>-1</v>
      </c>
      <c r="FI70">
        <v>-1</v>
      </c>
      <c r="FJ70">
        <v>-1</v>
      </c>
      <c r="FK70">
        <v>-1</v>
      </c>
      <c r="FL70">
        <v>0.7</v>
      </c>
      <c r="FM70">
        <v>0.6</v>
      </c>
      <c r="FN70">
        <v>0.142822</v>
      </c>
      <c r="FO70">
        <v>4.99756</v>
      </c>
      <c r="FP70">
        <v>1.5979000000000001</v>
      </c>
      <c r="FQ70">
        <v>2.1533199999999999</v>
      </c>
      <c r="FR70">
        <v>1.5478499999999999</v>
      </c>
      <c r="FS70">
        <v>2.4645999999999999</v>
      </c>
      <c r="FT70">
        <v>35.964500000000001</v>
      </c>
      <c r="FU70">
        <v>15.611800000000001</v>
      </c>
      <c r="FV70">
        <v>2</v>
      </c>
      <c r="FW70">
        <v>489.35899999999998</v>
      </c>
      <c r="FX70">
        <v>396.87</v>
      </c>
      <c r="FY70">
        <v>24.491199999999999</v>
      </c>
      <c r="FZ70">
        <v>30.507100000000001</v>
      </c>
      <c r="GA70">
        <v>30.0002</v>
      </c>
      <c r="GB70">
        <v>30.820699999999999</v>
      </c>
      <c r="GC70">
        <v>30.8812</v>
      </c>
      <c r="GD70">
        <v>-1</v>
      </c>
      <c r="GE70">
        <v>0</v>
      </c>
      <c r="GF70">
        <v>100</v>
      </c>
      <c r="GG70">
        <v>24.4834</v>
      </c>
      <c r="GH70">
        <v>432.1</v>
      </c>
      <c r="GI70">
        <v>78.840199999999996</v>
      </c>
      <c r="GJ70">
        <v>102.148</v>
      </c>
      <c r="GK70">
        <v>96.390100000000004</v>
      </c>
    </row>
    <row r="71" spans="1:193" x14ac:dyDescent="0.35">
      <c r="A71">
        <v>55</v>
      </c>
      <c r="B71">
        <v>1775467294.0999999</v>
      </c>
      <c r="C71">
        <v>3338</v>
      </c>
      <c r="D71" t="s">
        <v>486</v>
      </c>
      <c r="E71" t="s">
        <v>487</v>
      </c>
      <c r="F71">
        <v>30</v>
      </c>
      <c r="G71">
        <v>1775467278.6000011</v>
      </c>
      <c r="H71">
        <f t="shared" si="18"/>
        <v>2.8698004422751501E-3</v>
      </c>
      <c r="I71">
        <f>1000*AY71*AG71*(AU71-AV71)/(100*AN71*(1000-AG71*AU71))</f>
        <v>2.86980044227515</v>
      </c>
      <c r="J71">
        <f>AY71*AG71*(AT71-AS71*(1000-AG71*AV71)/(1000-AG71*AU71))/(100*AN71)</f>
        <v>-2.6752373300459054</v>
      </c>
      <c r="K71">
        <f t="shared" si="19"/>
        <v>13.17126213114754</v>
      </c>
      <c r="L71">
        <f t="shared" si="20"/>
        <v>61.294011004915042</v>
      </c>
      <c r="M71">
        <f>L71*(AZ71+BA71)/1000</f>
        <v>6.1315283449150177</v>
      </c>
      <c r="N71">
        <f>(AS71 - IF(AG71&gt;1, J71*AN71*100/(AI71), 0))*(AZ71+BA71)/1000</f>
        <v>1.3175833294538504</v>
      </c>
      <c r="O71">
        <f t="shared" si="21"/>
        <v>8.6869797064367898E-2</v>
      </c>
      <c r="P71">
        <f>IF(LEFT(AP71,1)&lt;&gt;"0",IF(LEFT(AP71,1)="1",3,AQ71),$D$5+$E$5*(BG71*AZ71/($K$5*1000))+$F$5*(BG71*AZ71/($K$5*1000))*MAX(MIN(AN71,$J$5),$I$5)*MAX(MIN(AN71,$J$5),$I$5)+$G$5*MAX(MIN(AN71,$J$5),$I$5)*(BG71*AZ71/($K$5*1000))+$H$5*(BG71*AZ71/($K$5*1000))*(BG71*AZ71/($K$5*1000)))</f>
        <v>2.3887019556271953</v>
      </c>
      <c r="Q71">
        <f>H71*(1000-(1000*0.61365*EXP(17.502*U71/(240.97+U71))/(AZ71+BA71)+AU71)/2)/(1000*0.61365*EXP(17.502*U71/(240.97+U71))/(AZ71+BA71)-AU71)</f>
        <v>8.5152131838827402E-2</v>
      </c>
      <c r="R71">
        <f t="shared" si="22"/>
        <v>5.3371578998804223E-2</v>
      </c>
      <c r="S71">
        <f t="shared" si="23"/>
        <v>0.12241623209016393</v>
      </c>
      <c r="T71">
        <f>(BB71+(S71+2*0.95*0.0000000567*(((BB71+$B$7)+273)^4-(BB71+273)^4)-44100*H71)/(1.84*29.3*P71+8*0.95*0.0000000567*(BB71+273)^3))</f>
        <v>24.098570743522313</v>
      </c>
      <c r="U71">
        <f>($C$7*BC71+$D$7*BD71+$E$7*T71)</f>
        <v>25.119496721311471</v>
      </c>
      <c r="V71">
        <f t="shared" si="24"/>
        <v>3.2024011613763181</v>
      </c>
      <c r="W71">
        <f t="shared" si="25"/>
        <v>-3.6788750225976519</v>
      </c>
      <c r="X71">
        <f>AU71*(AZ71+BA71)/1000</f>
        <v>-0.11697986314765876</v>
      </c>
      <c r="Y71">
        <f t="shared" si="26"/>
        <v>3.1797726867345264</v>
      </c>
      <c r="Z71">
        <f>(V71-AU71*(AZ71+BA71)/1000)</f>
        <v>3.319381024523977</v>
      </c>
      <c r="AA71">
        <f t="shared" si="27"/>
        <v>-126.55819950433413</v>
      </c>
      <c r="AB71">
        <f>2*29.3*P71*0.92*(BB71-U71)</f>
        <v>-15.324150937194553</v>
      </c>
      <c r="AC71">
        <f>2*0.95*0.0000000567*(((BB71+$B$7)+273)^4-(U71+273)^4)</f>
        <v>-1.3578030151631344</v>
      </c>
      <c r="AD71">
        <f t="shared" si="28"/>
        <v>-143.11773722460165</v>
      </c>
      <c r="AE71">
        <v>21</v>
      </c>
      <c r="AF71">
        <v>4</v>
      </c>
      <c r="AG71">
        <f t="shared" si="29"/>
        <v>1</v>
      </c>
      <c r="AH71">
        <f t="shared" si="30"/>
        <v>0</v>
      </c>
      <c r="AI71">
        <f t="shared" si="31"/>
        <v>25704.9443834862</v>
      </c>
      <c r="AJ71">
        <f t="shared" si="32"/>
        <v>0.64058729508196721</v>
      </c>
      <c r="AK71">
        <f t="shared" si="33"/>
        <v>0.51246983606557384</v>
      </c>
      <c r="AL71">
        <f t="shared" si="34"/>
        <v>0.8</v>
      </c>
      <c r="AM71">
        <f t="shared" si="35"/>
        <v>0.19109999999999999</v>
      </c>
      <c r="AN71">
        <v>3</v>
      </c>
      <c r="AO71">
        <v>0.5</v>
      </c>
      <c r="AP71" t="s">
        <v>317</v>
      </c>
      <c r="AQ71">
        <v>2</v>
      </c>
      <c r="AR71">
        <v>1775467278.6000011</v>
      </c>
      <c r="AS71">
        <v>13.17126213114754</v>
      </c>
      <c r="AT71">
        <v>11.59081147540984</v>
      </c>
      <c r="AU71">
        <v>-1.1693927868852461</v>
      </c>
      <c r="AV71">
        <v>-2.8910943442622949</v>
      </c>
      <c r="AW71">
        <v>4.9302621311475407</v>
      </c>
      <c r="AX71">
        <v>-1.689094344262295</v>
      </c>
      <c r="AY71">
        <v>500.63665573770493</v>
      </c>
      <c r="AZ71">
        <v>99.987445901639347</v>
      </c>
      <c r="BA71">
        <v>4.7259681967213113E-2</v>
      </c>
      <c r="BB71">
        <v>25.000501639344261</v>
      </c>
      <c r="BC71">
        <v>25.119496721311471</v>
      </c>
      <c r="BD71">
        <v>999.9</v>
      </c>
      <c r="BE71">
        <v>0</v>
      </c>
      <c r="BF71">
        <v>0</v>
      </c>
      <c r="BG71">
        <v>5002.3524590163934</v>
      </c>
      <c r="BH71">
        <v>0.64058729508196721</v>
      </c>
      <c r="BI71">
        <v>190.4880983606557</v>
      </c>
      <c r="BJ71">
        <v>1.5429355081967211</v>
      </c>
      <c r="BK71">
        <v>13.095660655737699</v>
      </c>
      <c r="BL71">
        <v>11.577270491803279</v>
      </c>
      <c r="BM71">
        <v>-1.731080196721311</v>
      </c>
      <c r="BN71">
        <v>11.59081147540984</v>
      </c>
      <c r="BO71">
        <v>-1.1693927868852461</v>
      </c>
      <c r="BP71">
        <v>-0.2900107868852459</v>
      </c>
      <c r="BQ71">
        <v>-0.1169246065573771</v>
      </c>
      <c r="BR71">
        <v>-99.899999999999963</v>
      </c>
      <c r="BS71">
        <v>-99.899999999999963</v>
      </c>
      <c r="BT71">
        <v>1775467318.0999999</v>
      </c>
      <c r="BU71" t="s">
        <v>488</v>
      </c>
      <c r="BV71">
        <v>1775467313.5999999</v>
      </c>
      <c r="BW71">
        <v>1775467318.0999999</v>
      </c>
      <c r="BX71">
        <v>56</v>
      </c>
      <c r="BY71">
        <v>3.6999999999999998E-2</v>
      </c>
      <c r="BZ71">
        <v>8.9999999999999993E-3</v>
      </c>
      <c r="CA71">
        <v>8.2409999999999997</v>
      </c>
      <c r="CB71">
        <v>-1.202</v>
      </c>
      <c r="CC71">
        <v>12</v>
      </c>
      <c r="CD71">
        <v>-1</v>
      </c>
      <c r="CE71">
        <v>0.47</v>
      </c>
      <c r="CF71">
        <v>0.05</v>
      </c>
      <c r="CG71">
        <v>11.59081147540984</v>
      </c>
      <c r="CH71">
        <v>0.87327065044947849</v>
      </c>
      <c r="CI71">
        <v>0.1774013945445406</v>
      </c>
      <c r="CJ71">
        <v>-1</v>
      </c>
      <c r="CK71">
        <v>500.63665573770493</v>
      </c>
      <c r="CL71">
        <v>-6.3325795875202617</v>
      </c>
      <c r="CM71">
        <v>1.3752983686440341</v>
      </c>
      <c r="CN71">
        <v>-1</v>
      </c>
      <c r="CO71">
        <v>0</v>
      </c>
      <c r="CP71">
        <v>0</v>
      </c>
      <c r="CQ71" t="s">
        <v>319</v>
      </c>
      <c r="CR71">
        <v>3.1675499999999999</v>
      </c>
      <c r="CS71">
        <v>2.6673499999999999</v>
      </c>
      <c r="CT71">
        <v>1.5268899999999999E-3</v>
      </c>
      <c r="CU71">
        <v>3.4511799999999999E-3</v>
      </c>
      <c r="CV71">
        <v>-1.6573399999999999E-2</v>
      </c>
      <c r="CW71">
        <v>-1.03886E-2</v>
      </c>
      <c r="CX71">
        <v>21524.5</v>
      </c>
      <c r="CY71">
        <v>21857.5</v>
      </c>
      <c r="CZ71">
        <v>23086.400000000001</v>
      </c>
      <c r="DA71">
        <v>22287.5</v>
      </c>
      <c r="DB71">
        <v>30268.9</v>
      </c>
      <c r="DC71">
        <v>26860.400000000001</v>
      </c>
      <c r="DD71">
        <v>40583.5</v>
      </c>
      <c r="DE71">
        <v>36941.599999999999</v>
      </c>
      <c r="DF71">
        <v>2.0634399999999999</v>
      </c>
      <c r="DG71">
        <v>1.77502</v>
      </c>
      <c r="DH71">
        <v>-4.8077099999999998E-2</v>
      </c>
      <c r="DI71">
        <v>0</v>
      </c>
      <c r="DJ71">
        <v>25.911000000000001</v>
      </c>
      <c r="DK71">
        <v>999.9</v>
      </c>
      <c r="DL71">
        <v>72.7</v>
      </c>
      <c r="DM71">
        <v>31.6</v>
      </c>
      <c r="DN71">
        <v>33.9405</v>
      </c>
      <c r="DO71">
        <v>30.4255</v>
      </c>
      <c r="DP71">
        <v>10.697100000000001</v>
      </c>
      <c r="DQ71">
        <v>1</v>
      </c>
      <c r="DR71">
        <v>0.26801000000000003</v>
      </c>
      <c r="DS71">
        <v>1.7427900000000001</v>
      </c>
      <c r="DT71">
        <v>20.357299999999999</v>
      </c>
      <c r="DU71">
        <v>5.21082</v>
      </c>
      <c r="DV71">
        <v>11.8521</v>
      </c>
      <c r="DW71">
        <v>4.9673999999999996</v>
      </c>
      <c r="DX71">
        <v>3.2921200000000002</v>
      </c>
      <c r="DY71">
        <v>894.7</v>
      </c>
      <c r="DZ71">
        <v>0</v>
      </c>
      <c r="EA71">
        <v>1645.1</v>
      </c>
      <c r="EB71">
        <v>107.6</v>
      </c>
      <c r="EC71">
        <v>4.9715999999999996</v>
      </c>
      <c r="ED71">
        <v>1.8718699999999999</v>
      </c>
      <c r="EE71">
        <v>1.8690500000000001</v>
      </c>
      <c r="EF71">
        <v>1.87148</v>
      </c>
      <c r="EG71">
        <v>1.8692</v>
      </c>
      <c r="EH71">
        <v>1.8681399999999999</v>
      </c>
      <c r="EI71">
        <v>1.8699600000000001</v>
      </c>
      <c r="EJ71">
        <v>1.8717999999999999</v>
      </c>
      <c r="EK71">
        <v>0</v>
      </c>
      <c r="EL71">
        <v>0</v>
      </c>
      <c r="EM71">
        <v>0</v>
      </c>
      <c r="EN71">
        <v>0</v>
      </c>
      <c r="EO71" t="s">
        <v>320</v>
      </c>
      <c r="EP71" t="s">
        <v>321</v>
      </c>
      <c r="EQ71" t="s">
        <v>322</v>
      </c>
      <c r="ER71" t="s">
        <v>322</v>
      </c>
      <c r="ES71" t="s">
        <v>322</v>
      </c>
      <c r="ET71" t="s">
        <v>322</v>
      </c>
      <c r="EU71">
        <v>0</v>
      </c>
      <c r="EV71">
        <v>100</v>
      </c>
      <c r="EW71">
        <v>100</v>
      </c>
      <c r="EX71">
        <v>8.2409999999999997</v>
      </c>
      <c r="EY71">
        <v>-1.202</v>
      </c>
      <c r="EZ71">
        <v>8.2034850000000006</v>
      </c>
      <c r="FA71">
        <v>0</v>
      </c>
      <c r="FB71">
        <v>0</v>
      </c>
      <c r="FC71">
        <v>0</v>
      </c>
      <c r="FD71">
        <v>-1.2113790149999999</v>
      </c>
      <c r="FE71">
        <v>0</v>
      </c>
      <c r="FF71">
        <v>0</v>
      </c>
      <c r="FG71">
        <v>0</v>
      </c>
      <c r="FH71">
        <v>-1</v>
      </c>
      <c r="FI71">
        <v>-1</v>
      </c>
      <c r="FJ71">
        <v>-1</v>
      </c>
      <c r="FK71">
        <v>-1</v>
      </c>
      <c r="FL71">
        <v>0.7</v>
      </c>
      <c r="FM71">
        <v>0.6</v>
      </c>
      <c r="FN71">
        <v>0.142822</v>
      </c>
      <c r="FO71">
        <v>4.99756</v>
      </c>
      <c r="FP71">
        <v>1.5979000000000001</v>
      </c>
      <c r="FQ71">
        <v>2.1520999999999999</v>
      </c>
      <c r="FR71">
        <v>1.5478499999999999</v>
      </c>
      <c r="FS71">
        <v>2.4706999999999999</v>
      </c>
      <c r="FT71">
        <v>35.987900000000003</v>
      </c>
      <c r="FU71">
        <v>15.5943</v>
      </c>
      <c r="FV71">
        <v>2</v>
      </c>
      <c r="FW71">
        <v>489.41899999999998</v>
      </c>
      <c r="FX71">
        <v>396.06400000000002</v>
      </c>
      <c r="FY71">
        <v>24.504899999999999</v>
      </c>
      <c r="FZ71">
        <v>30.520399999999999</v>
      </c>
      <c r="GA71">
        <v>30.0002</v>
      </c>
      <c r="GB71">
        <v>30.833500000000001</v>
      </c>
      <c r="GC71">
        <v>30.8934</v>
      </c>
      <c r="GD71">
        <v>-1</v>
      </c>
      <c r="GE71">
        <v>0</v>
      </c>
      <c r="GF71">
        <v>100</v>
      </c>
      <c r="GG71">
        <v>24.499700000000001</v>
      </c>
      <c r="GH71">
        <v>432.1</v>
      </c>
      <c r="GI71">
        <v>78.840199999999996</v>
      </c>
      <c r="GJ71">
        <v>102.146</v>
      </c>
      <c r="GK71">
        <v>96.388999999999996</v>
      </c>
    </row>
    <row r="72" spans="1:193" x14ac:dyDescent="0.35">
      <c r="A72">
        <v>56</v>
      </c>
      <c r="B72">
        <v>1775467354.0999999</v>
      </c>
      <c r="C72">
        <v>3398</v>
      </c>
      <c r="D72" t="s">
        <v>489</v>
      </c>
      <c r="E72" t="s">
        <v>490</v>
      </c>
      <c r="F72">
        <v>30</v>
      </c>
      <c r="G72">
        <v>1775467338.6000011</v>
      </c>
      <c r="H72">
        <f t="shared" si="18"/>
        <v>2.9900090202082679E-3</v>
      </c>
      <c r="I72">
        <f>1000*AY72*AG72*(AU72-AV72)/(100*AN72*(1000-AG72*AU72))</f>
        <v>2.9900090202082676</v>
      </c>
      <c r="J72">
        <f>AY72*AG72*(AT72-AS72*(1000-AG72*AV72)/(1000-AG72*AU72))/(100*AN72)</f>
        <v>-2.6711700074226532</v>
      </c>
      <c r="K72">
        <f t="shared" si="19"/>
        <v>13.991845901639341</v>
      </c>
      <c r="L72">
        <f t="shared" si="20"/>
        <v>60.07011099896814</v>
      </c>
      <c r="M72">
        <f>L72*(AZ72+BA72)/1000</f>
        <v>6.0090284406384553</v>
      </c>
      <c r="N72">
        <f>(AS72 - IF(AG72&gt;1, J72*AN72*100/(AI72), 0))*(AZ72+BA72)/1000</f>
        <v>1.3996544797699084</v>
      </c>
      <c r="O72">
        <f t="shared" si="21"/>
        <v>9.0508641917461261E-2</v>
      </c>
      <c r="P72">
        <f>IF(LEFT(AP72,1)&lt;&gt;"0",IF(LEFT(AP72,1)="1",3,AQ72),$D$5+$E$5*(BG72*AZ72/($K$5*1000))+$F$5*(BG72*AZ72/($K$5*1000))*MAX(MIN(AN72,$J$5),$I$5)*MAX(MIN(AN72,$J$5),$I$5)+$G$5*MAX(MIN(AN72,$J$5),$I$5)*(BG72*AZ72/($K$5*1000))+$H$5*(BG72*AZ72/($K$5*1000))*(BG72*AZ72/($K$5*1000)))</f>
        <v>2.3877020465350736</v>
      </c>
      <c r="Q72">
        <f>H72*(1000-(1000*0.61365*EXP(17.502*U72/(240.97+U72))/(AZ72+BA72)+AU72)/2)/(1000*0.61365*EXP(17.502*U72/(240.97+U72))/(AZ72+BA72)-AU72)</f>
        <v>8.8644961975357178E-2</v>
      </c>
      <c r="R72">
        <f t="shared" si="22"/>
        <v>5.5567349213795345E-2</v>
      </c>
      <c r="S72">
        <f t="shared" si="23"/>
        <v>0.12030242486557374</v>
      </c>
      <c r="T72">
        <f>(BB72+(S72+2*0.95*0.0000000567*(((BB72+$B$7)+273)^4-(BB72+273)^4)-44100*H72)/(1.84*29.3*P72+8*0.95*0.0000000567*(BB72+273)^3))</f>
        <v>24.055113285830984</v>
      </c>
      <c r="U72">
        <f>($C$7*BC72+$D$7*BD72+$E$7*T72)</f>
        <v>25.111745901639338</v>
      </c>
      <c r="V72">
        <f t="shared" si="24"/>
        <v>3.2009229689969678</v>
      </c>
      <c r="W72">
        <f t="shared" si="25"/>
        <v>-3.8155509588096206</v>
      </c>
      <c r="X72">
        <f>AU72*(AZ72+BA72)/1000</f>
        <v>-0.12128780049997256</v>
      </c>
      <c r="Y72">
        <f t="shared" si="26"/>
        <v>3.178775537512728</v>
      </c>
      <c r="Z72">
        <f>(V72-AU72*(AZ72+BA72)/1000)</f>
        <v>3.3222107694969405</v>
      </c>
      <c r="AA72">
        <f t="shared" si="27"/>
        <v>-131.85939779118462</v>
      </c>
      <c r="AB72">
        <f>2*29.3*P72*0.92*(BB72-U72)</f>
        <v>-14.99718793103907</v>
      </c>
      <c r="AC72">
        <f>2*0.95*0.0000000567*(((BB72+$B$7)+273)^4-(U72+273)^4)</f>
        <v>-1.329301748256261</v>
      </c>
      <c r="AD72">
        <f t="shared" si="28"/>
        <v>-148.06558504561437</v>
      </c>
      <c r="AE72">
        <v>20</v>
      </c>
      <c r="AF72">
        <v>4</v>
      </c>
      <c r="AG72">
        <f t="shared" si="29"/>
        <v>1</v>
      </c>
      <c r="AH72">
        <f t="shared" si="30"/>
        <v>0</v>
      </c>
      <c r="AI72">
        <f t="shared" si="31"/>
        <v>25690.096854547952</v>
      </c>
      <c r="AJ72">
        <f t="shared" si="32"/>
        <v>0.62952603278688513</v>
      </c>
      <c r="AK72">
        <f t="shared" si="33"/>
        <v>0.5036208262295081</v>
      </c>
      <c r="AL72">
        <f t="shared" si="34"/>
        <v>0.8</v>
      </c>
      <c r="AM72">
        <f t="shared" si="35"/>
        <v>0.19109999999999999</v>
      </c>
      <c r="AN72">
        <v>3</v>
      </c>
      <c r="AO72">
        <v>0.5</v>
      </c>
      <c r="AP72" t="s">
        <v>317</v>
      </c>
      <c r="AQ72">
        <v>2</v>
      </c>
      <c r="AR72">
        <v>1775467338.6000011</v>
      </c>
      <c r="AS72">
        <v>13.991845901639341</v>
      </c>
      <c r="AT72">
        <v>12.415022950819671</v>
      </c>
      <c r="AU72">
        <v>-1.212470819672131</v>
      </c>
      <c r="AV72">
        <v>-3.007766065573771</v>
      </c>
      <c r="AW72">
        <v>5.770845901639345</v>
      </c>
      <c r="AX72">
        <v>-1.8017660655737711</v>
      </c>
      <c r="AY72">
        <v>500.24657377049181</v>
      </c>
      <c r="AZ72">
        <v>99.987208196721326</v>
      </c>
      <c r="BA72">
        <v>4.6374906557377048E-2</v>
      </c>
      <c r="BB72">
        <v>24.995240983606561</v>
      </c>
      <c r="BC72">
        <v>25.111745901639338</v>
      </c>
      <c r="BD72">
        <v>999.9</v>
      </c>
      <c r="BE72">
        <v>0</v>
      </c>
      <c r="BF72">
        <v>0</v>
      </c>
      <c r="BG72">
        <v>4999.7868852459014</v>
      </c>
      <c r="BH72">
        <v>0.62952603278688513</v>
      </c>
      <c r="BI72">
        <v>189.03003278688519</v>
      </c>
      <c r="BJ72">
        <v>1.596659672131147</v>
      </c>
      <c r="BK72">
        <v>13.96970983606557</v>
      </c>
      <c r="BL72">
        <v>12.399981967213121</v>
      </c>
      <c r="BM72">
        <v>-1.791785737704918</v>
      </c>
      <c r="BN72">
        <v>12.415022950819671</v>
      </c>
      <c r="BO72">
        <v>-1.212470819672131</v>
      </c>
      <c r="BP72">
        <v>-0.30038732786885242</v>
      </c>
      <c r="BQ72">
        <v>-0.1212316393442623</v>
      </c>
      <c r="BR72">
        <v>-99.899999999999963</v>
      </c>
      <c r="BS72">
        <v>-99.899999999999963</v>
      </c>
      <c r="BT72">
        <v>1775467392.5999999</v>
      </c>
      <c r="BU72" t="s">
        <v>491</v>
      </c>
      <c r="BV72">
        <v>1775467372.0999999</v>
      </c>
      <c r="BW72">
        <v>1775467392.5999999</v>
      </c>
      <c r="BX72">
        <v>57</v>
      </c>
      <c r="BY72">
        <v>-0.02</v>
      </c>
      <c r="BZ72">
        <v>-4.0000000000000001E-3</v>
      </c>
      <c r="CA72">
        <v>8.2210000000000001</v>
      </c>
      <c r="CB72">
        <v>-1.206</v>
      </c>
      <c r="CC72">
        <v>12</v>
      </c>
      <c r="CD72">
        <v>-1</v>
      </c>
      <c r="CE72">
        <v>0.19</v>
      </c>
      <c r="CF72">
        <v>0.05</v>
      </c>
      <c r="CG72">
        <v>12.415022950819671</v>
      </c>
      <c r="CH72">
        <v>1.046929243786368</v>
      </c>
      <c r="CI72">
        <v>0.2006894954192186</v>
      </c>
      <c r="CJ72">
        <v>-1</v>
      </c>
      <c r="CK72">
        <v>500.24657377049181</v>
      </c>
      <c r="CL72">
        <v>-2.8016922263345592</v>
      </c>
      <c r="CM72">
        <v>0.8620986870406766</v>
      </c>
      <c r="CN72">
        <v>-1</v>
      </c>
      <c r="CO72">
        <v>0</v>
      </c>
      <c r="CP72">
        <v>0</v>
      </c>
      <c r="CQ72" t="s">
        <v>319</v>
      </c>
      <c r="CR72">
        <v>3.1675200000000001</v>
      </c>
      <c r="CS72">
        <v>2.6678999999999999</v>
      </c>
      <c r="CT72">
        <v>1.7694500000000001E-3</v>
      </c>
      <c r="CU72">
        <v>3.6441799999999999E-3</v>
      </c>
      <c r="CV72">
        <v>-1.6677299999999999E-2</v>
      </c>
      <c r="CW72">
        <v>-1.06502E-2</v>
      </c>
      <c r="CX72">
        <v>21518.799999999999</v>
      </c>
      <c r="CY72">
        <v>21853.3</v>
      </c>
      <c r="CZ72">
        <v>23085.9</v>
      </c>
      <c r="DA72">
        <v>22287.5</v>
      </c>
      <c r="DB72">
        <v>30271.4</v>
      </c>
      <c r="DC72">
        <v>26867.4</v>
      </c>
      <c r="DD72">
        <v>40582.800000000003</v>
      </c>
      <c r="DE72">
        <v>36941.800000000003</v>
      </c>
      <c r="DF72">
        <v>2.06352</v>
      </c>
      <c r="DG72">
        <v>1.7742599999999999</v>
      </c>
      <c r="DH72">
        <v>-4.7770100000000003E-2</v>
      </c>
      <c r="DI72">
        <v>0</v>
      </c>
      <c r="DJ72">
        <v>25.8962</v>
      </c>
      <c r="DK72">
        <v>999.9</v>
      </c>
      <c r="DL72">
        <v>72.7</v>
      </c>
      <c r="DM72">
        <v>31.6</v>
      </c>
      <c r="DN72">
        <v>33.941699999999997</v>
      </c>
      <c r="DO72">
        <v>30.785499999999999</v>
      </c>
      <c r="DP72">
        <v>10.7652</v>
      </c>
      <c r="DQ72">
        <v>1</v>
      </c>
      <c r="DR72">
        <v>0.26863399999999998</v>
      </c>
      <c r="DS72">
        <v>1.6977599999999999</v>
      </c>
      <c r="DT72">
        <v>20.357900000000001</v>
      </c>
      <c r="DU72">
        <v>5.2096200000000001</v>
      </c>
      <c r="DV72">
        <v>11.8531</v>
      </c>
      <c r="DW72">
        <v>4.9675200000000004</v>
      </c>
      <c r="DX72">
        <v>3.29236</v>
      </c>
      <c r="DY72">
        <v>894.7</v>
      </c>
      <c r="DZ72">
        <v>0</v>
      </c>
      <c r="EA72">
        <v>1679.4</v>
      </c>
      <c r="EB72">
        <v>107.6</v>
      </c>
      <c r="EC72">
        <v>4.97159</v>
      </c>
      <c r="ED72">
        <v>1.87185</v>
      </c>
      <c r="EE72">
        <v>1.8690500000000001</v>
      </c>
      <c r="EF72">
        <v>1.87148</v>
      </c>
      <c r="EG72">
        <v>1.8692</v>
      </c>
      <c r="EH72">
        <v>1.8681300000000001</v>
      </c>
      <c r="EI72">
        <v>1.8699699999999999</v>
      </c>
      <c r="EJ72">
        <v>1.8717999999999999</v>
      </c>
      <c r="EK72">
        <v>0</v>
      </c>
      <c r="EL72">
        <v>0</v>
      </c>
      <c r="EM72">
        <v>0</v>
      </c>
      <c r="EN72">
        <v>0</v>
      </c>
      <c r="EO72" t="s">
        <v>320</v>
      </c>
      <c r="EP72" t="s">
        <v>321</v>
      </c>
      <c r="EQ72" t="s">
        <v>322</v>
      </c>
      <c r="ER72" t="s">
        <v>322</v>
      </c>
      <c r="ES72" t="s">
        <v>322</v>
      </c>
      <c r="ET72" t="s">
        <v>322</v>
      </c>
      <c r="EU72">
        <v>0</v>
      </c>
      <c r="EV72">
        <v>100</v>
      </c>
      <c r="EW72">
        <v>100</v>
      </c>
      <c r="EX72">
        <v>8.2210000000000001</v>
      </c>
      <c r="EY72">
        <v>-1.206</v>
      </c>
      <c r="EZ72">
        <v>8.2408338095238101</v>
      </c>
      <c r="FA72">
        <v>0</v>
      </c>
      <c r="FB72">
        <v>0</v>
      </c>
      <c r="FC72">
        <v>0</v>
      </c>
      <c r="FD72">
        <v>-1.20249133</v>
      </c>
      <c r="FE72">
        <v>0</v>
      </c>
      <c r="FF72">
        <v>0</v>
      </c>
      <c r="FG72">
        <v>0</v>
      </c>
      <c r="FH72">
        <v>-1</v>
      </c>
      <c r="FI72">
        <v>-1</v>
      </c>
      <c r="FJ72">
        <v>-1</v>
      </c>
      <c r="FK72">
        <v>-1</v>
      </c>
      <c r="FL72">
        <v>0.7</v>
      </c>
      <c r="FM72">
        <v>0.6</v>
      </c>
      <c r="FN72">
        <v>0.142822</v>
      </c>
      <c r="FO72">
        <v>4.99756</v>
      </c>
      <c r="FP72">
        <v>1.5979000000000001</v>
      </c>
      <c r="FQ72">
        <v>2.1508799999999999</v>
      </c>
      <c r="FR72">
        <v>1.5478499999999999</v>
      </c>
      <c r="FS72">
        <v>2.4658199999999999</v>
      </c>
      <c r="FT72">
        <v>36.011299999999999</v>
      </c>
      <c r="FU72">
        <v>15.5855</v>
      </c>
      <c r="FV72">
        <v>2</v>
      </c>
      <c r="FW72">
        <v>489.529</v>
      </c>
      <c r="FX72">
        <v>395.685</v>
      </c>
      <c r="FY72">
        <v>24.495999999999999</v>
      </c>
      <c r="FZ72">
        <v>30.5289</v>
      </c>
      <c r="GA72">
        <v>30.0002</v>
      </c>
      <c r="GB72">
        <v>30.841899999999999</v>
      </c>
      <c r="GC72">
        <v>30.901299999999999</v>
      </c>
      <c r="GD72">
        <v>-1</v>
      </c>
      <c r="GE72">
        <v>0</v>
      </c>
      <c r="GF72">
        <v>100</v>
      </c>
      <c r="GG72">
        <v>24.501799999999999</v>
      </c>
      <c r="GH72">
        <v>432.1</v>
      </c>
      <c r="GI72">
        <v>78.840199999999996</v>
      </c>
      <c r="GJ72">
        <v>102.14400000000001</v>
      </c>
      <c r="GK72">
        <v>96.389399999999995</v>
      </c>
    </row>
    <row r="73" spans="1:193" x14ac:dyDescent="0.35">
      <c r="A73">
        <v>57</v>
      </c>
      <c r="B73">
        <v>1775467414.0999999</v>
      </c>
      <c r="C73">
        <v>3458</v>
      </c>
      <c r="D73" t="s">
        <v>492</v>
      </c>
      <c r="E73" t="s">
        <v>493</v>
      </c>
      <c r="F73">
        <v>30</v>
      </c>
      <c r="G73">
        <v>1775467403.3499999</v>
      </c>
      <c r="H73">
        <f t="shared" si="18"/>
        <v>2.4853128881244077E-3</v>
      </c>
      <c r="I73">
        <f>1000*AY73*AG73*(AU73-AV73)/(100*AN73*(1000-AG73*AU73))</f>
        <v>2.4853128881244078</v>
      </c>
      <c r="J73">
        <f>AY73*AG73*(AT73-AS73*(1000-AG73*AV73)/(1000-AG73*AU73))/(100*AN73)</f>
        <v>-2.6053076003913986</v>
      </c>
      <c r="K73">
        <f t="shared" si="19"/>
        <v>14.007969523809519</v>
      </c>
      <c r="L73">
        <f t="shared" si="20"/>
        <v>68.235946236055312</v>
      </c>
      <c r="M73">
        <f>L73*(AZ73+BA73)/1000</f>
        <v>6.8260558470709691</v>
      </c>
      <c r="N73">
        <f>(AS73 - IF(AG73&gt;1, J73*AN73*100/(AI73), 0))*(AZ73+BA73)/1000</f>
        <v>1.4013022101695063</v>
      </c>
      <c r="O73">
        <f t="shared" si="21"/>
        <v>7.4954618148179608E-2</v>
      </c>
      <c r="P73">
        <f>IF(LEFT(AP73,1)&lt;&gt;"0",IF(LEFT(AP73,1)="1",3,AQ73),$D$5+$E$5*(BG73*AZ73/($K$5*1000))+$F$5*(BG73*AZ73/($K$5*1000))*MAX(MIN(AN73,$J$5),$I$5)*MAX(MIN(AN73,$J$5),$I$5)+$G$5*MAX(MIN(AN73,$J$5),$I$5)*(BG73*AZ73/($K$5*1000))+$H$5*(BG73*AZ73/($K$5*1000))*(BG73*AZ73/($K$5*1000)))</f>
        <v>2.3904627336763924</v>
      </c>
      <c r="Q73">
        <f>H73*(1000-(1000*0.61365*EXP(17.502*U73/(240.97+U73))/(AZ73+BA73)+AU73)/2)/(1000*0.61365*EXP(17.502*U73/(240.97+U73))/(AZ73+BA73)-AU73)</f>
        <v>7.3673010730313029E-2</v>
      </c>
      <c r="R73">
        <f t="shared" si="22"/>
        <v>4.6158953740242356E-2</v>
      </c>
      <c r="S73">
        <f t="shared" si="23"/>
        <v>0.12214485464999998</v>
      </c>
      <c r="T73">
        <f>(BB73+(S73+2*0.95*0.0000000567*(((BB73+$B$7)+273)^4-(BB73+273)^4)-44100*H73)/(1.84*29.3*P73+8*0.95*0.0000000567*(BB73+273)^3))</f>
        <v>24.212815174439712</v>
      </c>
      <c r="U73">
        <f>($C$7*BC73+$D$7*BD73+$E$7*T73)</f>
        <v>25.130680952380949</v>
      </c>
      <c r="V73">
        <f t="shared" si="24"/>
        <v>3.2045352058662702</v>
      </c>
      <c r="W73">
        <f t="shared" si="25"/>
        <v>-3.7144070578730233</v>
      </c>
      <c r="X73">
        <f>AU73*(AZ73+BA73)/1000</f>
        <v>-0.11805878191933329</v>
      </c>
      <c r="Y73">
        <f t="shared" si="26"/>
        <v>3.1784018304912753</v>
      </c>
      <c r="Z73">
        <f>(V73-AU73*(AZ73+BA73)/1000)</f>
        <v>3.3225939877856034</v>
      </c>
      <c r="AA73">
        <f t="shared" si="27"/>
        <v>-109.60229836628638</v>
      </c>
      <c r="AB73">
        <f>2*29.3*P73*0.92*(BB73-U73)</f>
        <v>-17.708907957527796</v>
      </c>
      <c r="AC73">
        <f>2*0.95*0.0000000567*(((BB73+$B$7)+273)^4-(U73+273)^4)</f>
        <v>-1.5679808650010287</v>
      </c>
      <c r="AD73">
        <f t="shared" si="28"/>
        <v>-128.75704233416519</v>
      </c>
      <c r="AE73">
        <v>21</v>
      </c>
      <c r="AF73">
        <v>4</v>
      </c>
      <c r="AG73">
        <f t="shared" si="29"/>
        <v>1</v>
      </c>
      <c r="AH73">
        <f t="shared" si="30"/>
        <v>0</v>
      </c>
      <c r="AI73">
        <f t="shared" si="31"/>
        <v>25732.551693870668</v>
      </c>
      <c r="AJ73">
        <f t="shared" si="32"/>
        <v>0.63916721428571421</v>
      </c>
      <c r="AK73">
        <f t="shared" si="33"/>
        <v>0.51133377142857139</v>
      </c>
      <c r="AL73">
        <f t="shared" si="34"/>
        <v>0.8</v>
      </c>
      <c r="AM73">
        <f t="shared" si="35"/>
        <v>0.19109999999999999</v>
      </c>
      <c r="AN73">
        <v>3</v>
      </c>
      <c r="AO73">
        <v>0.5</v>
      </c>
      <c r="AP73" t="s">
        <v>317</v>
      </c>
      <c r="AQ73">
        <v>2</v>
      </c>
      <c r="AR73">
        <v>1775467403.3499999</v>
      </c>
      <c r="AS73">
        <v>14.007969523809519</v>
      </c>
      <c r="AT73">
        <v>12.468871428571431</v>
      </c>
      <c r="AU73">
        <v>-1.1801621428571429</v>
      </c>
      <c r="AV73">
        <v>-2.6700140904761902</v>
      </c>
      <c r="AW73">
        <v>5.8159695238095237</v>
      </c>
      <c r="AX73">
        <v>-1.4630140904761899</v>
      </c>
      <c r="AY73">
        <v>501.0389047619048</v>
      </c>
      <c r="AZ73">
        <v>99.986954761904769</v>
      </c>
      <c r="BA73">
        <v>4.911454761904762E-2</v>
      </c>
      <c r="BB73">
        <v>24.993269047619052</v>
      </c>
      <c r="BC73">
        <v>25.130680952380949</v>
      </c>
      <c r="BD73">
        <v>999.90000000000009</v>
      </c>
      <c r="BE73">
        <v>0</v>
      </c>
      <c r="BF73">
        <v>0</v>
      </c>
      <c r="BG73">
        <v>5006.916666666667</v>
      </c>
      <c r="BH73">
        <v>0.63916721428571421</v>
      </c>
      <c r="BI73">
        <v>187.3523571428571</v>
      </c>
      <c r="BJ73">
        <v>1.5680894928571429</v>
      </c>
      <c r="BK73">
        <v>13.999314285714281</v>
      </c>
      <c r="BL73">
        <v>12.454166666666669</v>
      </c>
      <c r="BM73">
        <v>-1.4892744882380951</v>
      </c>
      <c r="BN73">
        <v>12.468871428571431</v>
      </c>
      <c r="BO73">
        <v>-1.1801621428571429</v>
      </c>
      <c r="BP73">
        <v>-0.26690895238095241</v>
      </c>
      <c r="BQ73">
        <v>-0.1180007857142857</v>
      </c>
      <c r="BR73">
        <v>-99.9</v>
      </c>
      <c r="BS73">
        <v>-99.9</v>
      </c>
      <c r="BT73">
        <v>1775467438.5999999</v>
      </c>
      <c r="BU73" t="s">
        <v>494</v>
      </c>
      <c r="BV73">
        <v>1775467434.0999999</v>
      </c>
      <c r="BW73">
        <v>1775467438.5999999</v>
      </c>
      <c r="BX73">
        <v>58</v>
      </c>
      <c r="BY73">
        <v>-2.9000000000000001E-2</v>
      </c>
      <c r="BZ73">
        <v>0</v>
      </c>
      <c r="CA73">
        <v>8.1920000000000002</v>
      </c>
      <c r="CB73">
        <v>-1.2070000000000001</v>
      </c>
      <c r="CC73">
        <v>12</v>
      </c>
      <c r="CD73">
        <v>-1</v>
      </c>
      <c r="CE73">
        <v>0.27</v>
      </c>
      <c r="CF73">
        <v>0.04</v>
      </c>
      <c r="CG73">
        <v>12.63813278688524</v>
      </c>
      <c r="CH73">
        <v>-1.866250026441042</v>
      </c>
      <c r="CI73">
        <v>0.29716223185286228</v>
      </c>
      <c r="CJ73">
        <v>-1</v>
      </c>
      <c r="CK73">
        <v>500.71622950819659</v>
      </c>
      <c r="CL73">
        <v>-0.18053305129584371</v>
      </c>
      <c r="CM73">
        <v>1.383947340908587</v>
      </c>
      <c r="CN73">
        <v>-1</v>
      </c>
      <c r="CO73">
        <v>0</v>
      </c>
      <c r="CP73">
        <v>0</v>
      </c>
      <c r="CQ73" t="s">
        <v>319</v>
      </c>
      <c r="CR73">
        <v>3.1674500000000001</v>
      </c>
      <c r="CS73">
        <v>2.6680199999999998</v>
      </c>
      <c r="CT73">
        <v>1.7200799999999999E-3</v>
      </c>
      <c r="CU73">
        <v>3.57362E-3</v>
      </c>
      <c r="CV73">
        <v>-1.6294099999999999E-2</v>
      </c>
      <c r="CW73">
        <v>-1.02633E-2</v>
      </c>
      <c r="CX73">
        <v>21519.8</v>
      </c>
      <c r="CY73">
        <v>21854.9</v>
      </c>
      <c r="CZ73">
        <v>23085.8</v>
      </c>
      <c r="DA73">
        <v>22287.7</v>
      </c>
      <c r="DB73">
        <v>30260</v>
      </c>
      <c r="DC73">
        <v>26857.200000000001</v>
      </c>
      <c r="DD73">
        <v>40582.699999999997</v>
      </c>
      <c r="DE73">
        <v>36941.800000000003</v>
      </c>
      <c r="DF73">
        <v>2.0624400000000001</v>
      </c>
      <c r="DG73">
        <v>1.77352</v>
      </c>
      <c r="DH73">
        <v>-4.7275400000000002E-2</v>
      </c>
      <c r="DI73">
        <v>0</v>
      </c>
      <c r="DJ73">
        <v>25.903500000000001</v>
      </c>
      <c r="DK73">
        <v>999.9</v>
      </c>
      <c r="DL73">
        <v>72.7</v>
      </c>
      <c r="DM73">
        <v>31.6</v>
      </c>
      <c r="DN73">
        <v>33.937600000000003</v>
      </c>
      <c r="DO73">
        <v>30.845500000000001</v>
      </c>
      <c r="DP73">
        <v>10.661099999999999</v>
      </c>
      <c r="DQ73">
        <v>1</v>
      </c>
      <c r="DR73">
        <v>0.26904099999999997</v>
      </c>
      <c r="DS73">
        <v>1.6365799999999999</v>
      </c>
      <c r="DT73">
        <v>20.359000000000002</v>
      </c>
      <c r="DU73">
        <v>5.2112999999999996</v>
      </c>
      <c r="DV73">
        <v>11.853999999999999</v>
      </c>
      <c r="DW73">
        <v>4.9677199999999999</v>
      </c>
      <c r="DX73">
        <v>3.2928999999999999</v>
      </c>
      <c r="DY73">
        <v>894.7</v>
      </c>
      <c r="DZ73">
        <v>0</v>
      </c>
      <c r="EA73">
        <v>1711.3</v>
      </c>
      <c r="EB73">
        <v>107.6</v>
      </c>
      <c r="EC73">
        <v>4.9716100000000001</v>
      </c>
      <c r="ED73">
        <v>1.8718600000000001</v>
      </c>
      <c r="EE73">
        <v>1.8690500000000001</v>
      </c>
      <c r="EF73">
        <v>1.87148</v>
      </c>
      <c r="EG73">
        <v>1.8692</v>
      </c>
      <c r="EH73">
        <v>1.8681300000000001</v>
      </c>
      <c r="EI73">
        <v>1.8699600000000001</v>
      </c>
      <c r="EJ73">
        <v>1.8717999999999999</v>
      </c>
      <c r="EK73">
        <v>0</v>
      </c>
      <c r="EL73">
        <v>0</v>
      </c>
      <c r="EM73">
        <v>0</v>
      </c>
      <c r="EN73">
        <v>0</v>
      </c>
      <c r="EO73" t="s">
        <v>320</v>
      </c>
      <c r="EP73" t="s">
        <v>321</v>
      </c>
      <c r="EQ73" t="s">
        <v>322</v>
      </c>
      <c r="ER73" t="s">
        <v>322</v>
      </c>
      <c r="ES73" t="s">
        <v>322</v>
      </c>
      <c r="ET73" t="s">
        <v>322</v>
      </c>
      <c r="EU73">
        <v>0</v>
      </c>
      <c r="EV73">
        <v>100</v>
      </c>
      <c r="EW73">
        <v>100</v>
      </c>
      <c r="EX73">
        <v>8.1920000000000002</v>
      </c>
      <c r="EY73">
        <v>-1.2070000000000001</v>
      </c>
      <c r="EZ73">
        <v>8.2209914999999985</v>
      </c>
      <c r="FA73">
        <v>0</v>
      </c>
      <c r="FB73">
        <v>0</v>
      </c>
      <c r="FC73">
        <v>0</v>
      </c>
      <c r="FD73">
        <v>-1.2064232147619049</v>
      </c>
      <c r="FE73">
        <v>0</v>
      </c>
      <c r="FF73">
        <v>0</v>
      </c>
      <c r="FG73">
        <v>0</v>
      </c>
      <c r="FH73">
        <v>-1</v>
      </c>
      <c r="FI73">
        <v>-1</v>
      </c>
      <c r="FJ73">
        <v>-1</v>
      </c>
      <c r="FK73">
        <v>-1</v>
      </c>
      <c r="FL73">
        <v>0.7</v>
      </c>
      <c r="FM73">
        <v>0.4</v>
      </c>
      <c r="FN73">
        <v>0.142822</v>
      </c>
      <c r="FO73">
        <v>4.99756</v>
      </c>
      <c r="FP73">
        <v>1.5979000000000001</v>
      </c>
      <c r="FQ73">
        <v>2.1520999999999999</v>
      </c>
      <c r="FR73">
        <v>1.5478499999999999</v>
      </c>
      <c r="FS73">
        <v>2.4475099999999999</v>
      </c>
      <c r="FT73">
        <v>36.034700000000001</v>
      </c>
      <c r="FU73">
        <v>15.568</v>
      </c>
      <c r="FV73">
        <v>2</v>
      </c>
      <c r="FW73">
        <v>488.95800000000003</v>
      </c>
      <c r="FX73">
        <v>395.33300000000003</v>
      </c>
      <c r="FY73">
        <v>24.566700000000001</v>
      </c>
      <c r="FZ73">
        <v>30.538900000000002</v>
      </c>
      <c r="GA73">
        <v>30.0001</v>
      </c>
      <c r="GB73">
        <v>30.848800000000001</v>
      </c>
      <c r="GC73">
        <v>30.911799999999999</v>
      </c>
      <c r="GD73">
        <v>-1</v>
      </c>
      <c r="GE73">
        <v>0</v>
      </c>
      <c r="GF73">
        <v>100</v>
      </c>
      <c r="GG73">
        <v>24.5687</v>
      </c>
      <c r="GH73">
        <v>432.1</v>
      </c>
      <c r="GI73">
        <v>78.840199999999996</v>
      </c>
      <c r="GJ73">
        <v>102.14400000000001</v>
      </c>
      <c r="GK73">
        <v>96.389600000000002</v>
      </c>
    </row>
    <row r="74" spans="1:193" x14ac:dyDescent="0.35">
      <c r="A74">
        <v>58</v>
      </c>
      <c r="B74">
        <v>1775467474.0999999</v>
      </c>
      <c r="C74">
        <v>3518</v>
      </c>
      <c r="D74" t="s">
        <v>495</v>
      </c>
      <c r="E74" t="s">
        <v>496</v>
      </c>
      <c r="F74">
        <v>30</v>
      </c>
      <c r="G74">
        <v>1775467458.8500011</v>
      </c>
      <c r="H74">
        <f t="shared" si="18"/>
        <v>3.0252465440044566E-3</v>
      </c>
      <c r="I74">
        <f>1000*AY74*AG74*(AU74-AV74)/(100*AN74*(1000-AG74*AU74))</f>
        <v>3.0252465440044567</v>
      </c>
      <c r="J74">
        <f>AY74*AG74*(AT74-AS74*(1000-AG74*AV74)/(1000-AG74*AU74))/(100*AN74)</f>
        <v>-2.8760260531856843</v>
      </c>
      <c r="K74">
        <f t="shared" si="19"/>
        <v>13.532806666666669</v>
      </c>
      <c r="L74">
        <f t="shared" si="20"/>
        <v>62.608534363111659</v>
      </c>
      <c r="M74">
        <f>L74*(AZ74+BA74)/1000</f>
        <v>6.2629284293308878</v>
      </c>
      <c r="N74">
        <f>(AS74 - IF(AG74&gt;1, J74*AN74*100/(AI74), 0))*(AZ74+BA74)/1000</f>
        <v>1.3537291754787038</v>
      </c>
      <c r="O74">
        <f t="shared" si="21"/>
        <v>9.1652212046569106E-2</v>
      </c>
      <c r="P74">
        <f>IF(LEFT(AP74,1)&lt;&gt;"0",IF(LEFT(AP74,1)="1",3,AQ74),$D$5+$E$5*(BG74*AZ74/($K$5*1000))+$F$5*(BG74*AZ74/($K$5*1000))*MAX(MIN(AN74,$J$5),$I$5)*MAX(MIN(AN74,$J$5),$I$5)+$G$5*MAX(MIN(AN74,$J$5),$I$5)*(BG74*AZ74/($K$5*1000))+$H$5*(BG74*AZ74/($K$5*1000))*(BG74*AZ74/($K$5*1000)))</f>
        <v>2.3879614511271754</v>
      </c>
      <c r="Q74">
        <f>H74*(1000-(1000*0.61365*EXP(17.502*U74/(240.97+U74))/(AZ74+BA74)+AU74)/2)/(1000*0.61365*EXP(17.502*U74/(240.97+U74))/(AZ74+BA74)-AU74)</f>
        <v>8.9741878181722051E-2</v>
      </c>
      <c r="R74">
        <f t="shared" si="22"/>
        <v>5.6256993393142843E-2</v>
      </c>
      <c r="S74">
        <f t="shared" si="23"/>
        <v>0.11997975262</v>
      </c>
      <c r="T74">
        <f>(BB74+(S74+2*0.95*0.0000000567*(((BB74+$B$7)+273)^4-(BB74+273)^4)-44100*H74)/(1.84*29.3*P74+8*0.95*0.0000000567*(BB74+273)^3))</f>
        <v>24.044207053471528</v>
      </c>
      <c r="U74">
        <f>($C$7*BC74+$D$7*BD74+$E$7*T74)</f>
        <v>25.125056666666669</v>
      </c>
      <c r="V74">
        <f t="shared" si="24"/>
        <v>3.2034618900084162</v>
      </c>
      <c r="W74">
        <f t="shared" si="25"/>
        <v>-3.6705798239110745</v>
      </c>
      <c r="X74">
        <f>AU74*(AZ74+BA74)/1000</f>
        <v>-0.1166801243722983</v>
      </c>
      <c r="Y74">
        <f t="shared" si="26"/>
        <v>3.1787927240327214</v>
      </c>
      <c r="Z74">
        <f>(V74-AU74*(AZ74+BA74)/1000)</f>
        <v>3.3201420143807145</v>
      </c>
      <c r="AA74">
        <f t="shared" si="27"/>
        <v>-133.41337259059654</v>
      </c>
      <c r="AB74">
        <f>2*29.3*P74*0.92*(BB74-U74)</f>
        <v>-16.700767669029826</v>
      </c>
      <c r="AC74">
        <f>2*0.95*0.0000000567*(((BB74+$B$7)+273)^4-(U74+273)^4)</f>
        <v>-1.4802405296035135</v>
      </c>
      <c r="AD74">
        <f t="shared" si="28"/>
        <v>-151.47440103660989</v>
      </c>
      <c r="AE74">
        <v>21</v>
      </c>
      <c r="AF74">
        <v>4</v>
      </c>
      <c r="AG74">
        <f t="shared" si="29"/>
        <v>1</v>
      </c>
      <c r="AH74">
        <f t="shared" si="30"/>
        <v>0</v>
      </c>
      <c r="AI74">
        <f t="shared" si="31"/>
        <v>25694.016486664168</v>
      </c>
      <c r="AJ74">
        <f t="shared" si="32"/>
        <v>0.62783753333333336</v>
      </c>
      <c r="AK74">
        <f t="shared" si="33"/>
        <v>0.50227002666666676</v>
      </c>
      <c r="AL74">
        <f t="shared" si="34"/>
        <v>0.8</v>
      </c>
      <c r="AM74">
        <f t="shared" si="35"/>
        <v>0.19109999999999999</v>
      </c>
      <c r="AN74">
        <v>3</v>
      </c>
      <c r="AO74">
        <v>0.5</v>
      </c>
      <c r="AP74" t="s">
        <v>317</v>
      </c>
      <c r="AQ74">
        <v>2</v>
      </c>
      <c r="AR74">
        <v>1775467458.8500011</v>
      </c>
      <c r="AS74">
        <v>13.532806666666669</v>
      </c>
      <c r="AT74">
        <v>11.832700000000001</v>
      </c>
      <c r="AU74">
        <v>-1.166414666666667</v>
      </c>
      <c r="AV74">
        <v>-2.9826703333333331</v>
      </c>
      <c r="AW74">
        <v>5.3378066666666646</v>
      </c>
      <c r="AX74">
        <v>-1.7726703333333329</v>
      </c>
      <c r="AY74">
        <v>500.2779000000001</v>
      </c>
      <c r="AZ74">
        <v>99.988318333333339</v>
      </c>
      <c r="BA74">
        <v>4.4824001666666669E-2</v>
      </c>
      <c r="BB74">
        <v>24.995331666666669</v>
      </c>
      <c r="BC74">
        <v>25.125056666666669</v>
      </c>
      <c r="BD74">
        <v>999.9</v>
      </c>
      <c r="BE74">
        <v>0</v>
      </c>
      <c r="BF74">
        <v>0</v>
      </c>
      <c r="BG74">
        <v>5000.3999999999996</v>
      </c>
      <c r="BH74">
        <v>0.62783753333333336</v>
      </c>
      <c r="BI74">
        <v>185.82923333333329</v>
      </c>
      <c r="BJ74">
        <v>1.6971046666666669</v>
      </c>
      <c r="BK74">
        <v>13.489610000000001</v>
      </c>
      <c r="BL74">
        <v>11.81892</v>
      </c>
      <c r="BM74">
        <v>-1.812853</v>
      </c>
      <c r="BN74">
        <v>11.832700000000001</v>
      </c>
      <c r="BO74">
        <v>-1.166414666666667</v>
      </c>
      <c r="BP74">
        <v>-0.29789205000000002</v>
      </c>
      <c r="BQ74">
        <v>-0.11662785000000001</v>
      </c>
      <c r="BR74">
        <v>-99.899999999999963</v>
      </c>
      <c r="BS74">
        <v>-99.899999999999963</v>
      </c>
      <c r="BT74">
        <v>1775467498.0999999</v>
      </c>
      <c r="BU74" t="s">
        <v>497</v>
      </c>
      <c r="BV74">
        <v>1775467493.0999999</v>
      </c>
      <c r="BW74">
        <v>1775467498.0999999</v>
      </c>
      <c r="BX74">
        <v>59</v>
      </c>
      <c r="BY74">
        <v>3.0000000000000001E-3</v>
      </c>
      <c r="BZ74">
        <v>-3.0000000000000001E-3</v>
      </c>
      <c r="CA74">
        <v>8.1950000000000003</v>
      </c>
      <c r="CB74">
        <v>-1.21</v>
      </c>
      <c r="CC74">
        <v>12</v>
      </c>
      <c r="CD74">
        <v>-1</v>
      </c>
      <c r="CE74">
        <v>0.2</v>
      </c>
      <c r="CF74">
        <v>0.04</v>
      </c>
      <c r="CG74">
        <v>11.844170491803281</v>
      </c>
      <c r="CH74">
        <v>-1.125332205182451</v>
      </c>
      <c r="CI74">
        <v>0.18926715124157811</v>
      </c>
      <c r="CJ74">
        <v>-1</v>
      </c>
      <c r="CK74">
        <v>500.49437704918029</v>
      </c>
      <c r="CL74">
        <v>-5.106897937599296</v>
      </c>
      <c r="CM74">
        <v>1.2740806542647189</v>
      </c>
      <c r="CN74">
        <v>-1</v>
      </c>
      <c r="CO74">
        <v>0</v>
      </c>
      <c r="CP74">
        <v>0</v>
      </c>
      <c r="CQ74" t="s">
        <v>319</v>
      </c>
      <c r="CR74">
        <v>3.1675900000000001</v>
      </c>
      <c r="CS74">
        <v>2.66601</v>
      </c>
      <c r="CT74">
        <v>1.54645E-3</v>
      </c>
      <c r="CU74">
        <v>3.4644699999999999E-3</v>
      </c>
      <c r="CV74">
        <v>-1.6383999999999999E-2</v>
      </c>
      <c r="CW74">
        <v>-1.0114E-2</v>
      </c>
      <c r="CX74">
        <v>21523</v>
      </c>
      <c r="CY74">
        <v>21857.1</v>
      </c>
      <c r="CZ74">
        <v>23085.4</v>
      </c>
      <c r="DA74">
        <v>22287.5</v>
      </c>
      <c r="DB74">
        <v>30262.2</v>
      </c>
      <c r="DC74">
        <v>26853</v>
      </c>
      <c r="DD74">
        <v>40582</v>
      </c>
      <c r="DE74">
        <v>36941.4</v>
      </c>
      <c r="DF74">
        <v>2.0631599999999999</v>
      </c>
      <c r="DG74">
        <v>1.7748600000000001</v>
      </c>
      <c r="DH74">
        <v>-4.7147300000000003E-2</v>
      </c>
      <c r="DI74">
        <v>0</v>
      </c>
      <c r="DJ74">
        <v>25.903500000000001</v>
      </c>
      <c r="DK74">
        <v>999.9</v>
      </c>
      <c r="DL74">
        <v>72.599999999999994</v>
      </c>
      <c r="DM74">
        <v>31.6</v>
      </c>
      <c r="DN74">
        <v>33.896700000000003</v>
      </c>
      <c r="DO74">
        <v>30.515499999999999</v>
      </c>
      <c r="DP74">
        <v>10.244400000000001</v>
      </c>
      <c r="DQ74">
        <v>1</v>
      </c>
      <c r="DR74">
        <v>0.27039000000000002</v>
      </c>
      <c r="DS74">
        <v>1.67971</v>
      </c>
      <c r="DT74">
        <v>20.3581</v>
      </c>
      <c r="DU74">
        <v>5.20878</v>
      </c>
      <c r="DV74">
        <v>11.851900000000001</v>
      </c>
      <c r="DW74">
        <v>4.9673600000000002</v>
      </c>
      <c r="DX74">
        <v>3.2920400000000001</v>
      </c>
      <c r="DY74">
        <v>894.7</v>
      </c>
      <c r="DZ74">
        <v>0</v>
      </c>
      <c r="EA74">
        <v>1739.8</v>
      </c>
      <c r="EB74">
        <v>107.6</v>
      </c>
      <c r="EC74">
        <v>4.9715499999999997</v>
      </c>
      <c r="ED74">
        <v>1.87181</v>
      </c>
      <c r="EE74">
        <v>1.8690500000000001</v>
      </c>
      <c r="EF74">
        <v>1.87148</v>
      </c>
      <c r="EG74">
        <v>1.8692</v>
      </c>
      <c r="EH74">
        <v>1.8681300000000001</v>
      </c>
      <c r="EI74">
        <v>1.8699600000000001</v>
      </c>
      <c r="EJ74">
        <v>1.8717999999999999</v>
      </c>
      <c r="EK74">
        <v>0</v>
      </c>
      <c r="EL74">
        <v>0</v>
      </c>
      <c r="EM74">
        <v>0</v>
      </c>
      <c r="EN74">
        <v>0</v>
      </c>
      <c r="EO74" t="s">
        <v>320</v>
      </c>
      <c r="EP74" t="s">
        <v>321</v>
      </c>
      <c r="EQ74" t="s">
        <v>322</v>
      </c>
      <c r="ER74" t="s">
        <v>322</v>
      </c>
      <c r="ES74" t="s">
        <v>322</v>
      </c>
      <c r="ET74" t="s">
        <v>322</v>
      </c>
      <c r="EU74">
        <v>0</v>
      </c>
      <c r="EV74">
        <v>100</v>
      </c>
      <c r="EW74">
        <v>100</v>
      </c>
      <c r="EX74">
        <v>8.1950000000000003</v>
      </c>
      <c r="EY74">
        <v>-1.21</v>
      </c>
      <c r="EZ74">
        <v>8.1920005000000007</v>
      </c>
      <c r="FA74">
        <v>0</v>
      </c>
      <c r="FB74">
        <v>0</v>
      </c>
      <c r="FC74">
        <v>0</v>
      </c>
      <c r="FD74">
        <v>-1.206597995238095</v>
      </c>
      <c r="FE74">
        <v>0</v>
      </c>
      <c r="FF74">
        <v>0</v>
      </c>
      <c r="FG74">
        <v>0</v>
      </c>
      <c r="FH74">
        <v>-1</v>
      </c>
      <c r="FI74">
        <v>-1</v>
      </c>
      <c r="FJ74">
        <v>-1</v>
      </c>
      <c r="FK74">
        <v>-1</v>
      </c>
      <c r="FL74">
        <v>0.7</v>
      </c>
      <c r="FM74">
        <v>0.6</v>
      </c>
      <c r="FN74">
        <v>0.142822</v>
      </c>
      <c r="FO74">
        <v>4.99756</v>
      </c>
      <c r="FP74">
        <v>1.5979000000000001</v>
      </c>
      <c r="FQ74">
        <v>2.1508799999999999</v>
      </c>
      <c r="FR74">
        <v>1.5478499999999999</v>
      </c>
      <c r="FS74">
        <v>2.3986800000000001</v>
      </c>
      <c r="FT74">
        <v>36.058199999999999</v>
      </c>
      <c r="FU74">
        <v>15.541700000000001</v>
      </c>
      <c r="FV74">
        <v>2</v>
      </c>
      <c r="FW74">
        <v>489.49799999999999</v>
      </c>
      <c r="FX74">
        <v>396.17899999999997</v>
      </c>
      <c r="FY74">
        <v>24.546099999999999</v>
      </c>
      <c r="FZ74">
        <v>30.552199999999999</v>
      </c>
      <c r="GA74">
        <v>30.0002</v>
      </c>
      <c r="GB74">
        <v>30.8657</v>
      </c>
      <c r="GC74">
        <v>30.925899999999999</v>
      </c>
      <c r="GD74">
        <v>-1</v>
      </c>
      <c r="GE74">
        <v>0</v>
      </c>
      <c r="GF74">
        <v>100</v>
      </c>
      <c r="GG74">
        <v>24.546700000000001</v>
      </c>
      <c r="GH74">
        <v>432.1</v>
      </c>
      <c r="GI74">
        <v>78.840199999999996</v>
      </c>
      <c r="GJ74">
        <v>102.142</v>
      </c>
      <c r="GK74">
        <v>96.3887</v>
      </c>
    </row>
    <row r="75" spans="1:193" x14ac:dyDescent="0.35">
      <c r="A75">
        <v>59</v>
      </c>
      <c r="B75">
        <v>1775467534.0999999</v>
      </c>
      <c r="C75">
        <v>3578</v>
      </c>
      <c r="D75" t="s">
        <v>498</v>
      </c>
      <c r="E75" t="s">
        <v>499</v>
      </c>
      <c r="F75">
        <v>30</v>
      </c>
      <c r="G75">
        <v>1775467518.6000011</v>
      </c>
      <c r="H75">
        <f t="shared" si="18"/>
        <v>3.027027088227678E-3</v>
      </c>
      <c r="I75">
        <f>1000*AY75*AG75*(AU75-AV75)/(100*AN75*(1000-AG75*AU75))</f>
        <v>3.027027088227678</v>
      </c>
      <c r="J75">
        <f>AY75*AG75*(AT75-AS75*(1000-AG75*AV75)/(1000-AG75*AU75))/(100*AN75)</f>
        <v>-2.9906982399472257</v>
      </c>
      <c r="K75">
        <f t="shared" si="19"/>
        <v>13.36275147540983</v>
      </c>
      <c r="L75">
        <f t="shared" si="20"/>
        <v>64.425880448057299</v>
      </c>
      <c r="M75">
        <f>L75*(AZ75+BA75)/1000</f>
        <v>6.4447783136141856</v>
      </c>
      <c r="N75">
        <f>(AS75 - IF(AG75&gt;1, J75*AN75*100/(AI75), 0))*(AZ75+BA75)/1000</f>
        <v>1.336729437300753</v>
      </c>
      <c r="O75">
        <f t="shared" si="21"/>
        <v>9.1663524731303708E-2</v>
      </c>
      <c r="P75">
        <f>IF(LEFT(AP75,1)&lt;&gt;"0",IF(LEFT(AP75,1)="1",3,AQ75),$D$5+$E$5*(BG75*AZ75/($K$5*1000))+$F$5*(BG75*AZ75/($K$5*1000))*MAX(MIN(AN75,$J$5),$I$5)*MAX(MIN(AN75,$J$5),$I$5)+$G$5*MAX(MIN(AN75,$J$5),$I$5)*(BG75*AZ75/($K$5*1000))+$H$5*(BG75*AZ75/($K$5*1000))*(BG75*AZ75/($K$5*1000)))</f>
        <v>2.3859991365500002</v>
      </c>
      <c r="Q75">
        <f>H75*(1000-(1000*0.61365*EXP(17.502*U75/(240.97+U75))/(AZ75+BA75)+AU75)/2)/(1000*0.61365*EXP(17.502*U75/(240.97+U75))/(AZ75+BA75)-AU75)</f>
        <v>8.9751188379849009E-2</v>
      </c>
      <c r="R75">
        <f t="shared" si="22"/>
        <v>5.6262985636698973E-2</v>
      </c>
      <c r="S75">
        <f t="shared" si="23"/>
        <v>0.12161712081147541</v>
      </c>
      <c r="T75">
        <f>(BB75+(S75+2*0.95*0.0000000567*(((BB75+$B$7)+273)^4-(BB75+273)^4)-44100*H75)/(1.84*29.3*P75+8*0.95*0.0000000567*(BB75+273)^3))</f>
        <v>24.046986387966719</v>
      </c>
      <c r="U75">
        <f>($C$7*BC75+$D$7*BD75+$E$7*T75)</f>
        <v>25.13722295081968</v>
      </c>
      <c r="V75">
        <f t="shared" si="24"/>
        <v>3.2057840496109389</v>
      </c>
      <c r="W75">
        <f t="shared" si="25"/>
        <v>-3.6465657219494836</v>
      </c>
      <c r="X75">
        <f>AU75*(AZ75+BA75)/1000</f>
        <v>-0.11594471548303736</v>
      </c>
      <c r="Y75">
        <f t="shared" si="26"/>
        <v>3.1795591886673131</v>
      </c>
      <c r="Z75">
        <f>(V75-AU75*(AZ75+BA75)/1000)</f>
        <v>3.3217287650939764</v>
      </c>
      <c r="AA75">
        <f t="shared" si="27"/>
        <v>-133.49189459084062</v>
      </c>
      <c r="AB75">
        <f>2*29.3*P75*0.92*(BB75-U75)</f>
        <v>-17.731878581160437</v>
      </c>
      <c r="AC75">
        <f>2*0.95*0.0000000567*(((BB75+$B$7)+273)^4-(U75+273)^4)</f>
        <v>-1.5730519520591697</v>
      </c>
      <c r="AD75">
        <f t="shared" si="28"/>
        <v>-152.67520800324874</v>
      </c>
      <c r="AE75">
        <v>20</v>
      </c>
      <c r="AF75">
        <v>4</v>
      </c>
      <c r="AG75">
        <f t="shared" si="29"/>
        <v>1</v>
      </c>
      <c r="AH75">
        <f t="shared" si="30"/>
        <v>0</v>
      </c>
      <c r="AI75">
        <f t="shared" si="31"/>
        <v>25663.584629340934</v>
      </c>
      <c r="AJ75">
        <f t="shared" si="32"/>
        <v>0.63640565573770491</v>
      </c>
      <c r="AK75">
        <f t="shared" si="33"/>
        <v>0.509124524590164</v>
      </c>
      <c r="AL75">
        <f t="shared" si="34"/>
        <v>0.8</v>
      </c>
      <c r="AM75">
        <f t="shared" si="35"/>
        <v>0.19109999999999999</v>
      </c>
      <c r="AN75">
        <v>3</v>
      </c>
      <c r="AO75">
        <v>0.5</v>
      </c>
      <c r="AP75" t="s">
        <v>317</v>
      </c>
      <c r="AQ75">
        <v>2</v>
      </c>
      <c r="AR75">
        <v>1775467518.6000011</v>
      </c>
      <c r="AS75">
        <v>13.36275147540983</v>
      </c>
      <c r="AT75">
        <v>11.59353278688525</v>
      </c>
      <c r="AU75">
        <v>-1.1590531147540979</v>
      </c>
      <c r="AV75">
        <v>-2.976418524590164</v>
      </c>
      <c r="AW75">
        <v>5.1607514754098336</v>
      </c>
      <c r="AX75">
        <v>-1.762418524590164</v>
      </c>
      <c r="AY75">
        <v>500.26299999999998</v>
      </c>
      <c r="AZ75">
        <v>99.989270491803282</v>
      </c>
      <c r="BA75">
        <v>4.4726231147540978E-2</v>
      </c>
      <c r="BB75">
        <v>24.99937540983607</v>
      </c>
      <c r="BC75">
        <v>25.13722295081968</v>
      </c>
      <c r="BD75">
        <v>999.9</v>
      </c>
      <c r="BE75">
        <v>0</v>
      </c>
      <c r="BF75">
        <v>0</v>
      </c>
      <c r="BG75">
        <v>4995.2950819672133</v>
      </c>
      <c r="BH75">
        <v>0.63640565573770491</v>
      </c>
      <c r="BI75">
        <v>183.95226229508199</v>
      </c>
      <c r="BJ75">
        <v>1.762557540983607</v>
      </c>
      <c r="BK75">
        <v>13.31652459016393</v>
      </c>
      <c r="BL75">
        <v>11.58011803278689</v>
      </c>
      <c r="BM75">
        <v>-1.813140655737705</v>
      </c>
      <c r="BN75">
        <v>11.59353278688525</v>
      </c>
      <c r="BO75">
        <v>-1.1590531147540979</v>
      </c>
      <c r="BP75">
        <v>-0.29718747540983609</v>
      </c>
      <c r="BQ75">
        <v>-0.115892868852459</v>
      </c>
      <c r="BR75">
        <v>-99.899999999999963</v>
      </c>
      <c r="BS75">
        <v>-99.899999999999963</v>
      </c>
      <c r="BT75">
        <v>1775467563.0999999</v>
      </c>
      <c r="BU75" t="s">
        <v>500</v>
      </c>
      <c r="BV75">
        <v>1775467558.0999999</v>
      </c>
      <c r="BW75">
        <v>1775467563.0999999</v>
      </c>
      <c r="BX75">
        <v>60</v>
      </c>
      <c r="BY75">
        <v>7.0000000000000001E-3</v>
      </c>
      <c r="BZ75">
        <v>-5.0000000000000001E-3</v>
      </c>
      <c r="CA75">
        <v>8.202</v>
      </c>
      <c r="CB75">
        <v>-1.214</v>
      </c>
      <c r="CC75">
        <v>12</v>
      </c>
      <c r="CD75">
        <v>-1</v>
      </c>
      <c r="CE75">
        <v>0.31</v>
      </c>
      <c r="CF75">
        <v>0.04</v>
      </c>
      <c r="CG75">
        <v>11.601006557377049</v>
      </c>
      <c r="CH75">
        <v>-0.25189021681651969</v>
      </c>
      <c r="CI75">
        <v>9.6928812595116154E-2</v>
      </c>
      <c r="CJ75">
        <v>-1</v>
      </c>
      <c r="CK75">
        <v>500.40154098360659</v>
      </c>
      <c r="CL75">
        <v>-4.500755156001917</v>
      </c>
      <c r="CM75">
        <v>1.136024295136342</v>
      </c>
      <c r="CN75">
        <v>-1</v>
      </c>
      <c r="CO75">
        <v>0</v>
      </c>
      <c r="CP75">
        <v>0</v>
      </c>
      <c r="CQ75" t="s">
        <v>319</v>
      </c>
      <c r="CR75">
        <v>3.1676199999999999</v>
      </c>
      <c r="CS75">
        <v>2.6660400000000002</v>
      </c>
      <c r="CT75">
        <v>1.51735E-3</v>
      </c>
      <c r="CU75">
        <v>3.4000900000000001E-3</v>
      </c>
      <c r="CV75">
        <v>-1.6324499999999999E-2</v>
      </c>
      <c r="CW75">
        <v>-1.0069099999999999E-2</v>
      </c>
      <c r="CX75">
        <v>21522.7</v>
      </c>
      <c r="CY75">
        <v>21857.8</v>
      </c>
      <c r="CZ75">
        <v>23084.400000000001</v>
      </c>
      <c r="DA75">
        <v>22286.799999999999</v>
      </c>
      <c r="DB75">
        <v>30259</v>
      </c>
      <c r="DC75">
        <v>26850.9</v>
      </c>
      <c r="DD75">
        <v>40580.199999999997</v>
      </c>
      <c r="DE75">
        <v>36940.1</v>
      </c>
      <c r="DF75">
        <v>2.0630999999999999</v>
      </c>
      <c r="DG75">
        <v>1.77458</v>
      </c>
      <c r="DH75">
        <v>-4.6461799999999998E-2</v>
      </c>
      <c r="DI75">
        <v>0</v>
      </c>
      <c r="DJ75">
        <v>25.9071</v>
      </c>
      <c r="DK75">
        <v>999.9</v>
      </c>
      <c r="DL75">
        <v>72.599999999999994</v>
      </c>
      <c r="DM75">
        <v>31.6</v>
      </c>
      <c r="DN75">
        <v>33.8949</v>
      </c>
      <c r="DO75">
        <v>30.395499999999998</v>
      </c>
      <c r="DP75">
        <v>10.621</v>
      </c>
      <c r="DQ75">
        <v>1</v>
      </c>
      <c r="DR75">
        <v>0.272146</v>
      </c>
      <c r="DS75">
        <v>1.6917599999999999</v>
      </c>
      <c r="DT75">
        <v>20.3581</v>
      </c>
      <c r="DU75">
        <v>5.2085400000000002</v>
      </c>
      <c r="DV75">
        <v>11.853</v>
      </c>
      <c r="DW75">
        <v>4.9670800000000002</v>
      </c>
      <c r="DX75">
        <v>3.2923200000000001</v>
      </c>
      <c r="DY75">
        <v>894.7</v>
      </c>
      <c r="DZ75">
        <v>0</v>
      </c>
      <c r="EA75">
        <v>1774.4</v>
      </c>
      <c r="EB75">
        <v>107.6</v>
      </c>
      <c r="EC75">
        <v>4.9716100000000001</v>
      </c>
      <c r="ED75">
        <v>1.8718699999999999</v>
      </c>
      <c r="EE75">
        <v>1.8690500000000001</v>
      </c>
      <c r="EF75">
        <v>1.87148</v>
      </c>
      <c r="EG75">
        <v>1.8692</v>
      </c>
      <c r="EH75">
        <v>1.8681300000000001</v>
      </c>
      <c r="EI75">
        <v>1.8699600000000001</v>
      </c>
      <c r="EJ75">
        <v>1.8717999999999999</v>
      </c>
      <c r="EK75">
        <v>0</v>
      </c>
      <c r="EL75">
        <v>0</v>
      </c>
      <c r="EM75">
        <v>0</v>
      </c>
      <c r="EN75">
        <v>0</v>
      </c>
      <c r="EO75" t="s">
        <v>320</v>
      </c>
      <c r="EP75" t="s">
        <v>321</v>
      </c>
      <c r="EQ75" t="s">
        <v>322</v>
      </c>
      <c r="ER75" t="s">
        <v>322</v>
      </c>
      <c r="ES75" t="s">
        <v>322</v>
      </c>
      <c r="ET75" t="s">
        <v>322</v>
      </c>
      <c r="EU75">
        <v>0</v>
      </c>
      <c r="EV75">
        <v>100</v>
      </c>
      <c r="EW75">
        <v>100</v>
      </c>
      <c r="EX75">
        <v>8.202</v>
      </c>
      <c r="EY75">
        <v>-1.214</v>
      </c>
      <c r="EZ75">
        <v>8.1953460000000025</v>
      </c>
      <c r="FA75">
        <v>0</v>
      </c>
      <c r="FB75">
        <v>0</v>
      </c>
      <c r="FC75">
        <v>0</v>
      </c>
      <c r="FD75">
        <v>-1.2097756449999999</v>
      </c>
      <c r="FE75">
        <v>0</v>
      </c>
      <c r="FF75">
        <v>0</v>
      </c>
      <c r="FG75">
        <v>0</v>
      </c>
      <c r="FH75">
        <v>-1</v>
      </c>
      <c r="FI75">
        <v>-1</v>
      </c>
      <c r="FJ75">
        <v>-1</v>
      </c>
      <c r="FK75">
        <v>-1</v>
      </c>
      <c r="FL75">
        <v>0.7</v>
      </c>
      <c r="FM75">
        <v>0.6</v>
      </c>
      <c r="FN75">
        <v>0.142822</v>
      </c>
      <c r="FO75">
        <v>4.99756</v>
      </c>
      <c r="FP75">
        <v>1.5979000000000001</v>
      </c>
      <c r="FQ75">
        <v>2.1496599999999999</v>
      </c>
      <c r="FR75">
        <v>1.5478499999999999</v>
      </c>
      <c r="FS75">
        <v>2.3730500000000001</v>
      </c>
      <c r="FT75">
        <v>36.104999999999997</v>
      </c>
      <c r="FU75">
        <v>15.532999999999999</v>
      </c>
      <c r="FV75">
        <v>2</v>
      </c>
      <c r="FW75">
        <v>489.59800000000001</v>
      </c>
      <c r="FX75">
        <v>396.13099999999997</v>
      </c>
      <c r="FY75">
        <v>24.5547</v>
      </c>
      <c r="FZ75">
        <v>30.573399999999999</v>
      </c>
      <c r="GA75">
        <v>30.0001</v>
      </c>
      <c r="GB75">
        <v>30.883700000000001</v>
      </c>
      <c r="GC75">
        <v>30.9434</v>
      </c>
      <c r="GD75">
        <v>-1</v>
      </c>
      <c r="GE75">
        <v>0</v>
      </c>
      <c r="GF75">
        <v>100</v>
      </c>
      <c r="GG75">
        <v>24.554600000000001</v>
      </c>
      <c r="GH75">
        <v>432.1</v>
      </c>
      <c r="GI75">
        <v>78.840199999999996</v>
      </c>
      <c r="GJ75">
        <v>102.137</v>
      </c>
      <c r="GK75">
        <v>96.385499999999993</v>
      </c>
    </row>
    <row r="76" spans="1:193" x14ac:dyDescent="0.35">
      <c r="A76">
        <v>60</v>
      </c>
      <c r="B76">
        <v>1775467594.0999999</v>
      </c>
      <c r="C76">
        <v>3638</v>
      </c>
      <c r="D76" t="s">
        <v>501</v>
      </c>
      <c r="E76" t="s">
        <v>502</v>
      </c>
      <c r="F76">
        <v>30</v>
      </c>
      <c r="G76">
        <v>1775467578.6000011</v>
      </c>
      <c r="H76">
        <f t="shared" si="18"/>
        <v>2.7224038069917529E-3</v>
      </c>
      <c r="I76">
        <f>1000*AY76*AG76*(AU76-AV76)/(100*AN76*(1000-AG76*AU76))</f>
        <v>2.7224038069917529</v>
      </c>
      <c r="J76">
        <f>AY76*AG76*(AT76-AS76*(1000-AG76*AV76)/(1000-AG76*AU76))/(100*AN76)</f>
        <v>-2.5603328692968677</v>
      </c>
      <c r="K76">
        <f t="shared" si="19"/>
        <v>12.691724262295081</v>
      </c>
      <c r="L76">
        <f t="shared" si="20"/>
        <v>61.305927065110787</v>
      </c>
      <c r="M76">
        <f>L76*(AZ76+BA76)/1000</f>
        <v>6.1328569880634296</v>
      </c>
      <c r="N76">
        <f>(AS76 - IF(AG76&gt;1, J76*AN76*100/(AI76), 0))*(AZ76+BA76)/1000</f>
        <v>1.2696411841211246</v>
      </c>
      <c r="O76">
        <f t="shared" si="21"/>
        <v>8.2275548839563881E-2</v>
      </c>
      <c r="P76">
        <f>IF(LEFT(AP76,1)&lt;&gt;"0",IF(LEFT(AP76,1)="1",3,AQ76),$D$5+$E$5*(BG76*AZ76/($K$5*1000))+$F$5*(BG76*AZ76/($K$5*1000))*MAX(MIN(AN76,$J$5),$I$5)*MAX(MIN(AN76,$J$5),$I$5)+$G$5*MAX(MIN(AN76,$J$5),$I$5)*(BG76*AZ76/($K$5*1000))+$H$5*(BG76*AZ76/($K$5*1000))*(BG76*AZ76/($K$5*1000)))</f>
        <v>2.388976931604323</v>
      </c>
      <c r="Q76">
        <f>H76*(1000-(1000*0.61365*EXP(17.502*U76/(240.97+U76))/(AZ76+BA76)+AU76)/2)/(1000*0.61365*EXP(17.502*U76/(240.97+U76))/(AZ76+BA76)-AU76)</f>
        <v>8.0733197711384555E-2</v>
      </c>
      <c r="R76">
        <f t="shared" si="22"/>
        <v>5.0594414464270918E-2</v>
      </c>
      <c r="S76">
        <f t="shared" si="23"/>
        <v>0.11537197281147539</v>
      </c>
      <c r="T76">
        <f>(BB76+(S76+2*0.95*0.0000000567*(((BB76+$B$7)+273)^4-(BB76+273)^4)-44100*H76)/(1.84*29.3*P76+8*0.95*0.0000000567*(BB76+273)^3))</f>
        <v>24.149686719316321</v>
      </c>
      <c r="U76">
        <f>($C$7*BC76+$D$7*BD76+$E$7*T76)</f>
        <v>25.140255737704919</v>
      </c>
      <c r="V76">
        <f t="shared" si="24"/>
        <v>3.2063631418727647</v>
      </c>
      <c r="W76">
        <f t="shared" si="25"/>
        <v>-3.6111182587120538</v>
      </c>
      <c r="X76">
        <f>AU76*(AZ76+BA76)/1000</f>
        <v>-0.1148575535256825</v>
      </c>
      <c r="Y76">
        <f t="shared" si="26"/>
        <v>3.1806644174164416</v>
      </c>
      <c r="Z76">
        <f>(V76-AU76*(AZ76+BA76)/1000)</f>
        <v>3.3212206953984471</v>
      </c>
      <c r="AA76">
        <f t="shared" si="27"/>
        <v>-120.05800788833631</v>
      </c>
      <c r="AB76">
        <f>2*29.3*P76*0.92*(BB76-U76)</f>
        <v>-17.393806080947993</v>
      </c>
      <c r="AC76">
        <f>2*0.95*0.0000000567*(((BB76+$B$7)+273)^4-(U76+273)^4)</f>
        <v>-1.5412058010201133</v>
      </c>
      <c r="AD76">
        <f t="shared" si="28"/>
        <v>-138.87764779749293</v>
      </c>
      <c r="AE76">
        <v>21</v>
      </c>
      <c r="AF76">
        <v>4</v>
      </c>
      <c r="AG76">
        <f t="shared" si="29"/>
        <v>1</v>
      </c>
      <c r="AH76">
        <f t="shared" si="30"/>
        <v>0</v>
      </c>
      <c r="AI76">
        <f t="shared" si="31"/>
        <v>25708.640973096346</v>
      </c>
      <c r="AJ76">
        <f t="shared" si="32"/>
        <v>0.60372565573770487</v>
      </c>
      <c r="AK76">
        <f t="shared" si="33"/>
        <v>0.48298052459016394</v>
      </c>
      <c r="AL76">
        <f t="shared" si="34"/>
        <v>0.8</v>
      </c>
      <c r="AM76">
        <f t="shared" si="35"/>
        <v>0.19109999999999999</v>
      </c>
      <c r="AN76">
        <v>3</v>
      </c>
      <c r="AO76">
        <v>0.5</v>
      </c>
      <c r="AP76" t="s">
        <v>317</v>
      </c>
      <c r="AQ76">
        <v>2</v>
      </c>
      <c r="AR76">
        <v>1775467578.6000011</v>
      </c>
      <c r="AS76">
        <v>12.691724262295081</v>
      </c>
      <c r="AT76">
        <v>11.17843606557377</v>
      </c>
      <c r="AU76">
        <v>-1.1481514754098361</v>
      </c>
      <c r="AV76">
        <v>-2.7811164442622949</v>
      </c>
      <c r="AW76">
        <v>4.5087242622950816</v>
      </c>
      <c r="AX76">
        <v>-1.5711164442622949</v>
      </c>
      <c r="AY76">
        <v>500.72039344262288</v>
      </c>
      <c r="AZ76">
        <v>99.990145901639337</v>
      </c>
      <c r="BA76">
        <v>4.6788236065573773E-2</v>
      </c>
      <c r="BB76">
        <v>25.005204918032781</v>
      </c>
      <c r="BC76">
        <v>25.140255737704919</v>
      </c>
      <c r="BD76">
        <v>999.9</v>
      </c>
      <c r="BE76">
        <v>0</v>
      </c>
      <c r="BF76">
        <v>0</v>
      </c>
      <c r="BG76">
        <v>5002.9262295081971</v>
      </c>
      <c r="BH76">
        <v>0.60372565573770487</v>
      </c>
      <c r="BI76">
        <v>182.12275409836059</v>
      </c>
      <c r="BJ76">
        <v>1.5326376634918031</v>
      </c>
      <c r="BK76">
        <v>12.67551967213115</v>
      </c>
      <c r="BL76">
        <v>11.1656131147541</v>
      </c>
      <c r="BM76">
        <v>-1.637242178557377</v>
      </c>
      <c r="BN76">
        <v>11.17843606557377</v>
      </c>
      <c r="BO76">
        <v>-1.1481514754098361</v>
      </c>
      <c r="BP76">
        <v>-0.27851214754098358</v>
      </c>
      <c r="BQ76">
        <v>-0.1148038032786885</v>
      </c>
      <c r="BR76">
        <v>-99.899999999999963</v>
      </c>
      <c r="BS76">
        <v>-99.899999999999963</v>
      </c>
      <c r="BT76">
        <v>1775467621.0999999</v>
      </c>
      <c r="BU76" t="s">
        <v>503</v>
      </c>
      <c r="BV76">
        <v>1775467612.0999999</v>
      </c>
      <c r="BW76">
        <v>1775467621.0999999</v>
      </c>
      <c r="BX76">
        <v>61</v>
      </c>
      <c r="BY76">
        <v>-1.9E-2</v>
      </c>
      <c r="BZ76">
        <v>4.0000000000000001E-3</v>
      </c>
      <c r="CA76">
        <v>8.1829999999999998</v>
      </c>
      <c r="CB76">
        <v>-1.21</v>
      </c>
      <c r="CC76">
        <v>12</v>
      </c>
      <c r="CD76">
        <v>-1</v>
      </c>
      <c r="CE76">
        <v>0.21</v>
      </c>
      <c r="CF76">
        <v>0.04</v>
      </c>
      <c r="CG76">
        <v>11.17843606557377</v>
      </c>
      <c r="CH76">
        <v>0.39576774193548397</v>
      </c>
      <c r="CI76">
        <v>6.9209721748611966E-2</v>
      </c>
      <c r="CJ76">
        <v>-1</v>
      </c>
      <c r="CK76">
        <v>500.72039344262288</v>
      </c>
      <c r="CL76">
        <v>-6.1565584346897531</v>
      </c>
      <c r="CM76">
        <v>1.4066800267516111</v>
      </c>
      <c r="CN76">
        <v>-1</v>
      </c>
      <c r="CO76">
        <v>0</v>
      </c>
      <c r="CP76">
        <v>0</v>
      </c>
      <c r="CQ76" t="s">
        <v>319</v>
      </c>
      <c r="CR76">
        <v>3.1676000000000002</v>
      </c>
      <c r="CS76">
        <v>2.6663600000000001</v>
      </c>
      <c r="CT76">
        <v>1.4131599999999999E-3</v>
      </c>
      <c r="CU76">
        <v>3.35776E-3</v>
      </c>
      <c r="CV76">
        <v>-1.6695399999999999E-2</v>
      </c>
      <c r="CW76">
        <v>-1.0116999999999999E-2</v>
      </c>
      <c r="CX76">
        <v>21523.5</v>
      </c>
      <c r="CY76">
        <v>21857.9</v>
      </c>
      <c r="CZ76">
        <v>23083</v>
      </c>
      <c r="DA76">
        <v>22286</v>
      </c>
      <c r="DB76">
        <v>30268.400000000001</v>
      </c>
      <c r="DC76">
        <v>26851.1</v>
      </c>
      <c r="DD76">
        <v>40578.1</v>
      </c>
      <c r="DE76">
        <v>36938.699999999997</v>
      </c>
      <c r="DF76">
        <v>2.0626600000000002</v>
      </c>
      <c r="DG76">
        <v>1.77376</v>
      </c>
      <c r="DH76">
        <v>-4.9442100000000003E-2</v>
      </c>
      <c r="DI76">
        <v>0</v>
      </c>
      <c r="DJ76">
        <v>25.942799999999998</v>
      </c>
      <c r="DK76">
        <v>999.9</v>
      </c>
      <c r="DL76">
        <v>72.5</v>
      </c>
      <c r="DM76">
        <v>31.7</v>
      </c>
      <c r="DN76">
        <v>34.039000000000001</v>
      </c>
      <c r="DO76">
        <v>30.575500000000002</v>
      </c>
      <c r="DP76">
        <v>10.4367</v>
      </c>
      <c r="DQ76">
        <v>1</v>
      </c>
      <c r="DR76">
        <v>0.27477600000000002</v>
      </c>
      <c r="DS76">
        <v>1.7951299999999999</v>
      </c>
      <c r="DT76">
        <v>20.357500000000002</v>
      </c>
      <c r="DU76">
        <v>5.2114200000000004</v>
      </c>
      <c r="DV76">
        <v>11.8522</v>
      </c>
      <c r="DW76">
        <v>4.9677199999999999</v>
      </c>
      <c r="DX76">
        <v>3.2928199999999999</v>
      </c>
      <c r="DY76">
        <v>894.7</v>
      </c>
      <c r="DZ76">
        <v>0</v>
      </c>
      <c r="EA76">
        <v>1808.3</v>
      </c>
      <c r="EB76">
        <v>107.7</v>
      </c>
      <c r="EC76">
        <v>4.9715699999999998</v>
      </c>
      <c r="ED76">
        <v>1.8718300000000001</v>
      </c>
      <c r="EE76">
        <v>1.8690500000000001</v>
      </c>
      <c r="EF76">
        <v>1.87148</v>
      </c>
      <c r="EG76">
        <v>1.8692</v>
      </c>
      <c r="EH76">
        <v>1.8681300000000001</v>
      </c>
      <c r="EI76">
        <v>1.8699600000000001</v>
      </c>
      <c r="EJ76">
        <v>1.8717999999999999</v>
      </c>
      <c r="EK76">
        <v>0</v>
      </c>
      <c r="EL76">
        <v>0</v>
      </c>
      <c r="EM76">
        <v>0</v>
      </c>
      <c r="EN76">
        <v>0</v>
      </c>
      <c r="EO76" t="s">
        <v>320</v>
      </c>
      <c r="EP76" t="s">
        <v>321</v>
      </c>
      <c r="EQ76" t="s">
        <v>322</v>
      </c>
      <c r="ER76" t="s">
        <v>322</v>
      </c>
      <c r="ES76" t="s">
        <v>322</v>
      </c>
      <c r="ET76" t="s">
        <v>322</v>
      </c>
      <c r="EU76">
        <v>0</v>
      </c>
      <c r="EV76">
        <v>100</v>
      </c>
      <c r="EW76">
        <v>100</v>
      </c>
      <c r="EX76">
        <v>8.1829999999999998</v>
      </c>
      <c r="EY76">
        <v>-1.21</v>
      </c>
      <c r="EZ76">
        <v>8.2023524999999999</v>
      </c>
      <c r="FA76">
        <v>0</v>
      </c>
      <c r="FB76">
        <v>0</v>
      </c>
      <c r="FC76">
        <v>0</v>
      </c>
      <c r="FD76">
        <v>-1.214277335</v>
      </c>
      <c r="FE76">
        <v>0</v>
      </c>
      <c r="FF76">
        <v>0</v>
      </c>
      <c r="FG76">
        <v>0</v>
      </c>
      <c r="FH76">
        <v>-1</v>
      </c>
      <c r="FI76">
        <v>-1</v>
      </c>
      <c r="FJ76">
        <v>-1</v>
      </c>
      <c r="FK76">
        <v>-1</v>
      </c>
      <c r="FL76">
        <v>0.6</v>
      </c>
      <c r="FM76">
        <v>0.5</v>
      </c>
      <c r="FN76">
        <v>0.142822</v>
      </c>
      <c r="FO76">
        <v>4.99756</v>
      </c>
      <c r="FP76">
        <v>1.5979000000000001</v>
      </c>
      <c r="FQ76">
        <v>2.1508799999999999</v>
      </c>
      <c r="FR76">
        <v>1.5478499999999999</v>
      </c>
      <c r="FS76">
        <v>2.4633799999999999</v>
      </c>
      <c r="FT76">
        <v>36.128500000000003</v>
      </c>
      <c r="FU76">
        <v>15.5242</v>
      </c>
      <c r="FV76">
        <v>2</v>
      </c>
      <c r="FW76">
        <v>489.49900000000002</v>
      </c>
      <c r="FX76">
        <v>395.79899999999998</v>
      </c>
      <c r="FY76">
        <v>24.479900000000001</v>
      </c>
      <c r="FZ76">
        <v>30.5989</v>
      </c>
      <c r="GA76">
        <v>30.000299999999999</v>
      </c>
      <c r="GB76">
        <v>30.904299999999999</v>
      </c>
      <c r="GC76">
        <v>30.964400000000001</v>
      </c>
      <c r="GD76">
        <v>-1</v>
      </c>
      <c r="GE76">
        <v>0</v>
      </c>
      <c r="GF76">
        <v>100</v>
      </c>
      <c r="GG76">
        <v>24.479900000000001</v>
      </c>
      <c r="GH76">
        <v>432.1</v>
      </c>
      <c r="GI76">
        <v>78.840199999999996</v>
      </c>
      <c r="GJ76">
        <v>102.13200000000001</v>
      </c>
      <c r="GK76">
        <v>96.381900000000002</v>
      </c>
    </row>
    <row r="77" spans="1:193" x14ac:dyDescent="0.35">
      <c r="A77">
        <v>61</v>
      </c>
      <c r="B77">
        <v>1775467654.0999999</v>
      </c>
      <c r="C77">
        <v>3698</v>
      </c>
      <c r="D77" t="s">
        <v>504</v>
      </c>
      <c r="E77" t="s">
        <v>505</v>
      </c>
      <c r="F77">
        <v>30</v>
      </c>
      <c r="G77">
        <v>1775467638.6000011</v>
      </c>
      <c r="H77">
        <f t="shared" si="18"/>
        <v>2.889789249612802E-3</v>
      </c>
      <c r="I77">
        <f>1000*AY77*AG77*(AU77-AV77)/(100*AN77*(1000-AG77*AU77))</f>
        <v>2.8897892496128019</v>
      </c>
      <c r="J77">
        <f>AY77*AG77*(AT77-AS77*(1000-AG77*AV77)/(1000-AG77*AU77))/(100*AN77)</f>
        <v>-2.2932342789797526</v>
      </c>
      <c r="K77">
        <f t="shared" si="19"/>
        <v>13.51205573770492</v>
      </c>
      <c r="L77">
        <f t="shared" si="20"/>
        <v>54.369671797253972</v>
      </c>
      <c r="M77">
        <f>L77*(AZ77+BA77)/1000</f>
        <v>5.4390813231110187</v>
      </c>
      <c r="N77">
        <f>(AS77 - IF(AG77&gt;1, J77*AN77*100/(AI77), 0))*(AZ77+BA77)/1000</f>
        <v>1.3517309847637851</v>
      </c>
      <c r="O77">
        <f t="shared" si="21"/>
        <v>8.7458843643969511E-2</v>
      </c>
      <c r="P77">
        <f>IF(LEFT(AP77,1)&lt;&gt;"0",IF(LEFT(AP77,1)="1",3,AQ77),$D$5+$E$5*(BG77*AZ77/($K$5*1000))+$F$5*(BG77*AZ77/($K$5*1000))*MAX(MIN(AN77,$J$5),$I$5)*MAX(MIN(AN77,$J$5),$I$5)+$G$5*MAX(MIN(AN77,$J$5),$I$5)*(BG77*AZ77/($K$5*1000))+$H$5*(BG77*AZ77/($K$5*1000))*(BG77*AZ77/($K$5*1000)))</f>
        <v>2.3876090264977368</v>
      </c>
      <c r="Q77">
        <f>H77*(1000-(1000*0.61365*EXP(17.502*U77/(240.97+U77))/(AZ77+BA77)+AU77)/2)/(1000*0.61365*EXP(17.502*U77/(240.97+U77))/(AZ77+BA77)-AU77)</f>
        <v>8.5717276948829496E-2</v>
      </c>
      <c r="R77">
        <f t="shared" si="22"/>
        <v>5.372688246280774E-2</v>
      </c>
      <c r="S77">
        <f t="shared" si="23"/>
        <v>0.11489348660655734</v>
      </c>
      <c r="T77">
        <f>(BB77+(S77+2*0.95*0.0000000567*(((BB77+$B$7)+273)^4-(BB77+273)^4)-44100*H77)/(1.84*29.3*P77+8*0.95*0.0000000567*(BB77+273)^3))</f>
        <v>24.080095554566025</v>
      </c>
      <c r="U77">
        <f>($C$7*BC77+$D$7*BD77+$E$7*T77)</f>
        <v>25.12950983606558</v>
      </c>
      <c r="V77">
        <f t="shared" si="24"/>
        <v>3.2043116888822376</v>
      </c>
      <c r="W77">
        <f t="shared" si="25"/>
        <v>-3.6584312406489379</v>
      </c>
      <c r="X77">
        <f>AU77*(AZ77+BA77)/1000</f>
        <v>-0.11624838187906866</v>
      </c>
      <c r="Y77">
        <f t="shared" si="26"/>
        <v>3.1775472663645949</v>
      </c>
      <c r="Z77">
        <f>(V77-AU77*(AZ77+BA77)/1000)</f>
        <v>3.3205600707613061</v>
      </c>
      <c r="AA77">
        <f t="shared" si="27"/>
        <v>-127.43970590792458</v>
      </c>
      <c r="AB77">
        <f>2*29.3*P77*0.92*(BB77-U77)</f>
        <v>-18.117554989329118</v>
      </c>
      <c r="AC77">
        <f>2*0.95*0.0000000567*(((BB77+$B$7)+273)^4-(U77+273)^4)</f>
        <v>-1.6060346681351609</v>
      </c>
      <c r="AD77">
        <f t="shared" si="28"/>
        <v>-147.04840207878229</v>
      </c>
      <c r="AE77">
        <v>20</v>
      </c>
      <c r="AF77">
        <v>4</v>
      </c>
      <c r="AG77">
        <f t="shared" si="29"/>
        <v>1</v>
      </c>
      <c r="AH77">
        <f t="shared" si="30"/>
        <v>0</v>
      </c>
      <c r="AI77">
        <f t="shared" si="31"/>
        <v>25689.002783767759</v>
      </c>
      <c r="AJ77">
        <f t="shared" si="32"/>
        <v>0.60122180327868835</v>
      </c>
      <c r="AK77">
        <f t="shared" si="33"/>
        <v>0.48097744262295072</v>
      </c>
      <c r="AL77">
        <f t="shared" si="34"/>
        <v>0.8</v>
      </c>
      <c r="AM77">
        <f t="shared" si="35"/>
        <v>0.19109999999999999</v>
      </c>
      <c r="AN77">
        <v>3</v>
      </c>
      <c r="AO77">
        <v>0.5</v>
      </c>
      <c r="AP77" t="s">
        <v>317</v>
      </c>
      <c r="AQ77">
        <v>2</v>
      </c>
      <c r="AR77">
        <v>1775467638.6000011</v>
      </c>
      <c r="AS77">
        <v>13.51205573770492</v>
      </c>
      <c r="AT77">
        <v>12.16128196721311</v>
      </c>
      <c r="AU77">
        <v>-1.162031967213115</v>
      </c>
      <c r="AV77">
        <v>-2.8956889180327861</v>
      </c>
      <c r="AW77">
        <v>5.3410557377049166</v>
      </c>
      <c r="AX77">
        <v>-1.679688918032787</v>
      </c>
      <c r="AY77">
        <v>500.64355737704921</v>
      </c>
      <c r="AZ77">
        <v>99.992904918032806</v>
      </c>
      <c r="BA77">
        <v>4.5979690163934432E-2</v>
      </c>
      <c r="BB77">
        <v>24.988759016393441</v>
      </c>
      <c r="BC77">
        <v>25.12950983606558</v>
      </c>
      <c r="BD77">
        <v>999.9</v>
      </c>
      <c r="BE77">
        <v>0</v>
      </c>
      <c r="BF77">
        <v>0</v>
      </c>
      <c r="BG77">
        <v>4999.2622950819668</v>
      </c>
      <c r="BH77">
        <v>0.60122180327868835</v>
      </c>
      <c r="BI77">
        <v>180.37406557377051</v>
      </c>
      <c r="BJ77">
        <v>1.3629551475409829</v>
      </c>
      <c r="BK77">
        <v>13.48514426229508</v>
      </c>
      <c r="BL77">
        <v>12.147168852459011</v>
      </c>
      <c r="BM77">
        <v>-1.7274849180327869</v>
      </c>
      <c r="BN77">
        <v>12.16128196721311</v>
      </c>
      <c r="BO77">
        <v>-1.162031967213115</v>
      </c>
      <c r="BP77">
        <v>-0.28893106557377052</v>
      </c>
      <c r="BQ77">
        <v>-0.1161949836065574</v>
      </c>
      <c r="BR77">
        <v>-99.899999999999963</v>
      </c>
      <c r="BS77">
        <v>-99.899999999999963</v>
      </c>
      <c r="BT77">
        <v>1775467681.0999999</v>
      </c>
      <c r="BU77" t="s">
        <v>506</v>
      </c>
      <c r="BV77">
        <v>1775467672.5999999</v>
      </c>
      <c r="BW77">
        <v>1775467681.0999999</v>
      </c>
      <c r="BX77">
        <v>62</v>
      </c>
      <c r="BY77">
        <v>-1.2999999999999999E-2</v>
      </c>
      <c r="BZ77">
        <v>-6.0000000000000001E-3</v>
      </c>
      <c r="CA77">
        <v>8.1709999999999994</v>
      </c>
      <c r="CB77">
        <v>-1.216</v>
      </c>
      <c r="CC77">
        <v>13</v>
      </c>
      <c r="CD77">
        <v>-1</v>
      </c>
      <c r="CE77">
        <v>0.28999999999999998</v>
      </c>
      <c r="CF77">
        <v>0.05</v>
      </c>
      <c r="CG77">
        <v>12.152811666666659</v>
      </c>
      <c r="CH77">
        <v>1.599073853848316</v>
      </c>
      <c r="CI77">
        <v>0.34225967047047118</v>
      </c>
      <c r="CJ77">
        <v>-1</v>
      </c>
      <c r="CK77">
        <v>500.65486666666669</v>
      </c>
      <c r="CL77">
        <v>-6.5847357599323049</v>
      </c>
      <c r="CM77">
        <v>1.4243712819657981</v>
      </c>
      <c r="CN77">
        <v>-1</v>
      </c>
      <c r="CO77">
        <v>0</v>
      </c>
      <c r="CP77">
        <v>0</v>
      </c>
      <c r="CQ77" t="s">
        <v>319</v>
      </c>
      <c r="CR77">
        <v>3.1675300000000002</v>
      </c>
      <c r="CS77">
        <v>2.6663299999999999</v>
      </c>
      <c r="CT77">
        <v>1.7227399999999999E-3</v>
      </c>
      <c r="CU77">
        <v>3.78058E-3</v>
      </c>
      <c r="CV77">
        <v>-1.63313E-2</v>
      </c>
      <c r="CW77">
        <v>-9.9302699999999997E-3</v>
      </c>
      <c r="CX77">
        <v>21516.2</v>
      </c>
      <c r="CY77">
        <v>21847.7</v>
      </c>
      <c r="CZ77">
        <v>23082.400000000001</v>
      </c>
      <c r="DA77">
        <v>22285.200000000001</v>
      </c>
      <c r="DB77">
        <v>30256.9</v>
      </c>
      <c r="DC77">
        <v>26845</v>
      </c>
      <c r="DD77">
        <v>40577.199999999997</v>
      </c>
      <c r="DE77">
        <v>36937.1</v>
      </c>
      <c r="DF77">
        <v>2.0623999999999998</v>
      </c>
      <c r="DG77">
        <v>1.7726599999999999</v>
      </c>
      <c r="DH77">
        <v>-4.9859300000000002E-2</v>
      </c>
      <c r="DI77">
        <v>0</v>
      </c>
      <c r="DJ77">
        <v>25.953700000000001</v>
      </c>
      <c r="DK77">
        <v>999.9</v>
      </c>
      <c r="DL77">
        <v>72.5</v>
      </c>
      <c r="DM77">
        <v>31.7</v>
      </c>
      <c r="DN77">
        <v>34.039099999999998</v>
      </c>
      <c r="DO77">
        <v>30.395499999999998</v>
      </c>
      <c r="DP77">
        <v>10.364599999999999</v>
      </c>
      <c r="DQ77">
        <v>1</v>
      </c>
      <c r="DR77">
        <v>0.27607300000000001</v>
      </c>
      <c r="DS77">
        <v>1.67001</v>
      </c>
      <c r="DT77">
        <v>20.3584</v>
      </c>
      <c r="DU77">
        <v>5.2079500000000003</v>
      </c>
      <c r="DV77">
        <v>11.851100000000001</v>
      </c>
      <c r="DW77">
        <v>4.96732</v>
      </c>
      <c r="DX77">
        <v>3.2921800000000001</v>
      </c>
      <c r="DY77">
        <v>894.7</v>
      </c>
      <c r="DZ77">
        <v>0</v>
      </c>
      <c r="EA77">
        <v>1835.7</v>
      </c>
      <c r="EB77">
        <v>107.7</v>
      </c>
      <c r="EC77">
        <v>4.9715999999999996</v>
      </c>
      <c r="ED77">
        <v>1.8718399999999999</v>
      </c>
      <c r="EE77">
        <v>1.8690500000000001</v>
      </c>
      <c r="EF77">
        <v>1.87148</v>
      </c>
      <c r="EG77">
        <v>1.8692</v>
      </c>
      <c r="EH77">
        <v>1.8681300000000001</v>
      </c>
      <c r="EI77">
        <v>1.8699600000000001</v>
      </c>
      <c r="EJ77">
        <v>1.8717900000000001</v>
      </c>
      <c r="EK77">
        <v>0</v>
      </c>
      <c r="EL77">
        <v>0</v>
      </c>
      <c r="EM77">
        <v>0</v>
      </c>
      <c r="EN77">
        <v>0</v>
      </c>
      <c r="EO77" t="s">
        <v>320</v>
      </c>
      <c r="EP77" t="s">
        <v>321</v>
      </c>
      <c r="EQ77" t="s">
        <v>322</v>
      </c>
      <c r="ER77" t="s">
        <v>322</v>
      </c>
      <c r="ES77" t="s">
        <v>322</v>
      </c>
      <c r="ET77" t="s">
        <v>322</v>
      </c>
      <c r="EU77">
        <v>0</v>
      </c>
      <c r="EV77">
        <v>100</v>
      </c>
      <c r="EW77">
        <v>100</v>
      </c>
      <c r="EX77">
        <v>8.1709999999999994</v>
      </c>
      <c r="EY77">
        <v>-1.216</v>
      </c>
      <c r="EZ77">
        <v>8.1831819999999986</v>
      </c>
      <c r="FA77">
        <v>0</v>
      </c>
      <c r="FB77">
        <v>0</v>
      </c>
      <c r="FC77">
        <v>0</v>
      </c>
      <c r="FD77">
        <v>-1.2098274499999999</v>
      </c>
      <c r="FE77">
        <v>0</v>
      </c>
      <c r="FF77">
        <v>0</v>
      </c>
      <c r="FG77">
        <v>0</v>
      </c>
      <c r="FH77">
        <v>-1</v>
      </c>
      <c r="FI77">
        <v>-1</v>
      </c>
      <c r="FJ77">
        <v>-1</v>
      </c>
      <c r="FK77">
        <v>-1</v>
      </c>
      <c r="FL77">
        <v>0.7</v>
      </c>
      <c r="FM77">
        <v>0.6</v>
      </c>
      <c r="FN77">
        <v>0.142822</v>
      </c>
      <c r="FO77">
        <v>4.99756</v>
      </c>
      <c r="FP77">
        <v>1.5979000000000001</v>
      </c>
      <c r="FQ77">
        <v>2.1520999999999999</v>
      </c>
      <c r="FR77">
        <v>1.5478499999999999</v>
      </c>
      <c r="FS77">
        <v>2.3706100000000001</v>
      </c>
      <c r="FT77">
        <v>36.175400000000003</v>
      </c>
      <c r="FU77">
        <v>15.5067</v>
      </c>
      <c r="FV77">
        <v>2</v>
      </c>
      <c r="FW77">
        <v>489.52699999999999</v>
      </c>
      <c r="FX77">
        <v>395.327</v>
      </c>
      <c r="FY77">
        <v>24.567299999999999</v>
      </c>
      <c r="FZ77">
        <v>30.624400000000001</v>
      </c>
      <c r="GA77">
        <v>30.000299999999999</v>
      </c>
      <c r="GB77">
        <v>30.9282</v>
      </c>
      <c r="GC77">
        <v>30.988099999999999</v>
      </c>
      <c r="GD77">
        <v>-1</v>
      </c>
      <c r="GE77">
        <v>0</v>
      </c>
      <c r="GF77">
        <v>100</v>
      </c>
      <c r="GG77">
        <v>24.573899999999998</v>
      </c>
      <c r="GH77">
        <v>432.1</v>
      </c>
      <c r="GI77">
        <v>78.840199999999996</v>
      </c>
      <c r="GJ77">
        <v>102.129</v>
      </c>
      <c r="GK77">
        <v>96.377899999999997</v>
      </c>
    </row>
    <row r="78" spans="1:193" x14ac:dyDescent="0.35">
      <c r="A78">
        <v>62</v>
      </c>
      <c r="B78">
        <v>1775467714.0999999</v>
      </c>
      <c r="C78">
        <v>3758</v>
      </c>
      <c r="D78" t="s">
        <v>507</v>
      </c>
      <c r="E78" t="s">
        <v>508</v>
      </c>
      <c r="F78">
        <v>30</v>
      </c>
      <c r="G78">
        <v>1775467698.6000011</v>
      </c>
      <c r="H78">
        <f t="shared" si="18"/>
        <v>2.9851146894032902E-3</v>
      </c>
      <c r="I78">
        <f>1000*AY78*AG78*(AU78-AV78)/(100*AN78*(1000-AG78*AU78))</f>
        <v>2.9851146894032903</v>
      </c>
      <c r="J78">
        <f>AY78*AG78*(AT78-AS78*(1000-AG78*AV78)/(1000-AG78*AU78))/(100*AN78)</f>
        <v>-3.8439438871298468</v>
      </c>
      <c r="K78">
        <f t="shared" si="19"/>
        <v>14.76402836065574</v>
      </c>
      <c r="L78">
        <f t="shared" si="20"/>
        <v>81.411361512631075</v>
      </c>
      <c r="M78">
        <f>L78*(AZ78+BA78)/1000</f>
        <v>8.1443522506455555</v>
      </c>
      <c r="N78">
        <f>(AS78 - IF(AG78&gt;1, J78*AN78*100/(AI78), 0))*(AZ78+BA78)/1000</f>
        <v>1.476986078767955</v>
      </c>
      <c r="O78">
        <f t="shared" si="21"/>
        <v>9.043481148022306E-2</v>
      </c>
      <c r="P78">
        <f>IF(LEFT(AP78,1)&lt;&gt;"0",IF(LEFT(AP78,1)="1",3,AQ78),$D$5+$E$5*(BG78*AZ78/($K$5*1000))+$F$5*(BG78*AZ78/($K$5*1000))*MAX(MIN(AN78,$J$5),$I$5)*MAX(MIN(AN78,$J$5),$I$5)+$G$5*MAX(MIN(AN78,$J$5),$I$5)*(BG78*AZ78/($K$5*1000))+$H$5*(BG78*AZ78/($K$5*1000))*(BG78*AZ78/($K$5*1000)))</f>
        <v>2.3858254084061219</v>
      </c>
      <c r="Q78">
        <f>H78*(1000-(1000*0.61365*EXP(17.502*U78/(240.97+U78))/(AZ78+BA78)+AU78)/2)/(1000*0.61365*EXP(17.502*U78/(240.97+U78))/(AZ78+BA78)-AU78)</f>
        <v>8.8572706039722879E-2</v>
      </c>
      <c r="R78">
        <f t="shared" si="22"/>
        <v>5.5522050584633983E-2</v>
      </c>
      <c r="S78">
        <f t="shared" si="23"/>
        <v>0.11555455789672131</v>
      </c>
      <c r="T78">
        <f>(BB78+(S78+2*0.95*0.0000000567*(((BB78+$B$7)+273)^4-(BB78+273)^4)-44100*H78)/(1.84*29.3*P78+8*0.95*0.0000000567*(BB78+273)^3))</f>
        <v>24.066457812536221</v>
      </c>
      <c r="U78">
        <f>($C$7*BC78+$D$7*BD78+$E$7*T78)</f>
        <v>25.161160655737699</v>
      </c>
      <c r="V78">
        <f t="shared" si="24"/>
        <v>3.2103572963041862</v>
      </c>
      <c r="W78">
        <f t="shared" si="25"/>
        <v>-3.425395170943228</v>
      </c>
      <c r="X78">
        <f>AU78*(AZ78+BA78)/1000</f>
        <v>-0.10895386053612732</v>
      </c>
      <c r="Y78">
        <f t="shared" si="26"/>
        <v>3.1807676223857531</v>
      </c>
      <c r="Z78">
        <f>(V78-AU78*(AZ78+BA78)/1000)</f>
        <v>3.3193111568403135</v>
      </c>
      <c r="AA78">
        <f t="shared" si="27"/>
        <v>-131.64355780268511</v>
      </c>
      <c r="AB78">
        <f>2*29.3*P78*0.92*(BB78-U78)</f>
        <v>-19.989741877778933</v>
      </c>
      <c r="AC78">
        <f>2*0.95*0.0000000567*(((BB78+$B$7)+273)^4-(U78+273)^4)</f>
        <v>-1.7737539593384397</v>
      </c>
      <c r="AD78">
        <f t="shared" si="28"/>
        <v>-153.29149908190576</v>
      </c>
      <c r="AE78">
        <v>21</v>
      </c>
      <c r="AF78">
        <v>4</v>
      </c>
      <c r="AG78">
        <f t="shared" si="29"/>
        <v>1</v>
      </c>
      <c r="AH78">
        <f t="shared" si="30"/>
        <v>0</v>
      </c>
      <c r="AI78">
        <f t="shared" si="31"/>
        <v>25660.202115904824</v>
      </c>
      <c r="AJ78">
        <f t="shared" si="32"/>
        <v>0.60468109836065576</v>
      </c>
      <c r="AK78">
        <f t="shared" si="33"/>
        <v>0.48374487868852462</v>
      </c>
      <c r="AL78">
        <f t="shared" si="34"/>
        <v>0.8</v>
      </c>
      <c r="AM78">
        <f t="shared" si="35"/>
        <v>0.19109999999999999</v>
      </c>
      <c r="AN78">
        <v>3</v>
      </c>
      <c r="AO78">
        <v>0.5</v>
      </c>
      <c r="AP78" t="s">
        <v>317</v>
      </c>
      <c r="AQ78">
        <v>2</v>
      </c>
      <c r="AR78">
        <v>1775467698.6000011</v>
      </c>
      <c r="AS78">
        <v>14.76402836065574</v>
      </c>
      <c r="AT78">
        <v>12.48711803278689</v>
      </c>
      <c r="AU78">
        <v>-1.0891083606557379</v>
      </c>
      <c r="AV78">
        <v>-2.879758606557377</v>
      </c>
      <c r="AW78">
        <v>6.5610283606557376</v>
      </c>
      <c r="AX78">
        <v>-1.6657586065573771</v>
      </c>
      <c r="AY78">
        <v>500.66155737704918</v>
      </c>
      <c r="AZ78">
        <v>99.993599999999986</v>
      </c>
      <c r="BA78">
        <v>4.5904306557377053E-2</v>
      </c>
      <c r="BB78">
        <v>25.005749180327861</v>
      </c>
      <c r="BC78">
        <v>25.161160655737699</v>
      </c>
      <c r="BD78">
        <v>999.9</v>
      </c>
      <c r="BE78">
        <v>0</v>
      </c>
      <c r="BF78">
        <v>0</v>
      </c>
      <c r="BG78">
        <v>4994.6311475409839</v>
      </c>
      <c r="BH78">
        <v>0.60468109836065576</v>
      </c>
      <c r="BI78">
        <v>178.744262295082</v>
      </c>
      <c r="BJ78">
        <v>2.2444849508196718</v>
      </c>
      <c r="BK78">
        <v>14.68930983606557</v>
      </c>
      <c r="BL78">
        <v>12.473529508196719</v>
      </c>
      <c r="BM78">
        <v>-1.792359393442623</v>
      </c>
      <c r="BN78">
        <v>12.48711803278689</v>
      </c>
      <c r="BO78">
        <v>-1.0891083606557379</v>
      </c>
      <c r="BP78">
        <v>-0.28812832786885251</v>
      </c>
      <c r="BQ78">
        <v>-0.1089038360655738</v>
      </c>
      <c r="BR78">
        <v>-99.899999999999963</v>
      </c>
      <c r="BS78">
        <v>-99.899999999999963</v>
      </c>
      <c r="BT78">
        <v>1775467738.0999999</v>
      </c>
      <c r="BU78" t="s">
        <v>509</v>
      </c>
      <c r="BV78">
        <v>1775467736.0999999</v>
      </c>
      <c r="BW78">
        <v>1775467738.0999999</v>
      </c>
      <c r="BX78">
        <v>63</v>
      </c>
      <c r="BY78">
        <v>3.2000000000000001E-2</v>
      </c>
      <c r="BZ78">
        <v>2E-3</v>
      </c>
      <c r="CA78">
        <v>8.2029999999999994</v>
      </c>
      <c r="CB78">
        <v>-1.214</v>
      </c>
      <c r="CC78">
        <v>12</v>
      </c>
      <c r="CD78">
        <v>-1</v>
      </c>
      <c r="CE78">
        <v>0.2</v>
      </c>
      <c r="CF78">
        <v>0.03</v>
      </c>
      <c r="CG78">
        <v>12.48711803278689</v>
      </c>
      <c r="CH78">
        <v>-6.1339500793231059</v>
      </c>
      <c r="CI78">
        <v>0.92491865047834743</v>
      </c>
      <c r="CJ78">
        <v>-1</v>
      </c>
      <c r="CK78">
        <v>500.66155737704918</v>
      </c>
      <c r="CL78">
        <v>-6.6030269698572059</v>
      </c>
      <c r="CM78">
        <v>1.416549566000916</v>
      </c>
      <c r="CN78">
        <v>-1</v>
      </c>
      <c r="CO78">
        <v>0</v>
      </c>
      <c r="CP78">
        <v>0</v>
      </c>
      <c r="CQ78" t="s">
        <v>319</v>
      </c>
      <c r="CR78">
        <v>3.1675499999999999</v>
      </c>
      <c r="CS78">
        <v>2.6665000000000001</v>
      </c>
      <c r="CT78">
        <v>1.60392E-3</v>
      </c>
      <c r="CU78">
        <v>3.3632100000000002E-3</v>
      </c>
      <c r="CV78">
        <v>-1.6430199999999999E-2</v>
      </c>
      <c r="CW78">
        <v>-9.5324799999999994E-3</v>
      </c>
      <c r="CX78">
        <v>21517.1</v>
      </c>
      <c r="CY78">
        <v>21855.599999999999</v>
      </c>
      <c r="CZ78">
        <v>23080.799999999999</v>
      </c>
      <c r="DA78">
        <v>22283.9</v>
      </c>
      <c r="DB78">
        <v>30257.9</v>
      </c>
      <c r="DC78">
        <v>26833</v>
      </c>
      <c r="DD78">
        <v>40574.6</v>
      </c>
      <c r="DE78">
        <v>36935.1</v>
      </c>
      <c r="DF78">
        <v>2.0618799999999999</v>
      </c>
      <c r="DG78">
        <v>1.77264</v>
      </c>
      <c r="DH78">
        <v>-5.2750100000000001E-2</v>
      </c>
      <c r="DI78">
        <v>0</v>
      </c>
      <c r="DJ78">
        <v>26.030799999999999</v>
      </c>
      <c r="DK78">
        <v>999.9</v>
      </c>
      <c r="DL78">
        <v>72.400000000000006</v>
      </c>
      <c r="DM78">
        <v>31.7</v>
      </c>
      <c r="DN78">
        <v>33.993099999999998</v>
      </c>
      <c r="DO78">
        <v>30.485499999999998</v>
      </c>
      <c r="DP78">
        <v>10.625</v>
      </c>
      <c r="DQ78">
        <v>1</v>
      </c>
      <c r="DR78">
        <v>0.280445</v>
      </c>
      <c r="DS78">
        <v>1.84979</v>
      </c>
      <c r="DT78">
        <v>20.356000000000002</v>
      </c>
      <c r="DU78">
        <v>5.2086600000000001</v>
      </c>
      <c r="DV78">
        <v>11.850899999999999</v>
      </c>
      <c r="DW78">
        <v>4.9672799999999997</v>
      </c>
      <c r="DX78">
        <v>3.2923399999999998</v>
      </c>
      <c r="DY78">
        <v>894.7</v>
      </c>
      <c r="DZ78">
        <v>0</v>
      </c>
      <c r="EA78">
        <v>1870.4</v>
      </c>
      <c r="EB78">
        <v>107.7</v>
      </c>
      <c r="EC78">
        <v>4.9715999999999996</v>
      </c>
      <c r="ED78">
        <v>1.8719300000000001</v>
      </c>
      <c r="EE78">
        <v>1.8690500000000001</v>
      </c>
      <c r="EF78">
        <v>1.87147</v>
      </c>
      <c r="EG78">
        <v>1.8692</v>
      </c>
      <c r="EH78">
        <v>1.8681300000000001</v>
      </c>
      <c r="EI78">
        <v>1.8699600000000001</v>
      </c>
      <c r="EJ78">
        <v>1.8717999999999999</v>
      </c>
      <c r="EK78">
        <v>0</v>
      </c>
      <c r="EL78">
        <v>0</v>
      </c>
      <c r="EM78">
        <v>0</v>
      </c>
      <c r="EN78">
        <v>0</v>
      </c>
      <c r="EO78" t="s">
        <v>320</v>
      </c>
      <c r="EP78" t="s">
        <v>321</v>
      </c>
      <c r="EQ78" t="s">
        <v>322</v>
      </c>
      <c r="ER78" t="s">
        <v>322</v>
      </c>
      <c r="ES78" t="s">
        <v>322</v>
      </c>
      <c r="ET78" t="s">
        <v>322</v>
      </c>
      <c r="EU78">
        <v>0</v>
      </c>
      <c r="EV78">
        <v>100</v>
      </c>
      <c r="EW78">
        <v>100</v>
      </c>
      <c r="EX78">
        <v>8.2029999999999994</v>
      </c>
      <c r="EY78">
        <v>-1.214</v>
      </c>
      <c r="EZ78">
        <v>8.1705766666666655</v>
      </c>
      <c r="FA78">
        <v>0</v>
      </c>
      <c r="FB78">
        <v>0</v>
      </c>
      <c r="FC78">
        <v>0</v>
      </c>
      <c r="FD78">
        <v>-1.21570807</v>
      </c>
      <c r="FE78">
        <v>0</v>
      </c>
      <c r="FF78">
        <v>0</v>
      </c>
      <c r="FG78">
        <v>0</v>
      </c>
      <c r="FH78">
        <v>-1</v>
      </c>
      <c r="FI78">
        <v>-1</v>
      </c>
      <c r="FJ78">
        <v>-1</v>
      </c>
      <c r="FK78">
        <v>-1</v>
      </c>
      <c r="FL78">
        <v>0.7</v>
      </c>
      <c r="FM78">
        <v>0.6</v>
      </c>
      <c r="FN78">
        <v>0.142822</v>
      </c>
      <c r="FO78">
        <v>4.99756</v>
      </c>
      <c r="FP78">
        <v>1.5979000000000001</v>
      </c>
      <c r="FQ78">
        <v>2.1508799999999999</v>
      </c>
      <c r="FR78">
        <v>1.5478499999999999</v>
      </c>
      <c r="FS78">
        <v>2.3645</v>
      </c>
      <c r="FT78">
        <v>36.2224</v>
      </c>
      <c r="FU78">
        <v>15.480399999999999</v>
      </c>
      <c r="FV78">
        <v>2</v>
      </c>
      <c r="FW78">
        <v>489.476</v>
      </c>
      <c r="FX78">
        <v>395.52100000000002</v>
      </c>
      <c r="FY78">
        <v>24.525099999999998</v>
      </c>
      <c r="FZ78">
        <v>30.6633</v>
      </c>
      <c r="GA78">
        <v>30.000399999999999</v>
      </c>
      <c r="GB78">
        <v>30.9617</v>
      </c>
      <c r="GC78">
        <v>31.020800000000001</v>
      </c>
      <c r="GD78">
        <v>-1</v>
      </c>
      <c r="GE78">
        <v>0</v>
      </c>
      <c r="GF78">
        <v>100</v>
      </c>
      <c r="GG78">
        <v>24.513300000000001</v>
      </c>
      <c r="GH78">
        <v>432.1</v>
      </c>
      <c r="GI78">
        <v>78.840199999999996</v>
      </c>
      <c r="GJ78">
        <v>102.122</v>
      </c>
      <c r="GK78">
        <v>96.372600000000006</v>
      </c>
    </row>
    <row r="79" spans="1:193" x14ac:dyDescent="0.35">
      <c r="A79">
        <v>63</v>
      </c>
      <c r="B79">
        <v>1775467774.0999999</v>
      </c>
      <c r="C79">
        <v>3818</v>
      </c>
      <c r="D79" t="s">
        <v>510</v>
      </c>
      <c r="E79" t="s">
        <v>511</v>
      </c>
      <c r="F79">
        <v>30</v>
      </c>
      <c r="G79">
        <v>1775467758.6000011</v>
      </c>
      <c r="H79">
        <f t="shared" si="18"/>
        <v>3.1112154310172961E-3</v>
      </c>
      <c r="I79">
        <f>1000*AY79*AG79*(AU79-AV79)/(100*AN79*(1000-AG79*AU79))</f>
        <v>3.1112154310172961</v>
      </c>
      <c r="J79">
        <f>AY79*AG79*(AT79-AS79*(1000-AG79*AV79)/(1000-AG79*AU79))/(100*AN79)</f>
        <v>-3.3631460659367725</v>
      </c>
      <c r="K79">
        <f t="shared" si="19"/>
        <v>13.26317114754098</v>
      </c>
      <c r="L79">
        <f t="shared" si="20"/>
        <v>69.203081545285613</v>
      </c>
      <c r="M79">
        <f>L79*(AZ79+BA79)/1000</f>
        <v>6.923063396147259</v>
      </c>
      <c r="N79">
        <f>(AS79 - IF(AG79&gt;1, J79*AN79*100/(AI79), 0))*(AZ79+BA79)/1000</f>
        <v>1.3268451727585338</v>
      </c>
      <c r="O79">
        <f t="shared" si="21"/>
        <v>9.4258367278231184E-2</v>
      </c>
      <c r="P79">
        <f>IF(LEFT(AP79,1)&lt;&gt;"0",IF(LEFT(AP79,1)="1",3,AQ79),$D$5+$E$5*(BG79*AZ79/($K$5*1000))+$F$5*(BG79*AZ79/($K$5*1000))*MAX(MIN(AN79,$J$5),$I$5)*MAX(MIN(AN79,$J$5),$I$5)+$G$5*MAX(MIN(AN79,$J$5),$I$5)*(BG79*AZ79/($K$5*1000))+$H$5*(BG79*AZ79/($K$5*1000))*(BG79*AZ79/($K$5*1000)))</f>
        <v>2.3882911454353764</v>
      </c>
      <c r="Q79">
        <f>H79*(1000-(1000*0.61365*EXP(17.502*U79/(240.97+U79))/(AZ79+BA79)+AU79)/2)/(1000*0.61365*EXP(17.502*U79/(240.97+U79))/(AZ79+BA79)-AU79)</f>
        <v>9.2239408982044774E-2</v>
      </c>
      <c r="R79">
        <f t="shared" si="22"/>
        <v>5.7827424176731396E-2</v>
      </c>
      <c r="S79">
        <f t="shared" si="23"/>
        <v>0.11595003778032784</v>
      </c>
      <c r="T79">
        <f>(BB79+(S79+2*0.95*0.0000000567*(((BB79+$B$7)+273)^4-(BB79+273)^4)-44100*H79)/(1.84*29.3*P79+8*0.95*0.0000000567*(BB79+273)^3))</f>
        <v>24.022441931856786</v>
      </c>
      <c r="U79">
        <f>($C$7*BC79+$D$7*BD79+$E$7*T79)</f>
        <v>25.148880327868849</v>
      </c>
      <c r="V79">
        <f t="shared" si="24"/>
        <v>3.2080104546617374</v>
      </c>
      <c r="W79">
        <f t="shared" si="25"/>
        <v>-3.5893422006779301</v>
      </c>
      <c r="X79">
        <f>AU79*(AZ79+BA79)/1000</f>
        <v>-0.11413304563430621</v>
      </c>
      <c r="Y79">
        <f t="shared" si="26"/>
        <v>3.1797761052916478</v>
      </c>
      <c r="Z79">
        <f>(V79-AU79*(AZ79+BA79)/1000)</f>
        <v>3.3221435002960438</v>
      </c>
      <c r="AA79">
        <f t="shared" si="27"/>
        <v>-137.20460050786275</v>
      </c>
      <c r="AB79">
        <f>2*29.3*P79*0.92*(BB79-U79)</f>
        <v>-19.102554880427338</v>
      </c>
      <c r="AC79">
        <f>2*0.95*0.0000000567*(((BB79+$B$7)+273)^4-(U79+273)^4)</f>
        <v>-1.6931318087385734</v>
      </c>
      <c r="AD79">
        <f t="shared" si="28"/>
        <v>-157.88433715924833</v>
      </c>
      <c r="AE79">
        <v>20</v>
      </c>
      <c r="AF79">
        <v>4</v>
      </c>
      <c r="AG79">
        <f t="shared" si="29"/>
        <v>1</v>
      </c>
      <c r="AH79">
        <f t="shared" si="30"/>
        <v>0</v>
      </c>
      <c r="AI79">
        <f t="shared" si="31"/>
        <v>25698.364516853038</v>
      </c>
      <c r="AJ79">
        <f t="shared" si="32"/>
        <v>0.60675059016393429</v>
      </c>
      <c r="AK79">
        <f t="shared" si="33"/>
        <v>0.48540047213114745</v>
      </c>
      <c r="AL79">
        <f t="shared" si="34"/>
        <v>0.8</v>
      </c>
      <c r="AM79">
        <f t="shared" si="35"/>
        <v>0.19109999999999999</v>
      </c>
      <c r="AN79">
        <v>3</v>
      </c>
      <c r="AO79">
        <v>0.5</v>
      </c>
      <c r="AP79" t="s">
        <v>317</v>
      </c>
      <c r="AQ79">
        <v>2</v>
      </c>
      <c r="AR79">
        <v>1775467758.6000011</v>
      </c>
      <c r="AS79">
        <v>13.26317114754098</v>
      </c>
      <c r="AT79">
        <v>11.27110327868853</v>
      </c>
      <c r="AU79">
        <v>-1.1408762295081969</v>
      </c>
      <c r="AV79">
        <v>-3.008740327868852</v>
      </c>
      <c r="AW79">
        <v>5.115171147540984</v>
      </c>
      <c r="AX79">
        <v>-1.797740327868852</v>
      </c>
      <c r="AY79">
        <v>500.26631147540979</v>
      </c>
      <c r="AZ79">
        <v>99.994624590163951</v>
      </c>
      <c r="BA79">
        <v>4.5189267213114753E-2</v>
      </c>
      <c r="BB79">
        <v>25.000519672131141</v>
      </c>
      <c r="BC79">
        <v>25.148880327868849</v>
      </c>
      <c r="BD79">
        <v>999.9</v>
      </c>
      <c r="BE79">
        <v>0</v>
      </c>
      <c r="BF79">
        <v>0</v>
      </c>
      <c r="BG79">
        <v>5000.9344262295081</v>
      </c>
      <c r="BH79">
        <v>0.60675059016393429</v>
      </c>
      <c r="BI79">
        <v>177.2069836065574</v>
      </c>
      <c r="BJ79">
        <v>2.0466978688524589</v>
      </c>
      <c r="BK79">
        <v>13.27782131147541</v>
      </c>
      <c r="BL79">
        <v>11.25825737704918</v>
      </c>
      <c r="BM79">
        <v>-1.8705759016393451</v>
      </c>
      <c r="BN79">
        <v>11.27110327868853</v>
      </c>
      <c r="BO79">
        <v>-1.1408762295081969</v>
      </c>
      <c r="BP79">
        <v>-0.30112906557377039</v>
      </c>
      <c r="BQ79">
        <v>-0.1140815081967213</v>
      </c>
      <c r="BR79">
        <v>-99.899999999999963</v>
      </c>
      <c r="BS79">
        <v>-99.899999999999963</v>
      </c>
      <c r="BT79">
        <v>1775467799.0999999</v>
      </c>
      <c r="BU79" t="s">
        <v>512</v>
      </c>
      <c r="BV79">
        <v>1775467791.0999999</v>
      </c>
      <c r="BW79">
        <v>1775467799.0999999</v>
      </c>
      <c r="BX79">
        <v>64</v>
      </c>
      <c r="BY79">
        <v>-5.3999999999999999E-2</v>
      </c>
      <c r="BZ79">
        <v>3.0000000000000001E-3</v>
      </c>
      <c r="CA79">
        <v>8.1479999999999997</v>
      </c>
      <c r="CB79">
        <v>-1.2110000000000001</v>
      </c>
      <c r="CC79">
        <v>10</v>
      </c>
      <c r="CD79">
        <v>-1</v>
      </c>
      <c r="CE79">
        <v>0.18</v>
      </c>
      <c r="CF79">
        <v>0.04</v>
      </c>
      <c r="CG79">
        <v>11.316747540983609</v>
      </c>
      <c r="CH79">
        <v>-2.4128757271285042</v>
      </c>
      <c r="CI79">
        <v>0.38383511513240598</v>
      </c>
      <c r="CJ79">
        <v>-1</v>
      </c>
      <c r="CK79">
        <v>500.40765573770489</v>
      </c>
      <c r="CL79">
        <v>-4.4053960867274906</v>
      </c>
      <c r="CM79">
        <v>1.1457048926995139</v>
      </c>
      <c r="CN79">
        <v>-1</v>
      </c>
      <c r="CO79">
        <v>0</v>
      </c>
      <c r="CP79">
        <v>0</v>
      </c>
      <c r="CQ79" t="s">
        <v>319</v>
      </c>
      <c r="CR79">
        <v>3.1676199999999999</v>
      </c>
      <c r="CS79">
        <v>2.66622</v>
      </c>
      <c r="CT79">
        <v>1.3713200000000001E-3</v>
      </c>
      <c r="CU79">
        <v>3.2229099999999998E-3</v>
      </c>
      <c r="CV79">
        <v>-1.6575900000000001E-2</v>
      </c>
      <c r="CW79">
        <v>-9.9472799999999993E-3</v>
      </c>
      <c r="CX79">
        <v>21520.400000000001</v>
      </c>
      <c r="CY79">
        <v>21857.8</v>
      </c>
      <c r="CZ79">
        <v>23079.1</v>
      </c>
      <c r="DA79">
        <v>22283.200000000001</v>
      </c>
      <c r="DB79">
        <v>30260.1</v>
      </c>
      <c r="DC79">
        <v>26842.5</v>
      </c>
      <c r="DD79">
        <v>40571.9</v>
      </c>
      <c r="DE79">
        <v>36933.199999999997</v>
      </c>
      <c r="DF79">
        <v>2.0616400000000001</v>
      </c>
      <c r="DG79">
        <v>1.7714799999999999</v>
      </c>
      <c r="DH79">
        <v>-5.6177400000000002E-2</v>
      </c>
      <c r="DI79">
        <v>0</v>
      </c>
      <c r="DJ79">
        <v>26.072900000000001</v>
      </c>
      <c r="DK79">
        <v>999.9</v>
      </c>
      <c r="DL79">
        <v>72.400000000000006</v>
      </c>
      <c r="DM79">
        <v>31.7</v>
      </c>
      <c r="DN79">
        <v>33.993299999999998</v>
      </c>
      <c r="DO79">
        <v>30.605499999999999</v>
      </c>
      <c r="DP79">
        <v>10.464700000000001</v>
      </c>
      <c r="DQ79">
        <v>1</v>
      </c>
      <c r="DR79">
        <v>0.28392899999999999</v>
      </c>
      <c r="DS79">
        <v>1.81887</v>
      </c>
      <c r="DT79">
        <v>20.3568</v>
      </c>
      <c r="DU79">
        <v>5.2091399999999997</v>
      </c>
      <c r="DV79">
        <v>11.8522</v>
      </c>
      <c r="DW79">
        <v>4.9672799999999997</v>
      </c>
      <c r="DX79">
        <v>3.29236</v>
      </c>
      <c r="DY79">
        <v>894.7</v>
      </c>
      <c r="DZ79">
        <v>0</v>
      </c>
      <c r="EA79">
        <v>1904.8</v>
      </c>
      <c r="EB79">
        <v>107.7</v>
      </c>
      <c r="EC79">
        <v>4.9715800000000003</v>
      </c>
      <c r="ED79">
        <v>1.87181</v>
      </c>
      <c r="EE79">
        <v>1.8690500000000001</v>
      </c>
      <c r="EF79">
        <v>1.87148</v>
      </c>
      <c r="EG79">
        <v>1.8692</v>
      </c>
      <c r="EH79">
        <v>1.8681300000000001</v>
      </c>
      <c r="EI79">
        <v>1.8699600000000001</v>
      </c>
      <c r="EJ79">
        <v>1.8717900000000001</v>
      </c>
      <c r="EK79">
        <v>0</v>
      </c>
      <c r="EL79">
        <v>0</v>
      </c>
      <c r="EM79">
        <v>0</v>
      </c>
      <c r="EN79">
        <v>0</v>
      </c>
      <c r="EO79" t="s">
        <v>320</v>
      </c>
      <c r="EP79" t="s">
        <v>321</v>
      </c>
      <c r="EQ79" t="s">
        <v>322</v>
      </c>
      <c r="ER79" t="s">
        <v>322</v>
      </c>
      <c r="ES79" t="s">
        <v>322</v>
      </c>
      <c r="ET79" t="s">
        <v>322</v>
      </c>
      <c r="EU79">
        <v>0</v>
      </c>
      <c r="EV79">
        <v>100</v>
      </c>
      <c r="EW79">
        <v>100</v>
      </c>
      <c r="EX79">
        <v>8.1479999999999997</v>
      </c>
      <c r="EY79">
        <v>-1.2110000000000001</v>
      </c>
      <c r="EZ79">
        <v>8.2026319999999995</v>
      </c>
      <c r="FA79">
        <v>0</v>
      </c>
      <c r="FB79">
        <v>0</v>
      </c>
      <c r="FC79">
        <v>0</v>
      </c>
      <c r="FD79">
        <v>-1.213712235</v>
      </c>
      <c r="FE79">
        <v>0</v>
      </c>
      <c r="FF79">
        <v>0</v>
      </c>
      <c r="FG79">
        <v>0</v>
      </c>
      <c r="FH79">
        <v>-1</v>
      </c>
      <c r="FI79">
        <v>-1</v>
      </c>
      <c r="FJ79">
        <v>-1</v>
      </c>
      <c r="FK79">
        <v>-1</v>
      </c>
      <c r="FL79">
        <v>0.6</v>
      </c>
      <c r="FM79">
        <v>0.6</v>
      </c>
      <c r="FN79">
        <v>0.142822</v>
      </c>
      <c r="FO79">
        <v>4.99756</v>
      </c>
      <c r="FP79">
        <v>1.5979000000000001</v>
      </c>
      <c r="FQ79">
        <v>2.1508799999999999</v>
      </c>
      <c r="FR79">
        <v>1.5478499999999999</v>
      </c>
      <c r="FS79">
        <v>2.4450699999999999</v>
      </c>
      <c r="FT79">
        <v>36.245899999999999</v>
      </c>
      <c r="FU79">
        <v>15.480399999999999</v>
      </c>
      <c r="FV79">
        <v>2</v>
      </c>
      <c r="FW79">
        <v>489.61500000000001</v>
      </c>
      <c r="FX79">
        <v>395.08100000000002</v>
      </c>
      <c r="FY79">
        <v>24.514199999999999</v>
      </c>
      <c r="FZ79">
        <v>30.707100000000001</v>
      </c>
      <c r="GA79">
        <v>30.000299999999999</v>
      </c>
      <c r="GB79">
        <v>30.998899999999999</v>
      </c>
      <c r="GC79">
        <v>31.055199999999999</v>
      </c>
      <c r="GD79">
        <v>-1</v>
      </c>
      <c r="GE79">
        <v>0</v>
      </c>
      <c r="GF79">
        <v>100</v>
      </c>
      <c r="GG79">
        <v>24.5108</v>
      </c>
      <c r="GH79">
        <v>432.1</v>
      </c>
      <c r="GI79">
        <v>78.840199999999996</v>
      </c>
      <c r="GJ79">
        <v>102.11499999999999</v>
      </c>
      <c r="GK79">
        <v>96.368200000000002</v>
      </c>
    </row>
    <row r="80" spans="1:193" x14ac:dyDescent="0.35">
      <c r="A80">
        <v>64</v>
      </c>
      <c r="B80">
        <v>1775467834.0999999</v>
      </c>
      <c r="C80">
        <v>3878</v>
      </c>
      <c r="D80" t="s">
        <v>513</v>
      </c>
      <c r="E80" t="s">
        <v>514</v>
      </c>
      <c r="F80">
        <v>30</v>
      </c>
      <c r="G80">
        <v>1775467818.6000011</v>
      </c>
      <c r="H80">
        <f t="shared" si="18"/>
        <v>3.0361579965531185E-3</v>
      </c>
      <c r="I80">
        <f>1000*AY80*AG80*(AU80-AV80)/(100*AN80*(1000-AG80*AU80))</f>
        <v>3.0361579965531185</v>
      </c>
      <c r="J80">
        <f>AY80*AG80*(AT80-AS80*(1000-AG80*AV80)/(1000-AG80*AU80))/(100*AN80)</f>
        <v>-3.017953321268557</v>
      </c>
      <c r="K80">
        <f t="shared" si="19"/>
        <v>11.986327704918031</v>
      </c>
      <c r="L80">
        <f t="shared" si="20"/>
        <v>63.481795186123122</v>
      </c>
      <c r="M80">
        <f>L80*(AZ80+BA80)/1000</f>
        <v>6.3508425051991759</v>
      </c>
      <c r="N80">
        <f>(AS80 - IF(AG80&gt;1, J80*AN80*100/(AI80), 0))*(AZ80+BA80)/1000</f>
        <v>1.1991355828305275</v>
      </c>
      <c r="O80">
        <f t="shared" si="21"/>
        <v>9.1857847923649413E-2</v>
      </c>
      <c r="P80">
        <f>IF(LEFT(AP80,1)&lt;&gt;"0",IF(LEFT(AP80,1)="1",3,AQ80),$D$5+$E$5*(BG80*AZ80/($K$5*1000))+$F$5*(BG80*AZ80/($K$5*1000))*MAX(MIN(AN80,$J$5),$I$5)*MAX(MIN(AN80,$J$5),$I$5)+$G$5*MAX(MIN(AN80,$J$5),$I$5)*(BG80*AZ80/($K$5*1000))+$H$5*(BG80*AZ80/($K$5*1000))*(BG80*AZ80/($K$5*1000)))</f>
        <v>2.3890278216907532</v>
      </c>
      <c r="Q80">
        <f>H80*(1000-(1000*0.61365*EXP(17.502*U80/(240.97+U80))/(AZ80+BA80)+AU80)/2)/(1000*0.61365*EXP(17.502*U80/(240.97+U80))/(AZ80+BA80)-AU80)</f>
        <v>8.9939866097963825E-2</v>
      </c>
      <c r="R80">
        <f t="shared" si="22"/>
        <v>5.6381403857106382E-2</v>
      </c>
      <c r="S80">
        <f t="shared" si="23"/>
        <v>0.11222543612459017</v>
      </c>
      <c r="T80">
        <f>(BB80+(S80+2*0.95*0.0000000567*(((BB80+$B$7)+273)^4-(BB80+273)^4)-44100*H80)/(1.84*29.3*P80+8*0.95*0.0000000567*(BB80+273)^3))</f>
        <v>24.043371468513211</v>
      </c>
      <c r="U80">
        <f>($C$7*BC80+$D$7*BD80+$E$7*T80)</f>
        <v>25.15840491803279</v>
      </c>
      <c r="V80">
        <f t="shared" si="24"/>
        <v>3.2098305283903108</v>
      </c>
      <c r="W80">
        <f t="shared" si="25"/>
        <v>-3.6208499785056421</v>
      </c>
      <c r="X80">
        <f>AU80*(AZ80+BA80)/1000</f>
        <v>-0.11511482644347894</v>
      </c>
      <c r="Y80">
        <f t="shared" si="26"/>
        <v>3.1792210979972131</v>
      </c>
      <c r="Z80">
        <f>(V80-AU80*(AZ80+BA80)/1000)</f>
        <v>3.3249453548337899</v>
      </c>
      <c r="AA80">
        <f t="shared" si="27"/>
        <v>-133.89456764799252</v>
      </c>
      <c r="AB80">
        <f>2*29.3*P80*0.92*(BB80-U80)</f>
        <v>-20.7122898265145</v>
      </c>
      <c r="AC80">
        <f>2*0.95*0.0000000567*(((BB80+$B$7)+273)^4-(U80+273)^4)</f>
        <v>-1.8353035733031329</v>
      </c>
      <c r="AD80">
        <f t="shared" si="28"/>
        <v>-156.32993561168556</v>
      </c>
      <c r="AE80">
        <v>20</v>
      </c>
      <c r="AF80">
        <v>4</v>
      </c>
      <c r="AG80">
        <f t="shared" si="29"/>
        <v>1</v>
      </c>
      <c r="AH80">
        <f t="shared" si="30"/>
        <v>0</v>
      </c>
      <c r="AI80">
        <f t="shared" si="31"/>
        <v>25709.820874207697</v>
      </c>
      <c r="AJ80">
        <f t="shared" si="32"/>
        <v>0.58726026229508199</v>
      </c>
      <c r="AK80">
        <f t="shared" si="33"/>
        <v>0.46980820983606564</v>
      </c>
      <c r="AL80">
        <f t="shared" si="34"/>
        <v>0.8</v>
      </c>
      <c r="AM80">
        <f t="shared" si="35"/>
        <v>0.19109999999999999</v>
      </c>
      <c r="AN80">
        <v>3</v>
      </c>
      <c r="AO80">
        <v>0.5</v>
      </c>
      <c r="AP80" t="s">
        <v>317</v>
      </c>
      <c r="AQ80">
        <v>2</v>
      </c>
      <c r="AR80">
        <v>1775467818.6000011</v>
      </c>
      <c r="AS80">
        <v>11.986327704918031</v>
      </c>
      <c r="AT80">
        <v>10.19888737704918</v>
      </c>
      <c r="AU80">
        <v>-1.1506655737704921</v>
      </c>
      <c r="AV80">
        <v>-2.9729311475409839</v>
      </c>
      <c r="AW80">
        <v>3.7973277049180321</v>
      </c>
      <c r="AX80">
        <v>-1.7609311475409839</v>
      </c>
      <c r="AY80">
        <v>500.41854098360648</v>
      </c>
      <c r="AZ80">
        <v>99.996536065573792</v>
      </c>
      <c r="BA80">
        <v>4.5412757377049182E-2</v>
      </c>
      <c r="BB80">
        <v>24.997591803278691</v>
      </c>
      <c r="BC80">
        <v>25.15840491803279</v>
      </c>
      <c r="BD80">
        <v>999.9</v>
      </c>
      <c r="BE80">
        <v>0</v>
      </c>
      <c r="BF80">
        <v>0</v>
      </c>
      <c r="BG80">
        <v>5002.7377049180332</v>
      </c>
      <c r="BH80">
        <v>0.58726026229508199</v>
      </c>
      <c r="BI80">
        <v>175.74621311475411</v>
      </c>
      <c r="BJ80">
        <v>1.746805409836065</v>
      </c>
      <c r="BK80">
        <v>11.91028196721312</v>
      </c>
      <c r="BL80">
        <v>10.18716213114754</v>
      </c>
      <c r="BM80">
        <v>-1.821453114754098</v>
      </c>
      <c r="BN80">
        <v>10.19888737704918</v>
      </c>
      <c r="BO80">
        <v>-1.1506655737704921</v>
      </c>
      <c r="BP80">
        <v>-0.29720154098360663</v>
      </c>
      <c r="BQ80">
        <v>-0.1150625245901639</v>
      </c>
      <c r="BR80">
        <v>-99.899999999999963</v>
      </c>
      <c r="BS80">
        <v>-99.899999999999963</v>
      </c>
      <c r="BT80">
        <v>1775467858.0999999</v>
      </c>
      <c r="BU80" t="s">
        <v>515</v>
      </c>
      <c r="BV80">
        <v>1775467857.0999999</v>
      </c>
      <c r="BW80">
        <v>1775467858.0999999</v>
      </c>
      <c r="BX80">
        <v>65</v>
      </c>
      <c r="BY80">
        <v>4.1000000000000002E-2</v>
      </c>
      <c r="BZ80">
        <v>-1E-3</v>
      </c>
      <c r="CA80">
        <v>8.1890000000000001</v>
      </c>
      <c r="CB80">
        <v>-1.212</v>
      </c>
      <c r="CC80">
        <v>10</v>
      </c>
      <c r="CD80">
        <v>-1</v>
      </c>
      <c r="CE80">
        <v>0.34</v>
      </c>
      <c r="CF80">
        <v>0.04</v>
      </c>
      <c r="CG80">
        <v>10.20322183333333</v>
      </c>
      <c r="CH80">
        <v>-0.9680178605168055</v>
      </c>
      <c r="CI80">
        <v>0.1598200065437331</v>
      </c>
      <c r="CJ80">
        <v>-1</v>
      </c>
      <c r="CK80">
        <v>500.42705000000001</v>
      </c>
      <c r="CL80">
        <v>-4.721101417059284</v>
      </c>
      <c r="CM80">
        <v>1.1920031519113781</v>
      </c>
      <c r="CN80">
        <v>-1</v>
      </c>
      <c r="CO80">
        <v>0</v>
      </c>
      <c r="CP80">
        <v>0</v>
      </c>
      <c r="CQ80" t="s">
        <v>319</v>
      </c>
      <c r="CR80">
        <v>3.1675200000000001</v>
      </c>
      <c r="CS80">
        <v>2.6664599999999998</v>
      </c>
      <c r="CT80">
        <v>1.0693300000000001E-3</v>
      </c>
      <c r="CU80">
        <v>2.9473199999999998E-3</v>
      </c>
      <c r="CV80">
        <v>-1.6470100000000001E-2</v>
      </c>
      <c r="CW80">
        <v>-9.8937999999999995E-3</v>
      </c>
      <c r="CX80">
        <v>21524.9</v>
      </c>
      <c r="CY80">
        <v>21862.6</v>
      </c>
      <c r="CZ80">
        <v>23077.200000000001</v>
      </c>
      <c r="DA80">
        <v>22282.1</v>
      </c>
      <c r="DB80">
        <v>30254.7</v>
      </c>
      <c r="DC80">
        <v>26839.7</v>
      </c>
      <c r="DD80">
        <v>40568.9</v>
      </c>
      <c r="DE80">
        <v>36931.300000000003</v>
      </c>
      <c r="DF80">
        <v>2.0613800000000002</v>
      </c>
      <c r="DG80">
        <v>1.77014</v>
      </c>
      <c r="DH80">
        <v>-5.6415800000000002E-2</v>
      </c>
      <c r="DI80">
        <v>0</v>
      </c>
      <c r="DJ80">
        <v>26.093900000000001</v>
      </c>
      <c r="DK80">
        <v>999.9</v>
      </c>
      <c r="DL80">
        <v>72.3</v>
      </c>
      <c r="DM80">
        <v>31.8</v>
      </c>
      <c r="DN80">
        <v>34.136000000000003</v>
      </c>
      <c r="DO80">
        <v>30.365500000000001</v>
      </c>
      <c r="DP80">
        <v>10.741199999999999</v>
      </c>
      <c r="DQ80">
        <v>1</v>
      </c>
      <c r="DR80">
        <v>0.28765400000000002</v>
      </c>
      <c r="DS80">
        <v>1.8742399999999999</v>
      </c>
      <c r="DT80">
        <v>20.3553</v>
      </c>
      <c r="DU80">
        <v>5.2088999999999999</v>
      </c>
      <c r="DV80">
        <v>11.851000000000001</v>
      </c>
      <c r="DW80">
        <v>4.9673999999999996</v>
      </c>
      <c r="DX80">
        <v>3.2922600000000002</v>
      </c>
      <c r="DY80">
        <v>894.7</v>
      </c>
      <c r="DZ80">
        <v>0</v>
      </c>
      <c r="EA80">
        <v>1938.7</v>
      </c>
      <c r="EB80">
        <v>107.7</v>
      </c>
      <c r="EC80">
        <v>4.9715699999999998</v>
      </c>
      <c r="ED80">
        <v>1.87188</v>
      </c>
      <c r="EE80">
        <v>1.8690500000000001</v>
      </c>
      <c r="EF80">
        <v>1.8714900000000001</v>
      </c>
      <c r="EG80">
        <v>1.8692</v>
      </c>
      <c r="EH80">
        <v>1.8681300000000001</v>
      </c>
      <c r="EI80">
        <v>1.8699600000000001</v>
      </c>
      <c r="EJ80">
        <v>1.8717999999999999</v>
      </c>
      <c r="EK80">
        <v>0</v>
      </c>
      <c r="EL80">
        <v>0</v>
      </c>
      <c r="EM80">
        <v>0</v>
      </c>
      <c r="EN80">
        <v>0</v>
      </c>
      <c r="EO80" t="s">
        <v>320</v>
      </c>
      <c r="EP80" t="s">
        <v>321</v>
      </c>
      <c r="EQ80" t="s">
        <v>322</v>
      </c>
      <c r="ER80" t="s">
        <v>322</v>
      </c>
      <c r="ES80" t="s">
        <v>322</v>
      </c>
      <c r="ET80" t="s">
        <v>322</v>
      </c>
      <c r="EU80">
        <v>0</v>
      </c>
      <c r="EV80">
        <v>100</v>
      </c>
      <c r="EW80">
        <v>100</v>
      </c>
      <c r="EX80">
        <v>8.1890000000000001</v>
      </c>
      <c r="EY80">
        <v>-1.212</v>
      </c>
      <c r="EZ80">
        <v>8.1483625000000028</v>
      </c>
      <c r="FA80">
        <v>0</v>
      </c>
      <c r="FB80">
        <v>0</v>
      </c>
      <c r="FC80">
        <v>0</v>
      </c>
      <c r="FD80">
        <v>-1.2111876150000001</v>
      </c>
      <c r="FE80">
        <v>0</v>
      </c>
      <c r="FF80">
        <v>0</v>
      </c>
      <c r="FG80">
        <v>0</v>
      </c>
      <c r="FH80">
        <v>-1</v>
      </c>
      <c r="FI80">
        <v>-1</v>
      </c>
      <c r="FJ80">
        <v>-1</v>
      </c>
      <c r="FK80">
        <v>-1</v>
      </c>
      <c r="FL80">
        <v>0.7</v>
      </c>
      <c r="FM80">
        <v>0.6</v>
      </c>
      <c r="FN80">
        <v>0.142822</v>
      </c>
      <c r="FO80">
        <v>4.99756</v>
      </c>
      <c r="FP80">
        <v>1.5979000000000001</v>
      </c>
      <c r="FQ80">
        <v>2.1520999999999999</v>
      </c>
      <c r="FR80">
        <v>1.5478499999999999</v>
      </c>
      <c r="FS80">
        <v>2.4023400000000001</v>
      </c>
      <c r="FT80">
        <v>36.292900000000003</v>
      </c>
      <c r="FU80">
        <v>15.4542</v>
      </c>
      <c r="FV80">
        <v>2</v>
      </c>
      <c r="FW80">
        <v>489.74299999999999</v>
      </c>
      <c r="FX80">
        <v>394.55200000000002</v>
      </c>
      <c r="FY80">
        <v>24.529499999999999</v>
      </c>
      <c r="FZ80">
        <v>30.7498</v>
      </c>
      <c r="GA80">
        <v>30.000599999999999</v>
      </c>
      <c r="GB80">
        <v>31.036200000000001</v>
      </c>
      <c r="GC80">
        <v>31.0916</v>
      </c>
      <c r="GD80">
        <v>-1</v>
      </c>
      <c r="GE80">
        <v>0</v>
      </c>
      <c r="GF80">
        <v>100</v>
      </c>
      <c r="GG80">
        <v>24.520800000000001</v>
      </c>
      <c r="GH80">
        <v>432.1</v>
      </c>
      <c r="GI80">
        <v>78.840199999999996</v>
      </c>
      <c r="GJ80">
        <v>102.108</v>
      </c>
      <c r="GK80">
        <v>96.363299999999995</v>
      </c>
    </row>
    <row r="81" spans="1:193" x14ac:dyDescent="0.35">
      <c r="A81">
        <v>65</v>
      </c>
      <c r="B81">
        <v>1775467894.0999999</v>
      </c>
      <c r="C81">
        <v>3938</v>
      </c>
      <c r="D81" t="s">
        <v>516</v>
      </c>
      <c r="E81" t="s">
        <v>517</v>
      </c>
      <c r="F81">
        <v>30</v>
      </c>
      <c r="G81">
        <v>1775467878.6000011</v>
      </c>
      <c r="H81">
        <f t="shared" ref="H81:H112" si="36">(I81)/1000</f>
        <v>3.120519322682903E-3</v>
      </c>
      <c r="I81">
        <f>1000*AY81*AG81*(AU81-AV81)/(100*AN81*(1000-AG81*AU81))</f>
        <v>3.1205193226829029</v>
      </c>
      <c r="J81">
        <f>AY81*AG81*(AT81-AS81*(1000-AG81*AV81)/(1000-AG81*AU81))/(100*AN81)</f>
        <v>-3.0068846650017065</v>
      </c>
      <c r="K81">
        <f t="shared" ref="K81:K112" si="37">AS81 - IF(AG81&gt;1, J81*AN81*100/(AI81), 0)</f>
        <v>11.54413950819672</v>
      </c>
      <c r="L81">
        <f t="shared" ref="L81:L112" si="38">((R81-H81/2)*K81-J81)/(R81+H81/2)</f>
        <v>61.481854332720204</v>
      </c>
      <c r="M81">
        <f>L81*(AZ81+BA81)/1000</f>
        <v>6.1509636014265929</v>
      </c>
      <c r="N81">
        <f>(AS81 - IF(AG81&gt;1, J81*AN81*100/(AI81), 0))*(AZ81+BA81)/1000</f>
        <v>1.1549355935238761</v>
      </c>
      <c r="O81">
        <f t="shared" ref="O81:O112" si="39">2/((1/Q81-1/P81)+SIGN(Q81)*SQRT((1/Q81-1/P81)*(1/Q81-1/P81) + 4*AO81/((AO81+1)*(AO81+1))*(2*1/Q81*1/P81-1/P81*1/P81)))</f>
        <v>9.4429883063552211E-2</v>
      </c>
      <c r="P81">
        <f>IF(LEFT(AP81,1)&lt;&gt;"0",IF(LEFT(AP81,1)="1",3,AQ81),$D$5+$E$5*(BG81*AZ81/($K$5*1000))+$F$5*(BG81*AZ81/($K$5*1000))*MAX(MIN(AN81,$J$5),$I$5)*MAX(MIN(AN81,$J$5),$I$5)+$G$5*MAX(MIN(AN81,$J$5),$I$5)*(BG81*AZ81/($K$5*1000))+$H$5*(BG81*AZ81/($K$5*1000))*(BG81*AZ81/($K$5*1000)))</f>
        <v>2.3890885942985851</v>
      </c>
      <c r="Q81">
        <f>H81*(1000-(1000*0.61365*EXP(17.502*U81/(240.97+U81))/(AZ81+BA81)+AU81)/2)/(1000*0.61365*EXP(17.502*U81/(240.97+U81))/(AZ81+BA81)-AU81)</f>
        <v>9.2404316343630763E-2</v>
      </c>
      <c r="R81">
        <f t="shared" ref="R81:R112" si="40">1/((AO81+1)/(O81/1.6)+1/(P81/1.37)) + AO81/((AO81+1)/(O81/1.6) + AO81/(P81/1.37))</f>
        <v>5.793106798634852E-2</v>
      </c>
      <c r="S81">
        <f t="shared" ref="S81:S112" si="41">(AJ81*AM81)</f>
        <v>0.11568931785737709</v>
      </c>
      <c r="T81">
        <f>(BB81+(S81+2*0.95*0.0000000567*(((BB81+$B$7)+273)^4-(BB81+273)^4)-44100*H81)/(1.84*29.3*P81+8*0.95*0.0000000567*(BB81+273)^3))</f>
        <v>24.027450808998665</v>
      </c>
      <c r="U81">
        <f>($C$7*BC81+$D$7*BD81+$E$7*T81)</f>
        <v>25.168404918032781</v>
      </c>
      <c r="V81">
        <f t="shared" ref="V81:V112" si="42">0.61365*EXP(17.502*U81/(240.97+U81))</f>
        <v>3.2117424200934197</v>
      </c>
      <c r="W81">
        <f t="shared" ref="W81:W112" si="43">(X81/Y81*100)</f>
        <v>-3.5996872963360889</v>
      </c>
      <c r="X81">
        <f>AU81*(AZ81+BA81)/1000</f>
        <v>-0.11451408253184606</v>
      </c>
      <c r="Y81">
        <f t="shared" ref="Y81:Y112" si="44">0.61365*EXP(17.502*BB81/(240.97+BB81))</f>
        <v>3.1812230648035245</v>
      </c>
      <c r="Z81">
        <f>(V81-AU81*(AZ81+BA81)/1000)</f>
        <v>3.3262565026252657</v>
      </c>
      <c r="AA81">
        <f t="shared" ref="AA81:AA112" si="45">(-H81*44100)</f>
        <v>-137.61490213031601</v>
      </c>
      <c r="AB81">
        <f>2*29.3*P81*0.92*(BB81-U81)</f>
        <v>-20.640815094487476</v>
      </c>
      <c r="AC81">
        <f>2*0.95*0.0000000567*(((BB81+$B$7)+273)^4-(U81+273)^4)</f>
        <v>-1.8291129378324245</v>
      </c>
      <c r="AD81">
        <f t="shared" ref="AD81:AD112" si="46">S81+AC81+AA81+AB81</f>
        <v>-159.96914084477854</v>
      </c>
      <c r="AE81">
        <v>20</v>
      </c>
      <c r="AF81">
        <v>4</v>
      </c>
      <c r="AG81">
        <f t="shared" ref="AG81:AG112" si="47">IF(AE81*$H$13&gt;=AI81,1,(AI81/(AI81-AE81*$H$13)))</f>
        <v>1</v>
      </c>
      <c r="AH81">
        <f t="shared" ref="AH81:AH112" si="48">(AG81-1)*100</f>
        <v>0</v>
      </c>
      <c r="AI81">
        <f t="shared" ref="AI81:AI112" si="49">MAX(0,($B$13+$C$13*BG81)/(1+$D$13*BG81)*AZ81/(BB81+273)*$E$13)</f>
        <v>25709.701846157986</v>
      </c>
      <c r="AJ81">
        <f t="shared" ref="AJ81:AJ112" si="50">$B$11*BH81+$C$11*BI81</f>
        <v>0.60538627868852479</v>
      </c>
      <c r="AK81">
        <f t="shared" ref="AK81:AK112" si="51">AJ81*AL81</f>
        <v>0.48430902295081985</v>
      </c>
      <c r="AL81">
        <f t="shared" ref="AL81:AL112" si="52">($B$11*$D$9+$C$11*$D$9)/($B$11+$C$11)</f>
        <v>0.8</v>
      </c>
      <c r="AM81">
        <f t="shared" ref="AM81:AM112" si="53">($B$11*$K$9+$C$11*$K$9)/($B$11+$C$11)</f>
        <v>0.19109999999999999</v>
      </c>
      <c r="AN81">
        <v>3</v>
      </c>
      <c r="AO81">
        <v>0.5</v>
      </c>
      <c r="AP81" t="s">
        <v>317</v>
      </c>
      <c r="AQ81">
        <v>2</v>
      </c>
      <c r="AR81">
        <v>1775467878.6000011</v>
      </c>
      <c r="AS81">
        <v>11.54413950819672</v>
      </c>
      <c r="AT81">
        <v>9.7626447540983605</v>
      </c>
      <c r="AU81">
        <v>-1.1446236065573769</v>
      </c>
      <c r="AV81">
        <v>-3.018003770491803</v>
      </c>
      <c r="AW81">
        <v>3.3881395081967209</v>
      </c>
      <c r="AX81">
        <v>-1.8070037704918029</v>
      </c>
      <c r="AY81">
        <v>500.28678688524587</v>
      </c>
      <c r="AZ81">
        <v>99.999995081967214</v>
      </c>
      <c r="BA81">
        <v>4.5191716393442632E-2</v>
      </c>
      <c r="BB81">
        <v>25.008150819672139</v>
      </c>
      <c r="BC81">
        <v>25.168404918032781</v>
      </c>
      <c r="BD81">
        <v>999.9</v>
      </c>
      <c r="BE81">
        <v>0</v>
      </c>
      <c r="BF81">
        <v>0</v>
      </c>
      <c r="BG81">
        <v>5002.7213114754086</v>
      </c>
      <c r="BH81">
        <v>0.60538627868852479</v>
      </c>
      <c r="BI81">
        <v>174.41627868852461</v>
      </c>
      <c r="BJ81">
        <v>1.814469344262295</v>
      </c>
      <c r="BK81">
        <v>11.542260655737699</v>
      </c>
      <c r="BL81">
        <v>9.7514831147540999</v>
      </c>
      <c r="BM81">
        <v>-1.8747275409836071</v>
      </c>
      <c r="BN81">
        <v>9.7626447540983605</v>
      </c>
      <c r="BO81">
        <v>-1.1446236065573769</v>
      </c>
      <c r="BP81">
        <v>-0.30193514754098361</v>
      </c>
      <c r="BQ81">
        <v>-0.1144624426229508</v>
      </c>
      <c r="BR81">
        <v>-99.899999999999963</v>
      </c>
      <c r="BS81">
        <v>-99.899999999999963</v>
      </c>
      <c r="BT81">
        <v>1775467923.0999999</v>
      </c>
      <c r="BU81" t="s">
        <v>518</v>
      </c>
      <c r="BV81">
        <v>1775467913.0999999</v>
      </c>
      <c r="BW81">
        <v>1775467923.0999999</v>
      </c>
      <c r="BX81">
        <v>66</v>
      </c>
      <c r="BY81">
        <v>-3.3000000000000002E-2</v>
      </c>
      <c r="BZ81">
        <v>2E-3</v>
      </c>
      <c r="CA81">
        <v>8.1560000000000006</v>
      </c>
      <c r="CB81">
        <v>-1.2110000000000001</v>
      </c>
      <c r="CC81">
        <v>9</v>
      </c>
      <c r="CD81">
        <v>-1</v>
      </c>
      <c r="CE81">
        <v>0.25</v>
      </c>
      <c r="CF81">
        <v>0.04</v>
      </c>
      <c r="CG81">
        <v>9.7635386666666673</v>
      </c>
      <c r="CH81">
        <v>-0.47214561822726808</v>
      </c>
      <c r="CI81">
        <v>7.5927543080375193E-2</v>
      </c>
      <c r="CJ81">
        <v>-1</v>
      </c>
      <c r="CK81">
        <v>500.29191666666668</v>
      </c>
      <c r="CL81">
        <v>-3.063000833563331</v>
      </c>
      <c r="CM81">
        <v>0.91130076066515631</v>
      </c>
      <c r="CN81">
        <v>-1</v>
      </c>
      <c r="CO81">
        <v>0</v>
      </c>
      <c r="CP81">
        <v>0</v>
      </c>
      <c r="CQ81" t="s">
        <v>319</v>
      </c>
      <c r="CR81">
        <v>3.1674899999999999</v>
      </c>
      <c r="CS81">
        <v>2.6662400000000002</v>
      </c>
      <c r="CT81">
        <v>9.7768099999999999E-4</v>
      </c>
      <c r="CU81">
        <v>2.8855899999999999E-3</v>
      </c>
      <c r="CV81">
        <v>-1.69645E-2</v>
      </c>
      <c r="CW81">
        <v>-1.0038999999999999E-2</v>
      </c>
      <c r="CX81">
        <v>21525.3</v>
      </c>
      <c r="CY81">
        <v>21862.400000000001</v>
      </c>
      <c r="CZ81">
        <v>23075.599999999999</v>
      </c>
      <c r="DA81">
        <v>22280.6</v>
      </c>
      <c r="DB81">
        <v>30267.599999999999</v>
      </c>
      <c r="DC81">
        <v>26841.5</v>
      </c>
      <c r="DD81">
        <v>40566.6</v>
      </c>
      <c r="DE81">
        <v>36928.5</v>
      </c>
      <c r="DF81">
        <v>2.0606</v>
      </c>
      <c r="DG81">
        <v>1.7701</v>
      </c>
      <c r="DH81">
        <v>-6.0439100000000003E-2</v>
      </c>
      <c r="DI81">
        <v>0</v>
      </c>
      <c r="DJ81">
        <v>26.148199999999999</v>
      </c>
      <c r="DK81">
        <v>999.9</v>
      </c>
      <c r="DL81">
        <v>72.3</v>
      </c>
      <c r="DM81">
        <v>31.8</v>
      </c>
      <c r="DN81">
        <v>34.132399999999997</v>
      </c>
      <c r="DO81">
        <v>30.575500000000002</v>
      </c>
      <c r="DP81">
        <v>10.336499999999999</v>
      </c>
      <c r="DQ81">
        <v>1</v>
      </c>
      <c r="DR81">
        <v>0.29208099999999998</v>
      </c>
      <c r="DS81">
        <v>1.97726</v>
      </c>
      <c r="DT81">
        <v>20.3538</v>
      </c>
      <c r="DU81">
        <v>5.2091399999999997</v>
      </c>
      <c r="DV81">
        <v>11.851599999999999</v>
      </c>
      <c r="DW81">
        <v>4.9675200000000004</v>
      </c>
      <c r="DX81">
        <v>3.2923399999999998</v>
      </c>
      <c r="DY81">
        <v>894.7</v>
      </c>
      <c r="DZ81">
        <v>0</v>
      </c>
      <c r="EA81">
        <v>1967.6</v>
      </c>
      <c r="EB81">
        <v>107.7</v>
      </c>
      <c r="EC81">
        <v>4.9716100000000001</v>
      </c>
      <c r="ED81">
        <v>1.8718399999999999</v>
      </c>
      <c r="EE81">
        <v>1.8690500000000001</v>
      </c>
      <c r="EF81">
        <v>1.8714900000000001</v>
      </c>
      <c r="EG81">
        <v>1.8692</v>
      </c>
      <c r="EH81">
        <v>1.8681300000000001</v>
      </c>
      <c r="EI81">
        <v>1.8699600000000001</v>
      </c>
      <c r="EJ81">
        <v>1.8717999999999999</v>
      </c>
      <c r="EK81">
        <v>0</v>
      </c>
      <c r="EL81">
        <v>0</v>
      </c>
      <c r="EM81">
        <v>0</v>
      </c>
      <c r="EN81">
        <v>0</v>
      </c>
      <c r="EO81" t="s">
        <v>320</v>
      </c>
      <c r="EP81" t="s">
        <v>321</v>
      </c>
      <c r="EQ81" t="s">
        <v>322</v>
      </c>
      <c r="ER81" t="s">
        <v>322</v>
      </c>
      <c r="ES81" t="s">
        <v>322</v>
      </c>
      <c r="ET81" t="s">
        <v>322</v>
      </c>
      <c r="EU81">
        <v>0</v>
      </c>
      <c r="EV81">
        <v>100</v>
      </c>
      <c r="EW81">
        <v>100</v>
      </c>
      <c r="EX81">
        <v>8.1560000000000006</v>
      </c>
      <c r="EY81">
        <v>-1.2110000000000001</v>
      </c>
      <c r="EZ81">
        <v>8.1889739999999982</v>
      </c>
      <c r="FA81">
        <v>0</v>
      </c>
      <c r="FB81">
        <v>0</v>
      </c>
      <c r="FC81">
        <v>0</v>
      </c>
      <c r="FD81">
        <v>-1.212347195</v>
      </c>
      <c r="FE81">
        <v>0</v>
      </c>
      <c r="FF81">
        <v>0</v>
      </c>
      <c r="FG81">
        <v>0</v>
      </c>
      <c r="FH81">
        <v>-1</v>
      </c>
      <c r="FI81">
        <v>-1</v>
      </c>
      <c r="FJ81">
        <v>-1</v>
      </c>
      <c r="FK81">
        <v>-1</v>
      </c>
      <c r="FL81">
        <v>0.6</v>
      </c>
      <c r="FM81">
        <v>0.6</v>
      </c>
      <c r="FN81">
        <v>0.14160200000000001</v>
      </c>
      <c r="FO81">
        <v>4.99756</v>
      </c>
      <c r="FP81">
        <v>1.5979000000000001</v>
      </c>
      <c r="FQ81">
        <v>2.1520999999999999</v>
      </c>
      <c r="FR81">
        <v>1.5478499999999999</v>
      </c>
      <c r="FS81">
        <v>2.3718300000000001</v>
      </c>
      <c r="FT81">
        <v>36.316499999999998</v>
      </c>
      <c r="FU81">
        <v>15.445399999999999</v>
      </c>
      <c r="FV81">
        <v>2</v>
      </c>
      <c r="FW81">
        <v>489.59</v>
      </c>
      <c r="FX81">
        <v>394.77300000000002</v>
      </c>
      <c r="FY81">
        <v>24.429099999999998</v>
      </c>
      <c r="FZ81">
        <v>30.7943</v>
      </c>
      <c r="GA81">
        <v>30.000399999999999</v>
      </c>
      <c r="GB81">
        <v>31.0762</v>
      </c>
      <c r="GC81">
        <v>31.130400000000002</v>
      </c>
      <c r="GD81">
        <v>-1</v>
      </c>
      <c r="GE81">
        <v>0</v>
      </c>
      <c r="GF81">
        <v>100</v>
      </c>
      <c r="GG81">
        <v>24.428999999999998</v>
      </c>
      <c r="GH81">
        <v>432.1</v>
      </c>
      <c r="GI81">
        <v>78.840199999999996</v>
      </c>
      <c r="GJ81">
        <v>102.101</v>
      </c>
      <c r="GK81">
        <v>96.356499999999997</v>
      </c>
    </row>
    <row r="82" spans="1:193" x14ac:dyDescent="0.35">
      <c r="A82">
        <v>66</v>
      </c>
      <c r="B82">
        <v>1775467954.0999999</v>
      </c>
      <c r="C82">
        <v>3998</v>
      </c>
      <c r="D82" t="s">
        <v>519</v>
      </c>
      <c r="E82" t="s">
        <v>520</v>
      </c>
      <c r="F82">
        <v>30</v>
      </c>
      <c r="G82">
        <v>1775467938.6000011</v>
      </c>
      <c r="H82">
        <f t="shared" si="36"/>
        <v>2.7068402229764171E-3</v>
      </c>
      <c r="I82">
        <f>1000*AY82*AG82*(AU82-AV82)/(100*AN82*(1000-AG82*AU82))</f>
        <v>2.706840222976417</v>
      </c>
      <c r="J82">
        <f>AY82*AG82*(AT82-AS82*(1000-AG82*AV82)/(1000-AG82*AU82))/(100*AN82)</f>
        <v>-2.6551421148974383</v>
      </c>
      <c r="K82">
        <f t="shared" si="37"/>
        <v>10.86262</v>
      </c>
      <c r="L82">
        <f t="shared" si="38"/>
        <v>61.801472229385404</v>
      </c>
      <c r="M82">
        <f>L82*(AZ82+BA82)/1000</f>
        <v>6.1831800318124142</v>
      </c>
      <c r="N82">
        <f>(AS82 - IF(AG82&gt;1, J82*AN82*100/(AI82), 0))*(AZ82+BA82)/1000</f>
        <v>1.0867950657853462</v>
      </c>
      <c r="O82">
        <f t="shared" si="39"/>
        <v>8.1613846359668923E-2</v>
      </c>
      <c r="P82">
        <f>IF(LEFT(AP82,1)&lt;&gt;"0",IF(LEFT(AP82,1)="1",3,AQ82),$D$5+$E$5*(BG82*AZ82/($K$5*1000))+$F$5*(BG82*AZ82/($K$5*1000))*MAX(MIN(AN82,$J$5),$I$5)*MAX(MIN(AN82,$J$5),$I$5)+$G$5*MAX(MIN(AN82,$J$5),$I$5)*(BG82*AZ82/($K$5*1000))+$H$5*(BG82*AZ82/($K$5*1000))*(BG82*AZ82/($K$5*1000)))</f>
        <v>2.387361478405889</v>
      </c>
      <c r="Q82">
        <f>H82*(1000-(1000*0.61365*EXP(17.502*U82/(240.97+U82))/(AZ82+BA82)+AU82)/2)/(1000*0.61365*EXP(17.502*U82/(240.97+U82))/(AZ82+BA82)-AU82)</f>
        <v>8.0094951071952483E-2</v>
      </c>
      <c r="R82">
        <f t="shared" si="40"/>
        <v>5.0193456648326272E-2</v>
      </c>
      <c r="S82">
        <f t="shared" si="41"/>
        <v>0.11478837220819671</v>
      </c>
      <c r="T82">
        <f>(BB82+(S82+2*0.95*0.0000000567*(((BB82+$B$7)+273)^4-(BB82+273)^4)-44100*H82)/(1.84*29.3*P82+8*0.95*0.0000000567*(BB82+273)^3))</f>
        <v>24.147151140486084</v>
      </c>
      <c r="U82">
        <f>($C$7*BC82+$D$7*BD82+$E$7*T82)</f>
        <v>25.1691</v>
      </c>
      <c r="V82">
        <f t="shared" si="42"/>
        <v>3.2118753492166601</v>
      </c>
      <c r="W82">
        <f t="shared" si="43"/>
        <v>-3.6808201990903893</v>
      </c>
      <c r="X82">
        <f>AU82*(AZ82+BA82)/1000</f>
        <v>-0.11702643347780851</v>
      </c>
      <c r="Y82">
        <f t="shared" si="44"/>
        <v>3.1793575113157737</v>
      </c>
      <c r="Z82">
        <f>(V82-AU82*(AZ82+BA82)/1000)</f>
        <v>3.3289017826944685</v>
      </c>
      <c r="AA82">
        <f t="shared" si="45"/>
        <v>-119.37165383326</v>
      </c>
      <c r="AB82">
        <f>2*29.3*P82*0.92*(BB82-U82)</f>
        <v>-21.981752419136427</v>
      </c>
      <c r="AC82">
        <f>2*0.95*0.0000000567*(((BB82+$B$7)+273)^4-(U82+273)^4)</f>
        <v>-1.949261403567399</v>
      </c>
      <c r="AD82">
        <f t="shared" si="46"/>
        <v>-143.18787928375562</v>
      </c>
      <c r="AE82">
        <v>20</v>
      </c>
      <c r="AF82">
        <v>4</v>
      </c>
      <c r="AG82">
        <f t="shared" si="47"/>
        <v>1</v>
      </c>
      <c r="AH82">
        <f t="shared" si="48"/>
        <v>0</v>
      </c>
      <c r="AI82">
        <f t="shared" si="49"/>
        <v>25684.019370956998</v>
      </c>
      <c r="AJ82">
        <f t="shared" si="50"/>
        <v>0.6006717540983606</v>
      </c>
      <c r="AK82">
        <f t="shared" si="51"/>
        <v>0.48053740327868849</v>
      </c>
      <c r="AL82">
        <f t="shared" si="52"/>
        <v>0.8</v>
      </c>
      <c r="AM82">
        <f t="shared" si="53"/>
        <v>0.19109999999999999</v>
      </c>
      <c r="AN82">
        <v>3</v>
      </c>
      <c r="AO82">
        <v>0.5</v>
      </c>
      <c r="AP82" t="s">
        <v>317</v>
      </c>
      <c r="AQ82">
        <v>2</v>
      </c>
      <c r="AR82">
        <v>1775467938.6000011</v>
      </c>
      <c r="AS82">
        <v>10.86262</v>
      </c>
      <c r="AT82">
        <v>9.2894995081967195</v>
      </c>
      <c r="AU82">
        <v>-1.169690327868852</v>
      </c>
      <c r="AV82">
        <v>-2.7932968655737711</v>
      </c>
      <c r="AW82">
        <v>2.7096200000000001</v>
      </c>
      <c r="AX82">
        <v>-1.58529686557377</v>
      </c>
      <c r="AY82">
        <v>500.738262295082</v>
      </c>
      <c r="AZ82">
        <v>100.0021147540984</v>
      </c>
      <c r="BA82">
        <v>4.6958654098360662E-2</v>
      </c>
      <c r="BB82">
        <v>24.998311475409839</v>
      </c>
      <c r="BC82">
        <v>25.1691</v>
      </c>
      <c r="BD82">
        <v>999.9</v>
      </c>
      <c r="BE82">
        <v>0</v>
      </c>
      <c r="BF82">
        <v>0</v>
      </c>
      <c r="BG82">
        <v>4998.1639344262294</v>
      </c>
      <c r="BH82">
        <v>0.6006717540983606</v>
      </c>
      <c r="BI82">
        <v>173.11173770491811</v>
      </c>
      <c r="BJ82">
        <v>1.5760552639344261</v>
      </c>
      <c r="BK82">
        <v>10.83503950819672</v>
      </c>
      <c r="BL82">
        <v>9.2786462295081975</v>
      </c>
      <c r="BM82">
        <v>-1.626442986721311</v>
      </c>
      <c r="BN82">
        <v>9.2894995081967195</v>
      </c>
      <c r="BO82">
        <v>-1.169690327868852</v>
      </c>
      <c r="BP82">
        <v>-0.27961936065573773</v>
      </c>
      <c r="BQ82">
        <v>-0.1169715245901639</v>
      </c>
      <c r="BR82">
        <v>-99.899999999999963</v>
      </c>
      <c r="BS82">
        <v>-99.899999999999963</v>
      </c>
      <c r="BT82">
        <v>1775467978.0999999</v>
      </c>
      <c r="BU82" t="s">
        <v>521</v>
      </c>
      <c r="BV82">
        <v>1775467977.0999999</v>
      </c>
      <c r="BW82">
        <v>1775467978.0999999</v>
      </c>
      <c r="BX82">
        <v>67</v>
      </c>
      <c r="BY82">
        <v>-3.0000000000000001E-3</v>
      </c>
      <c r="BZ82">
        <v>3.0000000000000001E-3</v>
      </c>
      <c r="CA82">
        <v>8.1530000000000005</v>
      </c>
      <c r="CB82">
        <v>-1.208</v>
      </c>
      <c r="CC82">
        <v>9</v>
      </c>
      <c r="CD82">
        <v>-1</v>
      </c>
      <c r="CE82">
        <v>0.24</v>
      </c>
      <c r="CF82">
        <v>0.04</v>
      </c>
      <c r="CG82">
        <v>9.2989322950819648</v>
      </c>
      <c r="CH82">
        <v>-0.81362779481755954</v>
      </c>
      <c r="CI82">
        <v>0.13009324372766271</v>
      </c>
      <c r="CJ82">
        <v>-1</v>
      </c>
      <c r="CK82">
        <v>500.74073770491799</v>
      </c>
      <c r="CL82">
        <v>-5.652107879429054</v>
      </c>
      <c r="CM82">
        <v>1.443557398923984</v>
      </c>
      <c r="CN82">
        <v>-1</v>
      </c>
      <c r="CO82">
        <v>0</v>
      </c>
      <c r="CP82">
        <v>0</v>
      </c>
      <c r="CQ82" t="s">
        <v>319</v>
      </c>
      <c r="CR82">
        <v>3.1675599999999999</v>
      </c>
      <c r="CS82">
        <v>2.6665100000000002</v>
      </c>
      <c r="CT82">
        <v>8.2225899999999999E-4</v>
      </c>
      <c r="CU82">
        <v>2.7284700000000002E-3</v>
      </c>
      <c r="CV82">
        <v>-1.66765E-2</v>
      </c>
      <c r="CW82">
        <v>-1.02016E-2</v>
      </c>
      <c r="CX82">
        <v>21527.1</v>
      </c>
      <c r="CY82">
        <v>21865</v>
      </c>
      <c r="CZ82">
        <v>23074.1</v>
      </c>
      <c r="DA82">
        <v>22279.9</v>
      </c>
      <c r="DB82">
        <v>30257.200000000001</v>
      </c>
      <c r="DC82">
        <v>26844.799999999999</v>
      </c>
      <c r="DD82">
        <v>40564.1</v>
      </c>
      <c r="DE82">
        <v>36927.199999999997</v>
      </c>
      <c r="DF82">
        <v>2.06012</v>
      </c>
      <c r="DG82">
        <v>1.76942</v>
      </c>
      <c r="DH82">
        <v>-6.0349699999999999E-2</v>
      </c>
      <c r="DI82">
        <v>0</v>
      </c>
      <c r="DJ82">
        <v>26.1585</v>
      </c>
      <c r="DK82">
        <v>999.9</v>
      </c>
      <c r="DL82">
        <v>72.2</v>
      </c>
      <c r="DM82">
        <v>31.8</v>
      </c>
      <c r="DN82">
        <v>34.084299999999999</v>
      </c>
      <c r="DO82">
        <v>30.785499999999999</v>
      </c>
      <c r="DP82">
        <v>10.609</v>
      </c>
      <c r="DQ82">
        <v>1</v>
      </c>
      <c r="DR82">
        <v>0.295319</v>
      </c>
      <c r="DS82">
        <v>1.8904300000000001</v>
      </c>
      <c r="DT82">
        <v>20.355899999999998</v>
      </c>
      <c r="DU82">
        <v>5.21082</v>
      </c>
      <c r="DV82">
        <v>11.8529</v>
      </c>
      <c r="DW82">
        <v>4.9677199999999999</v>
      </c>
      <c r="DX82">
        <v>3.2929200000000001</v>
      </c>
      <c r="DY82">
        <v>894.7</v>
      </c>
      <c r="DZ82">
        <v>0</v>
      </c>
      <c r="EA82">
        <v>2001.9</v>
      </c>
      <c r="EB82">
        <v>107.7</v>
      </c>
      <c r="EC82">
        <v>4.97159</v>
      </c>
      <c r="ED82">
        <v>1.87188</v>
      </c>
      <c r="EE82">
        <v>1.8690500000000001</v>
      </c>
      <c r="EF82">
        <v>1.87148</v>
      </c>
      <c r="EG82">
        <v>1.8692</v>
      </c>
      <c r="EH82">
        <v>1.8681300000000001</v>
      </c>
      <c r="EI82">
        <v>1.8699600000000001</v>
      </c>
      <c r="EJ82">
        <v>1.8717999999999999</v>
      </c>
      <c r="EK82">
        <v>0</v>
      </c>
      <c r="EL82">
        <v>0</v>
      </c>
      <c r="EM82">
        <v>0</v>
      </c>
      <c r="EN82">
        <v>0</v>
      </c>
      <c r="EO82" t="s">
        <v>320</v>
      </c>
      <c r="EP82" t="s">
        <v>321</v>
      </c>
      <c r="EQ82" t="s">
        <v>322</v>
      </c>
      <c r="ER82" t="s">
        <v>322</v>
      </c>
      <c r="ES82" t="s">
        <v>322</v>
      </c>
      <c r="ET82" t="s">
        <v>322</v>
      </c>
      <c r="EU82">
        <v>0</v>
      </c>
      <c r="EV82">
        <v>100</v>
      </c>
      <c r="EW82">
        <v>100</v>
      </c>
      <c r="EX82">
        <v>8.1530000000000005</v>
      </c>
      <c r="EY82">
        <v>-1.208</v>
      </c>
      <c r="EZ82">
        <v>8.1559355</v>
      </c>
      <c r="FA82">
        <v>0</v>
      </c>
      <c r="FB82">
        <v>0</v>
      </c>
      <c r="FC82">
        <v>0</v>
      </c>
      <c r="FD82">
        <v>-1.2108360250000001</v>
      </c>
      <c r="FE82">
        <v>0</v>
      </c>
      <c r="FF82">
        <v>0</v>
      </c>
      <c r="FG82">
        <v>0</v>
      </c>
      <c r="FH82">
        <v>-1</v>
      </c>
      <c r="FI82">
        <v>-1</v>
      </c>
      <c r="FJ82">
        <v>-1</v>
      </c>
      <c r="FK82">
        <v>-1</v>
      </c>
      <c r="FL82">
        <v>0.7</v>
      </c>
      <c r="FM82">
        <v>0.5</v>
      </c>
      <c r="FN82">
        <v>0.142822</v>
      </c>
      <c r="FO82">
        <v>4.99756</v>
      </c>
      <c r="FP82">
        <v>1.5979000000000001</v>
      </c>
      <c r="FQ82">
        <v>2.1496599999999999</v>
      </c>
      <c r="FR82">
        <v>1.5478499999999999</v>
      </c>
      <c r="FS82">
        <v>2.4731399999999999</v>
      </c>
      <c r="FT82">
        <v>36.363500000000002</v>
      </c>
      <c r="FU82">
        <v>15.4367</v>
      </c>
      <c r="FV82">
        <v>2</v>
      </c>
      <c r="FW82">
        <v>489.61599999999999</v>
      </c>
      <c r="FX82">
        <v>394.64400000000001</v>
      </c>
      <c r="FY82">
        <v>24.5017</v>
      </c>
      <c r="FZ82">
        <v>30.8399</v>
      </c>
      <c r="GA82">
        <v>30.000399999999999</v>
      </c>
      <c r="GB82">
        <v>31.116800000000001</v>
      </c>
      <c r="GC82">
        <v>31.171199999999999</v>
      </c>
      <c r="GD82">
        <v>-1</v>
      </c>
      <c r="GE82">
        <v>0</v>
      </c>
      <c r="GF82">
        <v>100</v>
      </c>
      <c r="GG82">
        <v>24.5014</v>
      </c>
      <c r="GH82">
        <v>432.1</v>
      </c>
      <c r="GI82">
        <v>78.840199999999996</v>
      </c>
      <c r="GJ82">
        <v>102.095</v>
      </c>
      <c r="GK82">
        <v>96.353099999999998</v>
      </c>
    </row>
    <row r="83" spans="1:193" x14ac:dyDescent="0.35">
      <c r="A83">
        <v>67</v>
      </c>
      <c r="B83">
        <v>1775468014.0999999</v>
      </c>
      <c r="C83">
        <v>4058</v>
      </c>
      <c r="D83" t="s">
        <v>522</v>
      </c>
      <c r="E83" t="s">
        <v>523</v>
      </c>
      <c r="F83">
        <v>30</v>
      </c>
      <c r="G83">
        <v>1775467998.6000011</v>
      </c>
      <c r="H83">
        <f t="shared" si="36"/>
        <v>3.0098319000135699E-3</v>
      </c>
      <c r="I83">
        <f>1000*AY83*AG83*(AU83-AV83)/(100*AN83*(1000-AG83*AU83))</f>
        <v>3.00983190001357</v>
      </c>
      <c r="J83">
        <f>AY83*AG83*(AT83-AS83*(1000-AG83*AV83)/(1000-AG83*AU83))/(100*AN83)</f>
        <v>-2.6364035924990636</v>
      </c>
      <c r="K83">
        <f t="shared" si="37"/>
        <v>11.036162622950821</v>
      </c>
      <c r="L83">
        <f t="shared" si="38"/>
        <v>56.51314832599526</v>
      </c>
      <c r="M83">
        <f>L83*(AZ83+BA83)/1000</f>
        <v>5.6542371647425513</v>
      </c>
      <c r="N83">
        <f>(AS83 - IF(AG83&gt;1, J83*AN83*100/(AI83), 0))*(AZ83+BA83)/1000</f>
        <v>1.1041869495373264</v>
      </c>
      <c r="O83">
        <f t="shared" si="39"/>
        <v>9.078962070794093E-2</v>
      </c>
      <c r="P83">
        <f>IF(LEFT(AP83,1)&lt;&gt;"0",IF(LEFT(AP83,1)="1",3,AQ83),$D$5+$E$5*(BG83*AZ83/($K$5*1000))+$F$5*(BG83*AZ83/($K$5*1000))*MAX(MIN(AN83,$J$5),$I$5)*MAX(MIN(AN83,$J$5),$I$5)+$G$5*MAX(MIN(AN83,$J$5),$I$5)*(BG83*AZ83/($K$5*1000))+$H$5*(BG83*AZ83/($K$5*1000))*(BG83*AZ83/($K$5*1000)))</f>
        <v>2.3880192104687596</v>
      </c>
      <c r="Q83">
        <f>H83*(1000-(1000*0.61365*EXP(17.502*U83/(240.97+U83))/(AZ83+BA83)+AU83)/2)/(1000*0.61365*EXP(17.502*U83/(240.97+U83))/(AZ83+BA83)-AU83)</f>
        <v>8.8914724108630841E-2</v>
      </c>
      <c r="R83">
        <f t="shared" si="40"/>
        <v>5.5736929742692662E-2</v>
      </c>
      <c r="S83">
        <f t="shared" si="41"/>
        <v>0.11444419484262297</v>
      </c>
      <c r="T83">
        <f>(BB83+(S83+2*0.95*0.0000000567*(((BB83+$B$7)+273)^4-(BB83+273)^4)-44100*H83)/(1.84*29.3*P83+8*0.95*0.0000000567*(BB83+273)^3))</f>
        <v>24.062693560305192</v>
      </c>
      <c r="U83">
        <f>($C$7*BC83+$D$7*BD83+$E$7*T83)</f>
        <v>25.1757262295082</v>
      </c>
      <c r="V83">
        <f t="shared" si="42"/>
        <v>3.2131428064338059</v>
      </c>
      <c r="W83">
        <f t="shared" si="43"/>
        <v>-3.8145392199872585</v>
      </c>
      <c r="X83">
        <f>AU83*(AZ83+BA83)/1000</f>
        <v>-0.12135496692133077</v>
      </c>
      <c r="Y83">
        <f t="shared" si="44"/>
        <v>3.1813794516900034</v>
      </c>
      <c r="Z83">
        <f>(V83-AU83*(AZ83+BA83)/1000)</f>
        <v>3.3344977733551366</v>
      </c>
      <c r="AA83">
        <f t="shared" si="45"/>
        <v>-132.73358679059842</v>
      </c>
      <c r="AB83">
        <f>2*29.3*P83*0.92*(BB83-U83)</f>
        <v>-21.467982713731956</v>
      </c>
      <c r="AC83">
        <f>2*0.95*0.0000000567*(((BB83+$B$7)+273)^4-(U83+273)^4)</f>
        <v>-1.9033434351338527</v>
      </c>
      <c r="AD83">
        <f t="shared" si="46"/>
        <v>-155.99046874462164</v>
      </c>
      <c r="AE83">
        <v>20</v>
      </c>
      <c r="AF83">
        <v>4</v>
      </c>
      <c r="AG83">
        <f t="shared" si="47"/>
        <v>1</v>
      </c>
      <c r="AH83">
        <f t="shared" si="48"/>
        <v>0</v>
      </c>
      <c r="AI83">
        <f t="shared" si="49"/>
        <v>25693.008028586635</v>
      </c>
      <c r="AJ83">
        <f t="shared" si="50"/>
        <v>0.59887072131147556</v>
      </c>
      <c r="AK83">
        <f t="shared" si="51"/>
        <v>0.47909657704918046</v>
      </c>
      <c r="AL83">
        <f t="shared" si="52"/>
        <v>0.8</v>
      </c>
      <c r="AM83">
        <f t="shared" si="53"/>
        <v>0.19109999999999999</v>
      </c>
      <c r="AN83">
        <v>3</v>
      </c>
      <c r="AO83">
        <v>0.5</v>
      </c>
      <c r="AP83" t="s">
        <v>317</v>
      </c>
      <c r="AQ83">
        <v>2</v>
      </c>
      <c r="AR83">
        <v>1775467998.6000011</v>
      </c>
      <c r="AS83">
        <v>11.036162622950821</v>
      </c>
      <c r="AT83">
        <v>9.4750893442622939</v>
      </c>
      <c r="AU83">
        <v>-1.212922459016393</v>
      </c>
      <c r="AV83">
        <v>-3.0200411475409839</v>
      </c>
      <c r="AW83">
        <v>2.8931626229508192</v>
      </c>
      <c r="AX83">
        <v>-1.817041147540984</v>
      </c>
      <c r="AY83">
        <v>500.26862295081958</v>
      </c>
      <c r="AZ83">
        <v>100.0061803278688</v>
      </c>
      <c r="BA83">
        <v>4.553033114754098E-2</v>
      </c>
      <c r="BB83">
        <v>25.008975409836069</v>
      </c>
      <c r="BC83">
        <v>25.1757262295082</v>
      </c>
      <c r="BD83">
        <v>999.9</v>
      </c>
      <c r="BE83">
        <v>0</v>
      </c>
      <c r="BF83">
        <v>0</v>
      </c>
      <c r="BG83">
        <v>4999.6557377049176</v>
      </c>
      <c r="BH83">
        <v>0.59887072131147556</v>
      </c>
      <c r="BI83">
        <v>171.65965573770501</v>
      </c>
      <c r="BJ83">
        <v>1.5714514754098361</v>
      </c>
      <c r="BK83">
        <v>11.01322622950819</v>
      </c>
      <c r="BL83">
        <v>9.4636095081967184</v>
      </c>
      <c r="BM83">
        <v>-1.8116695081967209</v>
      </c>
      <c r="BN83">
        <v>9.4750893442622939</v>
      </c>
      <c r="BO83">
        <v>-1.212922459016393</v>
      </c>
      <c r="BP83">
        <v>-0.30247800000000002</v>
      </c>
      <c r="BQ83">
        <v>-0.1212998196721312</v>
      </c>
      <c r="BR83">
        <v>-99.899999999999963</v>
      </c>
      <c r="BS83">
        <v>-99.899999999999963</v>
      </c>
      <c r="BT83">
        <v>1775468040.0999999</v>
      </c>
      <c r="BU83" t="s">
        <v>524</v>
      </c>
      <c r="BV83">
        <v>1775468032.0999999</v>
      </c>
      <c r="BW83">
        <v>1775468040.0999999</v>
      </c>
      <c r="BX83">
        <v>68</v>
      </c>
      <c r="BY83">
        <v>-0.01</v>
      </c>
      <c r="BZ83">
        <v>4.0000000000000001E-3</v>
      </c>
      <c r="CA83">
        <v>8.1430000000000007</v>
      </c>
      <c r="CB83">
        <v>-1.2030000000000001</v>
      </c>
      <c r="CC83">
        <v>10</v>
      </c>
      <c r="CD83">
        <v>-1</v>
      </c>
      <c r="CE83">
        <v>0.25</v>
      </c>
      <c r="CF83">
        <v>0.04</v>
      </c>
      <c r="CG83">
        <v>9.4668540983606544</v>
      </c>
      <c r="CH83">
        <v>0.532162749867783</v>
      </c>
      <c r="CI83">
        <v>0.14033394726627829</v>
      </c>
      <c r="CJ83">
        <v>-1</v>
      </c>
      <c r="CK83">
        <v>500.41183606557382</v>
      </c>
      <c r="CL83">
        <v>-4.410796404018944</v>
      </c>
      <c r="CM83">
        <v>1.147763572791519</v>
      </c>
      <c r="CN83">
        <v>-1</v>
      </c>
      <c r="CO83">
        <v>0</v>
      </c>
      <c r="CP83">
        <v>0</v>
      </c>
      <c r="CQ83" t="s">
        <v>319</v>
      </c>
      <c r="CR83">
        <v>3.1675399999999998</v>
      </c>
      <c r="CS83">
        <v>2.6666699999999999</v>
      </c>
      <c r="CT83">
        <v>8.9896099999999999E-4</v>
      </c>
      <c r="CU83">
        <v>2.80504E-3</v>
      </c>
      <c r="CV83">
        <v>-1.7029099999999998E-2</v>
      </c>
      <c r="CW83">
        <v>-1.07084E-2</v>
      </c>
      <c r="CX83">
        <v>21524.1</v>
      </c>
      <c r="CY83">
        <v>21863.1</v>
      </c>
      <c r="CZ83">
        <v>23072.799999999999</v>
      </c>
      <c r="DA83">
        <v>22279.7</v>
      </c>
      <c r="DB83">
        <v>30266</v>
      </c>
      <c r="DC83">
        <v>26857.9</v>
      </c>
      <c r="DD83">
        <v>40561.9</v>
      </c>
      <c r="DE83">
        <v>36926.699999999997</v>
      </c>
      <c r="DF83">
        <v>2.06026</v>
      </c>
      <c r="DG83">
        <v>1.7684599999999999</v>
      </c>
      <c r="DH83">
        <v>-5.6564799999999998E-2</v>
      </c>
      <c r="DI83">
        <v>0</v>
      </c>
      <c r="DJ83">
        <v>26.098700000000001</v>
      </c>
      <c r="DK83">
        <v>999.9</v>
      </c>
      <c r="DL83">
        <v>72.2</v>
      </c>
      <c r="DM83">
        <v>31.8</v>
      </c>
      <c r="DN83">
        <v>34.084200000000003</v>
      </c>
      <c r="DO83">
        <v>30.6355</v>
      </c>
      <c r="DP83">
        <v>10.568899999999999</v>
      </c>
      <c r="DQ83">
        <v>1</v>
      </c>
      <c r="DR83">
        <v>0.29836600000000002</v>
      </c>
      <c r="DS83">
        <v>1.98262</v>
      </c>
      <c r="DT83">
        <v>20.3537</v>
      </c>
      <c r="DU83">
        <v>5.2098599999999999</v>
      </c>
      <c r="DV83">
        <v>11.8531</v>
      </c>
      <c r="DW83">
        <v>4.9675200000000004</v>
      </c>
      <c r="DX83">
        <v>3.2923399999999998</v>
      </c>
      <c r="DY83">
        <v>894.7</v>
      </c>
      <c r="DZ83">
        <v>0</v>
      </c>
      <c r="EA83">
        <v>2036.2</v>
      </c>
      <c r="EB83">
        <v>107.8</v>
      </c>
      <c r="EC83">
        <v>4.9715999999999996</v>
      </c>
      <c r="ED83">
        <v>1.87188</v>
      </c>
      <c r="EE83">
        <v>1.8690500000000001</v>
      </c>
      <c r="EF83">
        <v>1.8714900000000001</v>
      </c>
      <c r="EG83">
        <v>1.8692</v>
      </c>
      <c r="EH83">
        <v>1.8681300000000001</v>
      </c>
      <c r="EI83">
        <v>1.8699600000000001</v>
      </c>
      <c r="EJ83">
        <v>1.8717999999999999</v>
      </c>
      <c r="EK83">
        <v>0</v>
      </c>
      <c r="EL83">
        <v>0</v>
      </c>
      <c r="EM83">
        <v>0</v>
      </c>
      <c r="EN83">
        <v>0</v>
      </c>
      <c r="EO83" t="s">
        <v>320</v>
      </c>
      <c r="EP83" t="s">
        <v>321</v>
      </c>
      <c r="EQ83" t="s">
        <v>322</v>
      </c>
      <c r="ER83" t="s">
        <v>322</v>
      </c>
      <c r="ES83" t="s">
        <v>322</v>
      </c>
      <c r="ET83" t="s">
        <v>322</v>
      </c>
      <c r="EU83">
        <v>0</v>
      </c>
      <c r="EV83">
        <v>100</v>
      </c>
      <c r="EW83">
        <v>100</v>
      </c>
      <c r="EX83">
        <v>8.1430000000000007</v>
      </c>
      <c r="EY83">
        <v>-1.2030000000000001</v>
      </c>
      <c r="EZ83">
        <v>8.1533764499999997</v>
      </c>
      <c r="FA83">
        <v>0</v>
      </c>
      <c r="FB83">
        <v>0</v>
      </c>
      <c r="FC83">
        <v>0</v>
      </c>
      <c r="FD83">
        <v>-1.2075514549999999</v>
      </c>
      <c r="FE83">
        <v>0</v>
      </c>
      <c r="FF83">
        <v>0</v>
      </c>
      <c r="FG83">
        <v>0</v>
      </c>
      <c r="FH83">
        <v>-1</v>
      </c>
      <c r="FI83">
        <v>-1</v>
      </c>
      <c r="FJ83">
        <v>-1</v>
      </c>
      <c r="FK83">
        <v>-1</v>
      </c>
      <c r="FL83">
        <v>0.6</v>
      </c>
      <c r="FM83">
        <v>0.6</v>
      </c>
      <c r="FN83">
        <v>0.142822</v>
      </c>
      <c r="FO83">
        <v>4.99756</v>
      </c>
      <c r="FP83">
        <v>1.5979000000000001</v>
      </c>
      <c r="FQ83">
        <v>2.1508799999999999</v>
      </c>
      <c r="FR83">
        <v>1.5478499999999999</v>
      </c>
      <c r="FS83">
        <v>2.35229</v>
      </c>
      <c r="FT83">
        <v>36.410699999999999</v>
      </c>
      <c r="FU83">
        <v>15.4016</v>
      </c>
      <c r="FV83">
        <v>2</v>
      </c>
      <c r="FW83">
        <v>489.95100000000002</v>
      </c>
      <c r="FX83">
        <v>394.29599999999999</v>
      </c>
      <c r="FY83">
        <v>24.428000000000001</v>
      </c>
      <c r="FZ83">
        <v>30.872699999999998</v>
      </c>
      <c r="GA83">
        <v>30.0001</v>
      </c>
      <c r="GB83">
        <v>31.1511</v>
      </c>
      <c r="GC83">
        <v>31.202200000000001</v>
      </c>
      <c r="GD83">
        <v>-1</v>
      </c>
      <c r="GE83">
        <v>0</v>
      </c>
      <c r="GF83">
        <v>100</v>
      </c>
      <c r="GG83">
        <v>24.419499999999999</v>
      </c>
      <c r="GH83">
        <v>432.1</v>
      </c>
      <c r="GI83">
        <v>78.840199999999996</v>
      </c>
      <c r="GJ83">
        <v>102.089</v>
      </c>
      <c r="GK83">
        <v>96.352000000000004</v>
      </c>
    </row>
    <row r="84" spans="1:193" x14ac:dyDescent="0.35">
      <c r="A84">
        <v>68</v>
      </c>
      <c r="B84">
        <v>1775468074.0999999</v>
      </c>
      <c r="C84">
        <v>4118</v>
      </c>
      <c r="D84" t="s">
        <v>525</v>
      </c>
      <c r="E84" t="s">
        <v>526</v>
      </c>
      <c r="F84">
        <v>30</v>
      </c>
      <c r="G84">
        <v>1775468058.6000011</v>
      </c>
      <c r="H84">
        <f t="shared" si="36"/>
        <v>2.9090181953044863E-3</v>
      </c>
      <c r="I84">
        <f>1000*AY84*AG84*(AU84-AV84)/(100*AN84*(1000-AG84*AU84))</f>
        <v>2.9090181953044865</v>
      </c>
      <c r="J84">
        <f>AY84*AG84*(AT84-AS84*(1000-AG84*AV84)/(1000-AG84*AU84))/(100*AN84)</f>
        <v>-2.7805891515172148</v>
      </c>
      <c r="K84">
        <f t="shared" si="37"/>
        <v>10.993002950819671</v>
      </c>
      <c r="L84">
        <f t="shared" si="38"/>
        <v>60.665048373872224</v>
      </c>
      <c r="M84">
        <f>L84*(AZ84+BA84)/1000</f>
        <v>6.0698543222827093</v>
      </c>
      <c r="N84">
        <f>(AS84 - IF(AG84&gt;1, J84*AN84*100/(AI84), 0))*(AZ84+BA84)/1000</f>
        <v>1.0999072491408</v>
      </c>
      <c r="O84">
        <f t="shared" si="39"/>
        <v>8.7713638812033895E-2</v>
      </c>
      <c r="P84">
        <f>IF(LEFT(AP84,1)&lt;&gt;"0",IF(LEFT(AP84,1)="1",3,AQ84),$D$5+$E$5*(BG84*AZ84/($K$5*1000))+$F$5*(BG84*AZ84/($K$5*1000))*MAX(MIN(AN84,$J$5),$I$5)*MAX(MIN(AN84,$J$5),$I$5)+$G$5*MAX(MIN(AN84,$J$5),$I$5)*(BG84*AZ84/($K$5*1000))+$H$5*(BG84*AZ84/($K$5*1000))*(BG84*AZ84/($K$5*1000)))</f>
        <v>2.387403721352364</v>
      </c>
      <c r="Q84">
        <f>H84*(1000-(1000*0.61365*EXP(17.502*U84/(240.97+U84))/(AZ84+BA84)+AU84)/2)/(1000*0.61365*EXP(17.502*U84/(240.97+U84))/(AZ84+BA84)-AU84)</f>
        <v>8.5961871993996644E-2</v>
      </c>
      <c r="R84">
        <f t="shared" si="40"/>
        <v>5.3880645364028701E-2</v>
      </c>
      <c r="S84">
        <f t="shared" si="41"/>
        <v>0.11030942366557377</v>
      </c>
      <c r="T84">
        <f>(BB84+(S84+2*0.95*0.0000000567*(((BB84+$B$7)+273)^4-(BB84+273)^4)-44100*H84)/(1.84*29.3*P84+8*0.95*0.0000000567*(BB84+273)^3))</f>
        <v>24.085649194724162</v>
      </c>
      <c r="U84">
        <f>($C$7*BC84+$D$7*BD84+$E$7*T84)</f>
        <v>25.159827868852449</v>
      </c>
      <c r="V84">
        <f t="shared" si="42"/>
        <v>3.2101025204754148</v>
      </c>
      <c r="W84">
        <f t="shared" si="43"/>
        <v>-3.8877418996209347</v>
      </c>
      <c r="X84">
        <f>AU84*(AZ84+BA84)/1000</f>
        <v>-0.1236210529992595</v>
      </c>
      <c r="Y84">
        <f t="shared" si="44"/>
        <v>3.1797649172984679</v>
      </c>
      <c r="Z84">
        <f>(V84-AU84*(AZ84+BA84)/1000)</f>
        <v>3.3337235734746744</v>
      </c>
      <c r="AA84">
        <f t="shared" si="45"/>
        <v>-128.28770241292784</v>
      </c>
      <c r="AB84">
        <f>2*29.3*P84*0.92*(BB84-U84)</f>
        <v>-20.5121076919574</v>
      </c>
      <c r="AC84">
        <f>2*0.95*0.0000000567*(((BB84+$B$7)+273)^4-(U84+273)^4)</f>
        <v>-1.8188412852208191</v>
      </c>
      <c r="AD84">
        <f t="shared" si="46"/>
        <v>-150.5083419664405</v>
      </c>
      <c r="AE84">
        <v>20</v>
      </c>
      <c r="AF84">
        <v>4</v>
      </c>
      <c r="AG84">
        <f t="shared" si="47"/>
        <v>1</v>
      </c>
      <c r="AH84">
        <f t="shared" si="48"/>
        <v>0</v>
      </c>
      <c r="AI84">
        <f t="shared" si="49"/>
        <v>25684.196073052979</v>
      </c>
      <c r="AJ84">
        <f t="shared" si="50"/>
        <v>0.57723403278688523</v>
      </c>
      <c r="AK84">
        <f t="shared" si="51"/>
        <v>0.46178722622950819</v>
      </c>
      <c r="AL84">
        <f t="shared" si="52"/>
        <v>0.8</v>
      </c>
      <c r="AM84">
        <f t="shared" si="53"/>
        <v>0.19109999999999999</v>
      </c>
      <c r="AN84">
        <v>3</v>
      </c>
      <c r="AO84">
        <v>0.5</v>
      </c>
      <c r="AP84" t="s">
        <v>317</v>
      </c>
      <c r="AQ84">
        <v>2</v>
      </c>
      <c r="AR84">
        <v>1775468058.6000011</v>
      </c>
      <c r="AS84">
        <v>10.993002950819671</v>
      </c>
      <c r="AT84">
        <v>9.3456150819672121</v>
      </c>
      <c r="AU84">
        <v>-1.2355283606557379</v>
      </c>
      <c r="AV84">
        <v>-2.9812113606557382</v>
      </c>
      <c r="AW84">
        <v>2.848002950819672</v>
      </c>
      <c r="AX84">
        <v>-1.7822113606557379</v>
      </c>
      <c r="AY84">
        <v>500.53973770491802</v>
      </c>
      <c r="AZ84">
        <v>100.0092131147541</v>
      </c>
      <c r="BA84">
        <v>4.599964754098361E-2</v>
      </c>
      <c r="BB84">
        <v>25.000460655737712</v>
      </c>
      <c r="BC84">
        <v>25.159827868852449</v>
      </c>
      <c r="BD84">
        <v>999.9</v>
      </c>
      <c r="BE84">
        <v>0</v>
      </c>
      <c r="BF84">
        <v>0</v>
      </c>
      <c r="BG84">
        <v>4997.9180327868853</v>
      </c>
      <c r="BH84">
        <v>0.57723403278688523</v>
      </c>
      <c r="BI84">
        <v>169.94440983606549</v>
      </c>
      <c r="BJ84">
        <v>1.645810836065573</v>
      </c>
      <c r="BK84">
        <v>10.958681967213121</v>
      </c>
      <c r="BL84">
        <v>9.3340821311475448</v>
      </c>
      <c r="BM84">
        <v>-1.750152721311476</v>
      </c>
      <c r="BN84">
        <v>9.3456150819672121</v>
      </c>
      <c r="BO84">
        <v>-1.2355283606557379</v>
      </c>
      <c r="BP84">
        <v>-0.29859581967213111</v>
      </c>
      <c r="BQ84">
        <v>-0.1235643114754098</v>
      </c>
      <c r="BR84">
        <v>-99.899999999999963</v>
      </c>
      <c r="BS84">
        <v>-99.899999999999963</v>
      </c>
      <c r="BT84">
        <v>1775468097.0999999</v>
      </c>
      <c r="BU84" t="s">
        <v>527</v>
      </c>
      <c r="BV84">
        <v>1775468092.0999999</v>
      </c>
      <c r="BW84">
        <v>1775468097.0999999</v>
      </c>
      <c r="BX84">
        <v>69</v>
      </c>
      <c r="BY84">
        <v>2E-3</v>
      </c>
      <c r="BZ84">
        <v>4.0000000000000001E-3</v>
      </c>
      <c r="CA84">
        <v>8.1449999999999996</v>
      </c>
      <c r="CB84">
        <v>-1.1990000000000001</v>
      </c>
      <c r="CC84">
        <v>10</v>
      </c>
      <c r="CD84">
        <v>-1</v>
      </c>
      <c r="CE84">
        <v>0.26</v>
      </c>
      <c r="CF84">
        <v>0.05</v>
      </c>
      <c r="CG84">
        <v>9.3408300000000004</v>
      </c>
      <c r="CH84">
        <v>1.2655727479855541</v>
      </c>
      <c r="CI84">
        <v>0.28391092971798981</v>
      </c>
      <c r="CJ84">
        <v>-1</v>
      </c>
      <c r="CK84">
        <v>500.54883333333328</v>
      </c>
      <c r="CL84">
        <v>-5.7757777160319907</v>
      </c>
      <c r="CM84">
        <v>1.3212326210357079</v>
      </c>
      <c r="CN84">
        <v>-1</v>
      </c>
      <c r="CO84">
        <v>0</v>
      </c>
      <c r="CP84">
        <v>0</v>
      </c>
      <c r="CQ84" t="s">
        <v>319</v>
      </c>
      <c r="CR84">
        <v>3.1675399999999998</v>
      </c>
      <c r="CS84">
        <v>2.6665000000000001</v>
      </c>
      <c r="CT84">
        <v>9.1826099999999997E-4</v>
      </c>
      <c r="CU84">
        <v>2.8636600000000001E-3</v>
      </c>
      <c r="CV84">
        <v>-1.70505E-2</v>
      </c>
      <c r="CW84">
        <v>-1.0867099999999999E-2</v>
      </c>
      <c r="CX84">
        <v>21523</v>
      </c>
      <c r="CY84">
        <v>21862.2</v>
      </c>
      <c r="CZ84">
        <v>23072.1</v>
      </c>
      <c r="DA84">
        <v>22280.2</v>
      </c>
      <c r="DB84">
        <v>30266</v>
      </c>
      <c r="DC84">
        <v>26862.400000000001</v>
      </c>
      <c r="DD84">
        <v>40561.199999999997</v>
      </c>
      <c r="DE84">
        <v>36927.1</v>
      </c>
      <c r="DF84">
        <v>2.0602200000000002</v>
      </c>
      <c r="DG84">
        <v>1.7677400000000001</v>
      </c>
      <c r="DH84">
        <v>-5.3733599999999999E-2</v>
      </c>
      <c r="DI84">
        <v>0</v>
      </c>
      <c r="DJ84">
        <v>26.036999999999999</v>
      </c>
      <c r="DK84">
        <v>999.9</v>
      </c>
      <c r="DL84">
        <v>72.099999999999994</v>
      </c>
      <c r="DM84">
        <v>31.9</v>
      </c>
      <c r="DN84">
        <v>34.230499999999999</v>
      </c>
      <c r="DO84">
        <v>30.605499999999999</v>
      </c>
      <c r="DP84">
        <v>10.4567</v>
      </c>
      <c r="DQ84">
        <v>1</v>
      </c>
      <c r="DR84">
        <v>0.29878300000000002</v>
      </c>
      <c r="DS84">
        <v>1.8858699999999999</v>
      </c>
      <c r="DT84">
        <v>20.3553</v>
      </c>
      <c r="DU84">
        <v>5.2084200000000003</v>
      </c>
      <c r="DV84">
        <v>11.852499999999999</v>
      </c>
      <c r="DW84">
        <v>4.9669999999999996</v>
      </c>
      <c r="DX84">
        <v>3.2922600000000002</v>
      </c>
      <c r="DY84">
        <v>894.7</v>
      </c>
      <c r="DZ84">
        <v>0</v>
      </c>
      <c r="EA84">
        <v>2064.1</v>
      </c>
      <c r="EB84">
        <v>107.8</v>
      </c>
      <c r="EC84">
        <v>4.9716199999999997</v>
      </c>
      <c r="ED84">
        <v>1.87188</v>
      </c>
      <c r="EE84">
        <v>1.8690500000000001</v>
      </c>
      <c r="EF84">
        <v>1.87147</v>
      </c>
      <c r="EG84">
        <v>1.8692</v>
      </c>
      <c r="EH84">
        <v>1.8681300000000001</v>
      </c>
      <c r="EI84">
        <v>1.8699600000000001</v>
      </c>
      <c r="EJ84">
        <v>1.8717999999999999</v>
      </c>
      <c r="EK84">
        <v>0</v>
      </c>
      <c r="EL84">
        <v>0</v>
      </c>
      <c r="EM84">
        <v>0</v>
      </c>
      <c r="EN84">
        <v>0</v>
      </c>
      <c r="EO84" t="s">
        <v>320</v>
      </c>
      <c r="EP84" t="s">
        <v>321</v>
      </c>
      <c r="EQ84" t="s">
        <v>322</v>
      </c>
      <c r="ER84" t="s">
        <v>322</v>
      </c>
      <c r="ES84" t="s">
        <v>322</v>
      </c>
      <c r="ET84" t="s">
        <v>322</v>
      </c>
      <c r="EU84">
        <v>0</v>
      </c>
      <c r="EV84">
        <v>100</v>
      </c>
      <c r="EW84">
        <v>100</v>
      </c>
      <c r="EX84">
        <v>8.1449999999999996</v>
      </c>
      <c r="EY84">
        <v>-1.1990000000000001</v>
      </c>
      <c r="EZ84">
        <v>8.1434235000000008</v>
      </c>
      <c r="FA84">
        <v>0</v>
      </c>
      <c r="FB84">
        <v>0</v>
      </c>
      <c r="FC84">
        <v>0</v>
      </c>
      <c r="FD84">
        <v>-1.203469855</v>
      </c>
      <c r="FE84">
        <v>0</v>
      </c>
      <c r="FF84">
        <v>0</v>
      </c>
      <c r="FG84">
        <v>0</v>
      </c>
      <c r="FH84">
        <v>-1</v>
      </c>
      <c r="FI84">
        <v>-1</v>
      </c>
      <c r="FJ84">
        <v>-1</v>
      </c>
      <c r="FK84">
        <v>-1</v>
      </c>
      <c r="FL84">
        <v>0.7</v>
      </c>
      <c r="FM84">
        <v>0.6</v>
      </c>
      <c r="FN84">
        <v>0.142822</v>
      </c>
      <c r="FO84">
        <v>4.99756</v>
      </c>
      <c r="FP84">
        <v>1.5979000000000001</v>
      </c>
      <c r="FQ84">
        <v>2.1496599999999999</v>
      </c>
      <c r="FR84">
        <v>1.5478499999999999</v>
      </c>
      <c r="FS84">
        <v>2.32056</v>
      </c>
      <c r="FT84">
        <v>36.4343</v>
      </c>
      <c r="FU84">
        <v>15.3841</v>
      </c>
      <c r="FV84">
        <v>2</v>
      </c>
      <c r="FW84">
        <v>490.06400000000002</v>
      </c>
      <c r="FX84">
        <v>394.01</v>
      </c>
      <c r="FY84">
        <v>24.4404</v>
      </c>
      <c r="FZ84">
        <v>30.886099999999999</v>
      </c>
      <c r="GA84">
        <v>30.0001</v>
      </c>
      <c r="GB84">
        <v>31.1693</v>
      </c>
      <c r="GC84">
        <v>31.221499999999999</v>
      </c>
      <c r="GD84">
        <v>-1</v>
      </c>
      <c r="GE84">
        <v>0</v>
      </c>
      <c r="GF84">
        <v>100</v>
      </c>
      <c r="GG84">
        <v>24.441099999999999</v>
      </c>
      <c r="GH84">
        <v>432.1</v>
      </c>
      <c r="GI84">
        <v>78.840199999999996</v>
      </c>
      <c r="GJ84">
        <v>102.087</v>
      </c>
      <c r="GK84">
        <v>96.353499999999997</v>
      </c>
    </row>
    <row r="85" spans="1:193" x14ac:dyDescent="0.35">
      <c r="A85">
        <v>69</v>
      </c>
      <c r="B85">
        <v>1775468134.0999999</v>
      </c>
      <c r="C85">
        <v>4178</v>
      </c>
      <c r="D85" t="s">
        <v>528</v>
      </c>
      <c r="E85" t="s">
        <v>529</v>
      </c>
      <c r="F85">
        <v>30</v>
      </c>
      <c r="G85">
        <v>1775468118.6000011</v>
      </c>
      <c r="H85">
        <f t="shared" si="36"/>
        <v>2.9542224073876816E-3</v>
      </c>
      <c r="I85">
        <f>1000*AY85*AG85*(AU85-AV85)/(100*AN85*(1000-AG85*AU85))</f>
        <v>2.9542224073876815</v>
      </c>
      <c r="J85">
        <f>AY85*AG85*(AT85-AS85*(1000-AG85*AV85)/(1000-AG85*AU85))/(100*AN85)</f>
        <v>-2.756078766828514</v>
      </c>
      <c r="K85">
        <f t="shared" si="37"/>
        <v>11.51466590163934</v>
      </c>
      <c r="L85">
        <f t="shared" si="38"/>
        <v>60.000653823213369</v>
      </c>
      <c r="M85">
        <f>L85*(AZ85+BA85)/1000</f>
        <v>6.0034938063035996</v>
      </c>
      <c r="N85">
        <f>(AS85 - IF(AG85&gt;1, J85*AN85*100/(AI85), 0))*(AZ85+BA85)/1000</f>
        <v>1.1521245356063494</v>
      </c>
      <c r="O85">
        <f t="shared" si="39"/>
        <v>8.9011841038739145E-2</v>
      </c>
      <c r="P85">
        <f>IF(LEFT(AP85,1)&lt;&gt;"0",IF(LEFT(AP85,1)="1",3,AQ85),$D$5+$E$5*(BG85*AZ85/($K$5*1000))+$F$5*(BG85*AZ85/($K$5*1000))*MAX(MIN(AN85,$J$5),$I$5)*MAX(MIN(AN85,$J$5),$I$5)+$G$5*MAX(MIN(AN85,$J$5),$I$5)*(BG85*AZ85/($K$5*1000))+$H$5*(BG85*AZ85/($K$5*1000))*(BG85*AZ85/($K$5*1000)))</f>
        <v>2.3870296036311038</v>
      </c>
      <c r="Q85">
        <f>H85*(1000-(1000*0.61365*EXP(17.502*U85/(240.97+U85))/(AZ85+BA85)+AU85)/2)/(1000*0.61365*EXP(17.502*U85/(240.97+U85))/(AZ85+BA85)-AU85)</f>
        <v>8.7208134580928187E-2</v>
      </c>
      <c r="R85">
        <f t="shared" si="40"/>
        <v>5.4664095761321224E-2</v>
      </c>
      <c r="S85">
        <f t="shared" si="41"/>
        <v>0.11086066258032787</v>
      </c>
      <c r="T85">
        <f>(BB85+(S85+2*0.95*0.0000000567*(((BB85+$B$7)+273)^4-(BB85+273)^4)-44100*H85)/(1.84*29.3*P85+8*0.95*0.0000000567*(BB85+273)^3))</f>
        <v>24.068089140966727</v>
      </c>
      <c r="U85">
        <f>($C$7*BC85+$D$7*BD85+$E$7*T85)</f>
        <v>25.166039344262291</v>
      </c>
      <c r="V85">
        <f t="shared" si="42"/>
        <v>3.2112900581763761</v>
      </c>
      <c r="W85">
        <f t="shared" si="43"/>
        <v>-3.9614372881207558</v>
      </c>
      <c r="X85">
        <f>AU85*(AZ85+BA85)/1000</f>
        <v>-0.12594036357044083</v>
      </c>
      <c r="Y85">
        <f t="shared" si="44"/>
        <v>3.1791583309447002</v>
      </c>
      <c r="Z85">
        <f>(V85-AU85*(AZ85+BA85)/1000)</f>
        <v>3.3372304217468169</v>
      </c>
      <c r="AA85">
        <f t="shared" si="45"/>
        <v>-130.28120816579676</v>
      </c>
      <c r="AB85">
        <f>2*29.3*P85*0.92*(BB85-U85)</f>
        <v>-21.720051786507003</v>
      </c>
      <c r="AC85">
        <f>2*0.95*0.0000000567*(((BB85+$B$7)+273)^4-(U85+273)^4)</f>
        <v>-1.9262826748019901</v>
      </c>
      <c r="AD85">
        <f t="shared" si="46"/>
        <v>-153.81668196452543</v>
      </c>
      <c r="AE85">
        <v>20</v>
      </c>
      <c r="AF85">
        <v>4</v>
      </c>
      <c r="AG85">
        <f t="shared" si="47"/>
        <v>1</v>
      </c>
      <c r="AH85">
        <f t="shared" si="48"/>
        <v>0</v>
      </c>
      <c r="AI85">
        <f t="shared" si="49"/>
        <v>25678.648697832617</v>
      </c>
      <c r="AJ85">
        <f t="shared" si="50"/>
        <v>0.58011859016393441</v>
      </c>
      <c r="AK85">
        <f t="shared" si="51"/>
        <v>0.46409487213114753</v>
      </c>
      <c r="AL85">
        <f t="shared" si="52"/>
        <v>0.8</v>
      </c>
      <c r="AM85">
        <f t="shared" si="53"/>
        <v>0.19109999999999999</v>
      </c>
      <c r="AN85">
        <v>3</v>
      </c>
      <c r="AO85">
        <v>0.5</v>
      </c>
      <c r="AP85" t="s">
        <v>317</v>
      </c>
      <c r="AQ85">
        <v>2</v>
      </c>
      <c r="AR85">
        <v>1775468118.6000011</v>
      </c>
      <c r="AS85">
        <v>11.51466590163934</v>
      </c>
      <c r="AT85">
        <v>9.881812786885245</v>
      </c>
      <c r="AU85">
        <v>-1.258684426229508</v>
      </c>
      <c r="AV85">
        <v>-3.0330316393442618</v>
      </c>
      <c r="AW85">
        <v>3.3966659016393441</v>
      </c>
      <c r="AX85">
        <v>-1.8350316393442621</v>
      </c>
      <c r="AY85">
        <v>500.11759016393438</v>
      </c>
      <c r="AZ85">
        <v>100.01157377049179</v>
      </c>
      <c r="BA85">
        <v>4.5566006557377053E-2</v>
      </c>
      <c r="BB85">
        <v>24.997260655737701</v>
      </c>
      <c r="BC85">
        <v>25.166039344262291</v>
      </c>
      <c r="BD85">
        <v>999.9</v>
      </c>
      <c r="BE85">
        <v>0</v>
      </c>
      <c r="BF85">
        <v>0</v>
      </c>
      <c r="BG85">
        <v>4996.8360655737706</v>
      </c>
      <c r="BH85">
        <v>0.58011859016393441</v>
      </c>
      <c r="BI85">
        <v>167.9506393442623</v>
      </c>
      <c r="BJ85">
        <v>1.660137704918033</v>
      </c>
      <c r="BK85">
        <v>11.50704098360656</v>
      </c>
      <c r="BL85">
        <v>9.8693960655737705</v>
      </c>
      <c r="BM85">
        <v>-1.7757155737704919</v>
      </c>
      <c r="BN85">
        <v>9.881812786885245</v>
      </c>
      <c r="BO85">
        <v>-1.258684426229508</v>
      </c>
      <c r="BP85">
        <v>-0.3034751967213114</v>
      </c>
      <c r="BQ85">
        <v>-0.12588291803278689</v>
      </c>
      <c r="BR85">
        <v>-99.899999999999963</v>
      </c>
      <c r="BS85">
        <v>-99.899999999999963</v>
      </c>
      <c r="BT85">
        <v>1775468160.0999999</v>
      </c>
      <c r="BU85" t="s">
        <v>530</v>
      </c>
      <c r="BV85">
        <v>1775468152.0999999</v>
      </c>
      <c r="BW85">
        <v>1775468160.0999999</v>
      </c>
      <c r="BX85">
        <v>70</v>
      </c>
      <c r="BY85">
        <v>-2.7E-2</v>
      </c>
      <c r="BZ85">
        <v>1E-3</v>
      </c>
      <c r="CA85">
        <v>8.1180000000000003</v>
      </c>
      <c r="CB85">
        <v>-1.198</v>
      </c>
      <c r="CC85">
        <v>10</v>
      </c>
      <c r="CD85">
        <v>-1</v>
      </c>
      <c r="CE85">
        <v>0.13</v>
      </c>
      <c r="CF85">
        <v>0.05</v>
      </c>
      <c r="CG85">
        <v>9.881812786885245</v>
      </c>
      <c r="CH85">
        <v>2.0641985616076068</v>
      </c>
      <c r="CI85">
        <v>0.36917712217597509</v>
      </c>
      <c r="CJ85">
        <v>-1</v>
      </c>
      <c r="CK85">
        <v>500.11759016393438</v>
      </c>
      <c r="CL85">
        <v>-1.323864621892942</v>
      </c>
      <c r="CM85">
        <v>0.45024723179528708</v>
      </c>
      <c r="CN85">
        <v>-1</v>
      </c>
      <c r="CO85">
        <v>0</v>
      </c>
      <c r="CP85">
        <v>0</v>
      </c>
      <c r="CQ85" t="s">
        <v>319</v>
      </c>
      <c r="CR85">
        <v>3.1676600000000001</v>
      </c>
      <c r="CS85">
        <v>2.6669100000000001</v>
      </c>
      <c r="CT85">
        <v>1.1195300000000001E-3</v>
      </c>
      <c r="CU85">
        <v>3.0606600000000002E-3</v>
      </c>
      <c r="CV85">
        <v>-1.6972899999999999E-2</v>
      </c>
      <c r="CW85">
        <v>-1.10244E-2</v>
      </c>
      <c r="CX85">
        <v>21518.9</v>
      </c>
      <c r="CY85">
        <v>21858.7</v>
      </c>
      <c r="CZ85">
        <v>23072.400000000001</v>
      </c>
      <c r="DA85">
        <v>22281</v>
      </c>
      <c r="DB85">
        <v>30264</v>
      </c>
      <c r="DC85">
        <v>26867.5</v>
      </c>
      <c r="DD85">
        <v>40561.5</v>
      </c>
      <c r="DE85">
        <v>36928.400000000001</v>
      </c>
      <c r="DF85">
        <v>2.0606200000000001</v>
      </c>
      <c r="DG85">
        <v>1.76806</v>
      </c>
      <c r="DH85">
        <v>-5.0634100000000001E-2</v>
      </c>
      <c r="DI85">
        <v>0</v>
      </c>
      <c r="DJ85">
        <v>25.9938</v>
      </c>
      <c r="DK85">
        <v>999.9</v>
      </c>
      <c r="DL85">
        <v>72</v>
      </c>
      <c r="DM85">
        <v>31.9</v>
      </c>
      <c r="DN85">
        <v>34.1828</v>
      </c>
      <c r="DO85">
        <v>30.545500000000001</v>
      </c>
      <c r="DP85">
        <v>10.348599999999999</v>
      </c>
      <c r="DQ85">
        <v>1</v>
      </c>
      <c r="DR85">
        <v>0.29825600000000002</v>
      </c>
      <c r="DS85">
        <v>1.8188500000000001</v>
      </c>
      <c r="DT85">
        <v>20.3567</v>
      </c>
      <c r="DU85">
        <v>5.2114200000000004</v>
      </c>
      <c r="DV85">
        <v>11.8515</v>
      </c>
      <c r="DW85">
        <v>4.9677600000000002</v>
      </c>
      <c r="DX85">
        <v>3.2929599999999999</v>
      </c>
      <c r="DY85">
        <v>894.7</v>
      </c>
      <c r="DZ85">
        <v>0</v>
      </c>
      <c r="EA85">
        <v>2099.6</v>
      </c>
      <c r="EB85">
        <v>107.8</v>
      </c>
      <c r="EC85">
        <v>4.9715999999999996</v>
      </c>
      <c r="ED85">
        <v>1.87192</v>
      </c>
      <c r="EE85">
        <v>1.8690599999999999</v>
      </c>
      <c r="EF85">
        <v>1.8714900000000001</v>
      </c>
      <c r="EG85">
        <v>1.8692</v>
      </c>
      <c r="EH85">
        <v>1.8681300000000001</v>
      </c>
      <c r="EI85">
        <v>1.8699600000000001</v>
      </c>
      <c r="EJ85">
        <v>1.8717999999999999</v>
      </c>
      <c r="EK85">
        <v>0</v>
      </c>
      <c r="EL85">
        <v>0</v>
      </c>
      <c r="EM85">
        <v>0</v>
      </c>
      <c r="EN85">
        <v>0</v>
      </c>
      <c r="EO85" t="s">
        <v>320</v>
      </c>
      <c r="EP85" t="s">
        <v>321</v>
      </c>
      <c r="EQ85" t="s">
        <v>322</v>
      </c>
      <c r="ER85" t="s">
        <v>322</v>
      </c>
      <c r="ES85" t="s">
        <v>322</v>
      </c>
      <c r="ET85" t="s">
        <v>322</v>
      </c>
      <c r="EU85">
        <v>0</v>
      </c>
      <c r="EV85">
        <v>100</v>
      </c>
      <c r="EW85">
        <v>100</v>
      </c>
      <c r="EX85">
        <v>8.1180000000000003</v>
      </c>
      <c r="EY85">
        <v>-1.198</v>
      </c>
      <c r="EZ85">
        <v>8.1452875000000002</v>
      </c>
      <c r="FA85">
        <v>0</v>
      </c>
      <c r="FB85">
        <v>0</v>
      </c>
      <c r="FC85">
        <v>0</v>
      </c>
      <c r="FD85">
        <v>-1.1993692149999999</v>
      </c>
      <c r="FE85">
        <v>0</v>
      </c>
      <c r="FF85">
        <v>0</v>
      </c>
      <c r="FG85">
        <v>0</v>
      </c>
      <c r="FH85">
        <v>-1</v>
      </c>
      <c r="FI85">
        <v>-1</v>
      </c>
      <c r="FJ85">
        <v>-1</v>
      </c>
      <c r="FK85">
        <v>-1</v>
      </c>
      <c r="FL85">
        <v>0.7</v>
      </c>
      <c r="FM85">
        <v>0.6</v>
      </c>
      <c r="FN85">
        <v>0.14160200000000001</v>
      </c>
      <c r="FO85">
        <v>4.99756</v>
      </c>
      <c r="FP85">
        <v>1.5979000000000001</v>
      </c>
      <c r="FQ85">
        <v>2.1496599999999999</v>
      </c>
      <c r="FR85">
        <v>1.5478499999999999</v>
      </c>
      <c r="FS85">
        <v>2.3938000000000001</v>
      </c>
      <c r="FT85">
        <v>36.457799999999999</v>
      </c>
      <c r="FU85">
        <v>15.3841</v>
      </c>
      <c r="FV85">
        <v>2</v>
      </c>
      <c r="FW85">
        <v>490.33499999999998</v>
      </c>
      <c r="FX85">
        <v>394.22399999999999</v>
      </c>
      <c r="FY85">
        <v>24.456099999999999</v>
      </c>
      <c r="FZ85">
        <v>30.880700000000001</v>
      </c>
      <c r="GA85">
        <v>30</v>
      </c>
      <c r="GB85">
        <v>31.174600000000002</v>
      </c>
      <c r="GC85">
        <v>31.226800000000001</v>
      </c>
      <c r="GD85">
        <v>-1</v>
      </c>
      <c r="GE85">
        <v>0</v>
      </c>
      <c r="GF85">
        <v>100</v>
      </c>
      <c r="GG85">
        <v>24.461099999999998</v>
      </c>
      <c r="GH85">
        <v>432.1</v>
      </c>
      <c r="GI85">
        <v>78.840199999999996</v>
      </c>
      <c r="GJ85">
        <v>102.08799999999999</v>
      </c>
      <c r="GK85">
        <v>96.356899999999996</v>
      </c>
    </row>
    <row r="86" spans="1:193" x14ac:dyDescent="0.35">
      <c r="A86">
        <v>70</v>
      </c>
      <c r="B86">
        <v>1775468194.0999999</v>
      </c>
      <c r="C86">
        <v>4238</v>
      </c>
      <c r="D86" t="s">
        <v>531</v>
      </c>
      <c r="E86" t="s">
        <v>532</v>
      </c>
      <c r="F86">
        <v>30</v>
      </c>
      <c r="G86">
        <v>1775468178.6000011</v>
      </c>
      <c r="H86">
        <f t="shared" si="36"/>
        <v>2.8224806679028229E-3</v>
      </c>
      <c r="I86">
        <f>1000*AY86*AG86*(AU86-AV86)/(100*AN86*(1000-AG86*AU86))</f>
        <v>2.8224806679028229</v>
      </c>
      <c r="J86">
        <f>AY86*AG86*(AT86-AS86*(1000-AG86*AV86)/(1000-AG86*AU86))/(100*AN86)</f>
        <v>-2.7324113923171169</v>
      </c>
      <c r="K86">
        <f t="shared" si="37"/>
        <v>11.97098672131148</v>
      </c>
      <c r="L86">
        <f t="shared" si="38"/>
        <v>62.290487324160786</v>
      </c>
      <c r="M86">
        <f>L86*(AZ86+BA86)/1000</f>
        <v>6.2328363239807398</v>
      </c>
      <c r="N86">
        <f>(AS86 - IF(AG86&gt;1, J86*AN86*100/(AI86), 0))*(AZ86+BA86)/1000</f>
        <v>1.1978265715307841</v>
      </c>
      <c r="O86">
        <f t="shared" si="39"/>
        <v>8.4961701216365176E-2</v>
      </c>
      <c r="P86">
        <f>IF(LEFT(AP86,1)&lt;&gt;"0",IF(LEFT(AP86,1)="1",3,AQ86),$D$5+$E$5*(BG86*AZ86/($K$5*1000))+$F$5*(BG86*AZ86/($K$5*1000))*MAX(MIN(AN86,$J$5),$I$5)*MAX(MIN(AN86,$J$5),$I$5)+$G$5*MAX(MIN(AN86,$J$5),$I$5)*(BG86*AZ86/($K$5*1000))+$H$5*(BG86*AZ86/($K$5*1000))*(BG86*AZ86/($K$5*1000)))</f>
        <v>2.3881788482471213</v>
      </c>
      <c r="Q86">
        <f>H86*(1000-(1000*0.61365*EXP(17.502*U86/(240.97+U86))/(AZ86+BA86)+AU86)/2)/(1000*0.61365*EXP(17.502*U86/(240.97+U86))/(AZ86+BA86)-AU86)</f>
        <v>8.3317542367530653E-2</v>
      </c>
      <c r="R86">
        <f t="shared" si="40"/>
        <v>5.2218535029274003E-2</v>
      </c>
      <c r="S86">
        <f t="shared" si="41"/>
        <v>0.11285426163934427</v>
      </c>
      <c r="T86">
        <f>(BB86+(S86+2*0.95*0.0000000567*(((BB86+$B$7)+273)^4-(BB86+273)^4)-44100*H86)/(1.84*29.3*P86+8*0.95*0.0000000567*(BB86+273)^3))</f>
        <v>24.10113098856576</v>
      </c>
      <c r="U86">
        <f>($C$7*BC86+$D$7*BD86+$E$7*T86)</f>
        <v>25.170526229508191</v>
      </c>
      <c r="V86">
        <f t="shared" si="42"/>
        <v>3.2121481197812232</v>
      </c>
      <c r="W86">
        <f t="shared" si="43"/>
        <v>-3.9416137260698787</v>
      </c>
      <c r="X86">
        <f>AU86*(AZ86+BA86)/1000</f>
        <v>-0.12524419079085364</v>
      </c>
      <c r="Y86">
        <f t="shared" si="44"/>
        <v>3.1774851493561411</v>
      </c>
      <c r="Z86">
        <f>(V86-AU86*(AZ86+BA86)/1000)</f>
        <v>3.3373923105720769</v>
      </c>
      <c r="AA86">
        <f t="shared" si="45"/>
        <v>-124.47139745451449</v>
      </c>
      <c r="AB86">
        <f>2*29.3*P86*0.92*(BB86-U86)</f>
        <v>-23.445014593856861</v>
      </c>
      <c r="AC86">
        <f>2*0.95*0.0000000567*(((BB86+$B$7)+273)^4-(U86+273)^4)</f>
        <v>-2.0782181923736252</v>
      </c>
      <c r="AD86">
        <f t="shared" si="46"/>
        <v>-149.88177597910564</v>
      </c>
      <c r="AE86">
        <v>20</v>
      </c>
      <c r="AF86">
        <v>4</v>
      </c>
      <c r="AG86">
        <f t="shared" si="47"/>
        <v>1</v>
      </c>
      <c r="AH86">
        <f t="shared" si="48"/>
        <v>0</v>
      </c>
      <c r="AI86">
        <f t="shared" si="49"/>
        <v>25696.867458405053</v>
      </c>
      <c r="AJ86">
        <f t="shared" si="50"/>
        <v>0.59055081967213119</v>
      </c>
      <c r="AK86">
        <f t="shared" si="51"/>
        <v>0.472440655737705</v>
      </c>
      <c r="AL86">
        <f t="shared" si="52"/>
        <v>0.8</v>
      </c>
      <c r="AM86">
        <f t="shared" si="53"/>
        <v>0.19109999999999999</v>
      </c>
      <c r="AN86">
        <v>3</v>
      </c>
      <c r="AO86">
        <v>0.5</v>
      </c>
      <c r="AP86" t="s">
        <v>317</v>
      </c>
      <c r="AQ86">
        <v>2</v>
      </c>
      <c r="AR86">
        <v>1775468178.6000011</v>
      </c>
      <c r="AS86">
        <v>11.97098672131148</v>
      </c>
      <c r="AT86">
        <v>10.35359344262295</v>
      </c>
      <c r="AU86">
        <v>-1.251680819672131</v>
      </c>
      <c r="AV86">
        <v>-2.9454240327868848</v>
      </c>
      <c r="AW86">
        <v>3.8619867213114758</v>
      </c>
      <c r="AX86">
        <v>-1.7434240327868851</v>
      </c>
      <c r="AY86">
        <v>500.55052459016389</v>
      </c>
      <c r="AZ86">
        <v>100.0150655737705</v>
      </c>
      <c r="BA86">
        <v>4.573972295081967E-2</v>
      </c>
      <c r="BB86">
        <v>24.988431147540979</v>
      </c>
      <c r="BC86">
        <v>25.170526229508191</v>
      </c>
      <c r="BD86">
        <v>999.9</v>
      </c>
      <c r="BE86">
        <v>0</v>
      </c>
      <c r="BF86">
        <v>0</v>
      </c>
      <c r="BG86">
        <v>4999.622950819672</v>
      </c>
      <c r="BH86">
        <v>0.59055081967213119</v>
      </c>
      <c r="BI86">
        <v>165.63190163934431</v>
      </c>
      <c r="BJ86">
        <v>1.626353737704918</v>
      </c>
      <c r="BK86">
        <v>11.944781967213119</v>
      </c>
      <c r="BL86">
        <v>10.34065737704918</v>
      </c>
      <c r="BM86">
        <v>-1.6899654590163931</v>
      </c>
      <c r="BN86">
        <v>10.35359344262295</v>
      </c>
      <c r="BO86">
        <v>-1.251680819672131</v>
      </c>
      <c r="BP86">
        <v>-0.29420895081967219</v>
      </c>
      <c r="BQ86">
        <v>-0.12518696721311481</v>
      </c>
      <c r="BR86">
        <v>-99.899999999999963</v>
      </c>
      <c r="BS86">
        <v>-99.899999999999963</v>
      </c>
      <c r="BT86">
        <v>1775468223.0999999</v>
      </c>
      <c r="BU86" t="s">
        <v>533</v>
      </c>
      <c r="BV86">
        <v>1775468213.5999999</v>
      </c>
      <c r="BW86">
        <v>1775468223.0999999</v>
      </c>
      <c r="BX86">
        <v>71</v>
      </c>
      <c r="BY86">
        <v>-8.9999999999999993E-3</v>
      </c>
      <c r="BZ86">
        <v>-3.0000000000000001E-3</v>
      </c>
      <c r="CA86">
        <v>8.109</v>
      </c>
      <c r="CB86">
        <v>-1.202</v>
      </c>
      <c r="CC86">
        <v>10</v>
      </c>
      <c r="CD86">
        <v>-1</v>
      </c>
      <c r="CE86">
        <v>0.43</v>
      </c>
      <c r="CF86">
        <v>0.05</v>
      </c>
      <c r="CG86">
        <v>10.35359344262295</v>
      </c>
      <c r="CH86">
        <v>0.15311454257006349</v>
      </c>
      <c r="CI86">
        <v>8.5925770230983078E-2</v>
      </c>
      <c r="CJ86">
        <v>-1</v>
      </c>
      <c r="CK86">
        <v>500.55052459016389</v>
      </c>
      <c r="CL86">
        <v>-5.8400655737701239</v>
      </c>
      <c r="CM86">
        <v>1.363888253277411</v>
      </c>
      <c r="CN86">
        <v>-1</v>
      </c>
      <c r="CO86">
        <v>0</v>
      </c>
      <c r="CP86">
        <v>0</v>
      </c>
      <c r="CQ86" t="s">
        <v>319</v>
      </c>
      <c r="CR86">
        <v>3.1675599999999999</v>
      </c>
      <c r="CS86">
        <v>2.66689</v>
      </c>
      <c r="CT86">
        <v>1.1636400000000001E-3</v>
      </c>
      <c r="CU86">
        <v>3.09625E-3</v>
      </c>
      <c r="CV86">
        <v>-1.6462600000000001E-2</v>
      </c>
      <c r="CW86">
        <v>-1.09467E-2</v>
      </c>
      <c r="CX86">
        <v>21518.6</v>
      </c>
      <c r="CY86">
        <v>21859</v>
      </c>
      <c r="CZ86">
        <v>23073</v>
      </c>
      <c r="DA86">
        <v>22282</v>
      </c>
      <c r="DB86">
        <v>30249.5</v>
      </c>
      <c r="DC86">
        <v>26866.6</v>
      </c>
      <c r="DD86">
        <v>40562.300000000003</v>
      </c>
      <c r="DE86">
        <v>36930</v>
      </c>
      <c r="DF86">
        <v>2.0603600000000002</v>
      </c>
      <c r="DG86">
        <v>1.7681199999999999</v>
      </c>
      <c r="DH86">
        <v>-4.8398999999999998E-2</v>
      </c>
      <c r="DI86">
        <v>0</v>
      </c>
      <c r="DJ86">
        <v>25.971800000000002</v>
      </c>
      <c r="DK86">
        <v>999.9</v>
      </c>
      <c r="DL86">
        <v>71.900000000000006</v>
      </c>
      <c r="DM86">
        <v>31.9</v>
      </c>
      <c r="DN86">
        <v>34.132599999999996</v>
      </c>
      <c r="DO86">
        <v>30.965499999999999</v>
      </c>
      <c r="DP86">
        <v>10.412699999999999</v>
      </c>
      <c r="DQ86">
        <v>1</v>
      </c>
      <c r="DR86">
        <v>0.296817</v>
      </c>
      <c r="DS86">
        <v>1.7025600000000001</v>
      </c>
      <c r="DT86">
        <v>20.357800000000001</v>
      </c>
      <c r="DU86">
        <v>5.2092599999999996</v>
      </c>
      <c r="DV86">
        <v>11.852399999999999</v>
      </c>
      <c r="DW86">
        <v>4.9672400000000003</v>
      </c>
      <c r="DX86">
        <v>3.2922400000000001</v>
      </c>
      <c r="DY86">
        <v>894.7</v>
      </c>
      <c r="DZ86">
        <v>0</v>
      </c>
      <c r="EA86">
        <v>2134.3000000000002</v>
      </c>
      <c r="EB86">
        <v>107.8</v>
      </c>
      <c r="EC86">
        <v>4.9715999999999996</v>
      </c>
      <c r="ED86">
        <v>1.87191</v>
      </c>
      <c r="EE86">
        <v>1.8690500000000001</v>
      </c>
      <c r="EF86">
        <v>1.87148</v>
      </c>
      <c r="EG86">
        <v>1.8692</v>
      </c>
      <c r="EH86">
        <v>1.8681300000000001</v>
      </c>
      <c r="EI86">
        <v>1.8699600000000001</v>
      </c>
      <c r="EJ86">
        <v>1.87178</v>
      </c>
      <c r="EK86">
        <v>0</v>
      </c>
      <c r="EL86">
        <v>0</v>
      </c>
      <c r="EM86">
        <v>0</v>
      </c>
      <c r="EN86">
        <v>0</v>
      </c>
      <c r="EO86" t="s">
        <v>320</v>
      </c>
      <c r="EP86" t="s">
        <v>321</v>
      </c>
      <c r="EQ86" t="s">
        <v>322</v>
      </c>
      <c r="ER86" t="s">
        <v>322</v>
      </c>
      <c r="ES86" t="s">
        <v>322</v>
      </c>
      <c r="ET86" t="s">
        <v>322</v>
      </c>
      <c r="EU86">
        <v>0</v>
      </c>
      <c r="EV86">
        <v>100</v>
      </c>
      <c r="EW86">
        <v>100</v>
      </c>
      <c r="EX86">
        <v>8.109</v>
      </c>
      <c r="EY86">
        <v>-1.202</v>
      </c>
      <c r="EZ86">
        <v>8.1179624999999991</v>
      </c>
      <c r="FA86">
        <v>0</v>
      </c>
      <c r="FB86">
        <v>0</v>
      </c>
      <c r="FC86">
        <v>0</v>
      </c>
      <c r="FD86">
        <v>-1.19822213</v>
      </c>
      <c r="FE86">
        <v>0</v>
      </c>
      <c r="FF86">
        <v>0</v>
      </c>
      <c r="FG86">
        <v>0</v>
      </c>
      <c r="FH86">
        <v>-1</v>
      </c>
      <c r="FI86">
        <v>-1</v>
      </c>
      <c r="FJ86">
        <v>-1</v>
      </c>
      <c r="FK86">
        <v>-1</v>
      </c>
      <c r="FL86">
        <v>0.7</v>
      </c>
      <c r="FM86">
        <v>0.6</v>
      </c>
      <c r="FN86">
        <v>0.142822</v>
      </c>
      <c r="FO86">
        <v>4.99756</v>
      </c>
      <c r="FP86">
        <v>1.5979000000000001</v>
      </c>
      <c r="FQ86">
        <v>2.1508799999999999</v>
      </c>
      <c r="FR86">
        <v>1.5478499999999999</v>
      </c>
      <c r="FS86">
        <v>2.4169900000000002</v>
      </c>
      <c r="FT86">
        <v>36.481400000000001</v>
      </c>
      <c r="FU86">
        <v>15.3841</v>
      </c>
      <c r="FV86">
        <v>2</v>
      </c>
      <c r="FW86">
        <v>490.20400000000001</v>
      </c>
      <c r="FX86">
        <v>394.29</v>
      </c>
      <c r="FY86">
        <v>24.555399999999999</v>
      </c>
      <c r="FZ86">
        <v>30.872699999999998</v>
      </c>
      <c r="GA86">
        <v>30.0001</v>
      </c>
      <c r="GB86">
        <v>31.177299999999999</v>
      </c>
      <c r="GC86">
        <v>31.232099999999999</v>
      </c>
      <c r="GD86">
        <v>-1</v>
      </c>
      <c r="GE86">
        <v>0</v>
      </c>
      <c r="GF86">
        <v>100</v>
      </c>
      <c r="GG86">
        <v>24.558700000000002</v>
      </c>
      <c r="GH86">
        <v>432.1</v>
      </c>
      <c r="GI86">
        <v>78.840199999999996</v>
      </c>
      <c r="GJ86">
        <v>102.09</v>
      </c>
      <c r="GK86">
        <v>96.361199999999997</v>
      </c>
    </row>
    <row r="87" spans="1:193" x14ac:dyDescent="0.35">
      <c r="A87">
        <v>71</v>
      </c>
      <c r="B87">
        <v>1775468254.0999999</v>
      </c>
      <c r="C87">
        <v>4298</v>
      </c>
      <c r="D87" t="s">
        <v>534</v>
      </c>
      <c r="E87" t="s">
        <v>535</v>
      </c>
      <c r="F87">
        <v>30</v>
      </c>
      <c r="G87">
        <v>1775468238.6000011</v>
      </c>
      <c r="H87">
        <f t="shared" si="36"/>
        <v>2.5926913678892142E-3</v>
      </c>
      <c r="I87">
        <f>1000*AY87*AG87*(AU87-AV87)/(100*AN87*(1000-AG87*AU87))</f>
        <v>2.5926913678892141</v>
      </c>
      <c r="J87">
        <f>AY87*AG87*(AT87-AS87*(1000-AG87*AV87)/(1000-AG87*AU87))/(100*AN87)</f>
        <v>-3.050051243833011</v>
      </c>
      <c r="K87">
        <f t="shared" si="37"/>
        <v>11.29175967213115</v>
      </c>
      <c r="L87">
        <f t="shared" si="38"/>
        <v>72.65178543177278</v>
      </c>
      <c r="M87">
        <f>L87*(AZ87+BA87)/1000</f>
        <v>7.2700288265143467</v>
      </c>
      <c r="N87">
        <f>(AS87 - IF(AG87&gt;1, J87*AN87*100/(AI87), 0))*(AZ87+BA87)/1000</f>
        <v>1.1299298128819919</v>
      </c>
      <c r="O87">
        <f t="shared" si="39"/>
        <v>7.7883152677061307E-2</v>
      </c>
      <c r="P87">
        <f>IF(LEFT(AP87,1)&lt;&gt;"0",IF(LEFT(AP87,1)="1",3,AQ87),$D$5+$E$5*(BG87*AZ87/($K$5*1000))+$F$5*(BG87*AZ87/($K$5*1000))*MAX(MIN(AN87,$J$5),$I$5)*MAX(MIN(AN87,$J$5),$I$5)+$G$5*MAX(MIN(AN87,$J$5),$I$5)*(BG87*AZ87/($K$5*1000))+$H$5*(BG87*AZ87/($K$5*1000))*(BG87*AZ87/($K$5*1000)))</f>
        <v>2.3873167511894451</v>
      </c>
      <c r="Q87">
        <f>H87*(1000-(1000*0.61365*EXP(17.502*U87/(240.97+U87))/(AZ87+BA87)+AU87)/2)/(1000*0.61365*EXP(17.502*U87/(240.97+U87))/(AZ87+BA87)-AU87)</f>
        <v>7.6498650633866794E-2</v>
      </c>
      <c r="R87">
        <f t="shared" si="40"/>
        <v>4.793399864211096E-2</v>
      </c>
      <c r="S87">
        <f t="shared" si="41"/>
        <v>0.11471342341475407</v>
      </c>
      <c r="T87">
        <f>(BB87+(S87+2*0.95*0.0000000567*(((BB87+$B$7)+273)^4-(BB87+273)^4)-44100*H87)/(1.84*29.3*P87+8*0.95*0.0000000567*(BB87+273)^3))</f>
        <v>24.188672018107106</v>
      </c>
      <c r="U87">
        <f>($C$7*BC87+$D$7*BD87+$E$7*T87)</f>
        <v>25.18280491803278</v>
      </c>
      <c r="V87">
        <f t="shared" si="42"/>
        <v>3.2144972922618131</v>
      </c>
      <c r="W87">
        <f t="shared" si="43"/>
        <v>-3.9178114844982783</v>
      </c>
      <c r="X87">
        <f>AU87*(AZ87+BA87)/1000</f>
        <v>-0.12460285153681316</v>
      </c>
      <c r="Y87">
        <f t="shared" si="44"/>
        <v>3.1804197835917574</v>
      </c>
      <c r="Z87">
        <f>(V87-AU87*(AZ87+BA87)/1000)</f>
        <v>3.3391001437986265</v>
      </c>
      <c r="AA87">
        <f t="shared" si="45"/>
        <v>-114.33768932391435</v>
      </c>
      <c r="AB87">
        <f>2*29.3*P87*0.92*(BB87-U87)</f>
        <v>-23.024062250439307</v>
      </c>
      <c r="AC87">
        <f>2*0.95*0.0000000567*(((BB87+$B$7)+273)^4-(U87+273)^4)</f>
        <v>-2.0419262790751715</v>
      </c>
      <c r="AD87">
        <f t="shared" si="46"/>
        <v>-139.28896443001406</v>
      </c>
      <c r="AE87">
        <v>20</v>
      </c>
      <c r="AF87">
        <v>4</v>
      </c>
      <c r="AG87">
        <f t="shared" si="47"/>
        <v>1</v>
      </c>
      <c r="AH87">
        <f t="shared" si="48"/>
        <v>0</v>
      </c>
      <c r="AI87">
        <f t="shared" si="49"/>
        <v>25682.154158371868</v>
      </c>
      <c r="AJ87">
        <f t="shared" si="50"/>
        <v>0.60027955737704908</v>
      </c>
      <c r="AK87">
        <f t="shared" si="51"/>
        <v>0.4802236459016393</v>
      </c>
      <c r="AL87">
        <f t="shared" si="52"/>
        <v>0.8</v>
      </c>
      <c r="AM87">
        <f t="shared" si="53"/>
        <v>0.19109999999999999</v>
      </c>
      <c r="AN87">
        <v>3</v>
      </c>
      <c r="AO87">
        <v>0.5</v>
      </c>
      <c r="AP87" t="s">
        <v>317</v>
      </c>
      <c r="AQ87">
        <v>2</v>
      </c>
      <c r="AR87">
        <v>1775468238.6000011</v>
      </c>
      <c r="AS87">
        <v>11.29175967213115</v>
      </c>
      <c r="AT87">
        <v>9.4819557377049186</v>
      </c>
      <c r="AU87">
        <v>-1.245197213114754</v>
      </c>
      <c r="AV87">
        <v>-2.8004621786885249</v>
      </c>
      <c r="AW87">
        <v>3.174759672131148</v>
      </c>
      <c r="AX87">
        <v>-1.6004621786885249</v>
      </c>
      <c r="AY87">
        <v>500.73521311475412</v>
      </c>
      <c r="AZ87">
        <v>100.0194918032787</v>
      </c>
      <c r="BA87">
        <v>4.72688868852459E-2</v>
      </c>
      <c r="BB87">
        <v>25.003914754098361</v>
      </c>
      <c r="BC87">
        <v>25.18280491803278</v>
      </c>
      <c r="BD87">
        <v>999.9</v>
      </c>
      <c r="BE87">
        <v>0</v>
      </c>
      <c r="BF87">
        <v>0</v>
      </c>
      <c r="BG87">
        <v>4997.1803278688521</v>
      </c>
      <c r="BH87">
        <v>0.60027955737704908</v>
      </c>
      <c r="BI87">
        <v>162.8869016393443</v>
      </c>
      <c r="BJ87">
        <v>1.8018547491803281</v>
      </c>
      <c r="BK87">
        <v>11.252144262295079</v>
      </c>
      <c r="BL87">
        <v>9.4701611475409848</v>
      </c>
      <c r="BM87">
        <v>-1.5569044386557369</v>
      </c>
      <c r="BN87">
        <v>9.4819557377049186</v>
      </c>
      <c r="BO87">
        <v>-1.245197213114754</v>
      </c>
      <c r="BP87">
        <v>-0.28026519672131139</v>
      </c>
      <c r="BQ87">
        <v>-0.124544</v>
      </c>
      <c r="BR87">
        <v>-99.899999999999963</v>
      </c>
      <c r="BS87">
        <v>-99.899999999999963</v>
      </c>
      <c r="BT87">
        <v>1775468278.0999999</v>
      </c>
      <c r="BU87" t="s">
        <v>536</v>
      </c>
      <c r="BV87">
        <v>1775468272.0999999</v>
      </c>
      <c r="BW87">
        <v>1775468278.0999999</v>
      </c>
      <c r="BX87">
        <v>72</v>
      </c>
      <c r="BY87">
        <v>8.0000000000000002E-3</v>
      </c>
      <c r="BZ87">
        <v>2E-3</v>
      </c>
      <c r="CA87">
        <v>8.1170000000000009</v>
      </c>
      <c r="CB87">
        <v>-1.2</v>
      </c>
      <c r="CC87">
        <v>9</v>
      </c>
      <c r="CD87">
        <v>-1</v>
      </c>
      <c r="CE87">
        <v>0.19</v>
      </c>
      <c r="CF87">
        <v>0.04</v>
      </c>
      <c r="CG87">
        <v>9.4964006666666663</v>
      </c>
      <c r="CH87">
        <v>-3.678242800777991</v>
      </c>
      <c r="CI87">
        <v>0.54129581497509816</v>
      </c>
      <c r="CJ87">
        <v>-1</v>
      </c>
      <c r="CK87">
        <v>500.74849999999998</v>
      </c>
      <c r="CL87">
        <v>-6.3550586273952474</v>
      </c>
      <c r="CM87">
        <v>1.4415997421845881</v>
      </c>
      <c r="CN87">
        <v>-1</v>
      </c>
      <c r="CO87">
        <v>0</v>
      </c>
      <c r="CP87">
        <v>0</v>
      </c>
      <c r="CQ87" t="s">
        <v>319</v>
      </c>
      <c r="CR87">
        <v>3.16757</v>
      </c>
      <c r="CS87">
        <v>2.66683</v>
      </c>
      <c r="CT87">
        <v>7.8389799999999999E-4</v>
      </c>
      <c r="CU87">
        <v>2.55368E-3</v>
      </c>
      <c r="CV87">
        <v>-1.6771299999999999E-2</v>
      </c>
      <c r="CW87">
        <v>-1.08938E-2</v>
      </c>
      <c r="CX87">
        <v>21526.5</v>
      </c>
      <c r="CY87">
        <v>21871.1</v>
      </c>
      <c r="CZ87">
        <v>23072.799999999999</v>
      </c>
      <c r="DA87">
        <v>22282.3</v>
      </c>
      <c r="DB87">
        <v>30258.6</v>
      </c>
      <c r="DC87">
        <v>26865.3</v>
      </c>
      <c r="DD87">
        <v>40562.300000000003</v>
      </c>
      <c r="DE87">
        <v>36930.199999999997</v>
      </c>
      <c r="DF87">
        <v>2.0603600000000002</v>
      </c>
      <c r="DG87">
        <v>1.7683199999999999</v>
      </c>
      <c r="DH87">
        <v>-4.9173799999999997E-2</v>
      </c>
      <c r="DI87">
        <v>0</v>
      </c>
      <c r="DJ87">
        <v>25.9892</v>
      </c>
      <c r="DK87">
        <v>999.9</v>
      </c>
      <c r="DL87">
        <v>71.8</v>
      </c>
      <c r="DM87">
        <v>31.9</v>
      </c>
      <c r="DN87">
        <v>34.082099999999997</v>
      </c>
      <c r="DO87">
        <v>30.455500000000001</v>
      </c>
      <c r="DP87">
        <v>10.368600000000001</v>
      </c>
      <c r="DQ87">
        <v>1</v>
      </c>
      <c r="DR87">
        <v>0.297736</v>
      </c>
      <c r="DS87">
        <v>1.8709899999999999</v>
      </c>
      <c r="DT87">
        <v>20.356000000000002</v>
      </c>
      <c r="DU87">
        <v>5.2116600000000002</v>
      </c>
      <c r="DV87">
        <v>11.851699999999999</v>
      </c>
      <c r="DW87">
        <v>4.9676400000000003</v>
      </c>
      <c r="DX87">
        <v>3.2927399999999998</v>
      </c>
      <c r="DY87">
        <v>894.7</v>
      </c>
      <c r="DZ87">
        <v>0</v>
      </c>
      <c r="EA87">
        <v>2168.3000000000002</v>
      </c>
      <c r="EB87">
        <v>107.8</v>
      </c>
      <c r="EC87">
        <v>4.9716100000000001</v>
      </c>
      <c r="ED87">
        <v>1.8719399999999999</v>
      </c>
      <c r="EE87">
        <v>1.8690599999999999</v>
      </c>
      <c r="EF87">
        <v>1.8714900000000001</v>
      </c>
      <c r="EG87">
        <v>1.86921</v>
      </c>
      <c r="EH87">
        <v>1.8681300000000001</v>
      </c>
      <c r="EI87">
        <v>1.8699600000000001</v>
      </c>
      <c r="EJ87">
        <v>1.8717999999999999</v>
      </c>
      <c r="EK87">
        <v>0</v>
      </c>
      <c r="EL87">
        <v>0</v>
      </c>
      <c r="EM87">
        <v>0</v>
      </c>
      <c r="EN87">
        <v>0</v>
      </c>
      <c r="EO87" t="s">
        <v>320</v>
      </c>
      <c r="EP87" t="s">
        <v>321</v>
      </c>
      <c r="EQ87" t="s">
        <v>322</v>
      </c>
      <c r="ER87" t="s">
        <v>322</v>
      </c>
      <c r="ES87" t="s">
        <v>322</v>
      </c>
      <c r="ET87" t="s">
        <v>322</v>
      </c>
      <c r="EU87">
        <v>0</v>
      </c>
      <c r="EV87">
        <v>100</v>
      </c>
      <c r="EW87">
        <v>100</v>
      </c>
      <c r="EX87">
        <v>8.1170000000000009</v>
      </c>
      <c r="EY87">
        <v>-1.2</v>
      </c>
      <c r="EZ87">
        <v>8.1090490476190453</v>
      </c>
      <c r="FA87">
        <v>0</v>
      </c>
      <c r="FB87">
        <v>0</v>
      </c>
      <c r="FC87">
        <v>0</v>
      </c>
      <c r="FD87">
        <v>-1.2016389350000001</v>
      </c>
      <c r="FE87">
        <v>0</v>
      </c>
      <c r="FF87">
        <v>0</v>
      </c>
      <c r="FG87">
        <v>0</v>
      </c>
      <c r="FH87">
        <v>-1</v>
      </c>
      <c r="FI87">
        <v>-1</v>
      </c>
      <c r="FJ87">
        <v>-1</v>
      </c>
      <c r="FK87">
        <v>-1</v>
      </c>
      <c r="FL87">
        <v>0.7</v>
      </c>
      <c r="FM87">
        <v>0.5</v>
      </c>
      <c r="FN87">
        <v>0.142822</v>
      </c>
      <c r="FO87">
        <v>4.99756</v>
      </c>
      <c r="FP87">
        <v>1.5979000000000001</v>
      </c>
      <c r="FQ87">
        <v>2.1496599999999999</v>
      </c>
      <c r="FR87">
        <v>1.5478499999999999</v>
      </c>
      <c r="FS87">
        <v>2.3986800000000001</v>
      </c>
      <c r="FT87">
        <v>36.505099999999999</v>
      </c>
      <c r="FU87">
        <v>15.357900000000001</v>
      </c>
      <c r="FV87">
        <v>2</v>
      </c>
      <c r="FW87">
        <v>490.25599999999997</v>
      </c>
      <c r="FX87">
        <v>394.47</v>
      </c>
      <c r="FY87">
        <v>24.4741</v>
      </c>
      <c r="FZ87">
        <v>30.875299999999999</v>
      </c>
      <c r="GA87">
        <v>30.0001</v>
      </c>
      <c r="GB87">
        <v>31.1843</v>
      </c>
      <c r="GC87">
        <v>31.242799999999999</v>
      </c>
      <c r="GD87">
        <v>-1</v>
      </c>
      <c r="GE87">
        <v>0</v>
      </c>
      <c r="GF87">
        <v>100</v>
      </c>
      <c r="GG87">
        <v>24.468</v>
      </c>
      <c r="GH87">
        <v>432.1</v>
      </c>
      <c r="GI87">
        <v>78.840199999999996</v>
      </c>
      <c r="GJ87">
        <v>102.09</v>
      </c>
      <c r="GK87">
        <v>96.361900000000006</v>
      </c>
    </row>
    <row r="88" spans="1:193" x14ac:dyDescent="0.35">
      <c r="A88">
        <v>72</v>
      </c>
      <c r="B88">
        <v>1775468314.0999999</v>
      </c>
      <c r="C88">
        <v>4358</v>
      </c>
      <c r="D88" t="s">
        <v>537</v>
      </c>
      <c r="E88" t="s">
        <v>538</v>
      </c>
      <c r="F88">
        <v>30</v>
      </c>
      <c r="G88">
        <v>1775468298.6000011</v>
      </c>
      <c r="H88">
        <f t="shared" si="36"/>
        <v>2.9775097767893682E-3</v>
      </c>
      <c r="I88">
        <f>1000*AY88*AG88*(AU88-AV88)/(100*AN88*(1000-AG88*AU88))</f>
        <v>2.9775097767893683</v>
      </c>
      <c r="J88">
        <f>AY88*AG88*(AT88-AS88*(1000-AG88*AV88)/(1000-AG88*AU88))/(100*AN88)</f>
        <v>-2.3031183062441598</v>
      </c>
      <c r="K88">
        <f t="shared" si="37"/>
        <v>11.97401901639344</v>
      </c>
      <c r="L88">
        <f t="shared" si="38"/>
        <v>52.071897272397869</v>
      </c>
      <c r="M88">
        <f>L88*(AZ88+BA88)/1000</f>
        <v>5.2107577090917321</v>
      </c>
      <c r="N88">
        <f>(AS88 - IF(AG88&gt;1, J88*AN88*100/(AI88), 0))*(AZ88+BA88)/1000</f>
        <v>1.1982223649752937</v>
      </c>
      <c r="O88">
        <f t="shared" si="39"/>
        <v>8.9666912260879333E-2</v>
      </c>
      <c r="P88">
        <f>IF(LEFT(AP88,1)&lt;&gt;"0",IF(LEFT(AP88,1)="1",3,AQ88),$D$5+$E$5*(BG88*AZ88/($K$5*1000))+$F$5*(BG88*AZ88/($K$5*1000))*MAX(MIN(AN88,$J$5),$I$5)*MAX(MIN(AN88,$J$5),$I$5)+$G$5*MAX(MIN(AN88,$J$5),$I$5)*(BG88*AZ88/($K$5*1000))+$H$5*(BG88*AZ88/($K$5*1000))*(BG88*AZ88/($K$5*1000)))</f>
        <v>2.3874417295981814</v>
      </c>
      <c r="Q88">
        <f>H88*(1000-(1000*0.61365*EXP(17.502*U88/(240.97+U88))/(AZ88+BA88)+AU88)/2)/(1000*0.61365*EXP(17.502*U88/(240.97+U88))/(AZ88+BA88)-AU88)</f>
        <v>8.7837162889706596E-2</v>
      </c>
      <c r="R88">
        <f t="shared" si="40"/>
        <v>5.5059512655308743E-2</v>
      </c>
      <c r="S88">
        <f t="shared" si="41"/>
        <v>0.11263888880655738</v>
      </c>
      <c r="T88">
        <f>(BB88+(S88+2*0.95*0.0000000567*(((BB88+$B$7)+273)^4-(BB88+273)^4)-44100*H88)/(1.84*29.3*P88+8*0.95*0.0000000567*(BB88+273)^3))</f>
        <v>24.07330130338023</v>
      </c>
      <c r="U88">
        <f>($C$7*BC88+$D$7*BD88+$E$7*T88)</f>
        <v>25.176898360655741</v>
      </c>
      <c r="V88">
        <f t="shared" si="42"/>
        <v>3.2133670557567404</v>
      </c>
      <c r="W88">
        <f t="shared" si="43"/>
        <v>-3.9742730371648993</v>
      </c>
      <c r="X88">
        <f>AU88*(AZ88+BA88)/1000</f>
        <v>-0.12644166084429947</v>
      </c>
      <c r="Y88">
        <f t="shared" si="44"/>
        <v>3.1815041307403056</v>
      </c>
      <c r="Z88">
        <f>(V88-AU88*(AZ88+BA88)/1000)</f>
        <v>3.33980871660104</v>
      </c>
      <c r="AA88">
        <f t="shared" si="45"/>
        <v>-131.30818115641114</v>
      </c>
      <c r="AB88">
        <f>2*29.3*P88*0.92*(BB88-U88)</f>
        <v>-21.529046140877686</v>
      </c>
      <c r="AC88">
        <f>2*0.95*0.0000000567*(((BB88+$B$7)+273)^4-(U88+273)^4)</f>
        <v>-1.9092365688641362</v>
      </c>
      <c r="AD88">
        <f t="shared" si="46"/>
        <v>-154.63382497734639</v>
      </c>
      <c r="AE88">
        <v>20</v>
      </c>
      <c r="AF88">
        <v>4</v>
      </c>
      <c r="AG88">
        <f t="shared" si="47"/>
        <v>1</v>
      </c>
      <c r="AH88">
        <f t="shared" si="48"/>
        <v>0</v>
      </c>
      <c r="AI88">
        <f t="shared" si="49"/>
        <v>25683.44800664443</v>
      </c>
      <c r="AJ88">
        <f t="shared" si="50"/>
        <v>0.5894238032786886</v>
      </c>
      <c r="AK88">
        <f t="shared" si="51"/>
        <v>0.47153904262295088</v>
      </c>
      <c r="AL88">
        <f t="shared" si="52"/>
        <v>0.8</v>
      </c>
      <c r="AM88">
        <f t="shared" si="53"/>
        <v>0.19109999999999999</v>
      </c>
      <c r="AN88">
        <v>3</v>
      </c>
      <c r="AO88">
        <v>0.5</v>
      </c>
      <c r="AP88" t="s">
        <v>317</v>
      </c>
      <c r="AQ88">
        <v>2</v>
      </c>
      <c r="AR88">
        <v>1775468298.6000011</v>
      </c>
      <c r="AS88">
        <v>11.97401901639344</v>
      </c>
      <c r="AT88">
        <v>10.61430032786885</v>
      </c>
      <c r="AU88">
        <v>-1.263550819672131</v>
      </c>
      <c r="AV88">
        <v>-3.0513139344262301</v>
      </c>
      <c r="AW88">
        <v>3.8600190163934429</v>
      </c>
      <c r="AX88">
        <v>-1.85431393442623</v>
      </c>
      <c r="AY88">
        <v>500.27970491803268</v>
      </c>
      <c r="AZ88">
        <v>100.02265573770489</v>
      </c>
      <c r="BA88">
        <v>4.5864559016393462E-2</v>
      </c>
      <c r="BB88">
        <v>25.009632786885241</v>
      </c>
      <c r="BC88">
        <v>25.176898360655741</v>
      </c>
      <c r="BD88">
        <v>999.9</v>
      </c>
      <c r="BE88">
        <v>0</v>
      </c>
      <c r="BF88">
        <v>0</v>
      </c>
      <c r="BG88">
        <v>4997.3442622950824</v>
      </c>
      <c r="BH88">
        <v>0.5894238032786886</v>
      </c>
      <c r="BI88">
        <v>159.77265573770501</v>
      </c>
      <c r="BJ88">
        <v>1.3628168852459019</v>
      </c>
      <c r="BK88">
        <v>11.94064098360656</v>
      </c>
      <c r="BL88">
        <v>10.600911639344259</v>
      </c>
      <c r="BM88">
        <v>-1.7904990163934431</v>
      </c>
      <c r="BN88">
        <v>10.61430032786885</v>
      </c>
      <c r="BO88">
        <v>-1.263550819672131</v>
      </c>
      <c r="BP88">
        <v>-0.30547432786885248</v>
      </c>
      <c r="BQ88">
        <v>-0.1263837049180328</v>
      </c>
      <c r="BR88">
        <v>-99.899999999999963</v>
      </c>
      <c r="BS88">
        <v>-99.899999999999963</v>
      </c>
      <c r="BT88">
        <v>1775468340.0999999</v>
      </c>
      <c r="BU88" t="s">
        <v>539</v>
      </c>
      <c r="BV88">
        <v>1775468336.0999999</v>
      </c>
      <c r="BW88">
        <v>1775468340.0999999</v>
      </c>
      <c r="BX88">
        <v>73</v>
      </c>
      <c r="BY88">
        <v>-3.0000000000000001E-3</v>
      </c>
      <c r="BZ88">
        <v>3.0000000000000001E-3</v>
      </c>
      <c r="CA88">
        <v>8.1140000000000008</v>
      </c>
      <c r="CB88">
        <v>-1.1970000000000001</v>
      </c>
      <c r="CC88">
        <v>11</v>
      </c>
      <c r="CD88">
        <v>-1</v>
      </c>
      <c r="CE88">
        <v>0.11</v>
      </c>
      <c r="CF88">
        <v>0.04</v>
      </c>
      <c r="CG88">
        <v>10.61430032786885</v>
      </c>
      <c r="CH88">
        <v>1.2968427287149631</v>
      </c>
      <c r="CI88">
        <v>0.30284420218424818</v>
      </c>
      <c r="CJ88">
        <v>-1</v>
      </c>
      <c r="CK88">
        <v>500.27970491803268</v>
      </c>
      <c r="CL88">
        <v>-3.2590312004237809</v>
      </c>
      <c r="CM88">
        <v>0.96121644829227693</v>
      </c>
      <c r="CN88">
        <v>-1</v>
      </c>
      <c r="CO88">
        <v>0</v>
      </c>
      <c r="CP88">
        <v>0</v>
      </c>
      <c r="CQ88" t="s">
        <v>319</v>
      </c>
      <c r="CR88">
        <v>3.1675900000000001</v>
      </c>
      <c r="CS88">
        <v>2.66696</v>
      </c>
      <c r="CT88">
        <v>1.2715700000000001E-3</v>
      </c>
      <c r="CU88">
        <v>3.2151100000000002E-3</v>
      </c>
      <c r="CV88">
        <v>-1.7477099999999999E-2</v>
      </c>
      <c r="CW88">
        <v>-1.11637E-2</v>
      </c>
      <c r="CX88">
        <v>21515.3</v>
      </c>
      <c r="CY88">
        <v>21856.6</v>
      </c>
      <c r="CZ88">
        <v>23072</v>
      </c>
      <c r="DA88">
        <v>22282.3</v>
      </c>
      <c r="DB88">
        <v>30278.6</v>
      </c>
      <c r="DC88">
        <v>26872.5</v>
      </c>
      <c r="DD88">
        <v>40561</v>
      </c>
      <c r="DE88">
        <v>36930.300000000003</v>
      </c>
      <c r="DF88">
        <v>2.06054</v>
      </c>
      <c r="DG88">
        <v>1.7663800000000001</v>
      </c>
      <c r="DH88">
        <v>-5.16772E-2</v>
      </c>
      <c r="DI88">
        <v>0</v>
      </c>
      <c r="DJ88">
        <v>26.0319</v>
      </c>
      <c r="DK88">
        <v>999.9</v>
      </c>
      <c r="DL88">
        <v>71.8</v>
      </c>
      <c r="DM88">
        <v>32</v>
      </c>
      <c r="DN88">
        <v>34.274000000000001</v>
      </c>
      <c r="DO88">
        <v>30.785499999999999</v>
      </c>
      <c r="DP88">
        <v>10.588900000000001</v>
      </c>
      <c r="DQ88">
        <v>1</v>
      </c>
      <c r="DR88">
        <v>0.299346</v>
      </c>
      <c r="DS88">
        <v>2.0472600000000001</v>
      </c>
      <c r="DT88">
        <v>20.353000000000002</v>
      </c>
      <c r="DU88">
        <v>5.2074699999999998</v>
      </c>
      <c r="DV88">
        <v>11.8527</v>
      </c>
      <c r="DW88">
        <v>4.9674399999999999</v>
      </c>
      <c r="DX88">
        <v>3.2922400000000001</v>
      </c>
      <c r="DY88">
        <v>894.7</v>
      </c>
      <c r="DZ88">
        <v>0</v>
      </c>
      <c r="EA88">
        <v>2197.4</v>
      </c>
      <c r="EB88">
        <v>107.8</v>
      </c>
      <c r="EC88">
        <v>4.97159</v>
      </c>
      <c r="ED88">
        <v>1.8719300000000001</v>
      </c>
      <c r="EE88">
        <v>1.8690500000000001</v>
      </c>
      <c r="EF88">
        <v>1.87148</v>
      </c>
      <c r="EG88">
        <v>1.8692</v>
      </c>
      <c r="EH88">
        <v>1.8681300000000001</v>
      </c>
      <c r="EI88">
        <v>1.8699600000000001</v>
      </c>
      <c r="EJ88">
        <v>1.8717999999999999</v>
      </c>
      <c r="EK88">
        <v>0</v>
      </c>
      <c r="EL88">
        <v>0</v>
      </c>
      <c r="EM88">
        <v>0</v>
      </c>
      <c r="EN88">
        <v>0</v>
      </c>
      <c r="EO88" t="s">
        <v>320</v>
      </c>
      <c r="EP88" t="s">
        <v>321</v>
      </c>
      <c r="EQ88" t="s">
        <v>322</v>
      </c>
      <c r="ER88" t="s">
        <v>322</v>
      </c>
      <c r="ES88" t="s">
        <v>322</v>
      </c>
      <c r="ET88" t="s">
        <v>322</v>
      </c>
      <c r="EU88">
        <v>0</v>
      </c>
      <c r="EV88">
        <v>100</v>
      </c>
      <c r="EW88">
        <v>100</v>
      </c>
      <c r="EX88">
        <v>8.1140000000000008</v>
      </c>
      <c r="EY88">
        <v>-1.1970000000000001</v>
      </c>
      <c r="EZ88">
        <v>8.1171024499999991</v>
      </c>
      <c r="FA88">
        <v>0</v>
      </c>
      <c r="FB88">
        <v>0</v>
      </c>
      <c r="FC88">
        <v>0</v>
      </c>
      <c r="FD88">
        <v>-1.1997362549999999</v>
      </c>
      <c r="FE88">
        <v>0</v>
      </c>
      <c r="FF88">
        <v>0</v>
      </c>
      <c r="FG88">
        <v>0</v>
      </c>
      <c r="FH88">
        <v>-1</v>
      </c>
      <c r="FI88">
        <v>-1</v>
      </c>
      <c r="FJ88">
        <v>-1</v>
      </c>
      <c r="FK88">
        <v>-1</v>
      </c>
      <c r="FL88">
        <v>0.7</v>
      </c>
      <c r="FM88">
        <v>0.6</v>
      </c>
      <c r="FN88">
        <v>0.14160200000000001</v>
      </c>
      <c r="FO88">
        <v>4.99756</v>
      </c>
      <c r="FP88">
        <v>1.5979000000000001</v>
      </c>
      <c r="FQ88">
        <v>2.1508799999999999</v>
      </c>
      <c r="FR88">
        <v>1.5478499999999999</v>
      </c>
      <c r="FS88">
        <v>2.34375</v>
      </c>
      <c r="FT88">
        <v>36.528700000000001</v>
      </c>
      <c r="FU88">
        <v>15.340400000000001</v>
      </c>
      <c r="FV88">
        <v>2</v>
      </c>
      <c r="FW88">
        <v>490.44799999999998</v>
      </c>
      <c r="FX88">
        <v>393.44799999999998</v>
      </c>
      <c r="FY88">
        <v>24.337700000000002</v>
      </c>
      <c r="FZ88">
        <v>30.886099999999999</v>
      </c>
      <c r="GA88">
        <v>30.0001</v>
      </c>
      <c r="GB88">
        <v>31.196100000000001</v>
      </c>
      <c r="GC88">
        <v>31.2544</v>
      </c>
      <c r="GD88">
        <v>-1</v>
      </c>
      <c r="GE88">
        <v>0</v>
      </c>
      <c r="GF88">
        <v>100</v>
      </c>
      <c r="GG88">
        <v>24.3294</v>
      </c>
      <c r="GH88">
        <v>432.1</v>
      </c>
      <c r="GI88">
        <v>78.840199999999996</v>
      </c>
      <c r="GJ88">
        <v>102.087</v>
      </c>
      <c r="GK88">
        <v>96.362099999999998</v>
      </c>
    </row>
    <row r="89" spans="1:193" x14ac:dyDescent="0.35">
      <c r="A89">
        <v>73</v>
      </c>
      <c r="B89">
        <v>1775468374.0999999</v>
      </c>
      <c r="C89">
        <v>4418</v>
      </c>
      <c r="D89" t="s">
        <v>540</v>
      </c>
      <c r="E89" t="s">
        <v>541</v>
      </c>
      <c r="F89">
        <v>30</v>
      </c>
      <c r="G89">
        <v>1775468358.6000011</v>
      </c>
      <c r="H89">
        <f t="shared" si="36"/>
        <v>2.9413941088875842E-3</v>
      </c>
      <c r="I89">
        <f>1000*AY89*AG89*(AU89-AV89)/(100*AN89*(1000-AG89*AU89))</f>
        <v>2.9413941088875841</v>
      </c>
      <c r="J89">
        <f>AY89*AG89*(AT89-AS89*(1000-AG89*AV89)/(1000-AG89*AU89))/(100*AN89)</f>
        <v>-2.2450531031518781</v>
      </c>
      <c r="K89">
        <f t="shared" si="37"/>
        <v>13.480866721311481</v>
      </c>
      <c r="L89">
        <f t="shared" si="38"/>
        <v>52.955171604892939</v>
      </c>
      <c r="M89">
        <f>L89*(AZ89+BA89)/1000</f>
        <v>5.2992979176238943</v>
      </c>
      <c r="N89">
        <f>(AS89 - IF(AG89&gt;1, J89*AN89*100/(AI89), 0))*(AZ89+BA89)/1000</f>
        <v>1.3490491443787591</v>
      </c>
      <c r="O89">
        <f t="shared" si="39"/>
        <v>8.8569960004063114E-2</v>
      </c>
      <c r="P89">
        <f>IF(LEFT(AP89,1)&lt;&gt;"0",IF(LEFT(AP89,1)="1",3,AQ89),$D$5+$E$5*(BG89*AZ89/($K$5*1000))+$F$5*(BG89*AZ89/($K$5*1000))*MAX(MIN(AN89,$J$5),$I$5)*MAX(MIN(AN89,$J$5),$I$5)+$G$5*MAX(MIN(AN89,$J$5),$I$5)*(BG89*AZ89/($K$5*1000))+$H$5*(BG89*AZ89/($K$5*1000))*(BG89*AZ89/($K$5*1000)))</f>
        <v>2.3899536055466895</v>
      </c>
      <c r="Q89">
        <f>H89*(1000-(1000*0.61365*EXP(17.502*U89/(240.97+U89))/(AZ89+BA89)+AU89)/2)/(1000*0.61365*EXP(17.502*U89/(240.97+U89))/(AZ89+BA89)-AU89)</f>
        <v>8.6786061442266318E-2</v>
      </c>
      <c r="R89">
        <f t="shared" si="40"/>
        <v>5.4398572023234268E-2</v>
      </c>
      <c r="S89">
        <f t="shared" si="41"/>
        <v>0.11013897186393443</v>
      </c>
      <c r="T89">
        <f>(BB89+(S89+2*0.95*0.0000000567*(((BB89+$B$7)+273)^4-(BB89+273)^4)-44100*H89)/(1.84*29.3*P89+8*0.95*0.0000000567*(BB89+273)^3))</f>
        <v>24.076815641463</v>
      </c>
      <c r="U89">
        <f>($C$7*BC89+$D$7*BD89+$E$7*T89)</f>
        <v>25.163368852459008</v>
      </c>
      <c r="V89">
        <f t="shared" si="42"/>
        <v>3.2107794545545301</v>
      </c>
      <c r="W89">
        <f t="shared" si="43"/>
        <v>-4.0460106410181487</v>
      </c>
      <c r="X89">
        <f>AU89*(AZ89+BA89)/1000</f>
        <v>-0.12865708482448185</v>
      </c>
      <c r="Y89">
        <f t="shared" si="44"/>
        <v>3.1798503820075528</v>
      </c>
      <c r="Z89">
        <f>(V89-AU89*(AZ89+BA89)/1000)</f>
        <v>3.3394365393790117</v>
      </c>
      <c r="AA89">
        <f t="shared" si="45"/>
        <v>-129.71548020194246</v>
      </c>
      <c r="AB89">
        <f>2*29.3*P89*0.92*(BB89-U89)</f>
        <v>-20.932174705146888</v>
      </c>
      <c r="AC89">
        <f>2*0.95*0.0000000567*(((BB89+$B$7)+273)^4-(U89+273)^4)</f>
        <v>-1.8541462520126821</v>
      </c>
      <c r="AD89">
        <f t="shared" si="46"/>
        <v>-152.39166218723807</v>
      </c>
      <c r="AE89">
        <v>20</v>
      </c>
      <c r="AF89">
        <v>4</v>
      </c>
      <c r="AG89">
        <f t="shared" si="47"/>
        <v>1</v>
      </c>
      <c r="AH89">
        <f t="shared" si="48"/>
        <v>0</v>
      </c>
      <c r="AI89">
        <f t="shared" si="49"/>
        <v>25722.568008834052</v>
      </c>
      <c r="AJ89">
        <f t="shared" si="50"/>
        <v>0.57634208196721315</v>
      </c>
      <c r="AK89">
        <f t="shared" si="51"/>
        <v>0.46107366557377055</v>
      </c>
      <c r="AL89">
        <f t="shared" si="52"/>
        <v>0.8</v>
      </c>
      <c r="AM89">
        <f t="shared" si="53"/>
        <v>0.19109999999999999</v>
      </c>
      <c r="AN89">
        <v>3</v>
      </c>
      <c r="AO89">
        <v>0.5</v>
      </c>
      <c r="AP89" t="s">
        <v>317</v>
      </c>
      <c r="AQ89">
        <v>2</v>
      </c>
      <c r="AR89">
        <v>1775468358.6000011</v>
      </c>
      <c r="AS89">
        <v>13.480866721311481</v>
      </c>
      <c r="AT89">
        <v>12.15904918032787</v>
      </c>
      <c r="AU89">
        <v>-1.2856529508196719</v>
      </c>
      <c r="AV89">
        <v>-3.0508583278688528</v>
      </c>
      <c r="AW89">
        <v>5.3708667213114749</v>
      </c>
      <c r="AX89">
        <v>-1.8568583278688531</v>
      </c>
      <c r="AY89">
        <v>500.53819672131152</v>
      </c>
      <c r="AZ89">
        <v>100.0250655737705</v>
      </c>
      <c r="BA89">
        <v>4.6329854098360657E-2</v>
      </c>
      <c r="BB89">
        <v>25.00091147540984</v>
      </c>
      <c r="BC89">
        <v>25.163368852459008</v>
      </c>
      <c r="BD89">
        <v>999.9</v>
      </c>
      <c r="BE89">
        <v>0</v>
      </c>
      <c r="BF89">
        <v>0</v>
      </c>
      <c r="BG89">
        <v>5003.6967213114758</v>
      </c>
      <c r="BH89">
        <v>0.57634208196721315</v>
      </c>
      <c r="BI89">
        <v>156.19429508196731</v>
      </c>
      <c r="BJ89">
        <v>1.3262630163934419</v>
      </c>
      <c r="BK89">
        <v>13.4442</v>
      </c>
      <c r="BL89">
        <v>12.14344426229508</v>
      </c>
      <c r="BM89">
        <v>-1.768158786885246</v>
      </c>
      <c r="BN89">
        <v>12.15904918032787</v>
      </c>
      <c r="BO89">
        <v>-1.2856529508196719</v>
      </c>
      <c r="BP89">
        <v>-0.30545785245901641</v>
      </c>
      <c r="BQ89">
        <v>-0.12859760655737709</v>
      </c>
      <c r="BR89">
        <v>-99.899999999999963</v>
      </c>
      <c r="BS89">
        <v>-99.899999999999963</v>
      </c>
      <c r="BT89">
        <v>1775468399.0999999</v>
      </c>
      <c r="BU89" t="s">
        <v>542</v>
      </c>
      <c r="BV89">
        <v>1775468391.0999999</v>
      </c>
      <c r="BW89">
        <v>1775468399.0999999</v>
      </c>
      <c r="BX89">
        <v>74</v>
      </c>
      <c r="BY89">
        <v>-5.0000000000000001E-3</v>
      </c>
      <c r="BZ89">
        <v>2E-3</v>
      </c>
      <c r="CA89">
        <v>8.11</v>
      </c>
      <c r="CB89">
        <v>-1.194</v>
      </c>
      <c r="CC89">
        <v>14</v>
      </c>
      <c r="CD89">
        <v>-1</v>
      </c>
      <c r="CE89">
        <v>0.25</v>
      </c>
      <c r="CF89">
        <v>0.05</v>
      </c>
      <c r="CG89">
        <v>12.138648333333331</v>
      </c>
      <c r="CH89">
        <v>2.3936792442345101</v>
      </c>
      <c r="CI89">
        <v>0.43165294334363391</v>
      </c>
      <c r="CJ89">
        <v>-1</v>
      </c>
      <c r="CK89">
        <v>500.54618333333332</v>
      </c>
      <c r="CL89">
        <v>-5.5837143651008398</v>
      </c>
      <c r="CM89">
        <v>1.288428584124431</v>
      </c>
      <c r="CN89">
        <v>-1</v>
      </c>
      <c r="CO89">
        <v>0</v>
      </c>
      <c r="CP89">
        <v>0</v>
      </c>
      <c r="CQ89" t="s">
        <v>319</v>
      </c>
      <c r="CR89">
        <v>3.16764</v>
      </c>
      <c r="CS89">
        <v>2.6664699999999999</v>
      </c>
      <c r="CT89">
        <v>1.81095E-3</v>
      </c>
      <c r="CU89">
        <v>3.9846999999999999E-3</v>
      </c>
      <c r="CV89">
        <v>-1.7497100000000002E-2</v>
      </c>
      <c r="CW89">
        <v>-1.13364E-2</v>
      </c>
      <c r="CX89">
        <v>21503.7</v>
      </c>
      <c r="CY89">
        <v>21840.3</v>
      </c>
      <c r="CZ89">
        <v>23072.1</v>
      </c>
      <c r="DA89">
        <v>22282.9</v>
      </c>
      <c r="DB89">
        <v>30279.3</v>
      </c>
      <c r="DC89">
        <v>26877.599999999999</v>
      </c>
      <c r="DD89">
        <v>40561.199999999997</v>
      </c>
      <c r="DE89">
        <v>36930.9</v>
      </c>
      <c r="DF89">
        <v>2.0606</v>
      </c>
      <c r="DG89">
        <v>1.7664200000000001</v>
      </c>
      <c r="DH89">
        <v>-5.2779899999999998E-2</v>
      </c>
      <c r="DI89">
        <v>0</v>
      </c>
      <c r="DJ89">
        <v>26.037299999999998</v>
      </c>
      <c r="DK89">
        <v>999.9</v>
      </c>
      <c r="DL89">
        <v>71.7</v>
      </c>
      <c r="DM89">
        <v>32</v>
      </c>
      <c r="DN89">
        <v>34.229100000000003</v>
      </c>
      <c r="DO89">
        <v>30.695499999999999</v>
      </c>
      <c r="DP89">
        <v>10.8133</v>
      </c>
      <c r="DQ89">
        <v>1</v>
      </c>
      <c r="DR89">
        <v>0.29824000000000001</v>
      </c>
      <c r="DS89">
        <v>1.85276</v>
      </c>
      <c r="DT89">
        <v>20.355699999999999</v>
      </c>
      <c r="DU89">
        <v>5.2088999999999999</v>
      </c>
      <c r="DV89">
        <v>11.8529</v>
      </c>
      <c r="DW89">
        <v>4.96732</v>
      </c>
      <c r="DX89">
        <v>3.2921399999999998</v>
      </c>
      <c r="DY89">
        <v>894.7</v>
      </c>
      <c r="DZ89">
        <v>0</v>
      </c>
      <c r="EA89">
        <v>2232.8000000000002</v>
      </c>
      <c r="EB89">
        <v>107.9</v>
      </c>
      <c r="EC89">
        <v>4.9716100000000001</v>
      </c>
      <c r="ED89">
        <v>1.8718999999999999</v>
      </c>
      <c r="EE89">
        <v>1.8690500000000001</v>
      </c>
      <c r="EF89">
        <v>1.87147</v>
      </c>
      <c r="EG89">
        <v>1.8692</v>
      </c>
      <c r="EH89">
        <v>1.8681300000000001</v>
      </c>
      <c r="EI89">
        <v>1.8699600000000001</v>
      </c>
      <c r="EJ89">
        <v>1.8717999999999999</v>
      </c>
      <c r="EK89">
        <v>0</v>
      </c>
      <c r="EL89">
        <v>0</v>
      </c>
      <c r="EM89">
        <v>0</v>
      </c>
      <c r="EN89">
        <v>0</v>
      </c>
      <c r="EO89" t="s">
        <v>320</v>
      </c>
      <c r="EP89" t="s">
        <v>321</v>
      </c>
      <c r="EQ89" t="s">
        <v>322</v>
      </c>
      <c r="ER89" t="s">
        <v>322</v>
      </c>
      <c r="ES89" t="s">
        <v>322</v>
      </c>
      <c r="ET89" t="s">
        <v>322</v>
      </c>
      <c r="EU89">
        <v>0</v>
      </c>
      <c r="EV89">
        <v>100</v>
      </c>
      <c r="EW89">
        <v>100</v>
      </c>
      <c r="EX89">
        <v>8.11</v>
      </c>
      <c r="EY89">
        <v>-1.194</v>
      </c>
      <c r="EZ89">
        <v>8.1144455000000004</v>
      </c>
      <c r="FA89">
        <v>0</v>
      </c>
      <c r="FB89">
        <v>0</v>
      </c>
      <c r="FC89">
        <v>0</v>
      </c>
      <c r="FD89">
        <v>-1.1969537800000001</v>
      </c>
      <c r="FE89">
        <v>0</v>
      </c>
      <c r="FF89">
        <v>0</v>
      </c>
      <c r="FG89">
        <v>0</v>
      </c>
      <c r="FH89">
        <v>-1</v>
      </c>
      <c r="FI89">
        <v>-1</v>
      </c>
      <c r="FJ89">
        <v>-1</v>
      </c>
      <c r="FK89">
        <v>-1</v>
      </c>
      <c r="FL89">
        <v>0.6</v>
      </c>
      <c r="FM89">
        <v>0.6</v>
      </c>
      <c r="FN89">
        <v>0.142822</v>
      </c>
      <c r="FO89">
        <v>4.99756</v>
      </c>
      <c r="FP89">
        <v>1.5979000000000001</v>
      </c>
      <c r="FQ89">
        <v>2.1496599999999999</v>
      </c>
      <c r="FR89">
        <v>1.5478499999999999</v>
      </c>
      <c r="FS89">
        <v>2.4633799999999999</v>
      </c>
      <c r="FT89">
        <v>36.505099999999999</v>
      </c>
      <c r="FU89">
        <v>15.3316</v>
      </c>
      <c r="FV89">
        <v>2</v>
      </c>
      <c r="FW89">
        <v>490.52199999999999</v>
      </c>
      <c r="FX89">
        <v>393.48599999999999</v>
      </c>
      <c r="FY89">
        <v>24.4056</v>
      </c>
      <c r="FZ89">
        <v>30.8888</v>
      </c>
      <c r="GA89">
        <v>29.9998</v>
      </c>
      <c r="GB89">
        <v>31.201499999999999</v>
      </c>
      <c r="GC89">
        <v>31.256799999999998</v>
      </c>
      <c r="GD89">
        <v>-1</v>
      </c>
      <c r="GE89">
        <v>0</v>
      </c>
      <c r="GF89">
        <v>100</v>
      </c>
      <c r="GG89">
        <v>24.391100000000002</v>
      </c>
      <c r="GH89">
        <v>432.1</v>
      </c>
      <c r="GI89">
        <v>78.840199999999996</v>
      </c>
      <c r="GJ89">
        <v>102.087</v>
      </c>
      <c r="GK89">
        <v>96.364099999999993</v>
      </c>
    </row>
    <row r="90" spans="1:193" x14ac:dyDescent="0.35">
      <c r="A90">
        <v>74</v>
      </c>
      <c r="B90">
        <v>1775468434.0999999</v>
      </c>
      <c r="C90">
        <v>4478</v>
      </c>
      <c r="D90" t="s">
        <v>543</v>
      </c>
      <c r="E90" t="s">
        <v>544</v>
      </c>
      <c r="F90">
        <v>30</v>
      </c>
      <c r="G90">
        <v>1775468418.6000011</v>
      </c>
      <c r="H90">
        <f t="shared" si="36"/>
        <v>2.9465375711074117E-3</v>
      </c>
      <c r="I90">
        <f>1000*AY90*AG90*(AU90-AV90)/(100*AN90*(1000-AG90*AU90))</f>
        <v>2.9465375711074118</v>
      </c>
      <c r="J90">
        <f>AY90*AG90*(AT90-AS90*(1000-AG90*AV90)/(1000-AG90*AU90))/(100*AN90)</f>
        <v>-3.0005283734444972</v>
      </c>
      <c r="K90">
        <f t="shared" si="37"/>
        <v>15.51027065573771</v>
      </c>
      <c r="L90">
        <f t="shared" si="38"/>
        <v>68.389411802147862</v>
      </c>
      <c r="M90">
        <f>L90*(AZ90+BA90)/1000</f>
        <v>6.8439956063142393</v>
      </c>
      <c r="N90">
        <f>(AS90 - IF(AG90&gt;1, J90*AN90*100/(AI90), 0))*(AZ90+BA90)/1000</f>
        <v>1.5521733763073495</v>
      </c>
      <c r="O90">
        <f t="shared" si="39"/>
        <v>8.8583311482556548E-2</v>
      </c>
      <c r="P90">
        <f>IF(LEFT(AP90,1)&lt;&gt;"0",IF(LEFT(AP90,1)="1",3,AQ90),$D$5+$E$5*(BG90*AZ90/($K$5*1000))+$F$5*(BG90*AZ90/($K$5*1000))*MAX(MIN(AN90,$J$5),$I$5)*MAX(MIN(AN90,$J$5),$I$5)+$G$5*MAX(MIN(AN90,$J$5),$I$5)*(BG90*AZ90/($K$5*1000))+$H$5*(BG90*AZ90/($K$5*1000))*(BG90*AZ90/($K$5*1000)))</f>
        <v>2.387345248332323</v>
      </c>
      <c r="Q90">
        <f>H90*(1000-(1000*0.61365*EXP(17.502*U90/(240.97+U90))/(AZ90+BA90)+AU90)/2)/(1000*0.61365*EXP(17.502*U90/(240.97+U90))/(AZ90+BA90)-AU90)</f>
        <v>8.6796973633896463E-2</v>
      </c>
      <c r="R90">
        <f t="shared" si="40"/>
        <v>5.4405603566742775E-2</v>
      </c>
      <c r="S90">
        <f t="shared" si="41"/>
        <v>0.10872578736393446</v>
      </c>
      <c r="T90">
        <f>(BB90+(S90+2*0.95*0.0000000567*(((BB90+$B$7)+273)^4-(BB90+273)^4)-44100*H90)/(1.84*29.3*P90+8*0.95*0.0000000567*(BB90+273)^3))</f>
        <v>24.084775347503108</v>
      </c>
      <c r="U90">
        <f>($C$7*BC90+$D$7*BD90+$E$7*T90)</f>
        <v>25.182209836065571</v>
      </c>
      <c r="V90">
        <f t="shared" si="42"/>
        <v>3.2143834059065952</v>
      </c>
      <c r="W90">
        <f t="shared" si="43"/>
        <v>-4.1022730208598794</v>
      </c>
      <c r="X90">
        <f>AU90*(AZ90+BA90)/1000</f>
        <v>-0.13052788923074427</v>
      </c>
      <c r="Y90">
        <f t="shared" si="44"/>
        <v>3.1818430554723109</v>
      </c>
      <c r="Z90">
        <f>(V90-AU90*(AZ90+BA90)/1000)</f>
        <v>3.3449112951373396</v>
      </c>
      <c r="AA90">
        <f t="shared" si="45"/>
        <v>-129.94230688583687</v>
      </c>
      <c r="AB90">
        <f>2*29.3*P90*0.92*(BB90-U90)</f>
        <v>-21.981813974264025</v>
      </c>
      <c r="AC90">
        <f>2*0.95*0.0000000567*(((BB90+$B$7)+273)^4-(U90+273)^4)</f>
        <v>-1.9495372993893194</v>
      </c>
      <c r="AD90">
        <f t="shared" si="46"/>
        <v>-153.76493237212628</v>
      </c>
      <c r="AE90">
        <v>20</v>
      </c>
      <c r="AF90">
        <v>4</v>
      </c>
      <c r="AG90">
        <f t="shared" si="47"/>
        <v>1</v>
      </c>
      <c r="AH90">
        <f t="shared" si="48"/>
        <v>0</v>
      </c>
      <c r="AI90">
        <f t="shared" si="49"/>
        <v>25681.608127591469</v>
      </c>
      <c r="AJ90">
        <f t="shared" si="50"/>
        <v>0.56894708196721333</v>
      </c>
      <c r="AK90">
        <f t="shared" si="51"/>
        <v>0.45515766557377069</v>
      </c>
      <c r="AL90">
        <f t="shared" si="52"/>
        <v>0.8</v>
      </c>
      <c r="AM90">
        <f t="shared" si="53"/>
        <v>0.19109999999999999</v>
      </c>
      <c r="AN90">
        <v>3</v>
      </c>
      <c r="AO90">
        <v>0.5</v>
      </c>
      <c r="AP90" t="s">
        <v>317</v>
      </c>
      <c r="AQ90">
        <v>2</v>
      </c>
      <c r="AR90">
        <v>1775468418.6000011</v>
      </c>
      <c r="AS90">
        <v>15.51027065573771</v>
      </c>
      <c r="AT90">
        <v>13.738827868852461</v>
      </c>
      <c r="AU90">
        <v>-1.3043149180327871</v>
      </c>
      <c r="AV90">
        <v>-3.0730922950819668</v>
      </c>
      <c r="AW90">
        <v>7.4582706557377056</v>
      </c>
      <c r="AX90">
        <v>-1.882092295081967</v>
      </c>
      <c r="AY90">
        <v>500.41019672131148</v>
      </c>
      <c r="AZ90">
        <v>100.0278524590164</v>
      </c>
      <c r="BA90">
        <v>4.6054100000000001E-2</v>
      </c>
      <c r="BB90">
        <v>25.01141967213114</v>
      </c>
      <c r="BC90">
        <v>25.182209836065571</v>
      </c>
      <c r="BD90">
        <v>999.9</v>
      </c>
      <c r="BE90">
        <v>0</v>
      </c>
      <c r="BF90">
        <v>0</v>
      </c>
      <c r="BG90">
        <v>4996.8360655737706</v>
      </c>
      <c r="BH90">
        <v>0.56894708196721333</v>
      </c>
      <c r="BI90">
        <v>153.05021311475409</v>
      </c>
      <c r="BJ90">
        <v>1.828949180327869</v>
      </c>
      <c r="BK90">
        <v>15.520016393442621</v>
      </c>
      <c r="BL90">
        <v>13.72092295081967</v>
      </c>
      <c r="BM90">
        <v>-1.772273114754098</v>
      </c>
      <c r="BN90">
        <v>13.738827868852461</v>
      </c>
      <c r="BO90">
        <v>-1.3043149180327871</v>
      </c>
      <c r="BP90">
        <v>-0.30774454098360671</v>
      </c>
      <c r="BQ90">
        <v>-0.13046780327868851</v>
      </c>
      <c r="BR90">
        <v>-99.899999999999963</v>
      </c>
      <c r="BS90">
        <v>-99.899999999999963</v>
      </c>
      <c r="BT90">
        <v>1775468458.0999999</v>
      </c>
      <c r="BU90" t="s">
        <v>545</v>
      </c>
      <c r="BV90">
        <v>1775468454.0999999</v>
      </c>
      <c r="BW90">
        <v>1775468458.0999999</v>
      </c>
      <c r="BX90">
        <v>75</v>
      </c>
      <c r="BY90">
        <v>-5.7000000000000002E-2</v>
      </c>
      <c r="BZ90">
        <v>3.0000000000000001E-3</v>
      </c>
      <c r="CA90">
        <v>8.0519999999999996</v>
      </c>
      <c r="CB90">
        <v>-1.1910000000000001</v>
      </c>
      <c r="CC90">
        <v>12</v>
      </c>
      <c r="CD90">
        <v>-1</v>
      </c>
      <c r="CE90">
        <v>0.45</v>
      </c>
      <c r="CF90">
        <v>0.04</v>
      </c>
      <c r="CG90">
        <v>13.738827868852461</v>
      </c>
      <c r="CH90">
        <v>-0.62847255420413417</v>
      </c>
      <c r="CI90">
        <v>0.25941656299811178</v>
      </c>
      <c r="CJ90">
        <v>-1</v>
      </c>
      <c r="CK90">
        <v>500.41019672131148</v>
      </c>
      <c r="CL90">
        <v>-4.4531168693815761</v>
      </c>
      <c r="CM90">
        <v>1.1637369402999811</v>
      </c>
      <c r="CN90">
        <v>-1</v>
      </c>
      <c r="CO90">
        <v>0</v>
      </c>
      <c r="CP90">
        <v>0</v>
      </c>
      <c r="CQ90" t="s">
        <v>319</v>
      </c>
      <c r="CR90">
        <v>3.16757</v>
      </c>
      <c r="CS90">
        <v>2.6673499999999999</v>
      </c>
      <c r="CT90">
        <v>2.1468199999999998E-3</v>
      </c>
      <c r="CU90">
        <v>3.9714900000000003E-3</v>
      </c>
      <c r="CV90">
        <v>-1.8087599999999999E-2</v>
      </c>
      <c r="CW90">
        <v>-1.1481699999999999E-2</v>
      </c>
      <c r="CX90">
        <v>21497</v>
      </c>
      <c r="CY90">
        <v>21841.3</v>
      </c>
      <c r="CZ90">
        <v>23072.5</v>
      </c>
      <c r="DA90">
        <v>22283.599999999999</v>
      </c>
      <c r="DB90">
        <v>30297.5</v>
      </c>
      <c r="DC90">
        <v>26882.2</v>
      </c>
      <c r="DD90">
        <v>40562.1</v>
      </c>
      <c r="DE90">
        <v>36932</v>
      </c>
      <c r="DF90">
        <v>2.0601600000000002</v>
      </c>
      <c r="DG90">
        <v>1.7662599999999999</v>
      </c>
      <c r="DH90">
        <v>-5.3823000000000003E-2</v>
      </c>
      <c r="DI90">
        <v>0</v>
      </c>
      <c r="DJ90">
        <v>26.046099999999999</v>
      </c>
      <c r="DK90">
        <v>999.9</v>
      </c>
      <c r="DL90">
        <v>71.599999999999994</v>
      </c>
      <c r="DM90">
        <v>32</v>
      </c>
      <c r="DN90">
        <v>34.180999999999997</v>
      </c>
      <c r="DO90">
        <v>29.9755</v>
      </c>
      <c r="DP90">
        <v>10.4688</v>
      </c>
      <c r="DQ90">
        <v>1</v>
      </c>
      <c r="DR90">
        <v>0.29866700000000002</v>
      </c>
      <c r="DS90">
        <v>2.01485</v>
      </c>
      <c r="DT90">
        <v>20.353200000000001</v>
      </c>
      <c r="DU90">
        <v>5.2102199999999996</v>
      </c>
      <c r="DV90">
        <v>11.8529</v>
      </c>
      <c r="DW90">
        <v>4.9674800000000001</v>
      </c>
      <c r="DX90">
        <v>3.2922199999999999</v>
      </c>
      <c r="DY90">
        <v>894.7</v>
      </c>
      <c r="DZ90">
        <v>0</v>
      </c>
      <c r="EA90">
        <v>2267.3000000000002</v>
      </c>
      <c r="EB90">
        <v>107.9</v>
      </c>
      <c r="EC90">
        <v>4.9715699999999998</v>
      </c>
      <c r="ED90">
        <v>1.8718300000000001</v>
      </c>
      <c r="EE90">
        <v>1.8690599999999999</v>
      </c>
      <c r="EF90">
        <v>1.8714599999999999</v>
      </c>
      <c r="EG90">
        <v>1.8692</v>
      </c>
      <c r="EH90">
        <v>1.8681300000000001</v>
      </c>
      <c r="EI90">
        <v>1.8699600000000001</v>
      </c>
      <c r="EJ90">
        <v>1.8717900000000001</v>
      </c>
      <c r="EK90">
        <v>0</v>
      </c>
      <c r="EL90">
        <v>0</v>
      </c>
      <c r="EM90">
        <v>0</v>
      </c>
      <c r="EN90">
        <v>0</v>
      </c>
      <c r="EO90" t="s">
        <v>320</v>
      </c>
      <c r="EP90" t="s">
        <v>321</v>
      </c>
      <c r="EQ90" t="s">
        <v>322</v>
      </c>
      <c r="ER90" t="s">
        <v>322</v>
      </c>
      <c r="ES90" t="s">
        <v>322</v>
      </c>
      <c r="ET90" t="s">
        <v>322</v>
      </c>
      <c r="EU90">
        <v>0</v>
      </c>
      <c r="EV90">
        <v>100</v>
      </c>
      <c r="EW90">
        <v>100</v>
      </c>
      <c r="EX90">
        <v>8.0519999999999996</v>
      </c>
      <c r="EY90">
        <v>-1.1910000000000001</v>
      </c>
      <c r="EZ90">
        <v>8.1095010000000016</v>
      </c>
      <c r="FA90">
        <v>0</v>
      </c>
      <c r="FB90">
        <v>0</v>
      </c>
      <c r="FC90">
        <v>0</v>
      </c>
      <c r="FD90">
        <v>-1.1944955500000001</v>
      </c>
      <c r="FE90">
        <v>0</v>
      </c>
      <c r="FF90">
        <v>0</v>
      </c>
      <c r="FG90">
        <v>0</v>
      </c>
      <c r="FH90">
        <v>-1</v>
      </c>
      <c r="FI90">
        <v>-1</v>
      </c>
      <c r="FJ90">
        <v>-1</v>
      </c>
      <c r="FK90">
        <v>-1</v>
      </c>
      <c r="FL90">
        <v>0.7</v>
      </c>
      <c r="FM90">
        <v>0.6</v>
      </c>
      <c r="FN90">
        <v>0.14160200000000001</v>
      </c>
      <c r="FO90">
        <v>4.99756</v>
      </c>
      <c r="FP90">
        <v>1.5979000000000001</v>
      </c>
      <c r="FQ90">
        <v>2.1496599999999999</v>
      </c>
      <c r="FR90">
        <v>1.5478499999999999</v>
      </c>
      <c r="FS90">
        <v>2.3828100000000001</v>
      </c>
      <c r="FT90">
        <v>36.481400000000001</v>
      </c>
      <c r="FU90">
        <v>15.322800000000001</v>
      </c>
      <c r="FV90">
        <v>2</v>
      </c>
      <c r="FW90">
        <v>490.18900000000002</v>
      </c>
      <c r="FX90">
        <v>393.34199999999998</v>
      </c>
      <c r="FY90">
        <v>24.230599999999999</v>
      </c>
      <c r="FZ90">
        <v>30.875299999999999</v>
      </c>
      <c r="GA90">
        <v>29.9998</v>
      </c>
      <c r="GB90">
        <v>31.1907</v>
      </c>
      <c r="GC90">
        <v>31.248200000000001</v>
      </c>
      <c r="GD90">
        <v>-1</v>
      </c>
      <c r="GE90">
        <v>0</v>
      </c>
      <c r="GF90">
        <v>100</v>
      </c>
      <c r="GG90">
        <v>24.311399999999999</v>
      </c>
      <c r="GH90">
        <v>432.1</v>
      </c>
      <c r="GI90">
        <v>78.840199999999996</v>
      </c>
      <c r="GJ90">
        <v>102.089</v>
      </c>
      <c r="GK90">
        <v>96.367099999999994</v>
      </c>
    </row>
    <row r="91" spans="1:193" x14ac:dyDescent="0.35">
      <c r="A91">
        <v>75</v>
      </c>
      <c r="B91">
        <v>1775468494.0999999</v>
      </c>
      <c r="C91">
        <v>4538</v>
      </c>
      <c r="D91" t="s">
        <v>546</v>
      </c>
      <c r="E91" t="s">
        <v>547</v>
      </c>
      <c r="F91">
        <v>30</v>
      </c>
      <c r="G91">
        <v>1775468478.6000011</v>
      </c>
      <c r="H91">
        <f t="shared" si="36"/>
        <v>2.9649397324797403E-3</v>
      </c>
      <c r="I91">
        <f>1000*AY91*AG91*(AU91-AV91)/(100*AN91*(1000-AG91*AU91))</f>
        <v>2.9649397324797402</v>
      </c>
      <c r="J91">
        <f>AY91*AG91*(AT91-AS91*(1000-AG91*AV91)/(1000-AG91*AU91))/(100*AN91)</f>
        <v>-2.3462275440392504</v>
      </c>
      <c r="K91">
        <f t="shared" si="37"/>
        <v>14.99035442622951</v>
      </c>
      <c r="L91">
        <f t="shared" si="38"/>
        <v>55.91897291545024</v>
      </c>
      <c r="M91">
        <f>L91*(AZ91+BA91)/1000</f>
        <v>5.5962118420970199</v>
      </c>
      <c r="N91">
        <f>(AS91 - IF(AG91&gt;1, J91*AN91*100/(AI91), 0))*(AZ91+BA91)/1000</f>
        <v>1.5001920561763167</v>
      </c>
      <c r="O91">
        <f t="shared" si="39"/>
        <v>8.9163609729190851E-2</v>
      </c>
      <c r="P91">
        <f>IF(LEFT(AP91,1)&lt;&gt;"0",IF(LEFT(AP91,1)="1",3,AQ91),$D$5+$E$5*(BG91*AZ91/($K$5*1000))+$F$5*(BG91*AZ91/($K$5*1000))*MAX(MIN(AN91,$J$5),$I$5)*MAX(MIN(AN91,$J$5),$I$5)+$G$5*MAX(MIN(AN91,$J$5),$I$5)*(BG91*AZ91/($K$5*1000))+$H$5*(BG91*AZ91/($K$5*1000))*(BG91*AZ91/($K$5*1000)))</f>
        <v>2.38901153505984</v>
      </c>
      <c r="Q91">
        <f>H91*(1000-(1000*0.61365*EXP(17.502*U91/(240.97+U91))/(AZ91+BA91)+AU91)/2)/(1000*0.61365*EXP(17.502*U91/(240.97+U91))/(AZ91+BA91)-AU91)</f>
        <v>8.735528322879875E-2</v>
      </c>
      <c r="R91">
        <f t="shared" si="40"/>
        <v>5.4756468352580863E-2</v>
      </c>
      <c r="S91">
        <f t="shared" si="41"/>
        <v>0.10588202199836065</v>
      </c>
      <c r="T91">
        <f>(BB91+(S91+2*0.95*0.0000000567*(((BB91+$B$7)+273)^4-(BB91+273)^4)-44100*H91)/(1.84*29.3*P91+8*0.95*0.0000000567*(BB91+273)^3))</f>
        <v>24.062132406624954</v>
      </c>
      <c r="U91">
        <f>($C$7*BC91+$D$7*BD91+$E$7*T91)</f>
        <v>25.177175409836071</v>
      </c>
      <c r="V91">
        <f t="shared" si="42"/>
        <v>3.2134200621403006</v>
      </c>
      <c r="W91">
        <f t="shared" si="43"/>
        <v>-4.1215277318694801</v>
      </c>
      <c r="X91">
        <f>AU91*(AZ91+BA91)/1000</f>
        <v>-0.13100446044075992</v>
      </c>
      <c r="Y91">
        <f t="shared" si="44"/>
        <v>3.1785412828300372</v>
      </c>
      <c r="Z91">
        <f>(V91-AU91*(AZ91+BA91)/1000)</f>
        <v>3.3444245225810607</v>
      </c>
      <c r="AA91">
        <f t="shared" si="45"/>
        <v>-130.75384220235654</v>
      </c>
      <c r="AB91">
        <f>2*29.3*P91*0.92*(BB91-U91)</f>
        <v>-23.591698076467178</v>
      </c>
      <c r="AC91">
        <f>2*0.95*0.0000000567*(((BB91+$B$7)+273)^4-(U91+273)^4)</f>
        <v>-2.0906202380488059</v>
      </c>
      <c r="AD91">
        <f t="shared" si="46"/>
        <v>-156.33027849487414</v>
      </c>
      <c r="AE91">
        <v>20</v>
      </c>
      <c r="AF91">
        <v>4</v>
      </c>
      <c r="AG91">
        <f t="shared" si="47"/>
        <v>1</v>
      </c>
      <c r="AH91">
        <f t="shared" si="48"/>
        <v>0</v>
      </c>
      <c r="AI91">
        <f t="shared" si="49"/>
        <v>25708.495056554941</v>
      </c>
      <c r="AJ91">
        <f t="shared" si="50"/>
        <v>0.55406604918032787</v>
      </c>
      <c r="AK91">
        <f t="shared" si="51"/>
        <v>0.44325283934426229</v>
      </c>
      <c r="AL91">
        <f t="shared" si="52"/>
        <v>0.8</v>
      </c>
      <c r="AM91">
        <f t="shared" si="53"/>
        <v>0.19109999999999999</v>
      </c>
      <c r="AN91">
        <v>3</v>
      </c>
      <c r="AO91">
        <v>0.5</v>
      </c>
      <c r="AP91" t="s">
        <v>317</v>
      </c>
      <c r="AQ91">
        <v>2</v>
      </c>
      <c r="AR91">
        <v>1775468478.6000011</v>
      </c>
      <c r="AS91">
        <v>14.99035442622951</v>
      </c>
      <c r="AT91">
        <v>13.61001967213114</v>
      </c>
      <c r="AU91">
        <v>-1.309034590163934</v>
      </c>
      <c r="AV91">
        <v>-3.0893798360655729</v>
      </c>
      <c r="AW91">
        <v>6.922354426229508</v>
      </c>
      <c r="AX91">
        <v>-1.897379836065574</v>
      </c>
      <c r="AY91">
        <v>500.26604918032791</v>
      </c>
      <c r="AZ91">
        <v>100.0310983606557</v>
      </c>
      <c r="BA91">
        <v>4.6058824590163937E-2</v>
      </c>
      <c r="BB91">
        <v>24.99400491803279</v>
      </c>
      <c r="BC91">
        <v>25.177175409836071</v>
      </c>
      <c r="BD91">
        <v>999.9</v>
      </c>
      <c r="BE91">
        <v>0</v>
      </c>
      <c r="BF91">
        <v>0</v>
      </c>
      <c r="BG91">
        <v>5000.9672131147536</v>
      </c>
      <c r="BH91">
        <v>0.55406604918032787</v>
      </c>
      <c r="BI91">
        <v>149.83290163934419</v>
      </c>
      <c r="BJ91">
        <v>1.364377590163935</v>
      </c>
      <c r="BK91">
        <v>14.928275409836059</v>
      </c>
      <c r="BL91">
        <v>13.59223442622951</v>
      </c>
      <c r="BM91">
        <v>-1.779841639344262</v>
      </c>
      <c r="BN91">
        <v>13.61001967213114</v>
      </c>
      <c r="BO91">
        <v>-1.309034590163934</v>
      </c>
      <c r="BP91">
        <v>-0.30898393442622951</v>
      </c>
      <c r="BQ91">
        <v>-0.1309442786885246</v>
      </c>
      <c r="BR91">
        <v>-99.899999999999963</v>
      </c>
      <c r="BS91">
        <v>-99.899999999999963</v>
      </c>
      <c r="BT91">
        <v>1775468520.0999999</v>
      </c>
      <c r="BU91" t="s">
        <v>548</v>
      </c>
      <c r="BV91">
        <v>1775468512.0999999</v>
      </c>
      <c r="BW91">
        <v>1775468520.0999999</v>
      </c>
      <c r="BX91">
        <v>76</v>
      </c>
      <c r="BY91">
        <v>1.6E-2</v>
      </c>
      <c r="BZ91">
        <v>0</v>
      </c>
      <c r="CA91">
        <v>8.0679999999999996</v>
      </c>
      <c r="CB91">
        <v>-1.1919999999999999</v>
      </c>
      <c r="CC91">
        <v>13</v>
      </c>
      <c r="CD91">
        <v>-1</v>
      </c>
      <c r="CE91">
        <v>0.26</v>
      </c>
      <c r="CF91">
        <v>0.04</v>
      </c>
      <c r="CG91">
        <v>13.610948333333329</v>
      </c>
      <c r="CH91">
        <v>1.893522978605171</v>
      </c>
      <c r="CI91">
        <v>0.47108528367719388</v>
      </c>
      <c r="CJ91">
        <v>-1</v>
      </c>
      <c r="CK91">
        <v>500.27053333333328</v>
      </c>
      <c r="CL91">
        <v>-2.893116976937474</v>
      </c>
      <c r="CM91">
        <v>0.87049023480386511</v>
      </c>
      <c r="CN91">
        <v>-1</v>
      </c>
      <c r="CO91">
        <v>0</v>
      </c>
      <c r="CP91">
        <v>0</v>
      </c>
      <c r="CQ91" t="s">
        <v>319</v>
      </c>
      <c r="CR91">
        <v>3.1675200000000001</v>
      </c>
      <c r="CS91">
        <v>2.6671100000000001</v>
      </c>
      <c r="CT91">
        <v>2.1745800000000002E-3</v>
      </c>
      <c r="CU91">
        <v>4.0070100000000001E-3</v>
      </c>
      <c r="CV91">
        <v>-1.7678800000000001E-2</v>
      </c>
      <c r="CW91">
        <v>-1.15154E-2</v>
      </c>
      <c r="CX91">
        <v>21497.5</v>
      </c>
      <c r="CY91">
        <v>21842</v>
      </c>
      <c r="CZ91">
        <v>23073.599999999999</v>
      </c>
      <c r="DA91">
        <v>22285</v>
      </c>
      <c r="DB91">
        <v>30286.6</v>
      </c>
      <c r="DC91">
        <v>26885</v>
      </c>
      <c r="DD91">
        <v>40563.699999999997</v>
      </c>
      <c r="DE91">
        <v>36934.699999999997</v>
      </c>
      <c r="DF91">
        <v>2.0607799999999998</v>
      </c>
      <c r="DG91">
        <v>1.7665200000000001</v>
      </c>
      <c r="DH91">
        <v>-5.1885800000000003E-2</v>
      </c>
      <c r="DI91">
        <v>0</v>
      </c>
      <c r="DJ91">
        <v>26.0351</v>
      </c>
      <c r="DK91">
        <v>999.9</v>
      </c>
      <c r="DL91">
        <v>71.599999999999994</v>
      </c>
      <c r="DM91">
        <v>32</v>
      </c>
      <c r="DN91">
        <v>34.180100000000003</v>
      </c>
      <c r="DO91">
        <v>30.6355</v>
      </c>
      <c r="DP91">
        <v>10.849399999999999</v>
      </c>
      <c r="DQ91">
        <v>1</v>
      </c>
      <c r="DR91">
        <v>0.29549999999999998</v>
      </c>
      <c r="DS91">
        <v>1.91567</v>
      </c>
      <c r="DT91">
        <v>20.354500000000002</v>
      </c>
      <c r="DU91">
        <v>5.2104600000000003</v>
      </c>
      <c r="DV91">
        <v>11.853400000000001</v>
      </c>
      <c r="DW91">
        <v>4.9674399999999999</v>
      </c>
      <c r="DX91">
        <v>3.2924199999999999</v>
      </c>
      <c r="DY91">
        <v>894.7</v>
      </c>
      <c r="DZ91">
        <v>0</v>
      </c>
      <c r="EA91">
        <v>2296</v>
      </c>
      <c r="EB91">
        <v>107.9</v>
      </c>
      <c r="EC91">
        <v>4.9715999999999996</v>
      </c>
      <c r="ED91">
        <v>1.87191</v>
      </c>
      <c r="EE91">
        <v>1.8690500000000001</v>
      </c>
      <c r="EF91">
        <v>1.8714599999999999</v>
      </c>
      <c r="EG91">
        <v>1.8692</v>
      </c>
      <c r="EH91">
        <v>1.8681300000000001</v>
      </c>
      <c r="EI91">
        <v>1.8699600000000001</v>
      </c>
      <c r="EJ91">
        <v>1.8717900000000001</v>
      </c>
      <c r="EK91">
        <v>0</v>
      </c>
      <c r="EL91">
        <v>0</v>
      </c>
      <c r="EM91">
        <v>0</v>
      </c>
      <c r="EN91">
        <v>0</v>
      </c>
      <c r="EO91" t="s">
        <v>320</v>
      </c>
      <c r="EP91" t="s">
        <v>321</v>
      </c>
      <c r="EQ91" t="s">
        <v>322</v>
      </c>
      <c r="ER91" t="s">
        <v>322</v>
      </c>
      <c r="ES91" t="s">
        <v>322</v>
      </c>
      <c r="ET91" t="s">
        <v>322</v>
      </c>
      <c r="EU91">
        <v>0</v>
      </c>
      <c r="EV91">
        <v>100</v>
      </c>
      <c r="EW91">
        <v>100</v>
      </c>
      <c r="EX91">
        <v>8.0679999999999996</v>
      </c>
      <c r="EY91">
        <v>-1.1919999999999999</v>
      </c>
      <c r="EZ91">
        <v>8.052048000000001</v>
      </c>
      <c r="FA91">
        <v>0</v>
      </c>
      <c r="FB91">
        <v>0</v>
      </c>
      <c r="FC91">
        <v>0</v>
      </c>
      <c r="FD91">
        <v>-1.1915</v>
      </c>
      <c r="FE91">
        <v>0</v>
      </c>
      <c r="FF91">
        <v>0</v>
      </c>
      <c r="FG91">
        <v>0</v>
      </c>
      <c r="FH91">
        <v>-1</v>
      </c>
      <c r="FI91">
        <v>-1</v>
      </c>
      <c r="FJ91">
        <v>-1</v>
      </c>
      <c r="FK91">
        <v>-1</v>
      </c>
      <c r="FL91">
        <v>0.7</v>
      </c>
      <c r="FM91">
        <v>0.6</v>
      </c>
      <c r="FN91">
        <v>0.14160200000000001</v>
      </c>
      <c r="FO91">
        <v>4.99756</v>
      </c>
      <c r="FP91">
        <v>1.5979000000000001</v>
      </c>
      <c r="FQ91">
        <v>2.1496599999999999</v>
      </c>
      <c r="FR91">
        <v>1.5478499999999999</v>
      </c>
      <c r="FS91">
        <v>2.4597199999999999</v>
      </c>
      <c r="FT91">
        <v>36.4343</v>
      </c>
      <c r="FU91">
        <v>15.3141</v>
      </c>
      <c r="FV91">
        <v>2</v>
      </c>
      <c r="FW91">
        <v>490.42399999999998</v>
      </c>
      <c r="FX91">
        <v>393.38799999999998</v>
      </c>
      <c r="FY91">
        <v>24.3306</v>
      </c>
      <c r="FZ91">
        <v>30.849</v>
      </c>
      <c r="GA91">
        <v>29.9998</v>
      </c>
      <c r="GB91">
        <v>31.174099999999999</v>
      </c>
      <c r="GC91">
        <v>31.232099999999999</v>
      </c>
      <c r="GD91">
        <v>-1</v>
      </c>
      <c r="GE91">
        <v>0</v>
      </c>
      <c r="GF91">
        <v>100</v>
      </c>
      <c r="GG91">
        <v>24.337299999999999</v>
      </c>
      <c r="GH91">
        <v>432.1</v>
      </c>
      <c r="GI91">
        <v>78.840199999999996</v>
      </c>
      <c r="GJ91">
        <v>102.093</v>
      </c>
      <c r="GK91">
        <v>96.373699999999999</v>
      </c>
    </row>
    <row r="92" spans="1:193" x14ac:dyDescent="0.35">
      <c r="A92">
        <v>76</v>
      </c>
      <c r="B92">
        <v>1775468554.0999999</v>
      </c>
      <c r="C92">
        <v>4598</v>
      </c>
      <c r="D92" t="s">
        <v>549</v>
      </c>
      <c r="E92" t="s">
        <v>550</v>
      </c>
      <c r="F92">
        <v>30</v>
      </c>
      <c r="G92">
        <v>1775468538.6000011</v>
      </c>
      <c r="H92">
        <f t="shared" si="36"/>
        <v>2.8546798483137107E-3</v>
      </c>
      <c r="I92">
        <f>1000*AY92*AG92*(AU92-AV92)/(100*AN92*(1000-AG92*AU92))</f>
        <v>2.8546798483137108</v>
      </c>
      <c r="J92">
        <f>AY92*AG92*(AT92-AS92*(1000-AG92*AV92)/(1000-AG92*AU92))/(100*AN92)</f>
        <v>-2.8338435067172409</v>
      </c>
      <c r="K92">
        <f t="shared" si="37"/>
        <v>14.74083196721311</v>
      </c>
      <c r="L92">
        <f t="shared" si="38"/>
        <v>66.35552544826713</v>
      </c>
      <c r="M92">
        <f>L92*(AZ92+BA92)/1000</f>
        <v>6.6409321209648686</v>
      </c>
      <c r="N92">
        <f>(AS92 - IF(AG92&gt;1, J92*AN92*100/(AI92), 0))*(AZ92+BA92)/1000</f>
        <v>1.4752782656680443</v>
      </c>
      <c r="O92">
        <f t="shared" si="39"/>
        <v>8.5695312519310923E-2</v>
      </c>
      <c r="P92">
        <f>IF(LEFT(AP92,1)&lt;&gt;"0",IF(LEFT(AP92,1)="1",3,AQ92),$D$5+$E$5*(BG92*AZ92/($K$5*1000))+$F$5*(BG92*AZ92/($K$5*1000))*MAX(MIN(AN92,$J$5),$I$5)*MAX(MIN(AN92,$J$5),$I$5)+$G$5*MAX(MIN(AN92,$J$5),$I$5)*(BG92*AZ92/($K$5*1000))+$H$5*(BG92*AZ92/($K$5*1000))*(BG92*AZ92/($K$5*1000)))</f>
        <v>2.386338990273321</v>
      </c>
      <c r="Q92">
        <f>H92*(1000-(1000*0.61365*EXP(17.502*U92/(240.97+U92))/(AZ92+BA92)+AU92)/2)/(1000*0.61365*EXP(17.502*U92/(240.97+U92))/(AZ92+BA92)-AU92)</f>
        <v>8.40216766627985E-2</v>
      </c>
      <c r="R92">
        <f t="shared" si="40"/>
        <v>5.2661194996191339E-2</v>
      </c>
      <c r="S92">
        <f t="shared" si="41"/>
        <v>0.11287251012295083</v>
      </c>
      <c r="T92">
        <f>(BB92+(S92+2*0.95*0.0000000567*(((BB92+$B$7)+273)^4-(BB92+273)^4)-44100*H92)/(1.84*29.3*P92+8*0.95*0.0000000567*(BB92+273)^3))</f>
        <v>24.109441894605283</v>
      </c>
      <c r="U92">
        <f>($C$7*BC92+$D$7*BD92+$E$7*T92)</f>
        <v>25.191167213114749</v>
      </c>
      <c r="V92">
        <f t="shared" si="42"/>
        <v>3.2160980351529318</v>
      </c>
      <c r="W92">
        <f t="shared" si="43"/>
        <v>-4.1436304170241369</v>
      </c>
      <c r="X92">
        <f>AU92*(AZ92+BA92)/1000</f>
        <v>-0.13181297358854943</v>
      </c>
      <c r="Y92">
        <f t="shared" si="44"/>
        <v>3.1810987062696237</v>
      </c>
      <c r="Z92">
        <f>(V92-AU92*(AZ92+BA92)/1000)</f>
        <v>3.3479110087414812</v>
      </c>
      <c r="AA92">
        <f t="shared" si="45"/>
        <v>-125.89138131063464</v>
      </c>
      <c r="AB92">
        <f>2*29.3*P92*0.92*(BB92-U92)</f>
        <v>-23.629843521950228</v>
      </c>
      <c r="AC92">
        <f>2*0.95*0.0000000567*(((BB92+$B$7)+273)^4-(U92+273)^4)</f>
        <v>-2.0966356321562629</v>
      </c>
      <c r="AD92">
        <f t="shared" si="46"/>
        <v>-151.50498795461817</v>
      </c>
      <c r="AE92">
        <v>20</v>
      </c>
      <c r="AF92">
        <v>4</v>
      </c>
      <c r="AG92">
        <f t="shared" si="47"/>
        <v>1</v>
      </c>
      <c r="AH92">
        <f t="shared" si="48"/>
        <v>0</v>
      </c>
      <c r="AI92">
        <f t="shared" si="49"/>
        <v>25666.277040099259</v>
      </c>
      <c r="AJ92">
        <f t="shared" si="50"/>
        <v>0.59064631147540991</v>
      </c>
      <c r="AK92">
        <f t="shared" si="51"/>
        <v>0.47251704918032794</v>
      </c>
      <c r="AL92">
        <f t="shared" si="52"/>
        <v>0.8</v>
      </c>
      <c r="AM92">
        <f t="shared" si="53"/>
        <v>0.19109999999999999</v>
      </c>
      <c r="AN92">
        <v>3</v>
      </c>
      <c r="AO92">
        <v>0.5</v>
      </c>
      <c r="AP92" t="s">
        <v>317</v>
      </c>
      <c r="AQ92">
        <v>2</v>
      </c>
      <c r="AR92">
        <v>1775468538.6000011</v>
      </c>
      <c r="AS92">
        <v>14.74083196721311</v>
      </c>
      <c r="AT92">
        <v>13.067529508196721</v>
      </c>
      <c r="AU92">
        <v>-1.317061967213115</v>
      </c>
      <c r="AV92">
        <v>-3.0303283934426228</v>
      </c>
      <c r="AW92">
        <v>6.6648319672131144</v>
      </c>
      <c r="AX92">
        <v>-1.839328393442623</v>
      </c>
      <c r="AY92">
        <v>500.52454098360653</v>
      </c>
      <c r="AZ92">
        <v>100.03437704918031</v>
      </c>
      <c r="BA92">
        <v>4.6694965573770487E-2</v>
      </c>
      <c r="BB92">
        <v>25.007495081967221</v>
      </c>
      <c r="BC92">
        <v>25.191167213114749</v>
      </c>
      <c r="BD92">
        <v>999.9</v>
      </c>
      <c r="BE92">
        <v>0</v>
      </c>
      <c r="BF92">
        <v>0</v>
      </c>
      <c r="BG92">
        <v>4993.9180327868853</v>
      </c>
      <c r="BH92">
        <v>0.59064631147540991</v>
      </c>
      <c r="BI92">
        <v>146.9035081967213</v>
      </c>
      <c r="BJ92">
        <v>1.6657083442622951</v>
      </c>
      <c r="BK92">
        <v>14.688688524590161</v>
      </c>
      <c r="BL92">
        <v>13.05033442622951</v>
      </c>
      <c r="BM92">
        <v>-1.714067573770492</v>
      </c>
      <c r="BN92">
        <v>13.067529508196721</v>
      </c>
      <c r="BO92">
        <v>-1.317061967213115</v>
      </c>
      <c r="BP92">
        <v>-0.30321713114754101</v>
      </c>
      <c r="BQ92">
        <v>-0.13175140983606559</v>
      </c>
      <c r="BR92">
        <v>-99.899999999999963</v>
      </c>
      <c r="BS92">
        <v>-99.899999999999963</v>
      </c>
      <c r="BT92">
        <v>1775468581.0999999</v>
      </c>
      <c r="BU92" t="s">
        <v>551</v>
      </c>
      <c r="BV92">
        <v>1775468573.5999999</v>
      </c>
      <c r="BW92">
        <v>1775468581.0999999</v>
      </c>
      <c r="BX92">
        <v>77</v>
      </c>
      <c r="BY92">
        <v>8.0000000000000002E-3</v>
      </c>
      <c r="BZ92">
        <v>1E-3</v>
      </c>
      <c r="CA92">
        <v>8.0760000000000005</v>
      </c>
      <c r="CB92">
        <v>-1.1910000000000001</v>
      </c>
      <c r="CC92">
        <v>14</v>
      </c>
      <c r="CD92">
        <v>-1</v>
      </c>
      <c r="CE92">
        <v>0.25</v>
      </c>
      <c r="CF92">
        <v>0.05</v>
      </c>
      <c r="CG92">
        <v>13.065595081967221</v>
      </c>
      <c r="CH92">
        <v>-0.6543718667371734</v>
      </c>
      <c r="CI92">
        <v>0.33042996749452969</v>
      </c>
      <c r="CJ92">
        <v>-1</v>
      </c>
      <c r="CK92">
        <v>500.63780327868858</v>
      </c>
      <c r="CL92">
        <v>-6.2168439978849017</v>
      </c>
      <c r="CM92">
        <v>1.368380205765281</v>
      </c>
      <c r="CN92">
        <v>-1</v>
      </c>
      <c r="CO92">
        <v>0</v>
      </c>
      <c r="CP92">
        <v>0</v>
      </c>
      <c r="CQ92" t="s">
        <v>319</v>
      </c>
      <c r="CR92">
        <v>3.1675599999999999</v>
      </c>
      <c r="CS92">
        <v>2.66689</v>
      </c>
      <c r="CT92">
        <v>2.0068999999999998E-3</v>
      </c>
      <c r="CU92">
        <v>4.0512100000000004E-3</v>
      </c>
      <c r="CV92">
        <v>-1.78053E-2</v>
      </c>
      <c r="CW92">
        <v>-1.16233E-2</v>
      </c>
      <c r="CX92">
        <v>21502.1</v>
      </c>
      <c r="CY92">
        <v>21842.7</v>
      </c>
      <c r="CZ92">
        <v>23074.6</v>
      </c>
      <c r="DA92">
        <v>22286.6</v>
      </c>
      <c r="DB92">
        <v>30291.5</v>
      </c>
      <c r="DC92">
        <v>26889.599999999999</v>
      </c>
      <c r="DD92">
        <v>40565.1</v>
      </c>
      <c r="DE92">
        <v>36937</v>
      </c>
      <c r="DF92">
        <v>2.06108</v>
      </c>
      <c r="DG92">
        <v>1.7665599999999999</v>
      </c>
      <c r="DH92">
        <v>-5.16772E-2</v>
      </c>
      <c r="DI92">
        <v>0</v>
      </c>
      <c r="DJ92">
        <v>26.0215</v>
      </c>
      <c r="DK92">
        <v>999.9</v>
      </c>
      <c r="DL92">
        <v>71.5</v>
      </c>
      <c r="DM92">
        <v>32</v>
      </c>
      <c r="DN92">
        <v>34.128799999999998</v>
      </c>
      <c r="DO92">
        <v>30.935500000000001</v>
      </c>
      <c r="DP92">
        <v>10.536899999999999</v>
      </c>
      <c r="DQ92">
        <v>1</v>
      </c>
      <c r="DR92">
        <v>0.29291099999999998</v>
      </c>
      <c r="DS92">
        <v>2.0412499999999998</v>
      </c>
      <c r="DT92">
        <v>20.352799999999998</v>
      </c>
      <c r="DU92">
        <v>5.2079500000000003</v>
      </c>
      <c r="DV92">
        <v>11.8523</v>
      </c>
      <c r="DW92">
        <v>4.96732</v>
      </c>
      <c r="DX92">
        <v>3.2922199999999999</v>
      </c>
      <c r="DY92">
        <v>894.7</v>
      </c>
      <c r="DZ92">
        <v>0</v>
      </c>
      <c r="EA92">
        <v>2331.4</v>
      </c>
      <c r="EB92">
        <v>107.9</v>
      </c>
      <c r="EC92">
        <v>4.9716199999999997</v>
      </c>
      <c r="ED92">
        <v>1.87191</v>
      </c>
      <c r="EE92">
        <v>1.8690599999999999</v>
      </c>
      <c r="EF92">
        <v>1.87148</v>
      </c>
      <c r="EG92">
        <v>1.8692</v>
      </c>
      <c r="EH92">
        <v>1.8681300000000001</v>
      </c>
      <c r="EI92">
        <v>1.8699600000000001</v>
      </c>
      <c r="EJ92">
        <v>1.8717999999999999</v>
      </c>
      <c r="EK92">
        <v>0</v>
      </c>
      <c r="EL92">
        <v>0</v>
      </c>
      <c r="EM92">
        <v>0</v>
      </c>
      <c r="EN92">
        <v>0</v>
      </c>
      <c r="EO92" t="s">
        <v>320</v>
      </c>
      <c r="EP92" t="s">
        <v>321</v>
      </c>
      <c r="EQ92" t="s">
        <v>322</v>
      </c>
      <c r="ER92" t="s">
        <v>322</v>
      </c>
      <c r="ES92" t="s">
        <v>322</v>
      </c>
      <c r="ET92" t="s">
        <v>322</v>
      </c>
      <c r="EU92">
        <v>0</v>
      </c>
      <c r="EV92">
        <v>100</v>
      </c>
      <c r="EW92">
        <v>100</v>
      </c>
      <c r="EX92">
        <v>8.0760000000000005</v>
      </c>
      <c r="EY92">
        <v>-1.1910000000000001</v>
      </c>
      <c r="EZ92">
        <v>8.0684064999999983</v>
      </c>
      <c r="FA92">
        <v>0</v>
      </c>
      <c r="FB92">
        <v>0</v>
      </c>
      <c r="FC92">
        <v>0</v>
      </c>
      <c r="FD92">
        <v>-1.1918008</v>
      </c>
      <c r="FE92">
        <v>0</v>
      </c>
      <c r="FF92">
        <v>0</v>
      </c>
      <c r="FG92">
        <v>0</v>
      </c>
      <c r="FH92">
        <v>-1</v>
      </c>
      <c r="FI92">
        <v>-1</v>
      </c>
      <c r="FJ92">
        <v>-1</v>
      </c>
      <c r="FK92">
        <v>-1</v>
      </c>
      <c r="FL92">
        <v>0.7</v>
      </c>
      <c r="FM92">
        <v>0.6</v>
      </c>
      <c r="FN92">
        <v>0.14160200000000001</v>
      </c>
      <c r="FO92">
        <v>4.99756</v>
      </c>
      <c r="FP92">
        <v>1.5979000000000001</v>
      </c>
      <c r="FQ92">
        <v>2.1496599999999999</v>
      </c>
      <c r="FR92">
        <v>1.5478499999999999</v>
      </c>
      <c r="FS92">
        <v>2.34131</v>
      </c>
      <c r="FT92">
        <v>36.410699999999999</v>
      </c>
      <c r="FU92">
        <v>15.270300000000001</v>
      </c>
      <c r="FV92">
        <v>2</v>
      </c>
      <c r="FW92">
        <v>490.40100000000001</v>
      </c>
      <c r="FX92">
        <v>393.26</v>
      </c>
      <c r="FY92">
        <v>24.2851</v>
      </c>
      <c r="FZ92">
        <v>30.8141</v>
      </c>
      <c r="GA92">
        <v>29.9999</v>
      </c>
      <c r="GB92">
        <v>31.1478</v>
      </c>
      <c r="GC92">
        <v>31.207699999999999</v>
      </c>
      <c r="GD92">
        <v>-1</v>
      </c>
      <c r="GE92">
        <v>0</v>
      </c>
      <c r="GF92">
        <v>100</v>
      </c>
      <c r="GG92">
        <v>24.276599999999998</v>
      </c>
      <c r="GH92">
        <v>432.1</v>
      </c>
      <c r="GI92">
        <v>78.840199999999996</v>
      </c>
      <c r="GJ92">
        <v>102.09699999999999</v>
      </c>
      <c r="GK92">
        <v>96.380099999999999</v>
      </c>
    </row>
    <row r="93" spans="1:193" x14ac:dyDescent="0.35">
      <c r="A93">
        <v>77</v>
      </c>
      <c r="B93">
        <v>1775468614.0999999</v>
      </c>
      <c r="C93">
        <v>4658</v>
      </c>
      <c r="D93" t="s">
        <v>552</v>
      </c>
      <c r="E93" t="s">
        <v>553</v>
      </c>
      <c r="F93">
        <v>30</v>
      </c>
      <c r="G93">
        <v>1775468598.6000011</v>
      </c>
      <c r="H93">
        <f t="shared" si="36"/>
        <v>2.8070305363671953E-3</v>
      </c>
      <c r="I93">
        <f>1000*AY93*AG93*(AU93-AV93)/(100*AN93*(1000-AG93*AU93))</f>
        <v>2.8070305363671952</v>
      </c>
      <c r="J93">
        <f>AY93*AG93*(AT93-AS93*(1000-AG93*AV93)/(1000-AG93*AU93))/(100*AN93)</f>
        <v>-2.6425588011729699</v>
      </c>
      <c r="K93">
        <f t="shared" si="37"/>
        <v>15.42635442622951</v>
      </c>
      <c r="L93">
        <f t="shared" si="38"/>
        <v>64.266130369005921</v>
      </c>
      <c r="M93">
        <f>L93*(AZ93+BA93)/1000</f>
        <v>6.4320176205038724</v>
      </c>
      <c r="N93">
        <f>(AS93 - IF(AG93&gt;1, J93*AN93*100/(AI93), 0))*(AZ93+BA93)/1000</f>
        <v>1.5439327515119674</v>
      </c>
      <c r="O93">
        <f t="shared" si="39"/>
        <v>8.4297452572266396E-2</v>
      </c>
      <c r="P93">
        <f>IF(LEFT(AP93,1)&lt;&gt;"0",IF(LEFT(AP93,1)="1",3,AQ93),$D$5+$E$5*(BG93*AZ93/($K$5*1000))+$F$5*(BG93*AZ93/($K$5*1000))*MAX(MIN(AN93,$J$5),$I$5)*MAX(MIN(AN93,$J$5),$I$5)+$G$5*MAX(MIN(AN93,$J$5),$I$5)*(BG93*AZ93/($K$5*1000))+$H$5*(BG93*AZ93/($K$5*1000))*(BG93*AZ93/($K$5*1000)))</f>
        <v>2.3869384042248996</v>
      </c>
      <c r="Q93">
        <f>H93*(1000-(1000*0.61365*EXP(17.502*U93/(240.97+U93))/(AZ93+BA93)+AU93)/2)/(1000*0.61365*EXP(17.502*U93/(240.97+U93))/(AZ93+BA93)-AU93)</f>
        <v>8.2677814177167505E-2</v>
      </c>
      <c r="R93">
        <f t="shared" si="40"/>
        <v>5.181656003026093E-2</v>
      </c>
      <c r="S93">
        <f t="shared" si="41"/>
        <v>0.10674133290983608</v>
      </c>
      <c r="T93">
        <f>(BB93+(S93+2*0.95*0.0000000567*(((BB93+$B$7)+273)^4-(BB93+273)^4)-44100*H93)/(1.84*29.3*P93+8*0.95*0.0000000567*(BB93+273)^3))</f>
        <v>24.112975549103691</v>
      </c>
      <c r="U93">
        <f>($C$7*BC93+$D$7*BD93+$E$7*T93)</f>
        <v>25.180604918032792</v>
      </c>
      <c r="V93">
        <f t="shared" si="42"/>
        <v>3.2140762754337797</v>
      </c>
      <c r="W93">
        <f t="shared" si="43"/>
        <v>-4.1396526452628528</v>
      </c>
      <c r="X93">
        <f>AU93*(AZ93+BA93)/1000</f>
        <v>-0.13159523028302181</v>
      </c>
      <c r="Y93">
        <f t="shared" si="44"/>
        <v>3.1788954668361069</v>
      </c>
      <c r="Z93">
        <f>(V93-AU93*(AZ93+BA93)/1000)</f>
        <v>3.3456715057168016</v>
      </c>
      <c r="AA93">
        <f t="shared" si="45"/>
        <v>-123.79004665379331</v>
      </c>
      <c r="AB93">
        <f>2*29.3*P93*0.92*(BB93-U93)</f>
        <v>-23.772058123588849</v>
      </c>
      <c r="AC93">
        <f>2*0.95*0.0000000567*(((BB93+$B$7)+273)^4-(U93+273)^4)</f>
        <v>-2.1084890337590543</v>
      </c>
      <c r="AD93">
        <f t="shared" si="46"/>
        <v>-149.56385247823138</v>
      </c>
      <c r="AE93">
        <v>20</v>
      </c>
      <c r="AF93">
        <v>4</v>
      </c>
      <c r="AG93">
        <f t="shared" si="47"/>
        <v>1</v>
      </c>
      <c r="AH93">
        <f t="shared" si="48"/>
        <v>0</v>
      </c>
      <c r="AI93">
        <f t="shared" si="49"/>
        <v>25676.32189014538</v>
      </c>
      <c r="AJ93">
        <f t="shared" si="50"/>
        <v>0.55856270491803284</v>
      </c>
      <c r="AK93">
        <f t="shared" si="51"/>
        <v>0.44685016393442628</v>
      </c>
      <c r="AL93">
        <f t="shared" si="52"/>
        <v>0.8</v>
      </c>
      <c r="AM93">
        <f t="shared" si="53"/>
        <v>0.19109999999999999</v>
      </c>
      <c r="AN93">
        <v>3</v>
      </c>
      <c r="AO93">
        <v>0.5</v>
      </c>
      <c r="AP93" t="s">
        <v>317</v>
      </c>
      <c r="AQ93">
        <v>2</v>
      </c>
      <c r="AR93">
        <v>1775468598.6000011</v>
      </c>
      <c r="AS93">
        <v>15.42635442622951</v>
      </c>
      <c r="AT93">
        <v>13.868819672131149</v>
      </c>
      <c r="AU93">
        <v>-1.3148465573770489</v>
      </c>
      <c r="AV93">
        <v>-2.9990959180327872</v>
      </c>
      <c r="AW93">
        <v>7.3363544262295068</v>
      </c>
      <c r="AX93">
        <v>-1.8080959180327869</v>
      </c>
      <c r="AY93">
        <v>500.64819672131142</v>
      </c>
      <c r="AZ93">
        <v>100.03772131147539</v>
      </c>
      <c r="BA93">
        <v>4.6375608196721312E-2</v>
      </c>
      <c r="BB93">
        <v>24.995873770491801</v>
      </c>
      <c r="BC93">
        <v>25.180604918032792</v>
      </c>
      <c r="BD93">
        <v>999.9</v>
      </c>
      <c r="BE93">
        <v>0</v>
      </c>
      <c r="BF93">
        <v>0</v>
      </c>
      <c r="BG93">
        <v>4995.2950819672133</v>
      </c>
      <c r="BH93">
        <v>0.55856270491803284</v>
      </c>
      <c r="BI93">
        <v>144.21893442622951</v>
      </c>
      <c r="BJ93">
        <v>1.544023016393443</v>
      </c>
      <c r="BK93">
        <v>15.36665245901639</v>
      </c>
      <c r="BL93">
        <v>13.850603278688521</v>
      </c>
      <c r="BM93">
        <v>-1.68439144262295</v>
      </c>
      <c r="BN93">
        <v>13.868819672131149</v>
      </c>
      <c r="BO93">
        <v>-1.3148465573770489</v>
      </c>
      <c r="BP93">
        <v>-0.30003690163934432</v>
      </c>
      <c r="BQ93">
        <v>-0.13153416393442621</v>
      </c>
      <c r="BR93">
        <v>-99.899999999999963</v>
      </c>
      <c r="BS93">
        <v>-99.899999999999963</v>
      </c>
      <c r="BT93">
        <v>1775468640</v>
      </c>
      <c r="BU93" t="s">
        <v>554</v>
      </c>
      <c r="BV93">
        <v>1775468635.5</v>
      </c>
      <c r="BW93">
        <v>1775468640</v>
      </c>
      <c r="BX93">
        <v>78</v>
      </c>
      <c r="BY93">
        <v>1.2999999999999999E-2</v>
      </c>
      <c r="BZ93">
        <v>0</v>
      </c>
      <c r="CA93">
        <v>8.09</v>
      </c>
      <c r="CB93">
        <v>-1.1910000000000001</v>
      </c>
      <c r="CC93">
        <v>14</v>
      </c>
      <c r="CD93">
        <v>-1</v>
      </c>
      <c r="CE93">
        <v>0.3</v>
      </c>
      <c r="CF93">
        <v>0.05</v>
      </c>
      <c r="CG93">
        <v>13.86944666666667</v>
      </c>
      <c r="CH93">
        <v>0.61404923589887939</v>
      </c>
      <c r="CI93">
        <v>0.2135872175222312</v>
      </c>
      <c r="CJ93">
        <v>-1</v>
      </c>
      <c r="CK93">
        <v>500.66041666666661</v>
      </c>
      <c r="CL93">
        <v>-6.4526890802988479</v>
      </c>
      <c r="CM93">
        <v>1.3796988957941361</v>
      </c>
      <c r="CN93">
        <v>-1</v>
      </c>
      <c r="CO93">
        <v>0</v>
      </c>
      <c r="CP93">
        <v>0</v>
      </c>
      <c r="CQ93" t="s">
        <v>319</v>
      </c>
      <c r="CR93">
        <v>3.16751</v>
      </c>
      <c r="CS93">
        <v>2.6663999999999999</v>
      </c>
      <c r="CT93">
        <v>2.2275099999999998E-3</v>
      </c>
      <c r="CU93">
        <v>4.1101100000000002E-3</v>
      </c>
      <c r="CV93">
        <v>-1.7773400000000002E-2</v>
      </c>
      <c r="CW93">
        <v>-1.15572E-2</v>
      </c>
      <c r="CX93">
        <v>21499.3</v>
      </c>
      <c r="CY93">
        <v>21842.799999999999</v>
      </c>
      <c r="CZ93">
        <v>23076.6</v>
      </c>
      <c r="DA93">
        <v>22287.9</v>
      </c>
      <c r="DB93">
        <v>30292.799999999999</v>
      </c>
      <c r="DC93">
        <v>26889.5</v>
      </c>
      <c r="DD93">
        <v>40568.1</v>
      </c>
      <c r="DE93">
        <v>36939.300000000003</v>
      </c>
      <c r="DF93">
        <v>2.0609999999999999</v>
      </c>
      <c r="DG93">
        <v>1.7675000000000001</v>
      </c>
      <c r="DH93">
        <v>-5.0395700000000002E-2</v>
      </c>
      <c r="DI93">
        <v>0</v>
      </c>
      <c r="DJ93">
        <v>26.008700000000001</v>
      </c>
      <c r="DK93">
        <v>999.9</v>
      </c>
      <c r="DL93">
        <v>71.5</v>
      </c>
      <c r="DM93">
        <v>32</v>
      </c>
      <c r="DN93">
        <v>34.127200000000002</v>
      </c>
      <c r="DO93">
        <v>30.485499999999998</v>
      </c>
      <c r="DP93">
        <v>10.617000000000001</v>
      </c>
      <c r="DQ93">
        <v>1</v>
      </c>
      <c r="DR93">
        <v>0.28923399999999999</v>
      </c>
      <c r="DS93">
        <v>1.9136299999999999</v>
      </c>
      <c r="DT93">
        <v>20.354900000000001</v>
      </c>
      <c r="DU93">
        <v>5.2084200000000003</v>
      </c>
      <c r="DV93">
        <v>11.8528</v>
      </c>
      <c r="DW93">
        <v>4.9673999999999996</v>
      </c>
      <c r="DX93">
        <v>3.2922400000000001</v>
      </c>
      <c r="DY93">
        <v>894.7</v>
      </c>
      <c r="DZ93">
        <v>0</v>
      </c>
      <c r="EA93">
        <v>2366.4</v>
      </c>
      <c r="EB93">
        <v>107.9</v>
      </c>
      <c r="EC93">
        <v>4.9715999999999996</v>
      </c>
      <c r="ED93">
        <v>1.87192</v>
      </c>
      <c r="EE93">
        <v>1.8690500000000001</v>
      </c>
      <c r="EF93">
        <v>1.8714500000000001</v>
      </c>
      <c r="EG93">
        <v>1.8692</v>
      </c>
      <c r="EH93">
        <v>1.8681300000000001</v>
      </c>
      <c r="EI93">
        <v>1.8699600000000001</v>
      </c>
      <c r="EJ93">
        <v>1.87178</v>
      </c>
      <c r="EK93">
        <v>0</v>
      </c>
      <c r="EL93">
        <v>0</v>
      </c>
      <c r="EM93">
        <v>0</v>
      </c>
      <c r="EN93">
        <v>0</v>
      </c>
      <c r="EO93" t="s">
        <v>320</v>
      </c>
      <c r="EP93" t="s">
        <v>321</v>
      </c>
      <c r="EQ93" t="s">
        <v>322</v>
      </c>
      <c r="ER93" t="s">
        <v>322</v>
      </c>
      <c r="ES93" t="s">
        <v>322</v>
      </c>
      <c r="ET93" t="s">
        <v>322</v>
      </c>
      <c r="EU93">
        <v>0</v>
      </c>
      <c r="EV93">
        <v>100</v>
      </c>
      <c r="EW93">
        <v>100</v>
      </c>
      <c r="EX93">
        <v>8.09</v>
      </c>
      <c r="EY93">
        <v>-1.1910000000000001</v>
      </c>
      <c r="EZ93">
        <v>8.076490476190477</v>
      </c>
      <c r="FA93">
        <v>0</v>
      </c>
      <c r="FB93">
        <v>0</v>
      </c>
      <c r="FC93">
        <v>0</v>
      </c>
      <c r="FD93">
        <v>-1.1911421</v>
      </c>
      <c r="FE93">
        <v>0</v>
      </c>
      <c r="FF93">
        <v>0</v>
      </c>
      <c r="FG93">
        <v>0</v>
      </c>
      <c r="FH93">
        <v>-1</v>
      </c>
      <c r="FI93">
        <v>-1</v>
      </c>
      <c r="FJ93">
        <v>-1</v>
      </c>
      <c r="FK93">
        <v>-1</v>
      </c>
      <c r="FL93">
        <v>0.7</v>
      </c>
      <c r="FM93">
        <v>0.6</v>
      </c>
      <c r="FN93">
        <v>0.14160200000000001</v>
      </c>
      <c r="FO93">
        <v>4.99756</v>
      </c>
      <c r="FP93">
        <v>1.5979000000000001</v>
      </c>
      <c r="FQ93">
        <v>2.1508799999999999</v>
      </c>
      <c r="FR93">
        <v>1.5478499999999999</v>
      </c>
      <c r="FS93">
        <v>2.4377399999999998</v>
      </c>
      <c r="FT93">
        <v>36.363500000000002</v>
      </c>
      <c r="FU93">
        <v>15.287800000000001</v>
      </c>
      <c r="FV93">
        <v>2</v>
      </c>
      <c r="FW93">
        <v>490.12099999999998</v>
      </c>
      <c r="FX93">
        <v>393.60700000000003</v>
      </c>
      <c r="FY93">
        <v>24.310500000000001</v>
      </c>
      <c r="FZ93">
        <v>30.774999999999999</v>
      </c>
      <c r="GA93">
        <v>29.999700000000001</v>
      </c>
      <c r="GB93">
        <v>31.116299999999999</v>
      </c>
      <c r="GC93">
        <v>31.1785</v>
      </c>
      <c r="GD93">
        <v>-1</v>
      </c>
      <c r="GE93">
        <v>0</v>
      </c>
      <c r="GF93">
        <v>100</v>
      </c>
      <c r="GG93">
        <v>24.317799999999998</v>
      </c>
      <c r="GH93">
        <v>432.1</v>
      </c>
      <c r="GI93">
        <v>78.840199999999996</v>
      </c>
      <c r="GJ93">
        <v>102.105</v>
      </c>
      <c r="GK93">
        <v>96.385900000000007</v>
      </c>
    </row>
    <row r="94" spans="1:193" x14ac:dyDescent="0.35">
      <c r="A94">
        <v>78</v>
      </c>
      <c r="B94">
        <v>1775468674.5</v>
      </c>
      <c r="C94">
        <v>4718.4000000953674</v>
      </c>
      <c r="D94" t="s">
        <v>555</v>
      </c>
      <c r="E94" t="s">
        <v>556</v>
      </c>
      <c r="F94">
        <v>30</v>
      </c>
      <c r="G94">
        <v>1775468659.25</v>
      </c>
      <c r="H94">
        <f t="shared" si="36"/>
        <v>2.8624500388122168E-3</v>
      </c>
      <c r="I94">
        <f>1000*AY94*AG94*(AU94-AV94)/(100*AN94*(1000-AG94*AU94))</f>
        <v>2.8624500388122169</v>
      </c>
      <c r="J94">
        <f>AY94*AG94*(AT94-AS94*(1000-AG94*AV94)/(1000-AG94*AU94))/(100*AN94)</f>
        <v>-3.0884583339294109</v>
      </c>
      <c r="K94">
        <f t="shared" si="37"/>
        <v>15.019025166666671</v>
      </c>
      <c r="L94">
        <f t="shared" si="38"/>
        <v>71.16046346998975</v>
      </c>
      <c r="M94">
        <f>L94*(AZ94+BA94)/1000</f>
        <v>7.1222213253923758</v>
      </c>
      <c r="N94">
        <f>(AS94 - IF(AG94&gt;1, J94*AN94*100/(AI94), 0))*(AZ94+BA94)/1000</f>
        <v>1.5032057987333054</v>
      </c>
      <c r="O94">
        <f t="shared" si="39"/>
        <v>8.5948579138340406E-2</v>
      </c>
      <c r="P94">
        <f>IF(LEFT(AP94,1)&lt;&gt;"0",IF(LEFT(AP94,1)="1",3,AQ94),$D$5+$E$5*(BG94*AZ94/($K$5*1000))+$F$5*(BG94*AZ94/($K$5*1000))*MAX(MIN(AN94,$J$5),$I$5)*MAX(MIN(AN94,$J$5),$I$5)+$G$5*MAX(MIN(AN94,$J$5),$I$5)*(BG94*AZ94/($K$5*1000))+$H$5*(BG94*AZ94/($K$5*1000))*(BG94*AZ94/($K$5*1000)))</f>
        <v>2.3887364002237907</v>
      </c>
      <c r="Q94">
        <f>H94*(1000-(1000*0.61365*EXP(17.502*U94/(240.97+U94))/(AZ94+BA94)+AU94)/2)/(1000*0.61365*EXP(17.502*U94/(240.97+U94))/(AZ94+BA94)-AU94)</f>
        <v>8.426679467429779E-2</v>
      </c>
      <c r="R94">
        <f t="shared" si="40"/>
        <v>5.2815107400935528E-2</v>
      </c>
      <c r="S94">
        <f t="shared" si="41"/>
        <v>0.106542616635</v>
      </c>
      <c r="T94">
        <f>(BB94+(S94+2*0.95*0.0000000567*(((BB94+$B$7)+273)^4-(BB94+273)^4)-44100*H94)/(1.84*29.3*P94+8*0.95*0.0000000567*(BB94+273)^3))</f>
        <v>24.086813184128836</v>
      </c>
      <c r="U94">
        <f>($C$7*BC94+$D$7*BD94+$E$7*T94)</f>
        <v>25.191723333333329</v>
      </c>
      <c r="V94">
        <f t="shared" si="42"/>
        <v>3.2162045145339158</v>
      </c>
      <c r="W94">
        <f t="shared" si="43"/>
        <v>-4.1306599024349202</v>
      </c>
      <c r="X94">
        <f>AU94*(AZ94+BA94)/1000</f>
        <v>-0.13123633213036498</v>
      </c>
      <c r="Y94">
        <f t="shared" si="44"/>
        <v>3.1771275106189321</v>
      </c>
      <c r="Z94">
        <f>(V94-AU94*(AZ94+BA94)/1000)</f>
        <v>3.3474408466642807</v>
      </c>
      <c r="AA94">
        <f t="shared" si="45"/>
        <v>-126.23404671161876</v>
      </c>
      <c r="AB94">
        <f>2*29.3*P94*0.92*(BB94-U94)</f>
        <v>-26.423399826042743</v>
      </c>
      <c r="AC94">
        <f>2*0.95*0.0000000567*(((BB94+$B$7)+273)^4-(U94+273)^4)</f>
        <v>-2.3419097851114299</v>
      </c>
      <c r="AD94">
        <f t="shared" si="46"/>
        <v>-154.89281370613796</v>
      </c>
      <c r="AE94">
        <v>20</v>
      </c>
      <c r="AF94">
        <v>4</v>
      </c>
      <c r="AG94">
        <f t="shared" si="47"/>
        <v>1</v>
      </c>
      <c r="AH94">
        <f t="shared" si="48"/>
        <v>0</v>
      </c>
      <c r="AI94">
        <f t="shared" si="49"/>
        <v>25704.537439161046</v>
      </c>
      <c r="AJ94">
        <f t="shared" si="50"/>
        <v>0.55752285000000001</v>
      </c>
      <c r="AK94">
        <f t="shared" si="51"/>
        <v>0.44601828000000004</v>
      </c>
      <c r="AL94">
        <f t="shared" si="52"/>
        <v>0.8</v>
      </c>
      <c r="AM94">
        <f t="shared" si="53"/>
        <v>0.19109999999999999</v>
      </c>
      <c r="AN94">
        <v>3</v>
      </c>
      <c r="AO94">
        <v>0.5</v>
      </c>
      <c r="AP94" t="s">
        <v>317</v>
      </c>
      <c r="AQ94">
        <v>2</v>
      </c>
      <c r="AR94">
        <v>1775468659.25</v>
      </c>
      <c r="AS94">
        <v>15.019025166666671</v>
      </c>
      <c r="AT94">
        <v>13.193250000000001</v>
      </c>
      <c r="AU94">
        <v>-1.3112254999999999</v>
      </c>
      <c r="AV94">
        <v>-3.029531</v>
      </c>
      <c r="AW94">
        <v>6.9560251666666666</v>
      </c>
      <c r="AX94">
        <v>-1.8385309999999999</v>
      </c>
      <c r="AY94">
        <v>500.4121833333333</v>
      </c>
      <c r="AZ94">
        <v>100.0407666666667</v>
      </c>
      <c r="BA94">
        <v>4.6008743333333338E-2</v>
      </c>
      <c r="BB94">
        <v>24.98654333333333</v>
      </c>
      <c r="BC94">
        <v>25.191723333333329</v>
      </c>
      <c r="BD94">
        <v>999.9</v>
      </c>
      <c r="BE94">
        <v>0</v>
      </c>
      <c r="BF94">
        <v>0</v>
      </c>
      <c r="BG94">
        <v>4999.7749999999996</v>
      </c>
      <c r="BH94">
        <v>0.55752285000000001</v>
      </c>
      <c r="BI94">
        <v>141.15913333333339</v>
      </c>
      <c r="BJ94">
        <v>1.8525879999999999</v>
      </c>
      <c r="BK94">
        <v>15.00040333333334</v>
      </c>
      <c r="BL94">
        <v>13.17597833333333</v>
      </c>
      <c r="BM94">
        <v>-1.7180009999999999</v>
      </c>
      <c r="BN94">
        <v>13.193250000000001</v>
      </c>
      <c r="BO94">
        <v>-1.3112254999999999</v>
      </c>
      <c r="BP94">
        <v>-0.30304635000000002</v>
      </c>
      <c r="BQ94">
        <v>-0.13117611666666659</v>
      </c>
      <c r="BR94">
        <v>-99.899999999999963</v>
      </c>
      <c r="BS94">
        <v>-99.899999999999963</v>
      </c>
      <c r="BT94">
        <v>1775468699.5</v>
      </c>
      <c r="BU94" t="s">
        <v>557</v>
      </c>
      <c r="BV94">
        <v>1775468691.5</v>
      </c>
      <c r="BW94">
        <v>1775468699.5</v>
      </c>
      <c r="BX94">
        <v>79</v>
      </c>
      <c r="BY94">
        <v>-2.7E-2</v>
      </c>
      <c r="BZ94">
        <v>0</v>
      </c>
      <c r="CA94">
        <v>8.0630000000000006</v>
      </c>
      <c r="CB94">
        <v>-1.1910000000000001</v>
      </c>
      <c r="CC94">
        <v>14</v>
      </c>
      <c r="CD94">
        <v>-1</v>
      </c>
      <c r="CE94">
        <v>0.21</v>
      </c>
      <c r="CF94">
        <v>0.04</v>
      </c>
      <c r="CG94">
        <v>13.20246229508197</v>
      </c>
      <c r="CH94">
        <v>0.1925768376520427</v>
      </c>
      <c r="CI94">
        <v>0.30021477621367632</v>
      </c>
      <c r="CJ94">
        <v>-1</v>
      </c>
      <c r="CK94">
        <v>500.47303278688531</v>
      </c>
      <c r="CL94">
        <v>-4.9885605499733421</v>
      </c>
      <c r="CM94">
        <v>1.236305972622235</v>
      </c>
      <c r="CN94">
        <v>-1</v>
      </c>
      <c r="CO94">
        <v>0</v>
      </c>
      <c r="CP94">
        <v>0</v>
      </c>
      <c r="CQ94" t="s">
        <v>319</v>
      </c>
      <c r="CR94">
        <v>3.1675200000000001</v>
      </c>
      <c r="CS94">
        <v>2.66716</v>
      </c>
      <c r="CT94">
        <v>2.0659599999999999E-3</v>
      </c>
      <c r="CU94">
        <v>4.0271500000000002E-3</v>
      </c>
      <c r="CV94">
        <v>-1.71334E-2</v>
      </c>
      <c r="CW94">
        <v>-1.15192E-2</v>
      </c>
      <c r="CX94">
        <v>21504</v>
      </c>
      <c r="CY94">
        <v>21845.9</v>
      </c>
      <c r="CZ94">
        <v>23077.7</v>
      </c>
      <c r="DA94">
        <v>22289.1</v>
      </c>
      <c r="DB94">
        <v>30275.1</v>
      </c>
      <c r="DC94">
        <v>26890.3</v>
      </c>
      <c r="DD94">
        <v>40569.800000000003</v>
      </c>
      <c r="DE94">
        <v>36941.699999999997</v>
      </c>
      <c r="DF94">
        <v>2.06202</v>
      </c>
      <c r="DG94">
        <v>1.76806</v>
      </c>
      <c r="DH94">
        <v>-4.8592700000000003E-2</v>
      </c>
      <c r="DI94">
        <v>0</v>
      </c>
      <c r="DJ94">
        <v>25.993300000000001</v>
      </c>
      <c r="DK94">
        <v>999.9</v>
      </c>
      <c r="DL94">
        <v>71.5</v>
      </c>
      <c r="DM94">
        <v>32.1</v>
      </c>
      <c r="DN94">
        <v>34.323799999999999</v>
      </c>
      <c r="DO94">
        <v>30.395499999999998</v>
      </c>
      <c r="DP94">
        <v>10.7372</v>
      </c>
      <c r="DQ94">
        <v>1</v>
      </c>
      <c r="DR94">
        <v>0.28534300000000001</v>
      </c>
      <c r="DS94">
        <v>1.7630699999999999</v>
      </c>
      <c r="DT94">
        <v>20.3568</v>
      </c>
      <c r="DU94">
        <v>5.2093800000000003</v>
      </c>
      <c r="DV94">
        <v>11.8523</v>
      </c>
      <c r="DW94">
        <v>4.96732</v>
      </c>
      <c r="DX94">
        <v>3.2922600000000002</v>
      </c>
      <c r="DY94">
        <v>894.7</v>
      </c>
      <c r="DZ94">
        <v>0</v>
      </c>
      <c r="EA94">
        <v>2400.5</v>
      </c>
      <c r="EB94">
        <v>108</v>
      </c>
      <c r="EC94">
        <v>4.9715999999999996</v>
      </c>
      <c r="ED94">
        <v>1.87188</v>
      </c>
      <c r="EE94">
        <v>1.8690500000000001</v>
      </c>
      <c r="EF94">
        <v>1.8714599999999999</v>
      </c>
      <c r="EG94">
        <v>1.8692</v>
      </c>
      <c r="EH94">
        <v>1.8681300000000001</v>
      </c>
      <c r="EI94">
        <v>1.8699600000000001</v>
      </c>
      <c r="EJ94">
        <v>1.8717999999999999</v>
      </c>
      <c r="EK94">
        <v>0</v>
      </c>
      <c r="EL94">
        <v>0</v>
      </c>
      <c r="EM94">
        <v>0</v>
      </c>
      <c r="EN94">
        <v>0</v>
      </c>
      <c r="EO94" t="s">
        <v>320</v>
      </c>
      <c r="EP94" t="s">
        <v>321</v>
      </c>
      <c r="EQ94" t="s">
        <v>322</v>
      </c>
      <c r="ER94" t="s">
        <v>322</v>
      </c>
      <c r="ES94" t="s">
        <v>322</v>
      </c>
      <c r="ET94" t="s">
        <v>322</v>
      </c>
      <c r="EU94">
        <v>0</v>
      </c>
      <c r="EV94">
        <v>100</v>
      </c>
      <c r="EW94">
        <v>100</v>
      </c>
      <c r="EX94">
        <v>8.0630000000000006</v>
      </c>
      <c r="EY94">
        <v>-1.1910000000000001</v>
      </c>
      <c r="EZ94">
        <v>8.0898159999999955</v>
      </c>
      <c r="FA94">
        <v>0</v>
      </c>
      <c r="FB94">
        <v>0</v>
      </c>
      <c r="FC94">
        <v>0</v>
      </c>
      <c r="FD94">
        <v>-1.190696333333334</v>
      </c>
      <c r="FE94">
        <v>0</v>
      </c>
      <c r="FF94">
        <v>0</v>
      </c>
      <c r="FG94">
        <v>0</v>
      </c>
      <c r="FH94">
        <v>-1</v>
      </c>
      <c r="FI94">
        <v>-1</v>
      </c>
      <c r="FJ94">
        <v>-1</v>
      </c>
      <c r="FK94">
        <v>-1</v>
      </c>
      <c r="FL94">
        <v>0.7</v>
      </c>
      <c r="FM94">
        <v>0.6</v>
      </c>
      <c r="FN94">
        <v>0.14160200000000001</v>
      </c>
      <c r="FO94">
        <v>4.99756</v>
      </c>
      <c r="FP94">
        <v>1.5979000000000001</v>
      </c>
      <c r="FQ94">
        <v>2.1496599999999999</v>
      </c>
      <c r="FR94">
        <v>1.5478499999999999</v>
      </c>
      <c r="FS94">
        <v>2.4194300000000002</v>
      </c>
      <c r="FT94">
        <v>36.316499999999998</v>
      </c>
      <c r="FU94">
        <v>15.270300000000001</v>
      </c>
      <c r="FV94">
        <v>2</v>
      </c>
      <c r="FW94">
        <v>490.47300000000001</v>
      </c>
      <c r="FX94">
        <v>393.73599999999999</v>
      </c>
      <c r="FY94">
        <v>24.435700000000001</v>
      </c>
      <c r="FZ94">
        <v>30.737200000000001</v>
      </c>
      <c r="GA94">
        <v>29.9999</v>
      </c>
      <c r="GB94">
        <v>31.084499999999998</v>
      </c>
      <c r="GC94">
        <v>31.148499999999999</v>
      </c>
      <c r="GD94">
        <v>-1</v>
      </c>
      <c r="GE94">
        <v>0</v>
      </c>
      <c r="GF94">
        <v>100</v>
      </c>
      <c r="GG94">
        <v>24.439699999999998</v>
      </c>
      <c r="GH94">
        <v>432.1</v>
      </c>
      <c r="GI94">
        <v>78.840199999999996</v>
      </c>
      <c r="GJ94">
        <v>102.11</v>
      </c>
      <c r="GK94">
        <v>96.3917</v>
      </c>
    </row>
    <row r="95" spans="1:193" x14ac:dyDescent="0.35">
      <c r="A95">
        <v>79</v>
      </c>
      <c r="B95">
        <v>1775468734.5</v>
      </c>
      <c r="C95">
        <v>4778.4000000953674</v>
      </c>
      <c r="D95" t="s">
        <v>558</v>
      </c>
      <c r="E95" t="s">
        <v>559</v>
      </c>
      <c r="F95">
        <v>30</v>
      </c>
      <c r="G95">
        <v>1775468719</v>
      </c>
      <c r="H95">
        <f t="shared" si="36"/>
        <v>2.8713593864567784E-3</v>
      </c>
      <c r="I95">
        <f>1000*AY95*AG95*(AU95-AV95)/(100*AN95*(1000-AG95*AU95))</f>
        <v>2.8713593864567786</v>
      </c>
      <c r="J95">
        <f>AY95*AG95*(AT95-AS95*(1000-AG95*AV95)/(1000-AG95*AU95))/(100*AN95)</f>
        <v>-2.7686838341888032</v>
      </c>
      <c r="K95">
        <f t="shared" si="37"/>
        <v>14.80446622950819</v>
      </c>
      <c r="L95">
        <f t="shared" si="38"/>
        <v>64.921602794938025</v>
      </c>
      <c r="M95">
        <f>L95*(AZ95+BA95)/1000</f>
        <v>6.4979869548174003</v>
      </c>
      <c r="N95">
        <f>(AS95 - IF(AG95&gt;1, J95*AN95*100/(AI95), 0))*(AZ95+BA95)/1000</f>
        <v>1.4817753150093156</v>
      </c>
      <c r="O95">
        <f t="shared" si="39"/>
        <v>8.6189671622102976E-2</v>
      </c>
      <c r="P95">
        <f>IF(LEFT(AP95,1)&lt;&gt;"0",IF(LEFT(AP95,1)="1",3,AQ95),$D$5+$E$5*(BG95*AZ95/($K$5*1000))+$F$5*(BG95*AZ95/($K$5*1000))*MAX(MIN(AN95,$J$5),$I$5)*MAX(MIN(AN95,$J$5),$I$5)+$G$5*MAX(MIN(AN95,$J$5),$I$5)*(BG95*AZ95/($K$5*1000))+$H$5*(BG95*AZ95/($K$5*1000))*(BG95*AZ95/($K$5*1000)))</f>
        <v>2.3877133855144694</v>
      </c>
      <c r="Q95">
        <f>H95*(1000-(1000*0.61365*EXP(17.502*U95/(240.97+U95))/(AZ95+BA95)+AU95)/2)/(1000*0.61365*EXP(17.502*U95/(240.97+U95))/(AZ95+BA95)-AU95)</f>
        <v>8.4497829653544576E-2</v>
      </c>
      <c r="R95">
        <f t="shared" si="40"/>
        <v>5.2960382770557771E-2</v>
      </c>
      <c r="S95">
        <f t="shared" si="41"/>
        <v>0.1056932841196721</v>
      </c>
      <c r="T95">
        <f>(BB95+(S95+2*0.95*0.0000000567*(((BB95+$B$7)+273)^4-(BB95+273)^4)-44100*H95)/(1.84*29.3*P95+8*0.95*0.0000000567*(BB95+273)^3))</f>
        <v>24.095891895733519</v>
      </c>
      <c r="U95">
        <f>($C$7*BC95+$D$7*BD95+$E$7*T95)</f>
        <v>25.197816393442629</v>
      </c>
      <c r="V95">
        <f t="shared" si="42"/>
        <v>3.2173713440429266</v>
      </c>
      <c r="W95">
        <f t="shared" si="43"/>
        <v>-4.1325172588949206</v>
      </c>
      <c r="X95">
        <f>AU95*(AZ95+BA95)/1000</f>
        <v>-0.13139114490158288</v>
      </c>
      <c r="Y95">
        <f t="shared" si="44"/>
        <v>3.1794457632033768</v>
      </c>
      <c r="Z95">
        <f>(V95-AU95*(AZ95+BA95)/1000)</f>
        <v>3.3487624889445096</v>
      </c>
      <c r="AA95">
        <f t="shared" si="45"/>
        <v>-126.62694894274392</v>
      </c>
      <c r="AB95">
        <f>2*29.3*P95*0.92*(BB95-U95)</f>
        <v>-25.62161904933815</v>
      </c>
      <c r="AC95">
        <f>2*0.95*0.0000000567*(((BB95+$B$7)+273)^4-(U95+273)^4)</f>
        <v>-2.2720302823059098</v>
      </c>
      <c r="AD95">
        <f t="shared" si="46"/>
        <v>-154.41490499026833</v>
      </c>
      <c r="AE95">
        <v>20</v>
      </c>
      <c r="AF95">
        <v>4</v>
      </c>
      <c r="AG95">
        <f t="shared" si="47"/>
        <v>1</v>
      </c>
      <c r="AH95">
        <f t="shared" si="48"/>
        <v>0</v>
      </c>
      <c r="AI95">
        <f t="shared" si="49"/>
        <v>25687.691212103578</v>
      </c>
      <c r="AJ95">
        <f t="shared" si="50"/>
        <v>0.55307840983606549</v>
      </c>
      <c r="AK95">
        <f t="shared" si="51"/>
        <v>0.44246272786885243</v>
      </c>
      <c r="AL95">
        <f t="shared" si="52"/>
        <v>0.8</v>
      </c>
      <c r="AM95">
        <f t="shared" si="53"/>
        <v>0.19109999999999999</v>
      </c>
      <c r="AN95">
        <v>3</v>
      </c>
      <c r="AO95">
        <v>0.5</v>
      </c>
      <c r="AP95" t="s">
        <v>317</v>
      </c>
      <c r="AQ95">
        <v>2</v>
      </c>
      <c r="AR95">
        <v>1775468719</v>
      </c>
      <c r="AS95">
        <v>14.80446622950819</v>
      </c>
      <c r="AT95">
        <v>13.170093442622949</v>
      </c>
      <c r="AU95">
        <v>-1.3127332786885251</v>
      </c>
      <c r="AV95">
        <v>-3.0364055737704918</v>
      </c>
      <c r="AW95">
        <v>6.7484662295081952</v>
      </c>
      <c r="AX95">
        <v>-1.845405573770492</v>
      </c>
      <c r="AY95">
        <v>500.40754098360651</v>
      </c>
      <c r="AZ95">
        <v>100.04388524590161</v>
      </c>
      <c r="BA95">
        <v>4.5864160655737701E-2</v>
      </c>
      <c r="BB95">
        <v>24.998777049180319</v>
      </c>
      <c r="BC95">
        <v>25.197816393442629</v>
      </c>
      <c r="BD95">
        <v>999.9</v>
      </c>
      <c r="BE95">
        <v>0</v>
      </c>
      <c r="BF95">
        <v>0</v>
      </c>
      <c r="BG95">
        <v>4996.9836065573772</v>
      </c>
      <c r="BH95">
        <v>0.55307840983606549</v>
      </c>
      <c r="BI95">
        <v>138.1831639344262</v>
      </c>
      <c r="BJ95">
        <v>1.6410529508196721</v>
      </c>
      <c r="BK95">
        <v>14.76629672131148</v>
      </c>
      <c r="BL95">
        <v>13.15283278688524</v>
      </c>
      <c r="BM95">
        <v>-1.723393114754098</v>
      </c>
      <c r="BN95">
        <v>13.170093442622949</v>
      </c>
      <c r="BO95">
        <v>-1.3127332786885251</v>
      </c>
      <c r="BP95">
        <v>-0.30374595081967209</v>
      </c>
      <c r="BQ95">
        <v>-0.13133093442622951</v>
      </c>
      <c r="BR95">
        <v>-99.899999999999963</v>
      </c>
      <c r="BS95">
        <v>-99.899999999999963</v>
      </c>
      <c r="BT95">
        <v>1775468761</v>
      </c>
      <c r="BU95" t="s">
        <v>560</v>
      </c>
      <c r="BV95">
        <v>1775468753</v>
      </c>
      <c r="BW95">
        <v>1775468761</v>
      </c>
      <c r="BX95">
        <v>80</v>
      </c>
      <c r="BY95">
        <v>-7.0000000000000001E-3</v>
      </c>
      <c r="BZ95">
        <v>0</v>
      </c>
      <c r="CA95">
        <v>8.0559999999999992</v>
      </c>
      <c r="CB95">
        <v>-1.1910000000000001</v>
      </c>
      <c r="CC95">
        <v>13</v>
      </c>
      <c r="CD95">
        <v>-1</v>
      </c>
      <c r="CE95">
        <v>0.23</v>
      </c>
      <c r="CF95">
        <v>0.05</v>
      </c>
      <c r="CG95">
        <v>13.16816393442623</v>
      </c>
      <c r="CH95">
        <v>-0.41455906927550212</v>
      </c>
      <c r="CI95">
        <v>0.29730544101420592</v>
      </c>
      <c r="CJ95">
        <v>-1</v>
      </c>
      <c r="CK95">
        <v>500.54445901639338</v>
      </c>
      <c r="CL95">
        <v>-5.5866758328934907</v>
      </c>
      <c r="CM95">
        <v>1.3302803300496731</v>
      </c>
      <c r="CN95">
        <v>-1</v>
      </c>
      <c r="CO95">
        <v>0</v>
      </c>
      <c r="CP95">
        <v>0</v>
      </c>
      <c r="CQ95" t="s">
        <v>319</v>
      </c>
      <c r="CR95">
        <v>3.1675</v>
      </c>
      <c r="CS95">
        <v>2.66675</v>
      </c>
      <c r="CT95">
        <v>1.9623000000000002E-3</v>
      </c>
      <c r="CU95">
        <v>3.7984999999999998E-3</v>
      </c>
      <c r="CV95">
        <v>-1.7389700000000001E-2</v>
      </c>
      <c r="CW95">
        <v>-1.15777E-2</v>
      </c>
      <c r="CX95">
        <v>21507.5</v>
      </c>
      <c r="CY95">
        <v>21852</v>
      </c>
      <c r="CZ95">
        <v>23078.9</v>
      </c>
      <c r="DA95">
        <v>22290.2</v>
      </c>
      <c r="DB95">
        <v>30284.1</v>
      </c>
      <c r="DC95">
        <v>26893.1</v>
      </c>
      <c r="DD95">
        <v>40571.599999999999</v>
      </c>
      <c r="DE95">
        <v>36943.5</v>
      </c>
      <c r="DF95">
        <v>2.0621399999999999</v>
      </c>
      <c r="DG95">
        <v>1.7687999999999999</v>
      </c>
      <c r="DH95">
        <v>-4.7609199999999997E-2</v>
      </c>
      <c r="DI95">
        <v>0</v>
      </c>
      <c r="DJ95">
        <v>25.984500000000001</v>
      </c>
      <c r="DK95">
        <v>999.9</v>
      </c>
      <c r="DL95">
        <v>71.400000000000006</v>
      </c>
      <c r="DM95">
        <v>32.1</v>
      </c>
      <c r="DN95">
        <v>34.271900000000002</v>
      </c>
      <c r="DO95">
        <v>30.785499999999999</v>
      </c>
      <c r="DP95">
        <v>10.9215</v>
      </c>
      <c r="DQ95">
        <v>1</v>
      </c>
      <c r="DR95">
        <v>0.28291300000000003</v>
      </c>
      <c r="DS95">
        <v>1.8803300000000001</v>
      </c>
      <c r="DT95">
        <v>20.3551</v>
      </c>
      <c r="DU95">
        <v>5.2096200000000001</v>
      </c>
      <c r="DV95">
        <v>11.8515</v>
      </c>
      <c r="DW95">
        <v>4.9672400000000003</v>
      </c>
      <c r="DX95">
        <v>3.2922199999999999</v>
      </c>
      <c r="DY95">
        <v>894.7</v>
      </c>
      <c r="DZ95">
        <v>0</v>
      </c>
      <c r="EA95">
        <v>2429.4</v>
      </c>
      <c r="EB95">
        <v>108</v>
      </c>
      <c r="EC95">
        <v>4.97159</v>
      </c>
      <c r="ED95">
        <v>1.87185</v>
      </c>
      <c r="EE95">
        <v>1.8690500000000001</v>
      </c>
      <c r="EF95">
        <v>1.87144</v>
      </c>
      <c r="EG95">
        <v>1.8692</v>
      </c>
      <c r="EH95">
        <v>1.8681300000000001</v>
      </c>
      <c r="EI95">
        <v>1.8699600000000001</v>
      </c>
      <c r="EJ95">
        <v>1.8717999999999999</v>
      </c>
      <c r="EK95">
        <v>0</v>
      </c>
      <c r="EL95">
        <v>0</v>
      </c>
      <c r="EM95">
        <v>0</v>
      </c>
      <c r="EN95">
        <v>0</v>
      </c>
      <c r="EO95" t="s">
        <v>320</v>
      </c>
      <c r="EP95" t="s">
        <v>321</v>
      </c>
      <c r="EQ95" t="s">
        <v>322</v>
      </c>
      <c r="ER95" t="s">
        <v>322</v>
      </c>
      <c r="ES95" t="s">
        <v>322</v>
      </c>
      <c r="ET95" t="s">
        <v>322</v>
      </c>
      <c r="EU95">
        <v>0</v>
      </c>
      <c r="EV95">
        <v>100</v>
      </c>
      <c r="EW95">
        <v>100</v>
      </c>
      <c r="EX95">
        <v>8.0559999999999992</v>
      </c>
      <c r="EY95">
        <v>-1.1910000000000001</v>
      </c>
      <c r="EZ95">
        <v>8.0626834999999986</v>
      </c>
      <c r="FA95">
        <v>0</v>
      </c>
      <c r="FB95">
        <v>0</v>
      </c>
      <c r="FC95">
        <v>0</v>
      </c>
      <c r="FD95">
        <v>-1.1907203500000001</v>
      </c>
      <c r="FE95">
        <v>0</v>
      </c>
      <c r="FF95">
        <v>0</v>
      </c>
      <c r="FG95">
        <v>0</v>
      </c>
      <c r="FH95">
        <v>-1</v>
      </c>
      <c r="FI95">
        <v>-1</v>
      </c>
      <c r="FJ95">
        <v>-1</v>
      </c>
      <c r="FK95">
        <v>-1</v>
      </c>
      <c r="FL95">
        <v>0.7</v>
      </c>
      <c r="FM95">
        <v>0.6</v>
      </c>
      <c r="FN95">
        <v>0.14160200000000001</v>
      </c>
      <c r="FO95">
        <v>4.99756</v>
      </c>
      <c r="FP95">
        <v>1.5979000000000001</v>
      </c>
      <c r="FQ95">
        <v>2.1484399999999999</v>
      </c>
      <c r="FR95">
        <v>1.5478499999999999</v>
      </c>
      <c r="FS95">
        <v>2.4475099999999999</v>
      </c>
      <c r="FT95">
        <v>36.269399999999997</v>
      </c>
      <c r="FU95">
        <v>15.2615</v>
      </c>
      <c r="FV95">
        <v>2</v>
      </c>
      <c r="FW95">
        <v>490.303</v>
      </c>
      <c r="FX95">
        <v>393.964</v>
      </c>
      <c r="FY95">
        <v>24.369199999999999</v>
      </c>
      <c r="FZ95">
        <v>30.700299999999999</v>
      </c>
      <c r="GA95">
        <v>29.9999</v>
      </c>
      <c r="GB95">
        <v>31.052399999999999</v>
      </c>
      <c r="GC95">
        <v>31.118200000000002</v>
      </c>
      <c r="GD95">
        <v>-1</v>
      </c>
      <c r="GE95">
        <v>0</v>
      </c>
      <c r="GF95">
        <v>100</v>
      </c>
      <c r="GG95">
        <v>24.364899999999999</v>
      </c>
      <c r="GH95">
        <v>432.1</v>
      </c>
      <c r="GI95">
        <v>78.840199999999996</v>
      </c>
      <c r="GJ95">
        <v>102.11499999999999</v>
      </c>
      <c r="GK95">
        <v>96.3964</v>
      </c>
    </row>
    <row r="96" spans="1:193" x14ac:dyDescent="0.35">
      <c r="A96">
        <v>80</v>
      </c>
      <c r="B96">
        <v>1775468794.5</v>
      </c>
      <c r="C96">
        <v>4838.4000000953674</v>
      </c>
      <c r="D96" t="s">
        <v>561</v>
      </c>
      <c r="E96" t="s">
        <v>562</v>
      </c>
      <c r="F96">
        <v>30</v>
      </c>
      <c r="G96">
        <v>1775468779.25</v>
      </c>
      <c r="H96">
        <f t="shared" si="36"/>
        <v>2.8327196533289747E-3</v>
      </c>
      <c r="I96">
        <f>1000*AY96*AG96*(AU96-AV96)/(100*AN96*(1000-AG96*AU96))</f>
        <v>2.8327196533289749</v>
      </c>
      <c r="J96">
        <f>AY96*AG96*(AT96-AS96*(1000-AG96*AV96)/(1000-AG96*AU96))/(100*AN96)</f>
        <v>-2.2607814399616846</v>
      </c>
      <c r="K96">
        <f t="shared" si="37"/>
        <v>14.82861616666667</v>
      </c>
      <c r="L96">
        <f t="shared" si="38"/>
        <v>56.172789402380467</v>
      </c>
      <c r="M96">
        <f>L96*(AZ96+BA96)/1000</f>
        <v>5.6225456229858537</v>
      </c>
      <c r="N96">
        <f>(AS96 - IF(AG96&gt;1, J96*AN96*100/(AI96), 0))*(AZ96+BA96)/1000</f>
        <v>1.4842519271313903</v>
      </c>
      <c r="O96">
        <f t="shared" si="39"/>
        <v>8.5013154434807045E-2</v>
      </c>
      <c r="P96">
        <f>IF(LEFT(AP96,1)&lt;&gt;"0",IF(LEFT(AP96,1)="1",3,AQ96),$D$5+$E$5*(BG96*AZ96/($K$5*1000))+$F$5*(BG96*AZ96/($K$5*1000))*MAX(MIN(AN96,$J$5),$I$5)*MAX(MIN(AN96,$J$5),$I$5)+$G$5*MAX(MIN(AN96,$J$5),$I$5)*(BG96*AZ96/($K$5*1000))+$H$5*(BG96*AZ96/($K$5*1000))*(BG96*AZ96/($K$5*1000)))</f>
        <v>2.3881786653671293</v>
      </c>
      <c r="Q96">
        <f>H96*(1000-(1000*0.61365*EXP(17.502*U96/(240.97+U96))/(AZ96+BA96)+AU96)/2)/(1000*0.61365*EXP(17.502*U96/(240.97+U96))/(AZ96+BA96)-AU96)</f>
        <v>8.3367024230579151E-2</v>
      </c>
      <c r="R96">
        <f t="shared" si="40"/>
        <v>5.2249633561687513E-2</v>
      </c>
      <c r="S96">
        <f t="shared" si="41"/>
        <v>0.10830771497000001</v>
      </c>
      <c r="T96">
        <f>(BB96+(S96+2*0.95*0.0000000567*(((BB96+$B$7)+273)^4-(BB96+273)^4)-44100*H96)/(1.84*29.3*P96+8*0.95*0.0000000567*(BB96+273)^3))</f>
        <v>24.107819512925122</v>
      </c>
      <c r="U96">
        <f>($C$7*BC96+$D$7*BD96+$E$7*T96)</f>
        <v>25.193466666666669</v>
      </c>
      <c r="V96">
        <f t="shared" si="42"/>
        <v>3.2165383275304027</v>
      </c>
      <c r="W96">
        <f t="shared" si="43"/>
        <v>-4.1560153790890606</v>
      </c>
      <c r="X96">
        <f>AU96*(AZ96+BA96)/1000</f>
        <v>-0.13213502191524371</v>
      </c>
      <c r="Y96">
        <f t="shared" si="44"/>
        <v>3.1793679729887288</v>
      </c>
      <c r="Z96">
        <f>(V96-AU96*(AZ96+BA96)/1000)</f>
        <v>3.3486733494456464</v>
      </c>
      <c r="AA96">
        <f t="shared" si="45"/>
        <v>-124.92293671180778</v>
      </c>
      <c r="AB96">
        <f>2*29.3*P96*0.92*(BB96-U96)</f>
        <v>-25.119415349240281</v>
      </c>
      <c r="AC96">
        <f>2*0.95*0.0000000567*(((BB96+$B$7)+273)^4-(U96+273)^4)</f>
        <v>-2.2270093906500348</v>
      </c>
      <c r="AD96">
        <f t="shared" si="46"/>
        <v>-152.16105373672809</v>
      </c>
      <c r="AE96">
        <v>20</v>
      </c>
      <c r="AF96">
        <v>4</v>
      </c>
      <c r="AG96">
        <f t="shared" si="47"/>
        <v>1</v>
      </c>
      <c r="AH96">
        <f t="shared" si="48"/>
        <v>0</v>
      </c>
      <c r="AI96">
        <f t="shared" si="49"/>
        <v>25694.691733455718</v>
      </c>
      <c r="AJ96">
        <f t="shared" si="50"/>
        <v>0.56675936666666671</v>
      </c>
      <c r="AK96">
        <f t="shared" si="51"/>
        <v>0.45340749333333341</v>
      </c>
      <c r="AL96">
        <f t="shared" si="52"/>
        <v>0.8</v>
      </c>
      <c r="AM96">
        <f t="shared" si="53"/>
        <v>0.19109999999999999</v>
      </c>
      <c r="AN96">
        <v>3</v>
      </c>
      <c r="AO96">
        <v>0.5</v>
      </c>
      <c r="AP96" t="s">
        <v>317</v>
      </c>
      <c r="AQ96">
        <v>2</v>
      </c>
      <c r="AR96">
        <v>1775468779.25</v>
      </c>
      <c r="AS96">
        <v>14.82861616666667</v>
      </c>
      <c r="AT96">
        <v>13.498773333333331</v>
      </c>
      <c r="AU96">
        <v>-1.3201125</v>
      </c>
      <c r="AV96">
        <v>-3.0201690500000011</v>
      </c>
      <c r="AW96">
        <v>6.782616166666668</v>
      </c>
      <c r="AX96">
        <v>-1.82916905</v>
      </c>
      <c r="AY96">
        <v>500.53496666666672</v>
      </c>
      <c r="AZ96">
        <v>100.04786666666659</v>
      </c>
      <c r="BA96">
        <v>4.589194500000001E-2</v>
      </c>
      <c r="BB96">
        <v>24.998366666666659</v>
      </c>
      <c r="BC96">
        <v>25.193466666666669</v>
      </c>
      <c r="BD96">
        <v>999.9</v>
      </c>
      <c r="BE96">
        <v>0</v>
      </c>
      <c r="BF96">
        <v>0</v>
      </c>
      <c r="BG96">
        <v>4997.9833333333336</v>
      </c>
      <c r="BH96">
        <v>0.56675936666666671</v>
      </c>
      <c r="BI96">
        <v>135.22165000000001</v>
      </c>
      <c r="BJ96">
        <v>1.339716066666667</v>
      </c>
      <c r="BK96">
        <v>14.793751666666671</v>
      </c>
      <c r="BL96">
        <v>13.480973333333329</v>
      </c>
      <c r="BM96">
        <v>-1.700107983333333</v>
      </c>
      <c r="BN96">
        <v>13.498773333333331</v>
      </c>
      <c r="BO96">
        <v>-1.3201125</v>
      </c>
      <c r="BP96">
        <v>-0.30216668333333341</v>
      </c>
      <c r="BQ96">
        <v>-0.13207453333333341</v>
      </c>
      <c r="BR96">
        <v>-99.899999999999963</v>
      </c>
      <c r="BS96">
        <v>-99.899999999999963</v>
      </c>
      <c r="BT96">
        <v>1775468822</v>
      </c>
      <c r="BU96" t="s">
        <v>563</v>
      </c>
      <c r="BV96">
        <v>1775468811.5</v>
      </c>
      <c r="BW96">
        <v>1775468822</v>
      </c>
      <c r="BX96">
        <v>81</v>
      </c>
      <c r="BY96">
        <v>-0.01</v>
      </c>
      <c r="BZ96">
        <v>0</v>
      </c>
      <c r="CA96">
        <v>8.0459999999999994</v>
      </c>
      <c r="CB96">
        <v>-1.1910000000000001</v>
      </c>
      <c r="CC96">
        <v>14</v>
      </c>
      <c r="CD96">
        <v>-1</v>
      </c>
      <c r="CE96">
        <v>0.18</v>
      </c>
      <c r="CF96">
        <v>0.05</v>
      </c>
      <c r="CG96">
        <v>13.481101666666669</v>
      </c>
      <c r="CH96">
        <v>2.6579593220339008</v>
      </c>
      <c r="CI96">
        <v>0.41415548227353238</v>
      </c>
      <c r="CJ96">
        <v>-1</v>
      </c>
      <c r="CK96">
        <v>500.59333333333342</v>
      </c>
      <c r="CL96">
        <v>-6.0860839121970578</v>
      </c>
      <c r="CM96">
        <v>1.33970262454853</v>
      </c>
      <c r="CN96">
        <v>-1</v>
      </c>
      <c r="CO96">
        <v>0</v>
      </c>
      <c r="CP96">
        <v>0</v>
      </c>
      <c r="CQ96" t="s">
        <v>319</v>
      </c>
      <c r="CR96">
        <v>3.16764</v>
      </c>
      <c r="CS96">
        <v>2.66669</v>
      </c>
      <c r="CT96">
        <v>2.2057800000000001E-3</v>
      </c>
      <c r="CU96">
        <v>4.1647100000000003E-3</v>
      </c>
      <c r="CV96">
        <v>-1.75348E-2</v>
      </c>
      <c r="CW96">
        <v>-1.16221E-2</v>
      </c>
      <c r="CX96">
        <v>21503.1</v>
      </c>
      <c r="CY96">
        <v>21844.9</v>
      </c>
      <c r="CZ96">
        <v>23079.7</v>
      </c>
      <c r="DA96">
        <v>22291</v>
      </c>
      <c r="DB96">
        <v>30289.4</v>
      </c>
      <c r="DC96">
        <v>26895.3</v>
      </c>
      <c r="DD96">
        <v>40572.9</v>
      </c>
      <c r="DE96">
        <v>36944.9</v>
      </c>
      <c r="DF96">
        <v>2.0627599999999999</v>
      </c>
      <c r="DG96">
        <v>1.7687600000000001</v>
      </c>
      <c r="DH96">
        <v>-4.8324499999999999E-2</v>
      </c>
      <c r="DI96">
        <v>0</v>
      </c>
      <c r="DJ96">
        <v>25.978000000000002</v>
      </c>
      <c r="DK96">
        <v>999.9</v>
      </c>
      <c r="DL96">
        <v>71.400000000000006</v>
      </c>
      <c r="DM96">
        <v>32</v>
      </c>
      <c r="DN96">
        <v>34.076599999999999</v>
      </c>
      <c r="DO96">
        <v>30.755500000000001</v>
      </c>
      <c r="DP96">
        <v>10.653</v>
      </c>
      <c r="DQ96">
        <v>1</v>
      </c>
      <c r="DR96">
        <v>0.28019699999999997</v>
      </c>
      <c r="DS96">
        <v>1.8303</v>
      </c>
      <c r="DT96">
        <v>20.355699999999999</v>
      </c>
      <c r="DU96">
        <v>5.2092599999999996</v>
      </c>
      <c r="DV96">
        <v>11.8504</v>
      </c>
      <c r="DW96">
        <v>4.9672799999999997</v>
      </c>
      <c r="DX96">
        <v>3.2921200000000002</v>
      </c>
      <c r="DY96">
        <v>894.7</v>
      </c>
      <c r="DZ96">
        <v>0</v>
      </c>
      <c r="EA96">
        <v>2465.1</v>
      </c>
      <c r="EB96">
        <v>108</v>
      </c>
      <c r="EC96">
        <v>4.9715600000000002</v>
      </c>
      <c r="ED96">
        <v>1.8718600000000001</v>
      </c>
      <c r="EE96">
        <v>1.8690500000000001</v>
      </c>
      <c r="EF96">
        <v>1.87147</v>
      </c>
      <c r="EG96">
        <v>1.8692</v>
      </c>
      <c r="EH96">
        <v>1.8681300000000001</v>
      </c>
      <c r="EI96">
        <v>1.8699600000000001</v>
      </c>
      <c r="EJ96">
        <v>1.8717900000000001</v>
      </c>
      <c r="EK96">
        <v>0</v>
      </c>
      <c r="EL96">
        <v>0</v>
      </c>
      <c r="EM96">
        <v>0</v>
      </c>
      <c r="EN96">
        <v>0</v>
      </c>
      <c r="EO96" t="s">
        <v>320</v>
      </c>
      <c r="EP96" t="s">
        <v>321</v>
      </c>
      <c r="EQ96" t="s">
        <v>322</v>
      </c>
      <c r="ER96" t="s">
        <v>322</v>
      </c>
      <c r="ES96" t="s">
        <v>322</v>
      </c>
      <c r="ET96" t="s">
        <v>322</v>
      </c>
      <c r="EU96">
        <v>0</v>
      </c>
      <c r="EV96">
        <v>100</v>
      </c>
      <c r="EW96">
        <v>100</v>
      </c>
      <c r="EX96">
        <v>8.0459999999999994</v>
      </c>
      <c r="EY96">
        <v>-1.1910000000000001</v>
      </c>
      <c r="EZ96">
        <v>8.0558742857142853</v>
      </c>
      <c r="FA96">
        <v>0</v>
      </c>
      <c r="FB96">
        <v>0</v>
      </c>
      <c r="FC96">
        <v>0</v>
      </c>
      <c r="FD96">
        <v>-1.191052142857143</v>
      </c>
      <c r="FE96">
        <v>0</v>
      </c>
      <c r="FF96">
        <v>0</v>
      </c>
      <c r="FG96">
        <v>0</v>
      </c>
      <c r="FH96">
        <v>-1</v>
      </c>
      <c r="FI96">
        <v>-1</v>
      </c>
      <c r="FJ96">
        <v>-1</v>
      </c>
      <c r="FK96">
        <v>-1</v>
      </c>
      <c r="FL96">
        <v>0.7</v>
      </c>
      <c r="FM96">
        <v>0.6</v>
      </c>
      <c r="FN96">
        <v>0.14160200000000001</v>
      </c>
      <c r="FO96">
        <v>4.99756</v>
      </c>
      <c r="FP96">
        <v>1.5979000000000001</v>
      </c>
      <c r="FQ96">
        <v>2.1496599999999999</v>
      </c>
      <c r="FR96">
        <v>1.5478499999999999</v>
      </c>
      <c r="FS96">
        <v>2.4243199999999998</v>
      </c>
      <c r="FT96">
        <v>36.245899999999999</v>
      </c>
      <c r="FU96">
        <v>15.252800000000001</v>
      </c>
      <c r="FV96">
        <v>2</v>
      </c>
      <c r="FW96">
        <v>490.44299999999998</v>
      </c>
      <c r="FX96">
        <v>393.76900000000001</v>
      </c>
      <c r="FY96">
        <v>24.3535</v>
      </c>
      <c r="FZ96">
        <v>30.668900000000001</v>
      </c>
      <c r="GA96">
        <v>29.999700000000001</v>
      </c>
      <c r="GB96">
        <v>31.023099999999999</v>
      </c>
      <c r="GC96">
        <v>31.090599999999998</v>
      </c>
      <c r="GD96">
        <v>-1</v>
      </c>
      <c r="GE96">
        <v>0</v>
      </c>
      <c r="GF96">
        <v>100</v>
      </c>
      <c r="GG96">
        <v>24.357700000000001</v>
      </c>
      <c r="GH96">
        <v>432.1</v>
      </c>
      <c r="GI96">
        <v>78.840199999999996</v>
      </c>
      <c r="GJ96">
        <v>102.11799999999999</v>
      </c>
      <c r="GK96">
        <v>96.400099999999995</v>
      </c>
    </row>
    <row r="97" spans="1:193" x14ac:dyDescent="0.35">
      <c r="A97">
        <v>81</v>
      </c>
      <c r="B97">
        <v>1775468854.5</v>
      </c>
      <c r="C97">
        <v>4898.4000000953674</v>
      </c>
      <c r="D97" t="s">
        <v>564</v>
      </c>
      <c r="E97" t="s">
        <v>565</v>
      </c>
      <c r="F97">
        <v>30</v>
      </c>
      <c r="G97">
        <v>1775468839.25</v>
      </c>
      <c r="H97">
        <f t="shared" si="36"/>
        <v>2.6983948659925526E-3</v>
      </c>
      <c r="I97">
        <f>1000*AY97*AG97*(AU97-AV97)/(100*AN97*(1000-AG97*AU97))</f>
        <v>2.6983948659925527</v>
      </c>
      <c r="J97">
        <f>AY97*AG97*(AT97-AS97*(1000-AG97*AV97)/(1000-AG97*AU97))/(100*AN97)</f>
        <v>-2.1249971083880141</v>
      </c>
      <c r="K97">
        <f t="shared" si="37"/>
        <v>15.262003833333329</v>
      </c>
      <c r="L97">
        <f t="shared" si="38"/>
        <v>56.024484992684293</v>
      </c>
      <c r="M97">
        <f>L97*(AZ97+BA97)/1000</f>
        <v>5.6079950510185341</v>
      </c>
      <c r="N97">
        <f>(AS97 - IF(AG97&gt;1, J97*AN97*100/(AI97), 0))*(AZ97+BA97)/1000</f>
        <v>1.5277113565102027</v>
      </c>
      <c r="O97">
        <f t="shared" si="39"/>
        <v>8.0915302848027185E-2</v>
      </c>
      <c r="P97">
        <f>IF(LEFT(AP97,1)&lt;&gt;"0",IF(LEFT(AP97,1)="1",3,AQ97),$D$5+$E$5*(BG97*AZ97/($K$5*1000))+$F$5*(BG97*AZ97/($K$5*1000))*MAX(MIN(AN97,$J$5),$I$5)*MAX(MIN(AN97,$J$5),$I$5)+$G$5*MAX(MIN(AN97,$J$5),$I$5)*(BG97*AZ97/($K$5*1000))+$H$5*(BG97*AZ97/($K$5*1000))*(BG97*AZ97/($K$5*1000)))</f>
        <v>2.3905352030308533</v>
      </c>
      <c r="Q97">
        <f>H97*(1000-(1000*0.61365*EXP(17.502*U97/(240.97+U97))/(AZ97+BA97)+AU97)/2)/(1000*0.61365*EXP(17.502*U97/(240.97+U97))/(AZ97+BA97)-AU97)</f>
        <v>7.9423983848407848E-2</v>
      </c>
      <c r="R97">
        <f t="shared" si="40"/>
        <v>4.9771689626189997E-2</v>
      </c>
      <c r="S97">
        <f t="shared" si="41"/>
        <v>0.10688644693999999</v>
      </c>
      <c r="T97">
        <f>(BB97+(S97+2*0.95*0.0000000567*(((BB97+$B$7)+273)^4-(BB97+273)^4)-44100*H97)/(1.84*29.3*P97+8*0.95*0.0000000567*(BB97+273)^3))</f>
        <v>24.134631904067469</v>
      </c>
      <c r="U97">
        <f>($C$7*BC97+$D$7*BD97+$E$7*T97)</f>
        <v>25.193963333333329</v>
      </c>
      <c r="V97">
        <f t="shared" si="42"/>
        <v>3.2166334346705976</v>
      </c>
      <c r="W97">
        <f t="shared" si="43"/>
        <v>-4.1489442974491073</v>
      </c>
      <c r="X97">
        <f>AU97*(AZ97+BA97)/1000</f>
        <v>-0.13178285565984416</v>
      </c>
      <c r="Y97">
        <f t="shared" si="44"/>
        <v>3.1762985041970344</v>
      </c>
      <c r="Z97">
        <f>(V97-AU97*(AZ97+BA97)/1000)</f>
        <v>3.3484162903304417</v>
      </c>
      <c r="AA97">
        <f t="shared" si="45"/>
        <v>-118.99921359027157</v>
      </c>
      <c r="AB97">
        <f>2*29.3*P97*0.92*(BB97-U97)</f>
        <v>-27.296043877662242</v>
      </c>
      <c r="AC97">
        <f>2*0.95*0.0000000567*(((BB97+$B$7)+273)^4-(U97+273)^4)</f>
        <v>-2.4174059703447601</v>
      </c>
      <c r="AD97">
        <f t="shared" si="46"/>
        <v>-148.60577699133859</v>
      </c>
      <c r="AE97">
        <v>20</v>
      </c>
      <c r="AF97">
        <v>4</v>
      </c>
      <c r="AG97">
        <f t="shared" si="47"/>
        <v>1</v>
      </c>
      <c r="AH97">
        <f t="shared" si="48"/>
        <v>0</v>
      </c>
      <c r="AI97">
        <f t="shared" si="49"/>
        <v>25731.988857355347</v>
      </c>
      <c r="AJ97">
        <f t="shared" si="50"/>
        <v>0.55932206666666662</v>
      </c>
      <c r="AK97">
        <f t="shared" si="51"/>
        <v>0.44745765333333332</v>
      </c>
      <c r="AL97">
        <f t="shared" si="52"/>
        <v>0.8</v>
      </c>
      <c r="AM97">
        <f t="shared" si="53"/>
        <v>0.19109999999999999</v>
      </c>
      <c r="AN97">
        <v>3</v>
      </c>
      <c r="AO97">
        <v>0.5</v>
      </c>
      <c r="AP97" t="s">
        <v>317</v>
      </c>
      <c r="AQ97">
        <v>2</v>
      </c>
      <c r="AR97">
        <v>1775468839.25</v>
      </c>
      <c r="AS97">
        <v>15.262003833333329</v>
      </c>
      <c r="AT97">
        <v>14.013355000000001</v>
      </c>
      <c r="AU97">
        <v>-1.3165251666666671</v>
      </c>
      <c r="AV97">
        <v>-2.935567516666667</v>
      </c>
      <c r="AW97">
        <v>7.2310038333333342</v>
      </c>
      <c r="AX97">
        <v>-1.7455675166666671</v>
      </c>
      <c r="AY97">
        <v>500.65658333333329</v>
      </c>
      <c r="AZ97">
        <v>100.0526333333334</v>
      </c>
      <c r="BA97">
        <v>4.6368946666666667E-2</v>
      </c>
      <c r="BB97">
        <v>24.982166666666672</v>
      </c>
      <c r="BC97">
        <v>25.193963333333329</v>
      </c>
      <c r="BD97">
        <v>999.9</v>
      </c>
      <c r="BE97">
        <v>0</v>
      </c>
      <c r="BF97">
        <v>0</v>
      </c>
      <c r="BG97">
        <v>5003.8166666666666</v>
      </c>
      <c r="BH97">
        <v>0.55932206666666662</v>
      </c>
      <c r="BI97">
        <v>132.37256666666659</v>
      </c>
      <c r="BJ97">
        <v>1.2635795000000001</v>
      </c>
      <c r="BK97">
        <v>15.23212</v>
      </c>
      <c r="BL97">
        <v>13.994928333333331</v>
      </c>
      <c r="BM97">
        <v>-1.619730116666666</v>
      </c>
      <c r="BN97">
        <v>14.013355000000001</v>
      </c>
      <c r="BO97">
        <v>-1.3165251666666671</v>
      </c>
      <c r="BP97">
        <v>-0.29378023333333342</v>
      </c>
      <c r="BQ97">
        <v>-0.1317219</v>
      </c>
      <c r="BR97">
        <v>-99.899999999999963</v>
      </c>
      <c r="BS97">
        <v>-99.899999999999963</v>
      </c>
      <c r="BT97">
        <v>1775468879.5</v>
      </c>
      <c r="BU97" t="s">
        <v>566</v>
      </c>
      <c r="BV97">
        <v>1775468873.5</v>
      </c>
      <c r="BW97">
        <v>1775468879.5</v>
      </c>
      <c r="BX97">
        <v>82</v>
      </c>
      <c r="BY97">
        <v>-1.4999999999999999E-2</v>
      </c>
      <c r="BZ97">
        <v>1E-3</v>
      </c>
      <c r="CA97">
        <v>8.0310000000000006</v>
      </c>
      <c r="CB97">
        <v>-1.19</v>
      </c>
      <c r="CC97">
        <v>12</v>
      </c>
      <c r="CD97">
        <v>-1</v>
      </c>
      <c r="CE97">
        <v>0.17</v>
      </c>
      <c r="CF97">
        <v>0.05</v>
      </c>
      <c r="CG97">
        <v>14.00612786885246</v>
      </c>
      <c r="CH97">
        <v>3.312519090428359</v>
      </c>
      <c r="CI97">
        <v>0.52449796421838357</v>
      </c>
      <c r="CJ97">
        <v>-1</v>
      </c>
      <c r="CK97">
        <v>500.68681967213121</v>
      </c>
      <c r="CL97">
        <v>-6.5838625066101804</v>
      </c>
      <c r="CM97">
        <v>1.407361727863746</v>
      </c>
      <c r="CN97">
        <v>-1</v>
      </c>
      <c r="CO97">
        <v>0</v>
      </c>
      <c r="CP97">
        <v>0</v>
      </c>
      <c r="CQ97" t="s">
        <v>319</v>
      </c>
      <c r="CR97">
        <v>3.1675499999999999</v>
      </c>
      <c r="CS97">
        <v>2.6663700000000001</v>
      </c>
      <c r="CT97">
        <v>2.3822700000000001E-3</v>
      </c>
      <c r="CU97">
        <v>4.3695799999999996E-3</v>
      </c>
      <c r="CV97">
        <v>-1.6901200000000002E-2</v>
      </c>
      <c r="CW97">
        <v>-1.16326E-2</v>
      </c>
      <c r="CX97">
        <v>21500</v>
      </c>
      <c r="CY97">
        <v>21841.1</v>
      </c>
      <c r="CZ97">
        <v>23080.400000000001</v>
      </c>
      <c r="DA97">
        <v>22291.7</v>
      </c>
      <c r="DB97">
        <v>30271.200000000001</v>
      </c>
      <c r="DC97">
        <v>26896.3</v>
      </c>
      <c r="DD97">
        <v>40573.699999999997</v>
      </c>
      <c r="DE97">
        <v>36945.9</v>
      </c>
      <c r="DF97">
        <v>2.0629599999999999</v>
      </c>
      <c r="DG97">
        <v>1.7692399999999999</v>
      </c>
      <c r="DH97">
        <v>-4.6580999999999997E-2</v>
      </c>
      <c r="DI97">
        <v>0</v>
      </c>
      <c r="DJ97">
        <v>25.971699999999998</v>
      </c>
      <c r="DK97">
        <v>999.9</v>
      </c>
      <c r="DL97">
        <v>71.400000000000006</v>
      </c>
      <c r="DM97">
        <v>32.1</v>
      </c>
      <c r="DN97">
        <v>34.267299999999999</v>
      </c>
      <c r="DO97">
        <v>30.515499999999999</v>
      </c>
      <c r="DP97">
        <v>10.5288</v>
      </c>
      <c r="DQ97">
        <v>1</v>
      </c>
      <c r="DR97">
        <v>0.277478</v>
      </c>
      <c r="DS97">
        <v>1.6646099999999999</v>
      </c>
      <c r="DT97">
        <v>20.357800000000001</v>
      </c>
      <c r="DU97">
        <v>5.2095000000000002</v>
      </c>
      <c r="DV97">
        <v>11.8521</v>
      </c>
      <c r="DW97">
        <v>4.9673999999999996</v>
      </c>
      <c r="DX97">
        <v>3.2924000000000002</v>
      </c>
      <c r="DY97">
        <v>894.7</v>
      </c>
      <c r="DZ97">
        <v>0</v>
      </c>
      <c r="EA97">
        <v>2499.9</v>
      </c>
      <c r="EB97">
        <v>108</v>
      </c>
      <c r="EC97">
        <v>4.97159</v>
      </c>
      <c r="ED97">
        <v>1.8718900000000001</v>
      </c>
      <c r="EE97">
        <v>1.8690500000000001</v>
      </c>
      <c r="EF97">
        <v>1.8714599999999999</v>
      </c>
      <c r="EG97">
        <v>1.8692</v>
      </c>
      <c r="EH97">
        <v>1.8681300000000001</v>
      </c>
      <c r="EI97">
        <v>1.8699600000000001</v>
      </c>
      <c r="EJ97">
        <v>1.87178</v>
      </c>
      <c r="EK97">
        <v>0</v>
      </c>
      <c r="EL97">
        <v>0</v>
      </c>
      <c r="EM97">
        <v>0</v>
      </c>
      <c r="EN97">
        <v>0</v>
      </c>
      <c r="EO97" t="s">
        <v>320</v>
      </c>
      <c r="EP97" t="s">
        <v>321</v>
      </c>
      <c r="EQ97" t="s">
        <v>322</v>
      </c>
      <c r="ER97" t="s">
        <v>322</v>
      </c>
      <c r="ES97" t="s">
        <v>322</v>
      </c>
      <c r="ET97" t="s">
        <v>322</v>
      </c>
      <c r="EU97">
        <v>0</v>
      </c>
      <c r="EV97">
        <v>100</v>
      </c>
      <c r="EW97">
        <v>100</v>
      </c>
      <c r="EX97">
        <v>8.0310000000000006</v>
      </c>
      <c r="EY97">
        <v>-1.19</v>
      </c>
      <c r="EZ97">
        <v>8.0459309999999995</v>
      </c>
      <c r="FA97">
        <v>0</v>
      </c>
      <c r="FB97">
        <v>0</v>
      </c>
      <c r="FC97">
        <v>0</v>
      </c>
      <c r="FD97">
        <v>-1.190687571428571</v>
      </c>
      <c r="FE97">
        <v>0</v>
      </c>
      <c r="FF97">
        <v>0</v>
      </c>
      <c r="FG97">
        <v>0</v>
      </c>
      <c r="FH97">
        <v>-1</v>
      </c>
      <c r="FI97">
        <v>-1</v>
      </c>
      <c r="FJ97">
        <v>-1</v>
      </c>
      <c r="FK97">
        <v>-1</v>
      </c>
      <c r="FL97">
        <v>0.7</v>
      </c>
      <c r="FM97">
        <v>0.5</v>
      </c>
      <c r="FN97">
        <v>0.14160200000000001</v>
      </c>
      <c r="FO97">
        <v>4.99756</v>
      </c>
      <c r="FP97">
        <v>1.5979000000000001</v>
      </c>
      <c r="FQ97">
        <v>2.1484399999999999</v>
      </c>
      <c r="FR97">
        <v>1.5478499999999999</v>
      </c>
      <c r="FS97">
        <v>2.34253</v>
      </c>
      <c r="FT97">
        <v>36.2224</v>
      </c>
      <c r="FU97">
        <v>15.235300000000001</v>
      </c>
      <c r="FV97">
        <v>2</v>
      </c>
      <c r="FW97">
        <v>490.37400000000002</v>
      </c>
      <c r="FX97">
        <v>393.88499999999999</v>
      </c>
      <c r="FY97">
        <v>24.477900000000002</v>
      </c>
      <c r="FZ97">
        <v>30.6449</v>
      </c>
      <c r="GA97">
        <v>29.9999</v>
      </c>
      <c r="GB97">
        <v>30.9984</v>
      </c>
      <c r="GC97">
        <v>31.0657</v>
      </c>
      <c r="GD97">
        <v>-1</v>
      </c>
      <c r="GE97">
        <v>0</v>
      </c>
      <c r="GF97">
        <v>100</v>
      </c>
      <c r="GG97">
        <v>24.488499999999998</v>
      </c>
      <c r="GH97">
        <v>432.1</v>
      </c>
      <c r="GI97">
        <v>78.840199999999996</v>
      </c>
      <c r="GJ97">
        <v>102.12</v>
      </c>
      <c r="GK97">
        <v>96.402699999999996</v>
      </c>
    </row>
    <row r="98" spans="1:193" x14ac:dyDescent="0.35">
      <c r="A98">
        <v>82</v>
      </c>
      <c r="B98">
        <v>1775468914.5</v>
      </c>
      <c r="C98">
        <v>4958.4000000953674</v>
      </c>
      <c r="D98" t="s">
        <v>567</v>
      </c>
      <c r="E98" t="s">
        <v>568</v>
      </c>
      <c r="F98">
        <v>30</v>
      </c>
      <c r="G98">
        <v>1775468899</v>
      </c>
      <c r="H98">
        <f t="shared" si="36"/>
        <v>2.8129613063211652E-3</v>
      </c>
      <c r="I98">
        <f>1000*AY98*AG98*(AU98-AV98)/(100*AN98*(1000-AG98*AU98))</f>
        <v>2.8129613063211654</v>
      </c>
      <c r="J98">
        <f>AY98*AG98*(AT98-AS98*(1000-AG98*AV98)/(1000-AG98*AU98))/(100*AN98)</f>
        <v>-2.7284261692607883</v>
      </c>
      <c r="K98">
        <f t="shared" si="37"/>
        <v>14.839309672131151</v>
      </c>
      <c r="L98">
        <f t="shared" si="38"/>
        <v>65.324871432739641</v>
      </c>
      <c r="M98">
        <f>L98*(AZ98+BA98)/1000</f>
        <v>6.5390842868331838</v>
      </c>
      <c r="N98">
        <f>(AS98 - IF(AG98&gt;1, J98*AN98*100/(AI98), 0))*(AZ98+BA98)/1000</f>
        <v>1.485429585642507</v>
      </c>
      <c r="O98">
        <f t="shared" si="39"/>
        <v>8.4285596839284896E-2</v>
      </c>
      <c r="P98">
        <f>IF(LEFT(AP98,1)&lt;&gt;"0",IF(LEFT(AP98,1)="1",3,AQ98),$D$5+$E$5*(BG98*AZ98/($K$5*1000))+$F$5*(BG98*AZ98/($K$5*1000))*MAX(MIN(AN98,$J$5),$I$5)*MAX(MIN(AN98,$J$5),$I$5)+$G$5*MAX(MIN(AN98,$J$5),$I$5)*(BG98*AZ98/($K$5*1000))+$H$5*(BG98*AZ98/($K$5*1000))*(BG98*AZ98/($K$5*1000)))</f>
        <v>2.389739296479807</v>
      </c>
      <c r="Q98">
        <f>H98*(1000-(1000*0.61365*EXP(17.502*U98/(240.97+U98))/(AZ98+BA98)+AU98)/2)/(1000*0.61365*EXP(17.502*U98/(240.97+U98))/(AZ98+BA98)-AU98)</f>
        <v>8.2668267792952582E-2</v>
      </c>
      <c r="R98">
        <f t="shared" si="40"/>
        <v>5.1810393075614268E-2</v>
      </c>
      <c r="S98">
        <f t="shared" si="41"/>
        <v>0.1034570538491803</v>
      </c>
      <c r="T98">
        <f>(BB98+(S98+2*0.95*0.0000000567*(((BB98+$B$7)+273)^4-(BB98+273)^4)-44100*H98)/(1.84*29.3*P98+8*0.95*0.0000000567*(BB98+273)^3))</f>
        <v>24.127148702174402</v>
      </c>
      <c r="U98">
        <f>($C$7*BC98+$D$7*BD98+$E$7*T98)</f>
        <v>25.215827868852461</v>
      </c>
      <c r="V98">
        <f t="shared" si="42"/>
        <v>3.2208227297987291</v>
      </c>
      <c r="W98">
        <f t="shared" si="43"/>
        <v>-4.1733226124513241</v>
      </c>
      <c r="X98">
        <f>AU98*(AZ98+BA98)/1000</f>
        <v>-0.13278504598609747</v>
      </c>
      <c r="Y98">
        <f t="shared" si="44"/>
        <v>3.1817584768051819</v>
      </c>
      <c r="Z98">
        <f>(V98-AU98*(AZ98+BA98)/1000)</f>
        <v>3.3536077757848264</v>
      </c>
      <c r="AA98">
        <f t="shared" si="45"/>
        <v>-124.05159360876338</v>
      </c>
      <c r="AB98">
        <f>2*29.3*P98*0.92*(BB98-U98)</f>
        <v>-26.392505786237471</v>
      </c>
      <c r="AC98">
        <f>2*0.95*0.0000000567*(((BB98+$B$7)+273)^4-(U98+273)^4)</f>
        <v>-2.3387610700831782</v>
      </c>
      <c r="AD98">
        <f t="shared" si="46"/>
        <v>-152.67940341123486</v>
      </c>
      <c r="AE98">
        <v>20</v>
      </c>
      <c r="AF98">
        <v>4</v>
      </c>
      <c r="AG98">
        <f t="shared" si="47"/>
        <v>1</v>
      </c>
      <c r="AH98">
        <f t="shared" si="48"/>
        <v>0</v>
      </c>
      <c r="AI98">
        <f t="shared" si="49"/>
        <v>25717.217524558841</v>
      </c>
      <c r="AJ98">
        <f t="shared" si="50"/>
        <v>0.54137652459016383</v>
      </c>
      <c r="AK98">
        <f t="shared" si="51"/>
        <v>0.43310121967213111</v>
      </c>
      <c r="AL98">
        <f t="shared" si="52"/>
        <v>0.8</v>
      </c>
      <c r="AM98">
        <f t="shared" si="53"/>
        <v>0.19109999999999999</v>
      </c>
      <c r="AN98">
        <v>3</v>
      </c>
      <c r="AO98">
        <v>0.5</v>
      </c>
      <c r="AP98" t="s">
        <v>317</v>
      </c>
      <c r="AQ98">
        <v>2</v>
      </c>
      <c r="AR98">
        <v>1775468899</v>
      </c>
      <c r="AS98">
        <v>14.839309672131151</v>
      </c>
      <c r="AT98">
        <v>13.228609836065569</v>
      </c>
      <c r="AU98">
        <v>-1.3265108196721309</v>
      </c>
      <c r="AV98">
        <v>-3.015152622950819</v>
      </c>
      <c r="AW98">
        <v>6.7593096721311463</v>
      </c>
      <c r="AX98">
        <v>-1.82615262295082</v>
      </c>
      <c r="AY98">
        <v>500.40678688524588</v>
      </c>
      <c r="AZ98">
        <v>100.05500000000001</v>
      </c>
      <c r="BA98">
        <v>4.5989767213114749E-2</v>
      </c>
      <c r="BB98">
        <v>25.010973770491798</v>
      </c>
      <c r="BC98">
        <v>25.215827868852461</v>
      </c>
      <c r="BD98">
        <v>999.9</v>
      </c>
      <c r="BE98">
        <v>0</v>
      </c>
      <c r="BF98">
        <v>0</v>
      </c>
      <c r="BG98">
        <v>5001.6475409836066</v>
      </c>
      <c r="BH98">
        <v>0.54137652459016383</v>
      </c>
      <c r="BI98">
        <v>129.48104918032789</v>
      </c>
      <c r="BJ98">
        <v>1.5612656885245899</v>
      </c>
      <c r="BK98">
        <v>14.74537704918033</v>
      </c>
      <c r="BL98">
        <v>13.211078688524591</v>
      </c>
      <c r="BM98">
        <v>-1.6892867213114751</v>
      </c>
      <c r="BN98">
        <v>13.228609836065569</v>
      </c>
      <c r="BO98">
        <v>-1.3265108196721309</v>
      </c>
      <c r="BP98">
        <v>-0.3017456557377049</v>
      </c>
      <c r="BQ98">
        <v>-0.13272403278688519</v>
      </c>
      <c r="BR98">
        <v>-99.899999999999963</v>
      </c>
      <c r="BS98">
        <v>-99.899999999999963</v>
      </c>
      <c r="BT98">
        <v>1775468942.5</v>
      </c>
      <c r="BU98" t="s">
        <v>569</v>
      </c>
      <c r="BV98">
        <v>1775468934.5</v>
      </c>
      <c r="BW98">
        <v>1775468942.5</v>
      </c>
      <c r="BX98">
        <v>83</v>
      </c>
      <c r="BY98">
        <v>0.05</v>
      </c>
      <c r="BZ98">
        <v>1E-3</v>
      </c>
      <c r="CA98">
        <v>8.08</v>
      </c>
      <c r="CB98">
        <v>-1.1890000000000001</v>
      </c>
      <c r="CC98">
        <v>13</v>
      </c>
      <c r="CD98">
        <v>-1</v>
      </c>
      <c r="CE98">
        <v>0.15</v>
      </c>
      <c r="CF98">
        <v>0.05</v>
      </c>
      <c r="CG98">
        <v>13.228609836065569</v>
      </c>
      <c r="CH98">
        <v>-2.8146244315177071</v>
      </c>
      <c r="CI98">
        <v>0.4893204718439102</v>
      </c>
      <c r="CJ98">
        <v>-1</v>
      </c>
      <c r="CK98">
        <v>500.40678688524588</v>
      </c>
      <c r="CL98">
        <v>-4.1078582760438147</v>
      </c>
      <c r="CM98">
        <v>1.0999663797359041</v>
      </c>
      <c r="CN98">
        <v>-1</v>
      </c>
      <c r="CO98">
        <v>0</v>
      </c>
      <c r="CP98">
        <v>0</v>
      </c>
      <c r="CQ98" t="s">
        <v>319</v>
      </c>
      <c r="CR98">
        <v>3.1676099999999998</v>
      </c>
      <c r="CS98">
        <v>2.6668400000000001</v>
      </c>
      <c r="CT98">
        <v>1.9015E-3</v>
      </c>
      <c r="CU98">
        <v>3.7167099999999998E-3</v>
      </c>
      <c r="CV98">
        <v>-1.7353500000000001E-2</v>
      </c>
      <c r="CW98">
        <v>-1.17182E-2</v>
      </c>
      <c r="CX98">
        <v>21511</v>
      </c>
      <c r="CY98">
        <v>21855.8</v>
      </c>
      <c r="CZ98">
        <v>23080.9</v>
      </c>
      <c r="DA98">
        <v>22292</v>
      </c>
      <c r="DB98">
        <v>30285.599999999999</v>
      </c>
      <c r="DC98">
        <v>26899</v>
      </c>
      <c r="DD98">
        <v>40575</v>
      </c>
      <c r="DE98">
        <v>36946.400000000001</v>
      </c>
      <c r="DF98">
        <v>2.06318</v>
      </c>
      <c r="DG98">
        <v>1.7704599999999999</v>
      </c>
      <c r="DH98">
        <v>-4.59105E-2</v>
      </c>
      <c r="DI98">
        <v>0</v>
      </c>
      <c r="DJ98">
        <v>25.969200000000001</v>
      </c>
      <c r="DK98">
        <v>999.9</v>
      </c>
      <c r="DL98">
        <v>71.400000000000006</v>
      </c>
      <c r="DM98">
        <v>32.1</v>
      </c>
      <c r="DN98">
        <v>34.2682</v>
      </c>
      <c r="DO98">
        <v>30.6355</v>
      </c>
      <c r="DP98">
        <v>10.7372</v>
      </c>
      <c r="DQ98">
        <v>1</v>
      </c>
      <c r="DR98">
        <v>0.27691500000000002</v>
      </c>
      <c r="DS98">
        <v>1.9435199999999999</v>
      </c>
      <c r="DT98">
        <v>20.354399999999998</v>
      </c>
      <c r="DU98">
        <v>5.2102199999999996</v>
      </c>
      <c r="DV98">
        <v>11.8521</v>
      </c>
      <c r="DW98">
        <v>4.96732</v>
      </c>
      <c r="DX98">
        <v>3.2922799999999999</v>
      </c>
      <c r="DY98">
        <v>894.7</v>
      </c>
      <c r="DZ98">
        <v>0</v>
      </c>
      <c r="EA98">
        <v>2534.9</v>
      </c>
      <c r="EB98">
        <v>108</v>
      </c>
      <c r="EC98">
        <v>4.9715600000000002</v>
      </c>
      <c r="ED98">
        <v>1.87185</v>
      </c>
      <c r="EE98">
        <v>1.8690500000000001</v>
      </c>
      <c r="EF98">
        <v>1.8714500000000001</v>
      </c>
      <c r="EG98">
        <v>1.8692</v>
      </c>
      <c r="EH98">
        <v>1.8681300000000001</v>
      </c>
      <c r="EI98">
        <v>1.8699600000000001</v>
      </c>
      <c r="EJ98">
        <v>1.8717900000000001</v>
      </c>
      <c r="EK98">
        <v>0</v>
      </c>
      <c r="EL98">
        <v>0</v>
      </c>
      <c r="EM98">
        <v>0</v>
      </c>
      <c r="EN98">
        <v>0</v>
      </c>
      <c r="EO98" t="s">
        <v>320</v>
      </c>
      <c r="EP98" t="s">
        <v>321</v>
      </c>
      <c r="EQ98" t="s">
        <v>322</v>
      </c>
      <c r="ER98" t="s">
        <v>322</v>
      </c>
      <c r="ES98" t="s">
        <v>322</v>
      </c>
      <c r="ET98" t="s">
        <v>322</v>
      </c>
      <c r="EU98">
        <v>0</v>
      </c>
      <c r="EV98">
        <v>100</v>
      </c>
      <c r="EW98">
        <v>100</v>
      </c>
      <c r="EX98">
        <v>8.08</v>
      </c>
      <c r="EY98">
        <v>-1.1890000000000001</v>
      </c>
      <c r="EZ98">
        <v>8.0305605</v>
      </c>
      <c r="FA98">
        <v>0</v>
      </c>
      <c r="FB98">
        <v>0</v>
      </c>
      <c r="FC98">
        <v>0</v>
      </c>
      <c r="FD98">
        <v>-1.18964475</v>
      </c>
      <c r="FE98">
        <v>0</v>
      </c>
      <c r="FF98">
        <v>0</v>
      </c>
      <c r="FG98">
        <v>0</v>
      </c>
      <c r="FH98">
        <v>-1</v>
      </c>
      <c r="FI98">
        <v>-1</v>
      </c>
      <c r="FJ98">
        <v>-1</v>
      </c>
      <c r="FK98">
        <v>-1</v>
      </c>
      <c r="FL98">
        <v>0.7</v>
      </c>
      <c r="FM98">
        <v>0.6</v>
      </c>
      <c r="FN98">
        <v>0.14160200000000001</v>
      </c>
      <c r="FO98">
        <v>4.99756</v>
      </c>
      <c r="FP98">
        <v>1.5979000000000001</v>
      </c>
      <c r="FQ98">
        <v>2.1496599999999999</v>
      </c>
      <c r="FR98">
        <v>1.5478499999999999</v>
      </c>
      <c r="FS98">
        <v>2.4352999999999998</v>
      </c>
      <c r="FT98">
        <v>36.198900000000002</v>
      </c>
      <c r="FU98">
        <v>15.2178</v>
      </c>
      <c r="FV98">
        <v>2</v>
      </c>
      <c r="FW98">
        <v>490.32799999999997</v>
      </c>
      <c r="FX98">
        <v>394.43299999999999</v>
      </c>
      <c r="FY98">
        <v>24.3536</v>
      </c>
      <c r="FZ98">
        <v>30.622</v>
      </c>
      <c r="GA98">
        <v>30</v>
      </c>
      <c r="GB98">
        <v>30.975200000000001</v>
      </c>
      <c r="GC98">
        <v>31.043500000000002</v>
      </c>
      <c r="GD98">
        <v>-1</v>
      </c>
      <c r="GE98">
        <v>0</v>
      </c>
      <c r="GF98">
        <v>100</v>
      </c>
      <c r="GG98">
        <v>24.337499999999999</v>
      </c>
      <c r="GH98">
        <v>432.1</v>
      </c>
      <c r="GI98">
        <v>78.840199999999996</v>
      </c>
      <c r="GJ98">
        <v>102.123</v>
      </c>
      <c r="GK98">
        <v>96.403999999999996</v>
      </c>
    </row>
    <row r="99" spans="1:193" x14ac:dyDescent="0.35">
      <c r="A99">
        <v>83</v>
      </c>
      <c r="B99">
        <v>1775468974.5</v>
      </c>
      <c r="C99">
        <v>5018.4000000953674</v>
      </c>
      <c r="D99" t="s">
        <v>570</v>
      </c>
      <c r="E99" t="s">
        <v>571</v>
      </c>
      <c r="F99">
        <v>30</v>
      </c>
      <c r="G99">
        <v>1775468959</v>
      </c>
      <c r="H99">
        <f t="shared" si="36"/>
        <v>2.6698983481580891E-3</v>
      </c>
      <c r="I99">
        <f>1000*AY99*AG99*(AU99-AV99)/(100*AN99*(1000-AG99*AU99))</f>
        <v>2.6698983481580894</v>
      </c>
      <c r="J99">
        <f>AY99*AG99*(AT99-AS99*(1000-AG99*AV99)/(1000-AG99*AU99))/(100*AN99)</f>
        <v>-2.6844170428343492</v>
      </c>
      <c r="K99">
        <f t="shared" si="37"/>
        <v>14.53094836065574</v>
      </c>
      <c r="L99">
        <f t="shared" si="38"/>
        <v>66.88406721920407</v>
      </c>
      <c r="M99">
        <f>L99*(AZ99+BA99)/1000</f>
        <v>6.6955095312485726</v>
      </c>
      <c r="N99">
        <f>(AS99 - IF(AG99&gt;1, J99*AN99*100/(AI99), 0))*(AZ99+BA99)/1000</f>
        <v>1.4546379622517389</v>
      </c>
      <c r="O99">
        <f t="shared" si="39"/>
        <v>7.9971131362797807E-2</v>
      </c>
      <c r="P99">
        <f>IF(LEFT(AP99,1)&lt;&gt;"0",IF(LEFT(AP99,1)="1",3,AQ99),$D$5+$E$5*(BG99*AZ99/($K$5*1000))+$F$5*(BG99*AZ99/($K$5*1000))*MAX(MIN(AN99,$J$5),$I$5)*MAX(MIN(AN99,$J$5),$I$5)+$G$5*MAX(MIN(AN99,$J$5),$I$5)*(BG99*AZ99/($K$5*1000))+$H$5*(BG99*AZ99/($K$5*1000))*(BG99*AZ99/($K$5*1000)))</f>
        <v>2.3880952268418305</v>
      </c>
      <c r="Q99">
        <f>H99*(1000-(1000*0.61365*EXP(17.502*U99/(240.97+U99))/(AZ99+BA99)+AU99)/2)/(1000*0.61365*EXP(17.502*U99/(240.97+U99))/(AZ99+BA99)-AU99)</f>
        <v>7.8512615430125055E-2</v>
      </c>
      <c r="R99">
        <f t="shared" si="40"/>
        <v>4.9199210881546399E-2</v>
      </c>
      <c r="S99">
        <f t="shared" si="41"/>
        <v>0.10296569189016394</v>
      </c>
      <c r="T99">
        <f>(BB99+(S99+2*0.95*0.0000000567*(((BB99+$B$7)+273)^4-(BB99+273)^4)-44100*H99)/(1.84*29.3*P99+8*0.95*0.0000000567*(BB99+273)^3))</f>
        <v>24.162213804635797</v>
      </c>
      <c r="U99">
        <f>($C$7*BC99+$D$7*BD99+$E$7*T99)</f>
        <v>25.199518032786891</v>
      </c>
      <c r="V99">
        <f t="shared" si="42"/>
        <v>3.2176972764185416</v>
      </c>
      <c r="W99">
        <f t="shared" si="43"/>
        <v>-4.2164179718217971</v>
      </c>
      <c r="X99">
        <f>AU99*(AZ99+BA99)/1000</f>
        <v>-0.13408122122782043</v>
      </c>
      <c r="Y99">
        <f t="shared" si="44"/>
        <v>3.1799793598234674</v>
      </c>
      <c r="Z99">
        <f>(V99-AU99*(AZ99+BA99)/1000)</f>
        <v>3.3517784976463623</v>
      </c>
      <c r="AA99">
        <f t="shared" si="45"/>
        <v>-117.74251715377173</v>
      </c>
      <c r="AB99">
        <f>2*29.3*P99*0.92*(BB99-U99)</f>
        <v>-25.482406265400122</v>
      </c>
      <c r="AC99">
        <f>2*0.95*0.0000000567*(((BB99+$B$7)+273)^4-(U99+273)^4)</f>
        <v>-2.2593754418595546</v>
      </c>
      <c r="AD99">
        <f t="shared" si="46"/>
        <v>-145.38133316914124</v>
      </c>
      <c r="AE99">
        <v>20</v>
      </c>
      <c r="AF99">
        <v>4</v>
      </c>
      <c r="AG99">
        <f t="shared" si="47"/>
        <v>1</v>
      </c>
      <c r="AH99">
        <f t="shared" si="48"/>
        <v>0</v>
      </c>
      <c r="AI99">
        <f t="shared" si="49"/>
        <v>25692.68972388349</v>
      </c>
      <c r="AJ99">
        <f t="shared" si="50"/>
        <v>0.53880529508196728</v>
      </c>
      <c r="AK99">
        <f t="shared" si="51"/>
        <v>0.43104423606557385</v>
      </c>
      <c r="AL99">
        <f t="shared" si="52"/>
        <v>0.8</v>
      </c>
      <c r="AM99">
        <f t="shared" si="53"/>
        <v>0.19109999999999999</v>
      </c>
      <c r="AN99">
        <v>3</v>
      </c>
      <c r="AO99">
        <v>0.5</v>
      </c>
      <c r="AP99" t="s">
        <v>317</v>
      </c>
      <c r="AQ99">
        <v>2</v>
      </c>
      <c r="AR99">
        <v>1775468959</v>
      </c>
      <c r="AS99">
        <v>14.53094836065574</v>
      </c>
      <c r="AT99">
        <v>12.94572295081967</v>
      </c>
      <c r="AU99">
        <v>-1.339389836065574</v>
      </c>
      <c r="AV99">
        <v>-2.9413047377049182</v>
      </c>
      <c r="AW99">
        <v>6.4629483606557381</v>
      </c>
      <c r="AX99">
        <v>-1.7543047377049179</v>
      </c>
      <c r="AY99">
        <v>500.67722950819672</v>
      </c>
      <c r="AZ99">
        <v>100.0589836065574</v>
      </c>
      <c r="BA99">
        <v>4.7212227868852458E-2</v>
      </c>
      <c r="BB99">
        <v>25.001591803278689</v>
      </c>
      <c r="BC99">
        <v>25.199518032786891</v>
      </c>
      <c r="BD99">
        <v>999.9</v>
      </c>
      <c r="BE99">
        <v>0</v>
      </c>
      <c r="BF99">
        <v>0</v>
      </c>
      <c r="BG99">
        <v>4997.2131147540986</v>
      </c>
      <c r="BH99">
        <v>0.53880529508196728</v>
      </c>
      <c r="BI99">
        <v>126.0036721311475</v>
      </c>
      <c r="BJ99">
        <v>1.5976720049180331</v>
      </c>
      <c r="BK99">
        <v>14.50058524590164</v>
      </c>
      <c r="BL99">
        <v>12.928409836065571</v>
      </c>
      <c r="BM99">
        <v>-1.6040099622950821</v>
      </c>
      <c r="BN99">
        <v>12.94572295081967</v>
      </c>
      <c r="BO99">
        <v>-1.339389836065574</v>
      </c>
      <c r="BP99">
        <v>-0.29451396721311468</v>
      </c>
      <c r="BQ99">
        <v>-0.13401813114754099</v>
      </c>
      <c r="BR99">
        <v>-99.899999999999963</v>
      </c>
      <c r="BS99">
        <v>-99.899999999999963</v>
      </c>
      <c r="BT99">
        <v>1775468999.5</v>
      </c>
      <c r="BU99" t="s">
        <v>572</v>
      </c>
      <c r="BV99">
        <v>1775468992.5</v>
      </c>
      <c r="BW99">
        <v>1775468999.5</v>
      </c>
      <c r="BX99">
        <v>84</v>
      </c>
      <c r="BY99">
        <v>-1.2E-2</v>
      </c>
      <c r="BZ99">
        <v>2E-3</v>
      </c>
      <c r="CA99">
        <v>8.0679999999999996</v>
      </c>
      <c r="CB99">
        <v>-1.1870000000000001</v>
      </c>
      <c r="CC99">
        <v>14</v>
      </c>
      <c r="CD99">
        <v>-1</v>
      </c>
      <c r="CE99">
        <v>0.09</v>
      </c>
      <c r="CF99">
        <v>0.04</v>
      </c>
      <c r="CG99">
        <v>12.94735666666667</v>
      </c>
      <c r="CH99">
        <v>0.27430686301750978</v>
      </c>
      <c r="CI99">
        <v>0.12222348024100051</v>
      </c>
      <c r="CJ99">
        <v>-1</v>
      </c>
      <c r="CK99">
        <v>500.68856666666659</v>
      </c>
      <c r="CL99">
        <v>-6.4842411781039058</v>
      </c>
      <c r="CM99">
        <v>1.3596926535883851</v>
      </c>
      <c r="CN99">
        <v>-1</v>
      </c>
      <c r="CO99">
        <v>0</v>
      </c>
      <c r="CP99">
        <v>0</v>
      </c>
      <c r="CQ99" t="s">
        <v>319</v>
      </c>
      <c r="CR99">
        <v>3.1674600000000002</v>
      </c>
      <c r="CS99">
        <v>2.66736</v>
      </c>
      <c r="CT99">
        <v>1.9613E-3</v>
      </c>
      <c r="CU99">
        <v>3.81877E-3</v>
      </c>
      <c r="CV99">
        <v>-1.77953E-2</v>
      </c>
      <c r="CW99">
        <v>-1.1812599999999999E-2</v>
      </c>
      <c r="CX99">
        <v>21510.2</v>
      </c>
      <c r="CY99">
        <v>21854.2</v>
      </c>
      <c r="CZ99">
        <v>23081.4</v>
      </c>
      <c r="DA99">
        <v>22292.5</v>
      </c>
      <c r="DB99">
        <v>30299.1</v>
      </c>
      <c r="DC99">
        <v>26902.2</v>
      </c>
      <c r="DD99">
        <v>40575.4</v>
      </c>
      <c r="DE99">
        <v>36947.4</v>
      </c>
      <c r="DF99">
        <v>2.06324</v>
      </c>
      <c r="DG99">
        <v>1.7703</v>
      </c>
      <c r="DH99">
        <v>-4.7147300000000003E-2</v>
      </c>
      <c r="DI99">
        <v>0</v>
      </c>
      <c r="DJ99">
        <v>25.9758</v>
      </c>
      <c r="DK99">
        <v>999.9</v>
      </c>
      <c r="DL99">
        <v>71.3</v>
      </c>
      <c r="DM99">
        <v>32</v>
      </c>
      <c r="DN99">
        <v>34.026499999999999</v>
      </c>
      <c r="DO99">
        <v>30.515499999999999</v>
      </c>
      <c r="DP99">
        <v>10.9054</v>
      </c>
      <c r="DQ99">
        <v>1</v>
      </c>
      <c r="DR99">
        <v>0.27570699999999998</v>
      </c>
      <c r="DS99">
        <v>1.93767</v>
      </c>
      <c r="DT99">
        <v>20.354199999999999</v>
      </c>
      <c r="DU99">
        <v>5.2112999999999996</v>
      </c>
      <c r="DV99">
        <v>11.8522</v>
      </c>
      <c r="DW99">
        <v>4.9672799999999997</v>
      </c>
      <c r="DX99">
        <v>3.2923200000000001</v>
      </c>
      <c r="DY99">
        <v>894.7</v>
      </c>
      <c r="DZ99">
        <v>0</v>
      </c>
      <c r="EA99">
        <v>2563.1999999999998</v>
      </c>
      <c r="EB99">
        <v>108</v>
      </c>
      <c r="EC99">
        <v>4.9715800000000003</v>
      </c>
      <c r="ED99">
        <v>1.87185</v>
      </c>
      <c r="EE99">
        <v>1.8690500000000001</v>
      </c>
      <c r="EF99">
        <v>1.8714599999999999</v>
      </c>
      <c r="EG99">
        <v>1.8692</v>
      </c>
      <c r="EH99">
        <v>1.8681300000000001</v>
      </c>
      <c r="EI99">
        <v>1.8699600000000001</v>
      </c>
      <c r="EJ99">
        <v>1.8717900000000001</v>
      </c>
      <c r="EK99">
        <v>0</v>
      </c>
      <c r="EL99">
        <v>0</v>
      </c>
      <c r="EM99">
        <v>0</v>
      </c>
      <c r="EN99">
        <v>0</v>
      </c>
      <c r="EO99" t="s">
        <v>320</v>
      </c>
      <c r="EP99" t="s">
        <v>321</v>
      </c>
      <c r="EQ99" t="s">
        <v>322</v>
      </c>
      <c r="ER99" t="s">
        <v>322</v>
      </c>
      <c r="ES99" t="s">
        <v>322</v>
      </c>
      <c r="ET99" t="s">
        <v>322</v>
      </c>
      <c r="EU99">
        <v>0</v>
      </c>
      <c r="EV99">
        <v>100</v>
      </c>
      <c r="EW99">
        <v>100</v>
      </c>
      <c r="EX99">
        <v>8.0679999999999996</v>
      </c>
      <c r="EY99">
        <v>-1.1870000000000001</v>
      </c>
      <c r="EZ99">
        <v>8.0804430000000025</v>
      </c>
      <c r="FA99">
        <v>0</v>
      </c>
      <c r="FB99">
        <v>0</v>
      </c>
      <c r="FC99">
        <v>0</v>
      </c>
      <c r="FD99">
        <v>-1.1890958</v>
      </c>
      <c r="FE99">
        <v>0</v>
      </c>
      <c r="FF99">
        <v>0</v>
      </c>
      <c r="FG99">
        <v>0</v>
      </c>
      <c r="FH99">
        <v>-1</v>
      </c>
      <c r="FI99">
        <v>-1</v>
      </c>
      <c r="FJ99">
        <v>-1</v>
      </c>
      <c r="FK99">
        <v>-1</v>
      </c>
      <c r="FL99">
        <v>0.7</v>
      </c>
      <c r="FM99">
        <v>0.5</v>
      </c>
      <c r="FN99">
        <v>0.14160200000000001</v>
      </c>
      <c r="FO99">
        <v>4.99756</v>
      </c>
      <c r="FP99">
        <v>1.5979000000000001</v>
      </c>
      <c r="FQ99">
        <v>2.1484399999999999</v>
      </c>
      <c r="FR99">
        <v>1.5478499999999999</v>
      </c>
      <c r="FS99">
        <v>2.4560499999999998</v>
      </c>
      <c r="FT99">
        <v>36.175400000000003</v>
      </c>
      <c r="FU99">
        <v>15.209</v>
      </c>
      <c r="FV99">
        <v>2</v>
      </c>
      <c r="FW99">
        <v>490.20800000000003</v>
      </c>
      <c r="FX99">
        <v>394.20699999999999</v>
      </c>
      <c r="FY99">
        <v>24.287199999999999</v>
      </c>
      <c r="FZ99">
        <v>30.602599999999999</v>
      </c>
      <c r="GA99">
        <v>30</v>
      </c>
      <c r="GB99">
        <v>30.954499999999999</v>
      </c>
      <c r="GC99">
        <v>31.021799999999999</v>
      </c>
      <c r="GD99">
        <v>-1</v>
      </c>
      <c r="GE99">
        <v>0</v>
      </c>
      <c r="GF99">
        <v>100</v>
      </c>
      <c r="GG99">
        <v>24.2851</v>
      </c>
      <c r="GH99">
        <v>432.1</v>
      </c>
      <c r="GI99">
        <v>78.840199999999996</v>
      </c>
      <c r="GJ99">
        <v>102.125</v>
      </c>
      <c r="GK99">
        <v>96.406599999999997</v>
      </c>
    </row>
    <row r="100" spans="1:193" x14ac:dyDescent="0.35">
      <c r="A100">
        <v>84</v>
      </c>
      <c r="B100">
        <v>1775469034.5</v>
      </c>
      <c r="C100">
        <v>5078.4000000953674</v>
      </c>
      <c r="D100" t="s">
        <v>573</v>
      </c>
      <c r="E100" t="s">
        <v>574</v>
      </c>
      <c r="F100">
        <v>30</v>
      </c>
      <c r="G100">
        <v>1775469019</v>
      </c>
      <c r="H100">
        <f t="shared" si="36"/>
        <v>2.8455892310975434E-3</v>
      </c>
      <c r="I100">
        <f>1000*AY100*AG100*(AU100-AV100)/(100*AN100*(1000-AG100*AU100))</f>
        <v>2.8455892310975432</v>
      </c>
      <c r="J100">
        <f>AY100*AG100*(AT100-AS100*(1000-AG100*AV100)/(1000-AG100*AU100))/(100*AN100)</f>
        <v>-2.4641475584212111</v>
      </c>
      <c r="K100">
        <f t="shared" si="37"/>
        <v>15.63733491803278</v>
      </c>
      <c r="L100">
        <f t="shared" si="38"/>
        <v>60.577538666215922</v>
      </c>
      <c r="M100">
        <f>L100*(AZ100+BA100)/1000</f>
        <v>6.0643225842808848</v>
      </c>
      <c r="N100">
        <f>(AS100 - IF(AG100&gt;1, J100*AN100*100/(AI100), 0))*(AZ100+BA100)/1000</f>
        <v>1.5654291242155873</v>
      </c>
      <c r="O100">
        <f t="shared" si="39"/>
        <v>8.5292727318970404E-2</v>
      </c>
      <c r="P100">
        <f>IF(LEFT(AP100,1)&lt;&gt;"0",IF(LEFT(AP100,1)="1",3,AQ100),$D$5+$E$5*(BG100*AZ100/($K$5*1000))+$F$5*(BG100*AZ100/($K$5*1000))*MAX(MIN(AN100,$J$5),$I$5)*MAX(MIN(AN100,$J$5),$I$5)+$G$5*MAX(MIN(AN100,$J$5),$I$5)*(BG100*AZ100/($K$5*1000))+$H$5*(BG100*AZ100/($K$5*1000))*(BG100*AZ100/($K$5*1000)))</f>
        <v>2.3886030198459349</v>
      </c>
      <c r="Q100">
        <f>H100*(1000-(1000*0.61365*EXP(17.502*U100/(240.97+U100))/(AZ100+BA100)+AU100)/2)/(1000*0.61365*EXP(17.502*U100/(240.97+U100))/(AZ100+BA100)-AU100)</f>
        <v>8.3636154340681237E-2</v>
      </c>
      <c r="R100">
        <f t="shared" si="40"/>
        <v>5.2418753147198391E-2</v>
      </c>
      <c r="S100">
        <f t="shared" si="41"/>
        <v>0.10337928554754099</v>
      </c>
      <c r="T100">
        <f>(BB100+(S100+2*0.95*0.0000000567*(((BB100+$B$7)+273)^4-(BB100+273)^4)-44100*H100)/(1.84*29.3*P100+8*0.95*0.0000000567*(BB100+273)^3))</f>
        <v>24.102526380213305</v>
      </c>
      <c r="U100">
        <f>($C$7*BC100+$D$7*BD100+$E$7*T100)</f>
        <v>25.207696721311471</v>
      </c>
      <c r="V100">
        <f t="shared" si="42"/>
        <v>3.2192642268298415</v>
      </c>
      <c r="W100">
        <f t="shared" si="43"/>
        <v>-4.22406768311573</v>
      </c>
      <c r="X100">
        <f>AU100*(AZ100+BA100)/1000</f>
        <v>-0.13428781775298851</v>
      </c>
      <c r="Y100">
        <f t="shared" si="44"/>
        <v>3.1791114117266224</v>
      </c>
      <c r="Z100">
        <f>(V100-AU100*(AZ100+BA100)/1000)</f>
        <v>3.35355204458283</v>
      </c>
      <c r="AA100">
        <f t="shared" si="45"/>
        <v>-125.49048509140167</v>
      </c>
      <c r="AB100">
        <f>2*29.3*P100*0.92*(BB100-U100)</f>
        <v>-27.130647862269097</v>
      </c>
      <c r="AC100">
        <f>2*0.95*0.0000000567*(((BB100+$B$7)+273)^4-(U100+273)^4)</f>
        <v>-2.4050475660003605</v>
      </c>
      <c r="AD100">
        <f t="shared" si="46"/>
        <v>-154.92280123412357</v>
      </c>
      <c r="AE100">
        <v>20</v>
      </c>
      <c r="AF100">
        <v>4</v>
      </c>
      <c r="AG100">
        <f t="shared" si="47"/>
        <v>1</v>
      </c>
      <c r="AH100">
        <f t="shared" si="48"/>
        <v>0</v>
      </c>
      <c r="AI100">
        <f t="shared" si="49"/>
        <v>25700.712155004978</v>
      </c>
      <c r="AJ100">
        <f t="shared" si="50"/>
        <v>0.54096957377049182</v>
      </c>
      <c r="AK100">
        <f t="shared" si="51"/>
        <v>0.43277565901639348</v>
      </c>
      <c r="AL100">
        <f t="shared" si="52"/>
        <v>0.8</v>
      </c>
      <c r="AM100">
        <f t="shared" si="53"/>
        <v>0.19109999999999999</v>
      </c>
      <c r="AN100">
        <v>3</v>
      </c>
      <c r="AO100">
        <v>0.5</v>
      </c>
      <c r="AP100" t="s">
        <v>317</v>
      </c>
      <c r="AQ100">
        <v>2</v>
      </c>
      <c r="AR100">
        <v>1775469019</v>
      </c>
      <c r="AS100">
        <v>15.63733491803278</v>
      </c>
      <c r="AT100">
        <v>14.18670491803279</v>
      </c>
      <c r="AU100">
        <v>-1.341423606557377</v>
      </c>
      <c r="AV100">
        <v>-3.0497013114754101</v>
      </c>
      <c r="AW100">
        <v>7.5613349180327853</v>
      </c>
      <c r="AX100">
        <v>-1.8627013114754101</v>
      </c>
      <c r="AY100">
        <v>500.3998524590163</v>
      </c>
      <c r="AZ100">
        <v>100.0626885245902</v>
      </c>
      <c r="BA100">
        <v>4.5746347540983598E-2</v>
      </c>
      <c r="BB100">
        <v>24.9970131147541</v>
      </c>
      <c r="BC100">
        <v>25.207696721311471</v>
      </c>
      <c r="BD100">
        <v>999.9</v>
      </c>
      <c r="BE100">
        <v>0</v>
      </c>
      <c r="BF100">
        <v>0</v>
      </c>
      <c r="BG100">
        <v>4998.3360655737706</v>
      </c>
      <c r="BH100">
        <v>0.54096957377049182</v>
      </c>
      <c r="BI100">
        <v>122.51365573770489</v>
      </c>
      <c r="BJ100">
        <v>1.442605737704918</v>
      </c>
      <c r="BK100">
        <v>15.58177213114754</v>
      </c>
      <c r="BL100">
        <v>14.1677</v>
      </c>
      <c r="BM100">
        <v>-1.708195409836065</v>
      </c>
      <c r="BN100">
        <v>14.18670491803279</v>
      </c>
      <c r="BO100">
        <v>-1.341423606557377</v>
      </c>
      <c r="BP100">
        <v>-0.30515301639344272</v>
      </c>
      <c r="BQ100">
        <v>-0.1342264262295082</v>
      </c>
      <c r="BR100">
        <v>-99.899999999999963</v>
      </c>
      <c r="BS100">
        <v>-99.899999999999963</v>
      </c>
      <c r="BT100">
        <v>1775469062.5</v>
      </c>
      <c r="BU100" t="s">
        <v>575</v>
      </c>
      <c r="BV100">
        <v>1775469052.5</v>
      </c>
      <c r="BW100">
        <v>1775469062.5</v>
      </c>
      <c r="BX100">
        <v>85</v>
      </c>
      <c r="BY100">
        <v>8.0000000000000002E-3</v>
      </c>
      <c r="BZ100">
        <v>0</v>
      </c>
      <c r="CA100">
        <v>8.0760000000000005</v>
      </c>
      <c r="CB100">
        <v>-1.1870000000000001</v>
      </c>
      <c r="CC100">
        <v>14</v>
      </c>
      <c r="CD100">
        <v>-1</v>
      </c>
      <c r="CE100">
        <v>0.22</v>
      </c>
      <c r="CF100">
        <v>0.04</v>
      </c>
      <c r="CG100">
        <v>14.182653333333329</v>
      </c>
      <c r="CH100">
        <v>0.89508663517642983</v>
      </c>
      <c r="CI100">
        <v>0.1755523819895993</v>
      </c>
      <c r="CJ100">
        <v>-1</v>
      </c>
      <c r="CK100">
        <v>500.40648333333331</v>
      </c>
      <c r="CL100">
        <v>-4.4369091414279884</v>
      </c>
      <c r="CM100">
        <v>1.16153254354849</v>
      </c>
      <c r="CN100">
        <v>-1</v>
      </c>
      <c r="CO100">
        <v>0</v>
      </c>
      <c r="CP100">
        <v>0</v>
      </c>
      <c r="CQ100" t="s">
        <v>319</v>
      </c>
      <c r="CR100">
        <v>3.1675499999999999</v>
      </c>
      <c r="CS100">
        <v>2.66648</v>
      </c>
      <c r="CT100">
        <v>2.3333E-3</v>
      </c>
      <c r="CU100">
        <v>4.2913300000000003E-3</v>
      </c>
      <c r="CV100">
        <v>-1.7442200000000001E-2</v>
      </c>
      <c r="CW100">
        <v>-1.18513E-2</v>
      </c>
      <c r="CX100">
        <v>21502.6</v>
      </c>
      <c r="CY100">
        <v>21844.7</v>
      </c>
      <c r="CZ100">
        <v>23081.8</v>
      </c>
      <c r="DA100">
        <v>22293.4</v>
      </c>
      <c r="DB100">
        <v>30289</v>
      </c>
      <c r="DC100">
        <v>26904.2</v>
      </c>
      <c r="DD100">
        <v>40576</v>
      </c>
      <c r="DE100">
        <v>36948.699999999997</v>
      </c>
      <c r="DF100">
        <v>2.0634600000000001</v>
      </c>
      <c r="DG100">
        <v>1.77016</v>
      </c>
      <c r="DH100">
        <v>-4.7579400000000001E-2</v>
      </c>
      <c r="DI100">
        <v>0</v>
      </c>
      <c r="DJ100">
        <v>25.9955</v>
      </c>
      <c r="DK100">
        <v>999.9</v>
      </c>
      <c r="DL100">
        <v>71.3</v>
      </c>
      <c r="DM100">
        <v>32</v>
      </c>
      <c r="DN100">
        <v>34.027700000000003</v>
      </c>
      <c r="DO100">
        <v>30.7255</v>
      </c>
      <c r="DP100">
        <v>10.605</v>
      </c>
      <c r="DQ100">
        <v>1</v>
      </c>
      <c r="DR100">
        <v>0.27390399999999998</v>
      </c>
      <c r="DS100">
        <v>1.8688400000000001</v>
      </c>
      <c r="DT100">
        <v>20.355499999999999</v>
      </c>
      <c r="DU100">
        <v>5.2109399999999999</v>
      </c>
      <c r="DV100">
        <v>11.8523</v>
      </c>
      <c r="DW100">
        <v>4.9673999999999996</v>
      </c>
      <c r="DX100">
        <v>3.2922600000000002</v>
      </c>
      <c r="DY100">
        <v>894.7</v>
      </c>
      <c r="DZ100">
        <v>0</v>
      </c>
      <c r="EA100">
        <v>2598.4</v>
      </c>
      <c r="EB100">
        <v>108</v>
      </c>
      <c r="EC100">
        <v>4.9715600000000002</v>
      </c>
      <c r="ED100">
        <v>1.87182</v>
      </c>
      <c r="EE100">
        <v>1.8690500000000001</v>
      </c>
      <c r="EF100">
        <v>1.8714500000000001</v>
      </c>
      <c r="EG100">
        <v>1.8692</v>
      </c>
      <c r="EH100">
        <v>1.8681300000000001</v>
      </c>
      <c r="EI100">
        <v>1.8699600000000001</v>
      </c>
      <c r="EJ100">
        <v>1.8717999999999999</v>
      </c>
      <c r="EK100">
        <v>0</v>
      </c>
      <c r="EL100">
        <v>0</v>
      </c>
      <c r="EM100">
        <v>0</v>
      </c>
      <c r="EN100">
        <v>0</v>
      </c>
      <c r="EO100" t="s">
        <v>320</v>
      </c>
      <c r="EP100" t="s">
        <v>321</v>
      </c>
      <c r="EQ100" t="s">
        <v>322</v>
      </c>
      <c r="ER100" t="s">
        <v>322</v>
      </c>
      <c r="ES100" t="s">
        <v>322</v>
      </c>
      <c r="ET100" t="s">
        <v>322</v>
      </c>
      <c r="EU100">
        <v>0</v>
      </c>
      <c r="EV100">
        <v>100</v>
      </c>
      <c r="EW100">
        <v>100</v>
      </c>
      <c r="EX100">
        <v>8.0760000000000005</v>
      </c>
      <c r="EY100">
        <v>-1.1870000000000001</v>
      </c>
      <c r="EZ100">
        <v>8.0679754999999993</v>
      </c>
      <c r="FA100">
        <v>0</v>
      </c>
      <c r="FB100">
        <v>0</v>
      </c>
      <c r="FC100">
        <v>0</v>
      </c>
      <c r="FD100">
        <v>-1.18691725</v>
      </c>
      <c r="FE100">
        <v>0</v>
      </c>
      <c r="FF100">
        <v>0</v>
      </c>
      <c r="FG100">
        <v>0</v>
      </c>
      <c r="FH100">
        <v>-1</v>
      </c>
      <c r="FI100">
        <v>-1</v>
      </c>
      <c r="FJ100">
        <v>-1</v>
      </c>
      <c r="FK100">
        <v>-1</v>
      </c>
      <c r="FL100">
        <v>0.7</v>
      </c>
      <c r="FM100">
        <v>0.6</v>
      </c>
      <c r="FN100">
        <v>0.14160200000000001</v>
      </c>
      <c r="FO100">
        <v>4.99756</v>
      </c>
      <c r="FP100">
        <v>1.5979000000000001</v>
      </c>
      <c r="FQ100">
        <v>2.1472199999999999</v>
      </c>
      <c r="FR100">
        <v>1.5478499999999999</v>
      </c>
      <c r="FS100">
        <v>2.36084</v>
      </c>
      <c r="FT100">
        <v>36.128500000000003</v>
      </c>
      <c r="FU100">
        <v>15.1915</v>
      </c>
      <c r="FV100">
        <v>2</v>
      </c>
      <c r="FW100">
        <v>490.18599999999998</v>
      </c>
      <c r="FX100">
        <v>393.99299999999999</v>
      </c>
      <c r="FY100">
        <v>24.357900000000001</v>
      </c>
      <c r="FZ100">
        <v>30.584800000000001</v>
      </c>
      <c r="GA100">
        <v>30</v>
      </c>
      <c r="GB100">
        <v>30.9346</v>
      </c>
      <c r="GC100">
        <v>31.0001</v>
      </c>
      <c r="GD100">
        <v>-1</v>
      </c>
      <c r="GE100">
        <v>0</v>
      </c>
      <c r="GF100">
        <v>100</v>
      </c>
      <c r="GG100">
        <v>24.3506</v>
      </c>
      <c r="GH100">
        <v>432.1</v>
      </c>
      <c r="GI100">
        <v>78.840199999999996</v>
      </c>
      <c r="GJ100">
        <v>102.126</v>
      </c>
      <c r="GK100">
        <v>96.41</v>
      </c>
    </row>
    <row r="101" spans="1:193" x14ac:dyDescent="0.35">
      <c r="A101">
        <v>85</v>
      </c>
      <c r="B101">
        <v>1775469094.5</v>
      </c>
      <c r="C101">
        <v>5138.4000000953674</v>
      </c>
      <c r="D101" t="s">
        <v>576</v>
      </c>
      <c r="E101" t="s">
        <v>577</v>
      </c>
      <c r="F101">
        <v>30</v>
      </c>
      <c r="G101">
        <v>1775469079</v>
      </c>
      <c r="H101">
        <f t="shared" si="36"/>
        <v>2.6121803482525652E-3</v>
      </c>
      <c r="I101">
        <f>1000*AY101*AG101*(AU101-AV101)/(100*AN101*(1000-AG101*AU101))</f>
        <v>2.6121803482525654</v>
      </c>
      <c r="J101">
        <f>AY101*AG101*(AT101-AS101*(1000-AG101*AV101)/(1000-AG101*AU101))/(100*AN101)</f>
        <v>-2.3033019575221334</v>
      </c>
      <c r="K101">
        <f t="shared" si="37"/>
        <v>15.964304426229511</v>
      </c>
      <c r="L101">
        <f t="shared" si="38"/>
        <v>61.776967039958656</v>
      </c>
      <c r="M101">
        <f>L101*(AZ101+BA101)/1000</f>
        <v>6.1846111765068281</v>
      </c>
      <c r="N101">
        <f>(AS101 - IF(AG101&gt;1, J101*AN101*100/(AI101), 0))*(AZ101+BA101)/1000</f>
        <v>1.5982172694841728</v>
      </c>
      <c r="O101">
        <f t="shared" si="39"/>
        <v>7.8087941729893501E-2</v>
      </c>
      <c r="P101">
        <f>IF(LEFT(AP101,1)&lt;&gt;"0",IF(LEFT(AP101,1)="1",3,AQ101),$D$5+$E$5*(BG101*AZ101/($K$5*1000))+$F$5*(BG101*AZ101/($K$5*1000))*MAX(MIN(AN101,$J$5),$I$5)*MAX(MIN(AN101,$J$5),$I$5)+$G$5*MAX(MIN(AN101,$J$5),$I$5)*(BG101*AZ101/($K$5*1000))+$H$5*(BG101*AZ101/($K$5*1000))*(BG101*AZ101/($K$5*1000)))</f>
        <v>2.3940599125322422</v>
      </c>
      <c r="Q101">
        <f>H101*(1000-(1000*0.61365*EXP(17.502*U101/(240.97+U101))/(AZ101+BA101)+AU101)/2)/(1000*0.61365*EXP(17.502*U101/(240.97+U101))/(AZ101+BA101)-AU101)</f>
        <v>7.6700064163210124E-2</v>
      </c>
      <c r="R101">
        <f t="shared" si="40"/>
        <v>4.8060180769240762E-2</v>
      </c>
      <c r="S101">
        <f t="shared" si="41"/>
        <v>9.8014322218032787E-2</v>
      </c>
      <c r="T101">
        <f>(BB101+(S101+2*0.95*0.0000000567*(((BB101+$B$7)+273)^4-(BB101+273)^4)-44100*H101)/(1.84*29.3*P101+8*0.95*0.0000000567*(BB101+273)^3))</f>
        <v>24.183435643937486</v>
      </c>
      <c r="U101">
        <f>($C$7*BC101+$D$7*BD101+$E$7*T101)</f>
        <v>25.222642622950818</v>
      </c>
      <c r="V101">
        <f t="shared" si="42"/>
        <v>3.2221294264389848</v>
      </c>
      <c r="W101">
        <f t="shared" si="43"/>
        <v>-4.2392871663775349</v>
      </c>
      <c r="X101">
        <f>AU101*(AZ101+BA101)/1000</f>
        <v>-0.13481822025674772</v>
      </c>
      <c r="Y101">
        <f t="shared" si="44"/>
        <v>3.1802096665215935</v>
      </c>
      <c r="Z101">
        <f>(V101-AU101*(AZ101+BA101)/1000)</f>
        <v>3.3569476466957324</v>
      </c>
      <c r="AA101">
        <f t="shared" si="45"/>
        <v>-115.19715335793812</v>
      </c>
      <c r="AB101">
        <f>2*29.3*P101*0.92*(BB101-U101)</f>
        <v>-28.373923980975551</v>
      </c>
      <c r="AC101">
        <f>2*0.95*0.0000000567*(((BB101+$B$7)+273)^4-(U101+273)^4)</f>
        <v>-2.5097889009438936</v>
      </c>
      <c r="AD101">
        <f t="shared" si="46"/>
        <v>-145.98285191763952</v>
      </c>
      <c r="AE101">
        <v>20</v>
      </c>
      <c r="AF101">
        <v>4</v>
      </c>
      <c r="AG101">
        <f t="shared" si="47"/>
        <v>1</v>
      </c>
      <c r="AH101">
        <f t="shared" si="48"/>
        <v>0</v>
      </c>
      <c r="AI101">
        <f t="shared" si="49"/>
        <v>25783.690835306908</v>
      </c>
      <c r="AJ101">
        <f t="shared" si="50"/>
        <v>0.51289545901639344</v>
      </c>
      <c r="AK101">
        <f t="shared" si="51"/>
        <v>0.41031636721311476</v>
      </c>
      <c r="AL101">
        <f t="shared" si="52"/>
        <v>0.8</v>
      </c>
      <c r="AM101">
        <f t="shared" si="53"/>
        <v>0.19109999999999999</v>
      </c>
      <c r="AN101">
        <v>3</v>
      </c>
      <c r="AO101">
        <v>0.5</v>
      </c>
      <c r="AP101" t="s">
        <v>317</v>
      </c>
      <c r="AQ101">
        <v>2</v>
      </c>
      <c r="AR101">
        <v>1775469079</v>
      </c>
      <c r="AS101">
        <v>15.964304426229511</v>
      </c>
      <c r="AT101">
        <v>14.60921803278689</v>
      </c>
      <c r="AU101">
        <v>-1.346674918032787</v>
      </c>
      <c r="AV101">
        <v>-2.9139266065573768</v>
      </c>
      <c r="AW101">
        <v>7.9253044262295074</v>
      </c>
      <c r="AX101">
        <v>-1.728926606557377</v>
      </c>
      <c r="AY101">
        <v>500.691393442623</v>
      </c>
      <c r="AZ101">
        <v>100.06522950819669</v>
      </c>
      <c r="BA101">
        <v>4.669687540983606E-2</v>
      </c>
      <c r="BB101">
        <v>25.002806557377049</v>
      </c>
      <c r="BC101">
        <v>25.222642622950818</v>
      </c>
      <c r="BD101">
        <v>999.9</v>
      </c>
      <c r="BE101">
        <v>0</v>
      </c>
      <c r="BF101">
        <v>0</v>
      </c>
      <c r="BG101">
        <v>5012.2704918032787</v>
      </c>
      <c r="BH101">
        <v>0.51289545901639344</v>
      </c>
      <c r="BI101">
        <v>119.83809836065571</v>
      </c>
      <c r="BJ101">
        <v>1.39196227704918</v>
      </c>
      <c r="BK101">
        <v>15.95447213114754</v>
      </c>
      <c r="BL101">
        <v>14.589575409836071</v>
      </c>
      <c r="BM101">
        <v>-1.5692393901639341</v>
      </c>
      <c r="BN101">
        <v>14.60921803278689</v>
      </c>
      <c r="BO101">
        <v>-1.346674918032787</v>
      </c>
      <c r="BP101">
        <v>-0.29178186885245899</v>
      </c>
      <c r="BQ101">
        <v>-0.13475539344262291</v>
      </c>
      <c r="BR101">
        <v>-99.899999999999963</v>
      </c>
      <c r="BS101">
        <v>-99.899999999999963</v>
      </c>
      <c r="BT101">
        <v>1775469117.5</v>
      </c>
      <c r="BU101" t="s">
        <v>578</v>
      </c>
      <c r="BV101">
        <v>1775469112.5</v>
      </c>
      <c r="BW101">
        <v>1775469117.5</v>
      </c>
      <c r="BX101">
        <v>86</v>
      </c>
      <c r="BY101">
        <v>-3.6999999999999998E-2</v>
      </c>
      <c r="BZ101">
        <v>2E-3</v>
      </c>
      <c r="CA101">
        <v>8.0389999999999997</v>
      </c>
      <c r="CB101">
        <v>-1.1850000000000001</v>
      </c>
      <c r="CC101">
        <v>13</v>
      </c>
      <c r="CD101">
        <v>-1</v>
      </c>
      <c r="CE101">
        <v>0.28999999999999998</v>
      </c>
      <c r="CF101">
        <v>0.04</v>
      </c>
      <c r="CG101">
        <v>14.59810983606557</v>
      </c>
      <c r="CH101">
        <v>1.3290606028556129</v>
      </c>
      <c r="CI101">
        <v>0.31540547710085659</v>
      </c>
      <c r="CJ101">
        <v>-1</v>
      </c>
      <c r="CK101">
        <v>500.69290163934431</v>
      </c>
      <c r="CL101">
        <v>-5.7191200423045787</v>
      </c>
      <c r="CM101">
        <v>1.332286961469723</v>
      </c>
      <c r="CN101">
        <v>-1</v>
      </c>
      <c r="CO101">
        <v>0</v>
      </c>
      <c r="CP101">
        <v>0</v>
      </c>
      <c r="CQ101" t="s">
        <v>319</v>
      </c>
      <c r="CR101">
        <v>3.1675200000000001</v>
      </c>
      <c r="CS101">
        <v>2.6665999999999999</v>
      </c>
      <c r="CT101">
        <v>2.4520200000000001E-3</v>
      </c>
      <c r="CU101">
        <v>4.3286599999999998E-3</v>
      </c>
      <c r="CV101">
        <v>-1.7531600000000001E-2</v>
      </c>
      <c r="CW101">
        <v>-1.18525E-2</v>
      </c>
      <c r="CX101">
        <v>21501</v>
      </c>
      <c r="CY101">
        <v>21844.7</v>
      </c>
      <c r="CZ101">
        <v>23082.7</v>
      </c>
      <c r="DA101">
        <v>22294.1</v>
      </c>
      <c r="DB101">
        <v>30293</v>
      </c>
      <c r="DC101">
        <v>26905.3</v>
      </c>
      <c r="DD101">
        <v>40577.699999999997</v>
      </c>
      <c r="DE101">
        <v>36950.199999999997</v>
      </c>
      <c r="DF101">
        <v>2.0638000000000001</v>
      </c>
      <c r="DG101">
        <v>1.7696799999999999</v>
      </c>
      <c r="DH101">
        <v>-4.7281400000000001E-2</v>
      </c>
      <c r="DI101">
        <v>0</v>
      </c>
      <c r="DJ101">
        <v>25.993300000000001</v>
      </c>
      <c r="DK101">
        <v>999.9</v>
      </c>
      <c r="DL101">
        <v>71.400000000000006</v>
      </c>
      <c r="DM101">
        <v>32</v>
      </c>
      <c r="DN101">
        <v>34.0715</v>
      </c>
      <c r="DO101">
        <v>30.575500000000002</v>
      </c>
      <c r="DP101">
        <v>10.7011</v>
      </c>
      <c r="DQ101">
        <v>1</v>
      </c>
      <c r="DR101">
        <v>0.27203300000000002</v>
      </c>
      <c r="DS101">
        <v>1.8633999999999999</v>
      </c>
      <c r="DT101">
        <v>20.355599999999999</v>
      </c>
      <c r="DU101">
        <v>5.2111799999999997</v>
      </c>
      <c r="DV101">
        <v>11.851699999999999</v>
      </c>
      <c r="DW101">
        <v>4.9673999999999996</v>
      </c>
      <c r="DX101">
        <v>3.2921399999999998</v>
      </c>
      <c r="DY101">
        <v>894.7</v>
      </c>
      <c r="DZ101">
        <v>0</v>
      </c>
      <c r="EA101">
        <v>2632.6</v>
      </c>
      <c r="EB101">
        <v>108.1</v>
      </c>
      <c r="EC101">
        <v>4.9715699999999998</v>
      </c>
      <c r="ED101">
        <v>1.8718300000000001</v>
      </c>
      <c r="EE101">
        <v>1.8690500000000001</v>
      </c>
      <c r="EF101">
        <v>1.87144</v>
      </c>
      <c r="EG101">
        <v>1.8692</v>
      </c>
      <c r="EH101">
        <v>1.8681300000000001</v>
      </c>
      <c r="EI101">
        <v>1.8699600000000001</v>
      </c>
      <c r="EJ101">
        <v>1.8717900000000001</v>
      </c>
      <c r="EK101">
        <v>0</v>
      </c>
      <c r="EL101">
        <v>0</v>
      </c>
      <c r="EM101">
        <v>0</v>
      </c>
      <c r="EN101">
        <v>0</v>
      </c>
      <c r="EO101" t="s">
        <v>320</v>
      </c>
      <c r="EP101" t="s">
        <v>321</v>
      </c>
      <c r="EQ101" t="s">
        <v>322</v>
      </c>
      <c r="ER101" t="s">
        <v>322</v>
      </c>
      <c r="ES101" t="s">
        <v>322</v>
      </c>
      <c r="ET101" t="s">
        <v>322</v>
      </c>
      <c r="EU101">
        <v>0</v>
      </c>
      <c r="EV101">
        <v>100</v>
      </c>
      <c r="EW101">
        <v>100</v>
      </c>
      <c r="EX101">
        <v>8.0389999999999997</v>
      </c>
      <c r="EY101">
        <v>-1.1850000000000001</v>
      </c>
      <c r="EZ101">
        <v>8.0758769999999984</v>
      </c>
      <c r="FA101">
        <v>0</v>
      </c>
      <c r="FB101">
        <v>0</v>
      </c>
      <c r="FC101">
        <v>0</v>
      </c>
      <c r="FD101">
        <v>-1.1869882</v>
      </c>
      <c r="FE101">
        <v>0</v>
      </c>
      <c r="FF101">
        <v>0</v>
      </c>
      <c r="FG101">
        <v>0</v>
      </c>
      <c r="FH101">
        <v>-1</v>
      </c>
      <c r="FI101">
        <v>-1</v>
      </c>
      <c r="FJ101">
        <v>-1</v>
      </c>
      <c r="FK101">
        <v>-1</v>
      </c>
      <c r="FL101">
        <v>0.7</v>
      </c>
      <c r="FM101">
        <v>0.5</v>
      </c>
      <c r="FN101">
        <v>0.14160200000000001</v>
      </c>
      <c r="FO101">
        <v>4.99756</v>
      </c>
      <c r="FP101">
        <v>1.5979000000000001</v>
      </c>
      <c r="FQ101">
        <v>2.1472199999999999</v>
      </c>
      <c r="FR101">
        <v>1.5478499999999999</v>
      </c>
      <c r="FS101">
        <v>2.3877000000000002</v>
      </c>
      <c r="FT101">
        <v>36.081600000000002</v>
      </c>
      <c r="FU101">
        <v>15.182700000000001</v>
      </c>
      <c r="FV101">
        <v>2</v>
      </c>
      <c r="FW101">
        <v>490.20400000000001</v>
      </c>
      <c r="FX101">
        <v>393.57499999999999</v>
      </c>
      <c r="FY101">
        <v>24.331499999999998</v>
      </c>
      <c r="FZ101">
        <v>30.562799999999999</v>
      </c>
      <c r="GA101">
        <v>30</v>
      </c>
      <c r="GB101">
        <v>30.910699999999999</v>
      </c>
      <c r="GC101">
        <v>30.976400000000002</v>
      </c>
      <c r="GD101">
        <v>-1</v>
      </c>
      <c r="GE101">
        <v>0</v>
      </c>
      <c r="GF101">
        <v>100</v>
      </c>
      <c r="GG101">
        <v>24.3413</v>
      </c>
      <c r="GH101">
        <v>432.1</v>
      </c>
      <c r="GI101">
        <v>78.840199999999996</v>
      </c>
      <c r="GJ101">
        <v>102.13</v>
      </c>
      <c r="GK101">
        <v>96.413700000000006</v>
      </c>
    </row>
    <row r="102" spans="1:193" x14ac:dyDescent="0.35">
      <c r="A102">
        <v>86</v>
      </c>
      <c r="B102">
        <v>1775469154.5</v>
      </c>
      <c r="C102">
        <v>5198.4000000953674</v>
      </c>
      <c r="D102" t="s">
        <v>579</v>
      </c>
      <c r="E102" t="s">
        <v>580</v>
      </c>
      <c r="F102">
        <v>30</v>
      </c>
      <c r="G102">
        <v>1775469139</v>
      </c>
      <c r="H102">
        <f t="shared" si="36"/>
        <v>2.8620215619281401E-3</v>
      </c>
      <c r="I102">
        <f>1000*AY102*AG102*(AU102-AV102)/(100*AN102*(1000-AG102*AU102))</f>
        <v>2.8620215619281399</v>
      </c>
      <c r="J102">
        <f>AY102*AG102*(AT102-AS102*(1000-AG102*AV102)/(1000-AG102*AU102))/(100*AN102)</f>
        <v>-2.7194847471530439</v>
      </c>
      <c r="K102">
        <f t="shared" si="37"/>
        <v>15.531781147540981</v>
      </c>
      <c r="L102">
        <f t="shared" si="38"/>
        <v>64.965506170450681</v>
      </c>
      <c r="M102">
        <f>L102*(AZ102+BA102)/1000</f>
        <v>6.5039106586043918</v>
      </c>
      <c r="N102">
        <f>(AS102 - IF(AG102&gt;1, J102*AN102*100/(AI102), 0))*(AZ102+BA102)/1000</f>
        <v>1.5549377339962893</v>
      </c>
      <c r="O102">
        <f t="shared" si="39"/>
        <v>8.5729182697424175E-2</v>
      </c>
      <c r="P102">
        <f>IF(LEFT(AP102,1)&lt;&gt;"0",IF(LEFT(AP102,1)="1",3,AQ102),$D$5+$E$5*(BG102*AZ102/($K$5*1000))+$F$5*(BG102*AZ102/($K$5*1000))*MAX(MIN(AN102,$J$5),$I$5)*MAX(MIN(AN102,$J$5),$I$5)+$G$5*MAX(MIN(AN102,$J$5),$I$5)*(BG102*AZ102/($K$5*1000))+$H$5*(BG102*AZ102/($K$5*1000))*(BG102*AZ102/($K$5*1000)))</f>
        <v>2.388614066432841</v>
      </c>
      <c r="Q102">
        <f>H102*(1000-(1000*0.61365*EXP(17.502*U102/(240.97+U102))/(AZ102+BA102)+AU102)/2)/(1000*0.61365*EXP(17.502*U102/(240.97+U102))/(AZ102+BA102)-AU102)</f>
        <v>8.4055799308474233E-2</v>
      </c>
      <c r="R102">
        <f t="shared" si="40"/>
        <v>5.2682500862633666E-2</v>
      </c>
      <c r="S102">
        <f t="shared" si="41"/>
        <v>0.10148987044918034</v>
      </c>
      <c r="T102">
        <f>(BB102+(S102+2*0.95*0.0000000567*(((BB102+$B$7)+273)^4-(BB102+273)^4)-44100*H102)/(1.84*29.3*P102+8*0.95*0.0000000567*(BB102+273)^3))</f>
        <v>24.1007988234247</v>
      </c>
      <c r="U102">
        <f>($C$7*BC102+$D$7*BD102+$E$7*T102)</f>
        <v>25.216703278688531</v>
      </c>
      <c r="V102">
        <f t="shared" si="42"/>
        <v>3.2209905595417596</v>
      </c>
      <c r="W102">
        <f t="shared" si="43"/>
        <v>-4.2531496423223283</v>
      </c>
      <c r="X102">
        <f>AU102*(AZ102+BA102)/1000</f>
        <v>-0.1352401734245868</v>
      </c>
      <c r="Y102">
        <f t="shared" si="44"/>
        <v>3.1797652280755915</v>
      </c>
      <c r="Z102">
        <f>(V102-AU102*(AZ102+BA102)/1000)</f>
        <v>3.3562307329663463</v>
      </c>
      <c r="AA102">
        <f t="shared" si="45"/>
        <v>-126.21515088103098</v>
      </c>
      <c r="AB102">
        <f>2*29.3*P102*0.92*(BB102-U102)</f>
        <v>-27.846424349366821</v>
      </c>
      <c r="AC102">
        <f>2*0.95*0.0000000567*(((BB102+$B$7)+273)^4-(U102+273)^4)</f>
        <v>-2.4686422422281482</v>
      </c>
      <c r="AD102">
        <f t="shared" si="46"/>
        <v>-156.42872760217676</v>
      </c>
      <c r="AE102">
        <v>20</v>
      </c>
      <c r="AF102">
        <v>4</v>
      </c>
      <c r="AG102">
        <f t="shared" si="47"/>
        <v>1</v>
      </c>
      <c r="AH102">
        <f t="shared" si="48"/>
        <v>0</v>
      </c>
      <c r="AI102">
        <f t="shared" si="49"/>
        <v>25700.39635753262</v>
      </c>
      <c r="AJ102">
        <f t="shared" si="50"/>
        <v>0.53108252459016403</v>
      </c>
      <c r="AK102">
        <f t="shared" si="51"/>
        <v>0.42486601967213122</v>
      </c>
      <c r="AL102">
        <f t="shared" si="52"/>
        <v>0.8</v>
      </c>
      <c r="AM102">
        <f t="shared" si="53"/>
        <v>0.19109999999999999</v>
      </c>
      <c r="AN102">
        <v>3</v>
      </c>
      <c r="AO102">
        <v>0.5</v>
      </c>
      <c r="AP102" t="s">
        <v>317</v>
      </c>
      <c r="AQ102">
        <v>2</v>
      </c>
      <c r="AR102">
        <v>1775469139</v>
      </c>
      <c r="AS102">
        <v>15.531781147540981</v>
      </c>
      <c r="AT102">
        <v>13.92714426229508</v>
      </c>
      <c r="AU102">
        <v>-1.3508713114754101</v>
      </c>
      <c r="AV102">
        <v>-3.0699940983606551</v>
      </c>
      <c r="AW102">
        <v>7.4687811475409829</v>
      </c>
      <c r="AX102">
        <v>-1.8839940983606549</v>
      </c>
      <c r="AY102">
        <v>500.11921311475407</v>
      </c>
      <c r="AZ102">
        <v>100.0673606557377</v>
      </c>
      <c r="BA102">
        <v>4.5930873770491813E-2</v>
      </c>
      <c r="BB102">
        <v>25.00046229508197</v>
      </c>
      <c r="BC102">
        <v>25.216703278688531</v>
      </c>
      <c r="BD102">
        <v>999.9</v>
      </c>
      <c r="BE102">
        <v>0</v>
      </c>
      <c r="BF102">
        <v>0</v>
      </c>
      <c r="BG102">
        <v>4998.1311475409839</v>
      </c>
      <c r="BH102">
        <v>0.53108252459016403</v>
      </c>
      <c r="BI102">
        <v>117.7906229508197</v>
      </c>
      <c r="BJ102">
        <v>1.5807444262295081</v>
      </c>
      <c r="BK102">
        <v>15.460444262295081</v>
      </c>
      <c r="BL102">
        <v>13.90835081967213</v>
      </c>
      <c r="BM102">
        <v>-1.7179911475409839</v>
      </c>
      <c r="BN102">
        <v>13.92714426229508</v>
      </c>
      <c r="BO102">
        <v>-1.3508713114754101</v>
      </c>
      <c r="BP102">
        <v>-0.30709301639344261</v>
      </c>
      <c r="BQ102">
        <v>-0.13517816393442619</v>
      </c>
      <c r="BR102">
        <v>-99.899999999999963</v>
      </c>
      <c r="BS102">
        <v>-99.899999999999963</v>
      </c>
      <c r="BT102">
        <v>1775469180.5</v>
      </c>
      <c r="BU102" t="s">
        <v>581</v>
      </c>
      <c r="BV102">
        <v>1775469173.5</v>
      </c>
      <c r="BW102">
        <v>1775469180.5</v>
      </c>
      <c r="BX102">
        <v>87</v>
      </c>
      <c r="BY102">
        <v>2.4E-2</v>
      </c>
      <c r="BZ102">
        <v>-1E-3</v>
      </c>
      <c r="CA102">
        <v>8.0630000000000006</v>
      </c>
      <c r="CB102">
        <v>-1.1859999999999999</v>
      </c>
      <c r="CC102">
        <v>13</v>
      </c>
      <c r="CD102">
        <v>-1</v>
      </c>
      <c r="CE102">
        <v>0.21</v>
      </c>
      <c r="CF102">
        <v>0.05</v>
      </c>
      <c r="CG102">
        <v>13.93065333333333</v>
      </c>
      <c r="CH102">
        <v>-0.21352864684634251</v>
      </c>
      <c r="CI102">
        <v>6.8280991661092832E-2</v>
      </c>
      <c r="CJ102">
        <v>-1</v>
      </c>
      <c r="CK102">
        <v>500.12271666666658</v>
      </c>
      <c r="CL102">
        <v>-1.5895515420944299</v>
      </c>
      <c r="CM102">
        <v>0.477633160897453</v>
      </c>
      <c r="CN102">
        <v>-1</v>
      </c>
      <c r="CO102">
        <v>0</v>
      </c>
      <c r="CP102">
        <v>0</v>
      </c>
      <c r="CQ102" t="s">
        <v>319</v>
      </c>
      <c r="CR102">
        <v>3.1674799999999999</v>
      </c>
      <c r="CS102">
        <v>2.6674799999999999</v>
      </c>
      <c r="CT102">
        <v>2.2262200000000001E-3</v>
      </c>
      <c r="CU102">
        <v>4.0804400000000003E-3</v>
      </c>
      <c r="CV102">
        <v>-1.75827E-2</v>
      </c>
      <c r="CW102">
        <v>-1.19066E-2</v>
      </c>
      <c r="CX102">
        <v>21507.1</v>
      </c>
      <c r="CY102">
        <v>21850.9</v>
      </c>
      <c r="CZ102">
        <v>23083.9</v>
      </c>
      <c r="DA102">
        <v>22294.9</v>
      </c>
      <c r="DB102">
        <v>30295.7</v>
      </c>
      <c r="DC102">
        <v>26907.599999999999</v>
      </c>
      <c r="DD102">
        <v>40579.199999999997</v>
      </c>
      <c r="DE102">
        <v>36951.300000000003</v>
      </c>
      <c r="DF102">
        <v>2.0638800000000002</v>
      </c>
      <c r="DG102">
        <v>1.7706</v>
      </c>
      <c r="DH102">
        <v>-4.6342599999999998E-2</v>
      </c>
      <c r="DI102">
        <v>0</v>
      </c>
      <c r="DJ102">
        <v>25.9757</v>
      </c>
      <c r="DK102">
        <v>999.9</v>
      </c>
      <c r="DL102">
        <v>71.400000000000006</v>
      </c>
      <c r="DM102">
        <v>32</v>
      </c>
      <c r="DN102">
        <v>34.0747</v>
      </c>
      <c r="DO102">
        <v>30.785499999999999</v>
      </c>
      <c r="DP102">
        <v>10.9335</v>
      </c>
      <c r="DQ102">
        <v>1</v>
      </c>
      <c r="DR102">
        <v>0.26952599999999999</v>
      </c>
      <c r="DS102">
        <v>1.8220400000000001</v>
      </c>
      <c r="DT102">
        <v>20.356400000000001</v>
      </c>
      <c r="DU102">
        <v>5.2135800000000003</v>
      </c>
      <c r="DV102">
        <v>11.8523</v>
      </c>
      <c r="DW102">
        <v>4.9676799999999997</v>
      </c>
      <c r="DX102">
        <v>3.2929599999999999</v>
      </c>
      <c r="DY102">
        <v>894.7</v>
      </c>
      <c r="DZ102">
        <v>0</v>
      </c>
      <c r="EA102">
        <v>2661.8</v>
      </c>
      <c r="EB102">
        <v>108.1</v>
      </c>
      <c r="EC102">
        <v>4.9715699999999998</v>
      </c>
      <c r="ED102">
        <v>1.8718600000000001</v>
      </c>
      <c r="EE102">
        <v>1.8690500000000001</v>
      </c>
      <c r="EF102">
        <v>1.87147</v>
      </c>
      <c r="EG102">
        <v>1.8692</v>
      </c>
      <c r="EH102">
        <v>1.8681300000000001</v>
      </c>
      <c r="EI102">
        <v>1.8699600000000001</v>
      </c>
      <c r="EJ102">
        <v>1.8717900000000001</v>
      </c>
      <c r="EK102">
        <v>0</v>
      </c>
      <c r="EL102">
        <v>0</v>
      </c>
      <c r="EM102">
        <v>0</v>
      </c>
      <c r="EN102">
        <v>0</v>
      </c>
      <c r="EO102" t="s">
        <v>320</v>
      </c>
      <c r="EP102" t="s">
        <v>321</v>
      </c>
      <c r="EQ102" t="s">
        <v>322</v>
      </c>
      <c r="ER102" t="s">
        <v>322</v>
      </c>
      <c r="ES102" t="s">
        <v>322</v>
      </c>
      <c r="ET102" t="s">
        <v>322</v>
      </c>
      <c r="EU102">
        <v>0</v>
      </c>
      <c r="EV102">
        <v>100</v>
      </c>
      <c r="EW102">
        <v>100</v>
      </c>
      <c r="EX102">
        <v>8.0630000000000006</v>
      </c>
      <c r="EY102">
        <v>-1.1859999999999999</v>
      </c>
      <c r="EZ102">
        <v>8.0391065000000026</v>
      </c>
      <c r="FA102">
        <v>0</v>
      </c>
      <c r="FB102">
        <v>0</v>
      </c>
      <c r="FC102">
        <v>0</v>
      </c>
      <c r="FD102">
        <v>-1.184869</v>
      </c>
      <c r="FE102">
        <v>0</v>
      </c>
      <c r="FF102">
        <v>0</v>
      </c>
      <c r="FG102">
        <v>0</v>
      </c>
      <c r="FH102">
        <v>-1</v>
      </c>
      <c r="FI102">
        <v>-1</v>
      </c>
      <c r="FJ102">
        <v>-1</v>
      </c>
      <c r="FK102">
        <v>-1</v>
      </c>
      <c r="FL102">
        <v>0.7</v>
      </c>
      <c r="FM102">
        <v>0.6</v>
      </c>
      <c r="FN102">
        <v>0.14160200000000001</v>
      </c>
      <c r="FO102">
        <v>4.99756</v>
      </c>
      <c r="FP102">
        <v>1.5979000000000001</v>
      </c>
      <c r="FQ102">
        <v>2.1472199999999999</v>
      </c>
      <c r="FR102">
        <v>1.5478499999999999</v>
      </c>
      <c r="FS102">
        <v>2.4365199999999998</v>
      </c>
      <c r="FT102">
        <v>36.058199999999999</v>
      </c>
      <c r="FU102">
        <v>15.182700000000001</v>
      </c>
      <c r="FV102">
        <v>2</v>
      </c>
      <c r="FW102">
        <v>490.04700000000003</v>
      </c>
      <c r="FX102">
        <v>393.91399999999999</v>
      </c>
      <c r="FY102">
        <v>24.328900000000001</v>
      </c>
      <c r="FZ102">
        <v>30.533799999999999</v>
      </c>
      <c r="GA102">
        <v>29.999700000000001</v>
      </c>
      <c r="GB102">
        <v>30.883400000000002</v>
      </c>
      <c r="GC102">
        <v>30.947900000000001</v>
      </c>
      <c r="GD102">
        <v>-1</v>
      </c>
      <c r="GE102">
        <v>0</v>
      </c>
      <c r="GF102">
        <v>100</v>
      </c>
      <c r="GG102">
        <v>24.337</v>
      </c>
      <c r="GH102">
        <v>432.1</v>
      </c>
      <c r="GI102">
        <v>78.840199999999996</v>
      </c>
      <c r="GJ102">
        <v>102.13500000000001</v>
      </c>
      <c r="GK102">
        <v>96.416799999999995</v>
      </c>
    </row>
    <row r="103" spans="1:193" x14ac:dyDescent="0.35">
      <c r="A103">
        <v>87</v>
      </c>
      <c r="B103">
        <v>1775469214.5</v>
      </c>
      <c r="C103">
        <v>5258.4000000953674</v>
      </c>
      <c r="D103" t="s">
        <v>582</v>
      </c>
      <c r="E103" t="s">
        <v>583</v>
      </c>
      <c r="F103">
        <v>30</v>
      </c>
      <c r="G103">
        <v>1775469199</v>
      </c>
      <c r="H103">
        <f t="shared" si="36"/>
        <v>2.7521787262573447E-3</v>
      </c>
      <c r="I103">
        <f>1000*AY103*AG103*(AU103-AV103)/(100*AN103*(1000-AG103*AU103))</f>
        <v>2.7521787262573447</v>
      </c>
      <c r="J103">
        <f>AY103*AG103*(AT103-AS103*(1000-AG103*AV103)/(1000-AG103*AU103))/(100*AN103)</f>
        <v>-2.3248976609060032</v>
      </c>
      <c r="K103">
        <f t="shared" si="37"/>
        <v>15.719508360655739</v>
      </c>
      <c r="L103">
        <f t="shared" si="38"/>
        <v>59.529019638287522</v>
      </c>
      <c r="M103">
        <f>L103*(AZ103+BA103)/1000</f>
        <v>5.9598297804518694</v>
      </c>
      <c r="N103">
        <f>(AS103 - IF(AG103&gt;1, J103*AN103*100/(AI103), 0))*(AZ103+BA103)/1000</f>
        <v>1.5737802273774064</v>
      </c>
      <c r="O103">
        <f t="shared" si="39"/>
        <v>8.245885896402988E-2</v>
      </c>
      <c r="P103">
        <f>IF(LEFT(AP103,1)&lt;&gt;"0",IF(LEFT(AP103,1)="1",3,AQ103),$D$5+$E$5*(BG103*AZ103/($K$5*1000))+$F$5*(BG103*AZ103/($K$5*1000))*MAX(MIN(AN103,$J$5),$I$5)*MAX(MIN(AN103,$J$5),$I$5)+$G$5*MAX(MIN(AN103,$J$5),$I$5)*(BG103*AZ103/($K$5*1000))+$H$5*(BG103*AZ103/($K$5*1000))*(BG103*AZ103/($K$5*1000)))</f>
        <v>2.3872133309443284</v>
      </c>
      <c r="Q103">
        <f>H103*(1000-(1000*0.61365*EXP(17.502*U103/(240.97+U103))/(AZ103+BA103)+AU103)/2)/(1000*0.61365*EXP(17.502*U103/(240.97+U103))/(AZ103+BA103)-AU103)</f>
        <v>8.090857591290708E-2</v>
      </c>
      <c r="R103">
        <f t="shared" si="40"/>
        <v>5.0704719070211166E-2</v>
      </c>
      <c r="S103">
        <f t="shared" si="41"/>
        <v>9.940316183114753E-2</v>
      </c>
      <c r="T103">
        <f>(BB103+(S103+2*0.95*0.0000000567*(((BB103+$B$7)+273)^4-(BB103+273)^4)-44100*H103)/(1.84*29.3*P103+8*0.95*0.0000000567*(BB103+273)^3))</f>
        <v>24.119125147711408</v>
      </c>
      <c r="U103">
        <f>($C$7*BC103+$D$7*BD103+$E$7*T103)</f>
        <v>25.20448688524591</v>
      </c>
      <c r="V103">
        <f t="shared" si="42"/>
        <v>3.2186491766425851</v>
      </c>
      <c r="W103">
        <f t="shared" si="43"/>
        <v>-4.2320909732045306</v>
      </c>
      <c r="X103">
        <f>AU103*(AZ103+BA103)/1000</f>
        <v>-0.13444434617416021</v>
      </c>
      <c r="Y103">
        <f t="shared" si="44"/>
        <v>3.1767829903797935</v>
      </c>
      <c r="Z103">
        <f>(V103-AU103*(AZ103+BA103)/1000)</f>
        <v>3.3530935228167453</v>
      </c>
      <c r="AA103">
        <f t="shared" si="45"/>
        <v>-121.3710818279489</v>
      </c>
      <c r="AB103">
        <f>2*29.3*P103*0.92*(BB103-U103)</f>
        <v>-28.283285430485506</v>
      </c>
      <c r="AC103">
        <f>2*0.95*0.0000000567*(((BB103+$B$7)+273)^4-(U103+273)^4)</f>
        <v>-2.5084892472624856</v>
      </c>
      <c r="AD103">
        <f t="shared" si="46"/>
        <v>-152.06345334386575</v>
      </c>
      <c r="AE103">
        <v>20</v>
      </c>
      <c r="AF103">
        <v>4</v>
      </c>
      <c r="AG103">
        <f t="shared" si="47"/>
        <v>1</v>
      </c>
      <c r="AH103">
        <f t="shared" si="48"/>
        <v>0</v>
      </c>
      <c r="AI103">
        <f t="shared" si="49"/>
        <v>25680.184323911832</v>
      </c>
      <c r="AJ103">
        <f t="shared" si="50"/>
        <v>0.52016306557377046</v>
      </c>
      <c r="AK103">
        <f t="shared" si="51"/>
        <v>0.41613045245901636</v>
      </c>
      <c r="AL103">
        <f t="shared" si="52"/>
        <v>0.8</v>
      </c>
      <c r="AM103">
        <f t="shared" si="53"/>
        <v>0.19109999999999999</v>
      </c>
      <c r="AN103">
        <v>3</v>
      </c>
      <c r="AO103">
        <v>0.5</v>
      </c>
      <c r="AP103" t="s">
        <v>317</v>
      </c>
      <c r="AQ103">
        <v>2</v>
      </c>
      <c r="AR103">
        <v>1775469199</v>
      </c>
      <c r="AS103">
        <v>15.719508360655739</v>
      </c>
      <c r="AT103">
        <v>14.35198196721311</v>
      </c>
      <c r="AU103">
        <v>-1.3428806557377051</v>
      </c>
      <c r="AV103">
        <v>-2.99464862295082</v>
      </c>
      <c r="AW103">
        <v>7.6825083606557376</v>
      </c>
      <c r="AX103">
        <v>-1.80564862295082</v>
      </c>
      <c r="AY103">
        <v>500.53178688524588</v>
      </c>
      <c r="AZ103">
        <v>100.0702950819672</v>
      </c>
      <c r="BA103">
        <v>4.6082050819672142E-2</v>
      </c>
      <c r="BB103">
        <v>24.984724590163928</v>
      </c>
      <c r="BC103">
        <v>25.20448688524591</v>
      </c>
      <c r="BD103">
        <v>999.9</v>
      </c>
      <c r="BE103">
        <v>0</v>
      </c>
      <c r="BF103">
        <v>0</v>
      </c>
      <c r="BG103">
        <v>4994.377049180328</v>
      </c>
      <c r="BH103">
        <v>0.52016306557377046</v>
      </c>
      <c r="BI103">
        <v>115.8276557377049</v>
      </c>
      <c r="BJ103">
        <v>1.393722491803278</v>
      </c>
      <c r="BK103">
        <v>15.698683606557379</v>
      </c>
      <c r="BL103">
        <v>14.332729508196721</v>
      </c>
      <c r="BM103">
        <v>-1.6491024918032791</v>
      </c>
      <c r="BN103">
        <v>14.35198196721311</v>
      </c>
      <c r="BO103">
        <v>-1.3428806557377051</v>
      </c>
      <c r="BP103">
        <v>-0.29940859016393451</v>
      </c>
      <c r="BQ103">
        <v>-0.13438247540983611</v>
      </c>
      <c r="BR103">
        <v>-99.899999999999963</v>
      </c>
      <c r="BS103">
        <v>-99.899999999999963</v>
      </c>
      <c r="BT103">
        <v>1775469243.5</v>
      </c>
      <c r="BU103" t="s">
        <v>584</v>
      </c>
      <c r="BV103">
        <v>1775469234.5</v>
      </c>
      <c r="BW103">
        <v>1775469243.5</v>
      </c>
      <c r="BX103">
        <v>88</v>
      </c>
      <c r="BY103">
        <v>-2.7E-2</v>
      </c>
      <c r="BZ103">
        <v>-3.0000000000000001E-3</v>
      </c>
      <c r="CA103">
        <v>8.0370000000000008</v>
      </c>
      <c r="CB103">
        <v>-1.1890000000000001</v>
      </c>
      <c r="CC103">
        <v>14</v>
      </c>
      <c r="CD103">
        <v>-1</v>
      </c>
      <c r="CE103">
        <v>0.3</v>
      </c>
      <c r="CF103">
        <v>0.05</v>
      </c>
      <c r="CG103">
        <v>14.350384999999999</v>
      </c>
      <c r="CH103">
        <v>1.1503725479300351</v>
      </c>
      <c r="CI103">
        <v>0.18419480613832009</v>
      </c>
      <c r="CJ103">
        <v>-1</v>
      </c>
      <c r="CK103">
        <v>500.54190000000011</v>
      </c>
      <c r="CL103">
        <v>-5.5535893303693786</v>
      </c>
      <c r="CM103">
        <v>1.28540871191488</v>
      </c>
      <c r="CN103">
        <v>-1</v>
      </c>
      <c r="CO103">
        <v>0</v>
      </c>
      <c r="CP103">
        <v>0</v>
      </c>
      <c r="CQ103" t="s">
        <v>319</v>
      </c>
      <c r="CR103">
        <v>3.16764</v>
      </c>
      <c r="CS103">
        <v>2.66736</v>
      </c>
      <c r="CT103">
        <v>2.3863600000000001E-3</v>
      </c>
      <c r="CU103">
        <v>4.2996199999999997E-3</v>
      </c>
      <c r="CV103">
        <v>-1.7156500000000002E-2</v>
      </c>
      <c r="CW103">
        <v>-1.18557E-2</v>
      </c>
      <c r="CX103">
        <v>21505.4</v>
      </c>
      <c r="CY103">
        <v>21847.4</v>
      </c>
      <c r="CZ103">
        <v>23085.7</v>
      </c>
      <c r="DA103">
        <v>22296.1</v>
      </c>
      <c r="DB103">
        <v>30285.4</v>
      </c>
      <c r="DC103">
        <v>26907.9</v>
      </c>
      <c r="DD103">
        <v>40582.400000000001</v>
      </c>
      <c r="DE103">
        <v>36953.599999999999</v>
      </c>
      <c r="DF103">
        <v>2.0644399999999998</v>
      </c>
      <c r="DG103">
        <v>1.77118</v>
      </c>
      <c r="DH103">
        <v>-4.5403800000000001E-2</v>
      </c>
      <c r="DI103">
        <v>0</v>
      </c>
      <c r="DJ103">
        <v>25.956</v>
      </c>
      <c r="DK103">
        <v>999.9</v>
      </c>
      <c r="DL103">
        <v>71.400000000000006</v>
      </c>
      <c r="DM103">
        <v>32</v>
      </c>
      <c r="DN103">
        <v>34.069299999999998</v>
      </c>
      <c r="DO103">
        <v>30.545500000000001</v>
      </c>
      <c r="DP103">
        <v>10.665100000000001</v>
      </c>
      <c r="DQ103">
        <v>1</v>
      </c>
      <c r="DR103">
        <v>0.266177</v>
      </c>
      <c r="DS103">
        <v>1.69075</v>
      </c>
      <c r="DT103">
        <v>20.357700000000001</v>
      </c>
      <c r="DU103">
        <v>5.2111799999999997</v>
      </c>
      <c r="DV103">
        <v>11.8515</v>
      </c>
      <c r="DW103">
        <v>4.9673999999999996</v>
      </c>
      <c r="DX103">
        <v>3.2921999999999998</v>
      </c>
      <c r="DY103">
        <v>894.7</v>
      </c>
      <c r="DZ103">
        <v>0</v>
      </c>
      <c r="EA103">
        <v>2697.2</v>
      </c>
      <c r="EB103">
        <v>108.1</v>
      </c>
      <c r="EC103">
        <v>4.9715999999999996</v>
      </c>
      <c r="ED103">
        <v>1.8718699999999999</v>
      </c>
      <c r="EE103">
        <v>1.8690500000000001</v>
      </c>
      <c r="EF103">
        <v>1.87147</v>
      </c>
      <c r="EG103">
        <v>1.8692</v>
      </c>
      <c r="EH103">
        <v>1.8681300000000001</v>
      </c>
      <c r="EI103">
        <v>1.8699600000000001</v>
      </c>
      <c r="EJ103">
        <v>1.8717900000000001</v>
      </c>
      <c r="EK103">
        <v>0</v>
      </c>
      <c r="EL103">
        <v>0</v>
      </c>
      <c r="EM103">
        <v>0</v>
      </c>
      <c r="EN103">
        <v>0</v>
      </c>
      <c r="EO103" t="s">
        <v>320</v>
      </c>
      <c r="EP103" t="s">
        <v>321</v>
      </c>
      <c r="EQ103" t="s">
        <v>322</v>
      </c>
      <c r="ER103" t="s">
        <v>322</v>
      </c>
      <c r="ES103" t="s">
        <v>322</v>
      </c>
      <c r="ET103" t="s">
        <v>322</v>
      </c>
      <c r="EU103">
        <v>0</v>
      </c>
      <c r="EV103">
        <v>100</v>
      </c>
      <c r="EW103">
        <v>100</v>
      </c>
      <c r="EX103">
        <v>8.0370000000000008</v>
      </c>
      <c r="EY103">
        <v>-1.1890000000000001</v>
      </c>
      <c r="EZ103">
        <v>8.0631945000000016</v>
      </c>
      <c r="FA103">
        <v>0</v>
      </c>
      <c r="FB103">
        <v>0</v>
      </c>
      <c r="FC103">
        <v>0</v>
      </c>
      <c r="FD103">
        <v>-1.1863345999999999</v>
      </c>
      <c r="FE103">
        <v>0</v>
      </c>
      <c r="FF103">
        <v>0</v>
      </c>
      <c r="FG103">
        <v>0</v>
      </c>
      <c r="FH103">
        <v>-1</v>
      </c>
      <c r="FI103">
        <v>-1</v>
      </c>
      <c r="FJ103">
        <v>-1</v>
      </c>
      <c r="FK103">
        <v>-1</v>
      </c>
      <c r="FL103">
        <v>0.7</v>
      </c>
      <c r="FM103">
        <v>0.6</v>
      </c>
      <c r="FN103">
        <v>0.14160200000000001</v>
      </c>
      <c r="FO103">
        <v>4.99756</v>
      </c>
      <c r="FP103">
        <v>1.5979000000000001</v>
      </c>
      <c r="FQ103">
        <v>2.1472199999999999</v>
      </c>
      <c r="FR103">
        <v>1.5478499999999999</v>
      </c>
      <c r="FS103">
        <v>2.4035600000000001</v>
      </c>
      <c r="FT103">
        <v>36.011299999999999</v>
      </c>
      <c r="FU103">
        <v>15.156499999999999</v>
      </c>
      <c r="FV103">
        <v>2</v>
      </c>
      <c r="FW103">
        <v>490.14800000000002</v>
      </c>
      <c r="FX103">
        <v>394.06</v>
      </c>
      <c r="FY103">
        <v>24.4192</v>
      </c>
      <c r="FZ103">
        <v>30.5031</v>
      </c>
      <c r="GA103">
        <v>29.9998</v>
      </c>
      <c r="GB103">
        <v>30.8538</v>
      </c>
      <c r="GC103">
        <v>30.919</v>
      </c>
      <c r="GD103">
        <v>-1</v>
      </c>
      <c r="GE103">
        <v>0</v>
      </c>
      <c r="GF103">
        <v>100</v>
      </c>
      <c r="GG103">
        <v>24.432600000000001</v>
      </c>
      <c r="GH103">
        <v>432.1</v>
      </c>
      <c r="GI103">
        <v>78.840199999999996</v>
      </c>
      <c r="GJ103">
        <v>102.143</v>
      </c>
      <c r="GK103">
        <v>96.422499999999999</v>
      </c>
    </row>
    <row r="104" spans="1:193" x14ac:dyDescent="0.35">
      <c r="A104">
        <v>88</v>
      </c>
      <c r="B104">
        <v>1775469274.5</v>
      </c>
      <c r="C104">
        <v>5318.4000000953674</v>
      </c>
      <c r="D104" t="s">
        <v>585</v>
      </c>
      <c r="E104" t="s">
        <v>586</v>
      </c>
      <c r="F104">
        <v>30</v>
      </c>
      <c r="G104">
        <v>1775469259</v>
      </c>
      <c r="H104">
        <f t="shared" si="36"/>
        <v>2.4543984065856779E-3</v>
      </c>
      <c r="I104">
        <f>1000*AY104*AG104*(AU104-AV104)/(100*AN104*(1000-AG104*AU104))</f>
        <v>2.4543984065856779</v>
      </c>
      <c r="J104">
        <f>AY104*AG104*(AT104-AS104*(1000-AG104*AV104)/(1000-AG104*AU104))/(100*AN104)</f>
        <v>-2.2208804393375332</v>
      </c>
      <c r="K104">
        <f t="shared" si="37"/>
        <v>15.72763262295082</v>
      </c>
      <c r="L104">
        <f t="shared" si="38"/>
        <v>62.738685253564221</v>
      </c>
      <c r="M104">
        <f>L104*(AZ104+BA104)/1000</f>
        <v>6.2812838113303329</v>
      </c>
      <c r="N104">
        <f>(AS104 - IF(AG104&gt;1, J104*AN104*100/(AI104), 0))*(AZ104+BA104)/1000</f>
        <v>1.5746221615232128</v>
      </c>
      <c r="O104">
        <f t="shared" si="39"/>
        <v>7.3363625895891085E-2</v>
      </c>
      <c r="P104">
        <f>IF(LEFT(AP104,1)&lt;&gt;"0",IF(LEFT(AP104,1)="1",3,AQ104),$D$5+$E$5*(BG104*AZ104/($K$5*1000))+$F$5*(BG104*AZ104/($K$5*1000))*MAX(MIN(AN104,$J$5),$I$5)*MAX(MIN(AN104,$J$5),$I$5)+$G$5*MAX(MIN(AN104,$J$5),$I$5)*(BG104*AZ104/($K$5*1000))+$H$5*(BG104*AZ104/($K$5*1000))*(BG104*AZ104/($K$5*1000)))</f>
        <v>2.3908212435374807</v>
      </c>
      <c r="Q104">
        <f>H104*(1000-(1000*0.61365*EXP(17.502*U104/(240.97+U104))/(AZ104+BA104)+AU104)/2)/(1000*0.61365*EXP(17.502*U104/(240.97+U104))/(AZ104+BA104)-AU104)</f>
        <v>7.213554833002464E-2</v>
      </c>
      <c r="R104">
        <f t="shared" si="40"/>
        <v>4.5193343217561341E-2</v>
      </c>
      <c r="S104">
        <f t="shared" si="41"/>
        <v>0.10234607676885245</v>
      </c>
      <c r="T104">
        <f>(BB104+(S104+2*0.95*0.0000000567*(((BB104+$B$7)+273)^4-(BB104+273)^4)-44100*H104)/(1.84*29.3*P104+8*0.95*0.0000000567*(BB104+273)^3))</f>
        <v>24.212748425669066</v>
      </c>
      <c r="U104">
        <f>($C$7*BC104+$D$7*BD104+$E$7*T104)</f>
        <v>25.226113114754099</v>
      </c>
      <c r="V104">
        <f t="shared" si="42"/>
        <v>3.2227950547084268</v>
      </c>
      <c r="W104">
        <f t="shared" si="43"/>
        <v>-4.1274443235298222</v>
      </c>
      <c r="X104">
        <f>AU104*(AZ104+BA104)/1000</f>
        <v>-0.13111056772035073</v>
      </c>
      <c r="Y104">
        <f t="shared" si="44"/>
        <v>3.1765556950801939</v>
      </c>
      <c r="Z104">
        <f>(V104-AU104*(AZ104+BA104)/1000)</f>
        <v>3.3539056224287775</v>
      </c>
      <c r="AA104">
        <f t="shared" si="45"/>
        <v>-108.23896973042839</v>
      </c>
      <c r="AB104">
        <f>2*29.3*P104*0.92*(BB104-U104)</f>
        <v>-31.268194343317283</v>
      </c>
      <c r="AC104">
        <f>2*0.95*0.0000000567*(((BB104+$B$7)+273)^4-(U104+273)^4)</f>
        <v>-2.7693252503529937</v>
      </c>
      <c r="AD104">
        <f t="shared" si="46"/>
        <v>-142.17414324732982</v>
      </c>
      <c r="AE104">
        <v>20</v>
      </c>
      <c r="AF104">
        <v>4</v>
      </c>
      <c r="AG104">
        <f t="shared" si="47"/>
        <v>1</v>
      </c>
      <c r="AH104">
        <f t="shared" si="48"/>
        <v>0</v>
      </c>
      <c r="AI104">
        <f t="shared" si="49"/>
        <v>25735.51336782458</v>
      </c>
      <c r="AJ104">
        <f t="shared" si="50"/>
        <v>0.53556293442622949</v>
      </c>
      <c r="AK104">
        <f t="shared" si="51"/>
        <v>0.4284503475409836</v>
      </c>
      <c r="AL104">
        <f t="shared" si="52"/>
        <v>0.8</v>
      </c>
      <c r="AM104">
        <f t="shared" si="53"/>
        <v>0.19109999999999999</v>
      </c>
      <c r="AN104">
        <v>3</v>
      </c>
      <c r="AO104">
        <v>0.5</v>
      </c>
      <c r="AP104" t="s">
        <v>317</v>
      </c>
      <c r="AQ104">
        <v>2</v>
      </c>
      <c r="AR104">
        <v>1775469259</v>
      </c>
      <c r="AS104">
        <v>15.72763262295082</v>
      </c>
      <c r="AT104">
        <v>14.42012459016394</v>
      </c>
      <c r="AU104">
        <v>-1.309557868852459</v>
      </c>
      <c r="AV104">
        <v>-2.782031754098361</v>
      </c>
      <c r="AW104">
        <v>7.6596326229508209</v>
      </c>
      <c r="AX104">
        <v>-1.595031754098361</v>
      </c>
      <c r="AY104">
        <v>500.71093442622953</v>
      </c>
      <c r="AZ104">
        <v>100.0710819672131</v>
      </c>
      <c r="BA104">
        <v>4.7111232786885247E-2</v>
      </c>
      <c r="BB104">
        <v>24.983524590163931</v>
      </c>
      <c r="BC104">
        <v>25.226113114754099</v>
      </c>
      <c r="BD104">
        <v>999.9</v>
      </c>
      <c r="BE104">
        <v>0</v>
      </c>
      <c r="BF104">
        <v>0</v>
      </c>
      <c r="BG104">
        <v>5003.6311475409839</v>
      </c>
      <c r="BH104">
        <v>0.53556293442622949</v>
      </c>
      <c r="BI104">
        <v>113.38145901639341</v>
      </c>
      <c r="BJ104">
        <v>1.2760272344262289</v>
      </c>
      <c r="BK104">
        <v>15.652342622950821</v>
      </c>
      <c r="BL104">
        <v>14.401270491803279</v>
      </c>
      <c r="BM104">
        <v>-1.4746472018852459</v>
      </c>
      <c r="BN104">
        <v>14.42012459016394</v>
      </c>
      <c r="BO104">
        <v>-1.309557868852459</v>
      </c>
      <c r="BP104">
        <v>-0.27861832786885249</v>
      </c>
      <c r="BQ104">
        <v>-0.1310488524590164</v>
      </c>
      <c r="BR104">
        <v>-99.899999999999963</v>
      </c>
      <c r="BS104">
        <v>-99.899999999999963</v>
      </c>
      <c r="BT104">
        <v>1775469298.5</v>
      </c>
      <c r="BU104" t="s">
        <v>587</v>
      </c>
      <c r="BV104">
        <v>1775469292.5</v>
      </c>
      <c r="BW104">
        <v>1775469298.5</v>
      </c>
      <c r="BX104">
        <v>89</v>
      </c>
      <c r="BY104">
        <v>3.1E-2</v>
      </c>
      <c r="BZ104">
        <v>2E-3</v>
      </c>
      <c r="CA104">
        <v>8.0679999999999996</v>
      </c>
      <c r="CB104">
        <v>-1.1870000000000001</v>
      </c>
      <c r="CC104">
        <v>15</v>
      </c>
      <c r="CD104">
        <v>-1</v>
      </c>
      <c r="CE104">
        <v>0.1</v>
      </c>
      <c r="CF104">
        <v>0.05</v>
      </c>
      <c r="CG104">
        <v>14.42012459016394</v>
      </c>
      <c r="CH104">
        <v>0.95218762559491577</v>
      </c>
      <c r="CI104">
        <v>0.1416948286893035</v>
      </c>
      <c r="CJ104">
        <v>-1</v>
      </c>
      <c r="CK104">
        <v>500.71093442622953</v>
      </c>
      <c r="CL104">
        <v>-6.0625891062934176</v>
      </c>
      <c r="CM104">
        <v>1.393435345207608</v>
      </c>
      <c r="CN104">
        <v>-1</v>
      </c>
      <c r="CO104">
        <v>0</v>
      </c>
      <c r="CP104">
        <v>0</v>
      </c>
      <c r="CQ104" t="s">
        <v>319</v>
      </c>
      <c r="CR104">
        <v>3.1676099999999998</v>
      </c>
      <c r="CS104">
        <v>2.6665299999999998</v>
      </c>
      <c r="CT104">
        <v>2.3863600000000001E-3</v>
      </c>
      <c r="CU104">
        <v>4.3609199999999999E-3</v>
      </c>
      <c r="CV104">
        <v>-1.64522E-2</v>
      </c>
      <c r="CW104">
        <v>-1.1641800000000001E-2</v>
      </c>
      <c r="CX104">
        <v>21505.7</v>
      </c>
      <c r="CY104">
        <v>21846.799999999999</v>
      </c>
      <c r="CZ104">
        <v>23085.9</v>
      </c>
      <c r="DA104">
        <v>22296.799999999999</v>
      </c>
      <c r="DB104">
        <v>30264.799999999999</v>
      </c>
      <c r="DC104">
        <v>26903.200000000001</v>
      </c>
      <c r="DD104">
        <v>40582.699999999997</v>
      </c>
      <c r="DE104">
        <v>36954.800000000003</v>
      </c>
      <c r="DF104">
        <v>2.0647199999999999</v>
      </c>
      <c r="DG104">
        <v>1.77136</v>
      </c>
      <c r="DH104">
        <v>-4.5135599999999998E-2</v>
      </c>
      <c r="DI104">
        <v>0</v>
      </c>
      <c r="DJ104">
        <v>25.959399999999999</v>
      </c>
      <c r="DK104">
        <v>999.9</v>
      </c>
      <c r="DL104">
        <v>71.5</v>
      </c>
      <c r="DM104">
        <v>32</v>
      </c>
      <c r="DN104">
        <v>34.118099999999998</v>
      </c>
      <c r="DO104">
        <v>30.665500000000002</v>
      </c>
      <c r="DP104">
        <v>10.552899999999999</v>
      </c>
      <c r="DQ104">
        <v>1</v>
      </c>
      <c r="DR104">
        <v>0.26344499999999998</v>
      </c>
      <c r="DS104">
        <v>1.5537099999999999</v>
      </c>
      <c r="DT104">
        <v>20.3598</v>
      </c>
      <c r="DU104">
        <v>5.21394</v>
      </c>
      <c r="DV104">
        <v>11.8513</v>
      </c>
      <c r="DW104">
        <v>4.9678800000000001</v>
      </c>
      <c r="DX104">
        <v>3.29278</v>
      </c>
      <c r="DY104">
        <v>894.7</v>
      </c>
      <c r="DZ104">
        <v>0</v>
      </c>
      <c r="EA104">
        <v>2731.9</v>
      </c>
      <c r="EB104">
        <v>108.1</v>
      </c>
      <c r="EC104">
        <v>4.97159</v>
      </c>
      <c r="ED104">
        <v>1.87191</v>
      </c>
      <c r="EE104">
        <v>1.8690500000000001</v>
      </c>
      <c r="EF104">
        <v>1.87147</v>
      </c>
      <c r="EG104">
        <v>1.8692</v>
      </c>
      <c r="EH104">
        <v>1.8681300000000001</v>
      </c>
      <c r="EI104">
        <v>1.8699600000000001</v>
      </c>
      <c r="EJ104">
        <v>1.8717900000000001</v>
      </c>
      <c r="EK104">
        <v>0</v>
      </c>
      <c r="EL104">
        <v>0</v>
      </c>
      <c r="EM104">
        <v>0</v>
      </c>
      <c r="EN104">
        <v>0</v>
      </c>
      <c r="EO104" t="s">
        <v>320</v>
      </c>
      <c r="EP104" t="s">
        <v>321</v>
      </c>
      <c r="EQ104" t="s">
        <v>322</v>
      </c>
      <c r="ER104" t="s">
        <v>322</v>
      </c>
      <c r="ES104" t="s">
        <v>322</v>
      </c>
      <c r="ET104" t="s">
        <v>322</v>
      </c>
      <c r="EU104">
        <v>0</v>
      </c>
      <c r="EV104">
        <v>100</v>
      </c>
      <c r="EW104">
        <v>100</v>
      </c>
      <c r="EX104">
        <v>8.0679999999999996</v>
      </c>
      <c r="EY104">
        <v>-1.1870000000000001</v>
      </c>
      <c r="EZ104">
        <v>8.0365219999999997</v>
      </c>
      <c r="FA104">
        <v>0</v>
      </c>
      <c r="FB104">
        <v>0</v>
      </c>
      <c r="FC104">
        <v>0</v>
      </c>
      <c r="FD104">
        <v>-1.1891737499999999</v>
      </c>
      <c r="FE104">
        <v>0</v>
      </c>
      <c r="FF104">
        <v>0</v>
      </c>
      <c r="FG104">
        <v>0</v>
      </c>
      <c r="FH104">
        <v>-1</v>
      </c>
      <c r="FI104">
        <v>-1</v>
      </c>
      <c r="FJ104">
        <v>-1</v>
      </c>
      <c r="FK104">
        <v>-1</v>
      </c>
      <c r="FL104">
        <v>0.7</v>
      </c>
      <c r="FM104">
        <v>0.5</v>
      </c>
      <c r="FN104">
        <v>0.14160200000000001</v>
      </c>
      <c r="FO104">
        <v>4.99756</v>
      </c>
      <c r="FP104">
        <v>1.5979000000000001</v>
      </c>
      <c r="FQ104">
        <v>2.1472199999999999</v>
      </c>
      <c r="FR104">
        <v>1.5478499999999999</v>
      </c>
      <c r="FS104">
        <v>2.34741</v>
      </c>
      <c r="FT104">
        <v>35.987900000000003</v>
      </c>
      <c r="FU104">
        <v>15.1477</v>
      </c>
      <c r="FV104">
        <v>2</v>
      </c>
      <c r="FW104">
        <v>490.12099999999998</v>
      </c>
      <c r="FX104">
        <v>394.01600000000002</v>
      </c>
      <c r="FY104">
        <v>24.549399999999999</v>
      </c>
      <c r="FZ104">
        <v>30.4788</v>
      </c>
      <c r="GA104">
        <v>29.9999</v>
      </c>
      <c r="GB104">
        <v>30.828700000000001</v>
      </c>
      <c r="GC104">
        <v>30.895800000000001</v>
      </c>
      <c r="GD104">
        <v>-1</v>
      </c>
      <c r="GE104">
        <v>0</v>
      </c>
      <c r="GF104">
        <v>100</v>
      </c>
      <c r="GG104">
        <v>24.564299999999999</v>
      </c>
      <c r="GH104">
        <v>432.1</v>
      </c>
      <c r="GI104">
        <v>78.840199999999996</v>
      </c>
      <c r="GJ104">
        <v>102.14400000000001</v>
      </c>
      <c r="GK104">
        <v>96.425700000000006</v>
      </c>
    </row>
    <row r="105" spans="1:193" x14ac:dyDescent="0.35">
      <c r="A105">
        <v>89</v>
      </c>
      <c r="B105">
        <v>1775469334.5</v>
      </c>
      <c r="C105">
        <v>5378.4000000953674</v>
      </c>
      <c r="D105" t="s">
        <v>588</v>
      </c>
      <c r="E105" t="s">
        <v>589</v>
      </c>
      <c r="F105">
        <v>30</v>
      </c>
      <c r="G105">
        <v>1775469319</v>
      </c>
      <c r="H105">
        <f t="shared" si="36"/>
        <v>2.6856997031131811E-3</v>
      </c>
      <c r="I105">
        <f>1000*AY105*AG105*(AU105-AV105)/(100*AN105*(1000-AG105*AU105))</f>
        <v>2.6856997031131811</v>
      </c>
      <c r="J105">
        <f>AY105*AG105*(AT105-AS105*(1000-AG105*AV105)/(1000-AG105*AU105))/(100*AN105)</f>
        <v>-2.707655389733187</v>
      </c>
      <c r="K105">
        <f t="shared" si="37"/>
        <v>15.88222721311476</v>
      </c>
      <c r="L105">
        <f t="shared" si="38"/>
        <v>68.411810524727429</v>
      </c>
      <c r="M105">
        <f>L105*(AZ105+BA105)/1000</f>
        <v>6.8492295434001562</v>
      </c>
      <c r="N105">
        <f>(AS105 - IF(AG105&gt;1, J105*AN105*100/(AI105), 0))*(AZ105+BA105)/1000</f>
        <v>1.5900912285275755</v>
      </c>
      <c r="O105">
        <f t="shared" si="39"/>
        <v>8.0286605069171998E-2</v>
      </c>
      <c r="P105">
        <f>IF(LEFT(AP105,1)&lt;&gt;"0",IF(LEFT(AP105,1)="1",3,AQ105),$D$5+$E$5*(BG105*AZ105/($K$5*1000))+$F$5*(BG105*AZ105/($K$5*1000))*MAX(MIN(AN105,$J$5),$I$5)*MAX(MIN(AN105,$J$5),$I$5)+$G$5*MAX(MIN(AN105,$J$5),$I$5)*(BG105*AZ105/($K$5*1000))+$H$5*(BG105*AZ105/($K$5*1000))*(BG105*AZ105/($K$5*1000)))</f>
        <v>2.3888033193852687</v>
      </c>
      <c r="Q105">
        <f>H105*(1000-(1000*0.61365*EXP(17.502*U105/(240.97+U105))/(AZ105+BA105)+AU105)/2)/(1000*0.61365*EXP(17.502*U105/(240.97+U105))/(AZ105+BA105)-AU105)</f>
        <v>7.8817100318166911E-2</v>
      </c>
      <c r="R105">
        <f t="shared" si="40"/>
        <v>4.9390476567825067E-2</v>
      </c>
      <c r="S105">
        <f t="shared" si="41"/>
        <v>0.10002016420819672</v>
      </c>
      <c r="T105">
        <f>(BB105+(S105+2*0.95*0.0000000567*(((BB105+$B$7)+273)^4-(BB105+273)^4)-44100*H105)/(1.84*29.3*P105+8*0.95*0.0000000567*(BB105+273)^3))</f>
        <v>24.152624363609341</v>
      </c>
      <c r="U105">
        <f>($C$7*BC105+$D$7*BD105+$E$7*T105)</f>
        <v>25.23392131147541</v>
      </c>
      <c r="V105">
        <f t="shared" si="42"/>
        <v>3.2242930789765358</v>
      </c>
      <c r="W105">
        <f t="shared" si="43"/>
        <v>-4.2334334970683019</v>
      </c>
      <c r="X105">
        <f>AU105*(AZ105+BA105)/1000</f>
        <v>-0.13458360745289993</v>
      </c>
      <c r="Y105">
        <f t="shared" si="44"/>
        <v>3.1790651145482864</v>
      </c>
      <c r="Z105">
        <f>(V105-AU105*(AZ105+BA105)/1000)</f>
        <v>3.3588766864294359</v>
      </c>
      <c r="AA105">
        <f t="shared" si="45"/>
        <v>-118.43935690729128</v>
      </c>
      <c r="AB105">
        <f>2*29.3*P105*0.92*(BB105-U105)</f>
        <v>-30.541718458977122</v>
      </c>
      <c r="AC105">
        <f>2*0.95*0.0000000567*(((BB105+$B$7)+273)^4-(U105+273)^4)</f>
        <v>-2.7075553653186741</v>
      </c>
      <c r="AD105">
        <f t="shared" si="46"/>
        <v>-151.58861056737888</v>
      </c>
      <c r="AE105">
        <v>20</v>
      </c>
      <c r="AF105">
        <v>4</v>
      </c>
      <c r="AG105">
        <f t="shared" si="47"/>
        <v>1</v>
      </c>
      <c r="AH105">
        <f t="shared" si="48"/>
        <v>0</v>
      </c>
      <c r="AI105">
        <f t="shared" si="49"/>
        <v>25703.432305858238</v>
      </c>
      <c r="AJ105">
        <f t="shared" si="50"/>
        <v>0.5233917540983607</v>
      </c>
      <c r="AK105">
        <f t="shared" si="51"/>
        <v>0.41871340327868856</v>
      </c>
      <c r="AL105">
        <f t="shared" si="52"/>
        <v>0.8</v>
      </c>
      <c r="AM105">
        <f t="shared" si="53"/>
        <v>0.19109999999999999</v>
      </c>
      <c r="AN105">
        <v>3</v>
      </c>
      <c r="AO105">
        <v>0.5</v>
      </c>
      <c r="AP105" t="s">
        <v>317</v>
      </c>
      <c r="AQ105">
        <v>2</v>
      </c>
      <c r="AR105">
        <v>1775469319</v>
      </c>
      <c r="AS105">
        <v>15.88222721311476</v>
      </c>
      <c r="AT105">
        <v>14.284047540983609</v>
      </c>
      <c r="AU105">
        <v>-1.344254590163934</v>
      </c>
      <c r="AV105">
        <v>-2.957012459016394</v>
      </c>
      <c r="AW105">
        <v>7.8132272131147547</v>
      </c>
      <c r="AX105">
        <v>-1.772012459016393</v>
      </c>
      <c r="AY105">
        <v>500.25673770491812</v>
      </c>
      <c r="AZ105">
        <v>100.071868852459</v>
      </c>
      <c r="BA105">
        <v>4.5778829508196707E-2</v>
      </c>
      <c r="BB105">
        <v>24.99676885245902</v>
      </c>
      <c r="BC105">
        <v>25.23392131147541</v>
      </c>
      <c r="BD105">
        <v>999.9</v>
      </c>
      <c r="BE105">
        <v>0</v>
      </c>
      <c r="BF105">
        <v>0</v>
      </c>
      <c r="BG105">
        <v>4998.3934426229507</v>
      </c>
      <c r="BH105">
        <v>0.5233917540983607</v>
      </c>
      <c r="BI105">
        <v>110.4088852459016</v>
      </c>
      <c r="BJ105">
        <v>1.5969922950819671</v>
      </c>
      <c r="BK105">
        <v>15.834181967213111</v>
      </c>
      <c r="BL105">
        <v>14.264868852459021</v>
      </c>
      <c r="BM105">
        <v>-1.614882459016393</v>
      </c>
      <c r="BN105">
        <v>14.284047540983609</v>
      </c>
      <c r="BO105">
        <v>-1.344254590163934</v>
      </c>
      <c r="BP105">
        <v>-0.29612634426229523</v>
      </c>
      <c r="BQ105">
        <v>-0.13452201639344261</v>
      </c>
      <c r="BR105">
        <v>-99.899999999999963</v>
      </c>
      <c r="BS105">
        <v>-99.899999999999963</v>
      </c>
      <c r="BT105">
        <v>1775469360.5</v>
      </c>
      <c r="BU105" t="s">
        <v>590</v>
      </c>
      <c r="BV105">
        <v>1775469352</v>
      </c>
      <c r="BW105">
        <v>1775469360.5</v>
      </c>
      <c r="BX105">
        <v>90</v>
      </c>
      <c r="BY105">
        <v>1E-3</v>
      </c>
      <c r="BZ105">
        <v>2E-3</v>
      </c>
      <c r="CA105">
        <v>8.0690000000000008</v>
      </c>
      <c r="CB105">
        <v>-1.1850000000000001</v>
      </c>
      <c r="CC105">
        <v>15</v>
      </c>
      <c r="CD105">
        <v>-1</v>
      </c>
      <c r="CE105">
        <v>0.19</v>
      </c>
      <c r="CF105">
        <v>0.05</v>
      </c>
      <c r="CG105">
        <v>14.27894666666667</v>
      </c>
      <c r="CH105">
        <v>1.1534857460405721</v>
      </c>
      <c r="CI105">
        <v>0.1805648927363481</v>
      </c>
      <c r="CJ105">
        <v>-1</v>
      </c>
      <c r="CK105">
        <v>500.26083333333338</v>
      </c>
      <c r="CL105">
        <v>-2.9962856348979749</v>
      </c>
      <c r="CM105">
        <v>0.85464708440904713</v>
      </c>
      <c r="CN105">
        <v>-1</v>
      </c>
      <c r="CO105">
        <v>0</v>
      </c>
      <c r="CP105">
        <v>0</v>
      </c>
      <c r="CQ105" t="s">
        <v>319</v>
      </c>
      <c r="CR105">
        <v>3.1675800000000001</v>
      </c>
      <c r="CS105">
        <v>2.6665399999999999</v>
      </c>
      <c r="CT105">
        <v>2.3766600000000001E-3</v>
      </c>
      <c r="CU105">
        <v>4.3419499999999998E-3</v>
      </c>
      <c r="CV105">
        <v>-1.67987E-2</v>
      </c>
      <c r="CW105">
        <v>-1.18891E-2</v>
      </c>
      <c r="CX105">
        <v>21506.6</v>
      </c>
      <c r="CY105">
        <v>21847.4</v>
      </c>
      <c r="CZ105">
        <v>23086.5</v>
      </c>
      <c r="DA105">
        <v>22296.9</v>
      </c>
      <c r="DB105">
        <v>30275.8</v>
      </c>
      <c r="DC105">
        <v>26909.8</v>
      </c>
      <c r="DD105">
        <v>40583.599999999999</v>
      </c>
      <c r="DE105">
        <v>36955</v>
      </c>
      <c r="DF105">
        <v>2.0650599999999999</v>
      </c>
      <c r="DG105">
        <v>1.77214</v>
      </c>
      <c r="DH105">
        <v>-4.3138900000000001E-2</v>
      </c>
      <c r="DI105">
        <v>0</v>
      </c>
      <c r="DJ105">
        <v>25.916399999999999</v>
      </c>
      <c r="DK105">
        <v>999.9</v>
      </c>
      <c r="DL105">
        <v>71.5</v>
      </c>
      <c r="DM105">
        <v>32</v>
      </c>
      <c r="DN105">
        <v>34.118000000000002</v>
      </c>
      <c r="DO105">
        <v>30.935500000000001</v>
      </c>
      <c r="DP105">
        <v>10.609</v>
      </c>
      <c r="DQ105">
        <v>1</v>
      </c>
      <c r="DR105">
        <v>0.262457</v>
      </c>
      <c r="DS105">
        <v>1.6617599999999999</v>
      </c>
      <c r="DT105">
        <v>20.3583</v>
      </c>
      <c r="DU105">
        <v>5.2083000000000004</v>
      </c>
      <c r="DV105">
        <v>11.8522</v>
      </c>
      <c r="DW105">
        <v>4.9676400000000003</v>
      </c>
      <c r="DX105">
        <v>3.2924600000000002</v>
      </c>
      <c r="DY105">
        <v>894.7</v>
      </c>
      <c r="DZ105">
        <v>0</v>
      </c>
      <c r="EA105">
        <v>2766.9</v>
      </c>
      <c r="EB105">
        <v>108.1</v>
      </c>
      <c r="EC105">
        <v>4.9715699999999998</v>
      </c>
      <c r="ED105">
        <v>1.87182</v>
      </c>
      <c r="EE105">
        <v>1.8690500000000001</v>
      </c>
      <c r="EF105">
        <v>1.8714500000000001</v>
      </c>
      <c r="EG105">
        <v>1.8692</v>
      </c>
      <c r="EH105">
        <v>1.8681300000000001</v>
      </c>
      <c r="EI105">
        <v>1.8699600000000001</v>
      </c>
      <c r="EJ105">
        <v>1.8717900000000001</v>
      </c>
      <c r="EK105">
        <v>0</v>
      </c>
      <c r="EL105">
        <v>0</v>
      </c>
      <c r="EM105">
        <v>0</v>
      </c>
      <c r="EN105">
        <v>0</v>
      </c>
      <c r="EO105" t="s">
        <v>320</v>
      </c>
      <c r="EP105" t="s">
        <v>321</v>
      </c>
      <c r="EQ105" t="s">
        <v>322</v>
      </c>
      <c r="ER105" t="s">
        <v>322</v>
      </c>
      <c r="ES105" t="s">
        <v>322</v>
      </c>
      <c r="ET105" t="s">
        <v>322</v>
      </c>
      <c r="EU105">
        <v>0</v>
      </c>
      <c r="EV105">
        <v>100</v>
      </c>
      <c r="EW105">
        <v>100</v>
      </c>
      <c r="EX105">
        <v>8.0690000000000008</v>
      </c>
      <c r="EY105">
        <v>-1.1850000000000001</v>
      </c>
      <c r="EZ105">
        <v>8.067809500000001</v>
      </c>
      <c r="FA105">
        <v>0</v>
      </c>
      <c r="FB105">
        <v>0</v>
      </c>
      <c r="FC105">
        <v>0</v>
      </c>
      <c r="FD105">
        <v>-1.18712475</v>
      </c>
      <c r="FE105">
        <v>0</v>
      </c>
      <c r="FF105">
        <v>0</v>
      </c>
      <c r="FG105">
        <v>0</v>
      </c>
      <c r="FH105">
        <v>-1</v>
      </c>
      <c r="FI105">
        <v>-1</v>
      </c>
      <c r="FJ105">
        <v>-1</v>
      </c>
      <c r="FK105">
        <v>-1</v>
      </c>
      <c r="FL105">
        <v>0.7</v>
      </c>
      <c r="FM105">
        <v>0.6</v>
      </c>
      <c r="FN105">
        <v>0.14160200000000001</v>
      </c>
      <c r="FO105">
        <v>4.99756</v>
      </c>
      <c r="FP105">
        <v>1.5979000000000001</v>
      </c>
      <c r="FQ105">
        <v>2.1472199999999999</v>
      </c>
      <c r="FR105">
        <v>1.5478499999999999</v>
      </c>
      <c r="FS105">
        <v>2.3779300000000001</v>
      </c>
      <c r="FT105">
        <v>35.964500000000001</v>
      </c>
      <c r="FU105">
        <v>15.138999999999999</v>
      </c>
      <c r="FV105">
        <v>2</v>
      </c>
      <c r="FW105">
        <v>490.15699999999998</v>
      </c>
      <c r="FX105">
        <v>394.31299999999999</v>
      </c>
      <c r="FY105">
        <v>24.459900000000001</v>
      </c>
      <c r="FZ105">
        <v>30.456600000000002</v>
      </c>
      <c r="GA105">
        <v>29.999700000000001</v>
      </c>
      <c r="GB105">
        <v>30.807300000000001</v>
      </c>
      <c r="GC105">
        <v>30.873200000000001</v>
      </c>
      <c r="GD105">
        <v>-1</v>
      </c>
      <c r="GE105">
        <v>0</v>
      </c>
      <c r="GF105">
        <v>100</v>
      </c>
      <c r="GG105">
        <v>24.473800000000001</v>
      </c>
      <c r="GH105">
        <v>432.1</v>
      </c>
      <c r="GI105">
        <v>78.840199999999996</v>
      </c>
      <c r="GJ105">
        <v>102.146</v>
      </c>
      <c r="GK105">
        <v>96.426199999999994</v>
      </c>
    </row>
    <row r="106" spans="1:193" x14ac:dyDescent="0.35">
      <c r="A106">
        <v>90</v>
      </c>
      <c r="B106">
        <v>1775469394.5</v>
      </c>
      <c r="C106">
        <v>5438.4000000953674</v>
      </c>
      <c r="D106" t="s">
        <v>591</v>
      </c>
      <c r="E106" t="s">
        <v>592</v>
      </c>
      <c r="F106">
        <v>30</v>
      </c>
      <c r="G106">
        <v>1775469379</v>
      </c>
      <c r="H106">
        <f t="shared" si="36"/>
        <v>2.6188978183129892E-3</v>
      </c>
      <c r="I106">
        <f>1000*AY106*AG106*(AU106-AV106)/(100*AN106*(1000-AG106*AU106))</f>
        <v>2.6188978183129894</v>
      </c>
      <c r="J106">
        <f>AY106*AG106*(AT106-AS106*(1000-AG106*AV106)/(1000-AG106*AU106))/(100*AN106)</f>
        <v>-2.4339754829522322</v>
      </c>
      <c r="K106">
        <f t="shared" si="37"/>
        <v>16.173717049180329</v>
      </c>
      <c r="L106">
        <f t="shared" si="38"/>
        <v>64.459157743211208</v>
      </c>
      <c r="M106">
        <f>L106*(AZ106+BA106)/1000</f>
        <v>6.4535627404630072</v>
      </c>
      <c r="N106">
        <f>(AS106 - IF(AG106&gt;1, J106*AN106*100/(AI106), 0))*(AZ106+BA106)/1000</f>
        <v>1.6192904371974126</v>
      </c>
      <c r="O106">
        <f t="shared" si="39"/>
        <v>7.8355959703910794E-2</v>
      </c>
      <c r="P106">
        <f>IF(LEFT(AP106,1)&lt;&gt;"0",IF(LEFT(AP106,1)="1",3,AQ106),$D$5+$E$5*(BG106*AZ106/($K$5*1000))+$F$5*(BG106*AZ106/($K$5*1000))*MAX(MIN(AN106,$J$5),$I$5)*MAX(MIN(AN106,$J$5),$I$5)+$G$5*MAX(MIN(AN106,$J$5),$I$5)*(BG106*AZ106/($K$5*1000))+$H$5*(BG106*AZ106/($K$5*1000))*(BG106*AZ106/($K$5*1000)))</f>
        <v>2.3900818416860146</v>
      </c>
      <c r="Q106">
        <f>H106*(1000-(1000*0.61365*EXP(17.502*U106/(240.97+U106))/(AZ106+BA106)+AU106)/2)/(1000*0.61365*EXP(17.502*U106/(240.97+U106))/(AZ106+BA106)-AU106)</f>
        <v>7.6956349619281536E-2</v>
      </c>
      <c r="R106">
        <f t="shared" si="40"/>
        <v>4.8221385567700163E-2</v>
      </c>
      <c r="S106">
        <f t="shared" si="41"/>
        <v>0.10032876564590164</v>
      </c>
      <c r="T106">
        <f>(BB106+(S106+2*0.95*0.0000000567*(((BB106+$B$7)+273)^4-(BB106+273)^4)-44100*H106)/(1.84*29.3*P106+8*0.95*0.0000000567*(BB106+273)^3))</f>
        <v>24.162657391227896</v>
      </c>
      <c r="U106">
        <f>($C$7*BC106+$D$7*BD106+$E$7*T106)</f>
        <v>25.21153278688525</v>
      </c>
      <c r="V106">
        <f t="shared" si="42"/>
        <v>3.2199994061864459</v>
      </c>
      <c r="W106">
        <f t="shared" si="43"/>
        <v>-4.237892875239635</v>
      </c>
      <c r="X106">
        <f>AU106*(AZ106+BA106)/1000</f>
        <v>-0.13463398974422947</v>
      </c>
      <c r="Y106">
        <f t="shared" si="44"/>
        <v>3.1769087541321221</v>
      </c>
      <c r="Z106">
        <f>(V106-AU106*(AZ106+BA106)/1000)</f>
        <v>3.3546333959306756</v>
      </c>
      <c r="AA106">
        <f t="shared" si="45"/>
        <v>-115.49339378760283</v>
      </c>
      <c r="AB106">
        <f>2*29.3*P106*0.92*(BB106-U106)</f>
        <v>-29.139613635346905</v>
      </c>
      <c r="AC106">
        <f>2*0.95*0.0000000567*(((BB106+$B$7)+273)^4-(U106+273)^4)</f>
        <v>-2.5814367423039855</v>
      </c>
      <c r="AD106">
        <f t="shared" si="46"/>
        <v>-147.11411539960781</v>
      </c>
      <c r="AE106">
        <v>20</v>
      </c>
      <c r="AF106">
        <v>4</v>
      </c>
      <c r="AG106">
        <f t="shared" si="47"/>
        <v>1</v>
      </c>
      <c r="AH106">
        <f t="shared" si="48"/>
        <v>0</v>
      </c>
      <c r="AI106">
        <f t="shared" si="49"/>
        <v>25723.957488715292</v>
      </c>
      <c r="AJ106">
        <f t="shared" si="50"/>
        <v>0.52500662295081968</v>
      </c>
      <c r="AK106">
        <f t="shared" si="51"/>
        <v>0.42000529836065575</v>
      </c>
      <c r="AL106">
        <f t="shared" si="52"/>
        <v>0.8</v>
      </c>
      <c r="AM106">
        <f t="shared" si="53"/>
        <v>0.19109999999999999</v>
      </c>
      <c r="AN106">
        <v>3</v>
      </c>
      <c r="AO106">
        <v>0.5</v>
      </c>
      <c r="AP106" t="s">
        <v>317</v>
      </c>
      <c r="AQ106">
        <v>2</v>
      </c>
      <c r="AR106">
        <v>1775469379</v>
      </c>
      <c r="AS106">
        <v>16.173717049180329</v>
      </c>
      <c r="AT106">
        <v>14.74027213114754</v>
      </c>
      <c r="AU106">
        <v>-1.344744590163935</v>
      </c>
      <c r="AV106">
        <v>-2.9165230819672132</v>
      </c>
      <c r="AW106">
        <v>8.1497170491803281</v>
      </c>
      <c r="AX106">
        <v>-1.728523081967213</v>
      </c>
      <c r="AY106">
        <v>500.53227868852463</v>
      </c>
      <c r="AZ106">
        <v>100.0728196721311</v>
      </c>
      <c r="BA106">
        <v>4.5813062295081981E-2</v>
      </c>
      <c r="BB106">
        <v>24.985388524590171</v>
      </c>
      <c r="BC106">
        <v>25.21153278688525</v>
      </c>
      <c r="BD106">
        <v>999.9</v>
      </c>
      <c r="BE106">
        <v>0</v>
      </c>
      <c r="BF106">
        <v>0</v>
      </c>
      <c r="BG106">
        <v>5001.6393442622948</v>
      </c>
      <c r="BH106">
        <v>0.52500662295081968</v>
      </c>
      <c r="BI106">
        <v>107.0959836065574</v>
      </c>
      <c r="BJ106">
        <v>1.4784327213114761</v>
      </c>
      <c r="BK106">
        <v>16.17154754098361</v>
      </c>
      <c r="BL106">
        <v>14.72047868852459</v>
      </c>
      <c r="BM106">
        <v>-1.5690658360655729</v>
      </c>
      <c r="BN106">
        <v>14.74027213114754</v>
      </c>
      <c r="BO106">
        <v>-1.344744590163935</v>
      </c>
      <c r="BP106">
        <v>-0.29159324590163932</v>
      </c>
      <c r="BQ106">
        <v>-0.13457237704918029</v>
      </c>
      <c r="BR106">
        <v>-99.899999999999963</v>
      </c>
      <c r="BS106">
        <v>-99.899999999999963</v>
      </c>
      <c r="BT106">
        <v>1775469423.5</v>
      </c>
      <c r="BU106" t="s">
        <v>593</v>
      </c>
      <c r="BV106">
        <v>1775469412.5</v>
      </c>
      <c r="BW106">
        <v>1775469423.5</v>
      </c>
      <c r="BX106">
        <v>91</v>
      </c>
      <c r="BY106">
        <v>-4.4999999999999998E-2</v>
      </c>
      <c r="BZ106">
        <v>-2E-3</v>
      </c>
      <c r="CA106">
        <v>8.0239999999999991</v>
      </c>
      <c r="CB106">
        <v>-1.1879999999999999</v>
      </c>
      <c r="CC106">
        <v>14</v>
      </c>
      <c r="CD106">
        <v>-1</v>
      </c>
      <c r="CE106">
        <v>0.95</v>
      </c>
      <c r="CF106">
        <v>0.04</v>
      </c>
      <c r="CG106">
        <v>14.74027213114754</v>
      </c>
      <c r="CH106">
        <v>0.39110544685352949</v>
      </c>
      <c r="CI106">
        <v>9.1352640689976616E-2</v>
      </c>
      <c r="CJ106">
        <v>-1</v>
      </c>
      <c r="CK106">
        <v>500.53227868852463</v>
      </c>
      <c r="CL106">
        <v>-5.392004230566223</v>
      </c>
      <c r="CM106">
        <v>1.275190247858865</v>
      </c>
      <c r="CN106">
        <v>-1</v>
      </c>
      <c r="CO106">
        <v>0</v>
      </c>
      <c r="CP106">
        <v>0</v>
      </c>
      <c r="CQ106" t="s">
        <v>319</v>
      </c>
      <c r="CR106">
        <v>3.1674199999999999</v>
      </c>
      <c r="CS106">
        <v>2.6667100000000001</v>
      </c>
      <c r="CT106">
        <v>2.4647800000000002E-3</v>
      </c>
      <c r="CU106">
        <v>4.4092300000000001E-3</v>
      </c>
      <c r="CV106">
        <v>-1.6273599999999999E-2</v>
      </c>
      <c r="CW106">
        <v>-1.18467E-2</v>
      </c>
      <c r="CX106">
        <v>21505.8</v>
      </c>
      <c r="CY106">
        <v>21846.6</v>
      </c>
      <c r="CZ106">
        <v>23087.599999999999</v>
      </c>
      <c r="DA106">
        <v>22297.599999999999</v>
      </c>
      <c r="DB106">
        <v>30261.3</v>
      </c>
      <c r="DC106">
        <v>26909.599999999999</v>
      </c>
      <c r="DD106">
        <v>40585.1</v>
      </c>
      <c r="DE106">
        <v>36956.199999999997</v>
      </c>
      <c r="DF106">
        <v>2.0653600000000001</v>
      </c>
      <c r="DG106">
        <v>1.77258</v>
      </c>
      <c r="DH106">
        <v>-4.0561E-2</v>
      </c>
      <c r="DI106">
        <v>0</v>
      </c>
      <c r="DJ106">
        <v>25.880700000000001</v>
      </c>
      <c r="DK106">
        <v>999.9</v>
      </c>
      <c r="DL106">
        <v>71.5</v>
      </c>
      <c r="DM106">
        <v>32</v>
      </c>
      <c r="DN106">
        <v>34.119700000000002</v>
      </c>
      <c r="DO106">
        <v>30.875499999999999</v>
      </c>
      <c r="DP106">
        <v>10.8614</v>
      </c>
      <c r="DQ106">
        <v>1</v>
      </c>
      <c r="DR106">
        <v>0.25974599999999998</v>
      </c>
      <c r="DS106">
        <v>1.5300499999999999</v>
      </c>
      <c r="DT106">
        <v>20.3597</v>
      </c>
      <c r="DU106">
        <v>5.2084200000000003</v>
      </c>
      <c r="DV106">
        <v>11.8515</v>
      </c>
      <c r="DW106">
        <v>4.9673600000000002</v>
      </c>
      <c r="DX106">
        <v>3.2922199999999999</v>
      </c>
      <c r="DY106">
        <v>894.7</v>
      </c>
      <c r="DZ106">
        <v>0</v>
      </c>
      <c r="EA106">
        <v>2795.8</v>
      </c>
      <c r="EB106">
        <v>108.1</v>
      </c>
      <c r="EC106">
        <v>4.9715999999999996</v>
      </c>
      <c r="ED106">
        <v>1.8718300000000001</v>
      </c>
      <c r="EE106">
        <v>1.8690500000000001</v>
      </c>
      <c r="EF106">
        <v>1.87144</v>
      </c>
      <c r="EG106">
        <v>1.8692</v>
      </c>
      <c r="EH106">
        <v>1.8681300000000001</v>
      </c>
      <c r="EI106">
        <v>1.8699600000000001</v>
      </c>
      <c r="EJ106">
        <v>1.87178</v>
      </c>
      <c r="EK106">
        <v>0</v>
      </c>
      <c r="EL106">
        <v>0</v>
      </c>
      <c r="EM106">
        <v>0</v>
      </c>
      <c r="EN106">
        <v>0</v>
      </c>
      <c r="EO106" t="s">
        <v>320</v>
      </c>
      <c r="EP106" t="s">
        <v>321</v>
      </c>
      <c r="EQ106" t="s">
        <v>322</v>
      </c>
      <c r="ER106" t="s">
        <v>322</v>
      </c>
      <c r="ES106" t="s">
        <v>322</v>
      </c>
      <c r="ET106" t="s">
        <v>322</v>
      </c>
      <c r="EU106">
        <v>0</v>
      </c>
      <c r="EV106">
        <v>100</v>
      </c>
      <c r="EW106">
        <v>100</v>
      </c>
      <c r="EX106">
        <v>8.0239999999999991</v>
      </c>
      <c r="EY106">
        <v>-1.1879999999999999</v>
      </c>
      <c r="EZ106">
        <v>8.0689823809523791</v>
      </c>
      <c r="FA106">
        <v>0</v>
      </c>
      <c r="FB106">
        <v>0</v>
      </c>
      <c r="FC106">
        <v>0</v>
      </c>
      <c r="FD106">
        <v>-1.1852875</v>
      </c>
      <c r="FE106">
        <v>0</v>
      </c>
      <c r="FF106">
        <v>0</v>
      </c>
      <c r="FG106">
        <v>0</v>
      </c>
      <c r="FH106">
        <v>-1</v>
      </c>
      <c r="FI106">
        <v>-1</v>
      </c>
      <c r="FJ106">
        <v>-1</v>
      </c>
      <c r="FK106">
        <v>-1</v>
      </c>
      <c r="FL106">
        <v>0.7</v>
      </c>
      <c r="FM106">
        <v>0.6</v>
      </c>
      <c r="FN106">
        <v>0.14160200000000001</v>
      </c>
      <c r="FO106">
        <v>4.99756</v>
      </c>
      <c r="FP106">
        <v>1.5979000000000001</v>
      </c>
      <c r="FQ106">
        <v>2.1472199999999999</v>
      </c>
      <c r="FR106">
        <v>1.5478499999999999</v>
      </c>
      <c r="FS106">
        <v>2.4523899999999998</v>
      </c>
      <c r="FT106">
        <v>35.941200000000002</v>
      </c>
      <c r="FU106">
        <v>15.138999999999999</v>
      </c>
      <c r="FV106">
        <v>2</v>
      </c>
      <c r="FW106">
        <v>490.137</v>
      </c>
      <c r="FX106">
        <v>394.40300000000002</v>
      </c>
      <c r="FY106">
        <v>24.5761</v>
      </c>
      <c r="FZ106">
        <v>30.430199999999999</v>
      </c>
      <c r="GA106">
        <v>29.9999</v>
      </c>
      <c r="GB106">
        <v>30.781400000000001</v>
      </c>
      <c r="GC106">
        <v>30.847999999999999</v>
      </c>
      <c r="GD106">
        <v>-1</v>
      </c>
      <c r="GE106">
        <v>0</v>
      </c>
      <c r="GF106">
        <v>100</v>
      </c>
      <c r="GG106">
        <v>24.5823</v>
      </c>
      <c r="GH106">
        <v>432.1</v>
      </c>
      <c r="GI106">
        <v>78.840199999999996</v>
      </c>
      <c r="GJ106">
        <v>102.15</v>
      </c>
      <c r="GK106">
        <v>96.429100000000005</v>
      </c>
    </row>
    <row r="107" spans="1:193" x14ac:dyDescent="0.35">
      <c r="A107">
        <v>91</v>
      </c>
      <c r="B107">
        <v>1775469454.5</v>
      </c>
      <c r="C107">
        <v>5498.4000000953674</v>
      </c>
      <c r="D107" t="s">
        <v>594</v>
      </c>
      <c r="E107" t="s">
        <v>595</v>
      </c>
      <c r="F107">
        <v>30</v>
      </c>
      <c r="G107">
        <v>1775469439</v>
      </c>
      <c r="H107">
        <f t="shared" si="36"/>
        <v>2.3397838544008853E-3</v>
      </c>
      <c r="I107">
        <f>1000*AY107*AG107*(AU107-AV107)/(100*AN107*(1000-AG107*AU107))</f>
        <v>2.3397838544008853</v>
      </c>
      <c r="J107">
        <f>AY107*AG107*(AT107-AS107*(1000-AG107*AV107)/(1000-AG107*AU107))/(100*AN107)</f>
        <v>-2.4086850779624442</v>
      </c>
      <c r="K107">
        <f t="shared" si="37"/>
        <v>19.0691262295082</v>
      </c>
      <c r="L107">
        <f t="shared" si="38"/>
        <v>72.544141576990214</v>
      </c>
      <c r="M107">
        <f>L107*(AZ107+BA107)/1000</f>
        <v>7.263221256357836</v>
      </c>
      <c r="N107">
        <f>(AS107 - IF(AG107&gt;1, J107*AN107*100/(AI107), 0))*(AZ107+BA107)/1000</f>
        <v>1.9092276779282427</v>
      </c>
      <c r="O107">
        <f t="shared" si="39"/>
        <v>6.9818099006568421E-2</v>
      </c>
      <c r="P107">
        <f>IF(LEFT(AP107,1)&lt;&gt;"0",IF(LEFT(AP107,1)="1",3,AQ107),$D$5+$E$5*(BG107*AZ107/($K$5*1000))+$F$5*(BG107*AZ107/($K$5*1000))*MAX(MIN(AN107,$J$5),$I$5)*MAX(MIN(AN107,$J$5),$I$5)+$G$5*MAX(MIN(AN107,$J$5),$I$5)*(BG107*AZ107/($K$5*1000))+$H$5*(BG107*AZ107/($K$5*1000))*(BG107*AZ107/($K$5*1000)))</f>
        <v>2.3901655103137998</v>
      </c>
      <c r="Q107">
        <f>H107*(1000-(1000*0.61365*EXP(17.502*U107/(240.97+U107))/(AZ107+BA107)+AU107)/2)/(1000*0.61365*EXP(17.502*U107/(240.97+U107))/(AZ107+BA107)-AU107)</f>
        <v>6.8704583428154928E-2</v>
      </c>
      <c r="R107">
        <f t="shared" si="40"/>
        <v>4.3038930247629024E-2</v>
      </c>
      <c r="S107">
        <f t="shared" si="41"/>
        <v>0.10002887022295082</v>
      </c>
      <c r="T107">
        <f>(BB107+(S107+2*0.95*0.0000000567*(((BB107+$B$7)+273)^4-(BB107+273)^4)-44100*H107)/(1.84*29.3*P107+8*0.95*0.0000000567*(BB107+273)^3))</f>
        <v>24.265446628069117</v>
      </c>
      <c r="U107">
        <f>($C$7*BC107+$D$7*BD107+$E$7*T107)</f>
        <v>25.223042622950821</v>
      </c>
      <c r="V107">
        <f t="shared" si="42"/>
        <v>3.2222061389239944</v>
      </c>
      <c r="W107">
        <f t="shared" si="43"/>
        <v>-4.2434250936969811</v>
      </c>
      <c r="X107">
        <f>AU107*(AZ107+BA107)/1000</f>
        <v>-0.13493034898063133</v>
      </c>
      <c r="Y107">
        <f t="shared" si="44"/>
        <v>3.1797509323553661</v>
      </c>
      <c r="Z107">
        <f>(V107-AU107*(AZ107+BA107)/1000)</f>
        <v>3.3571364879046257</v>
      </c>
      <c r="AA107">
        <f t="shared" si="45"/>
        <v>-103.18446797907905</v>
      </c>
      <c r="AB107">
        <f>2*29.3*P107*0.92*(BB107-U107)</f>
        <v>-28.691107308816495</v>
      </c>
      <c r="AC107">
        <f>2*0.95*0.0000000567*(((BB107+$B$7)+273)^4-(U107+273)^4)</f>
        <v>-2.5419542551652134</v>
      </c>
      <c r="AD107">
        <f t="shared" si="46"/>
        <v>-134.31750067283781</v>
      </c>
      <c r="AE107">
        <v>20</v>
      </c>
      <c r="AF107">
        <v>4</v>
      </c>
      <c r="AG107">
        <f t="shared" si="47"/>
        <v>1</v>
      </c>
      <c r="AH107">
        <f t="shared" si="48"/>
        <v>0</v>
      </c>
      <c r="AI107">
        <f t="shared" si="49"/>
        <v>25723.883114528384</v>
      </c>
      <c r="AJ107">
        <f t="shared" si="50"/>
        <v>0.52343731147540984</v>
      </c>
      <c r="AK107">
        <f t="shared" si="51"/>
        <v>0.41874984918032787</v>
      </c>
      <c r="AL107">
        <f t="shared" si="52"/>
        <v>0.8</v>
      </c>
      <c r="AM107">
        <f t="shared" si="53"/>
        <v>0.19109999999999999</v>
      </c>
      <c r="AN107">
        <v>3</v>
      </c>
      <c r="AO107">
        <v>0.5</v>
      </c>
      <c r="AP107" t="s">
        <v>317</v>
      </c>
      <c r="AQ107">
        <v>2</v>
      </c>
      <c r="AR107">
        <v>1775469439</v>
      </c>
      <c r="AS107">
        <v>19.0691262295082</v>
      </c>
      <c r="AT107">
        <v>17.652696721311479</v>
      </c>
      <c r="AU107">
        <v>-1.34766737704918</v>
      </c>
      <c r="AV107">
        <v>-2.751436655737705</v>
      </c>
      <c r="AW107">
        <v>11.070126229508199</v>
      </c>
      <c r="AX107">
        <v>-1.5654366557377051</v>
      </c>
      <c r="AY107">
        <v>500.70986885245901</v>
      </c>
      <c r="AZ107">
        <v>100.0743442622951</v>
      </c>
      <c r="BA107">
        <v>4.7059044262295083E-2</v>
      </c>
      <c r="BB107">
        <v>25.000386885245909</v>
      </c>
      <c r="BC107">
        <v>25.223042622950821</v>
      </c>
      <c r="BD107">
        <v>999.9</v>
      </c>
      <c r="BE107">
        <v>0</v>
      </c>
      <c r="BF107">
        <v>0</v>
      </c>
      <c r="BG107">
        <v>5001.7786885245914</v>
      </c>
      <c r="BH107">
        <v>0.52343731147540984</v>
      </c>
      <c r="BI107">
        <v>103.26106557377049</v>
      </c>
      <c r="BJ107">
        <v>1.4411713606557379</v>
      </c>
      <c r="BK107">
        <v>19.04115901639344</v>
      </c>
      <c r="BL107">
        <v>17.628944262295089</v>
      </c>
      <c r="BM107">
        <v>-1.4055428304754101</v>
      </c>
      <c r="BN107">
        <v>17.652696721311479</v>
      </c>
      <c r="BO107">
        <v>-1.34766737704918</v>
      </c>
      <c r="BP107">
        <v>-0.27552591803278681</v>
      </c>
      <c r="BQ107">
        <v>-0.13486698360655741</v>
      </c>
      <c r="BR107">
        <v>-99.899999999999963</v>
      </c>
      <c r="BS107">
        <v>-99.899999999999963</v>
      </c>
      <c r="BT107">
        <v>1775469495</v>
      </c>
      <c r="BU107" t="s">
        <v>596</v>
      </c>
      <c r="BV107">
        <v>1775469495</v>
      </c>
      <c r="BW107">
        <v>1775469481</v>
      </c>
      <c r="BX107">
        <v>92</v>
      </c>
      <c r="BY107">
        <v>-2.4E-2</v>
      </c>
      <c r="BZ107">
        <v>2E-3</v>
      </c>
      <c r="CA107">
        <v>7.9989999999999997</v>
      </c>
      <c r="CB107">
        <v>-1.1859999999999999</v>
      </c>
      <c r="CC107">
        <v>16</v>
      </c>
      <c r="CD107">
        <v>-1</v>
      </c>
      <c r="CE107">
        <v>0.76</v>
      </c>
      <c r="CF107">
        <v>0.06</v>
      </c>
      <c r="CG107">
        <v>17.652696721311479</v>
      </c>
      <c r="CH107">
        <v>-12.382662929666861</v>
      </c>
      <c r="CI107">
        <v>2.9119046344255941</v>
      </c>
      <c r="CJ107">
        <v>-1</v>
      </c>
      <c r="CK107">
        <v>500.70986885245901</v>
      </c>
      <c r="CL107">
        <v>-6.1178233738765746</v>
      </c>
      <c r="CM107">
        <v>1.396685672600039</v>
      </c>
      <c r="CN107">
        <v>-1</v>
      </c>
      <c r="CO107">
        <v>0</v>
      </c>
      <c r="CP107">
        <v>0</v>
      </c>
      <c r="CQ107" t="s">
        <v>319</v>
      </c>
      <c r="CR107">
        <v>3.16764</v>
      </c>
      <c r="CS107">
        <v>2.6663100000000002</v>
      </c>
      <c r="CT107">
        <v>2.8497499999999999E-3</v>
      </c>
      <c r="CU107">
        <v>4.6651599999999998E-3</v>
      </c>
      <c r="CV107">
        <v>-1.6446100000000002E-2</v>
      </c>
      <c r="CW107">
        <v>-1.1895899999999999E-2</v>
      </c>
      <c r="CX107">
        <v>21498.2</v>
      </c>
      <c r="CY107">
        <v>21841.4</v>
      </c>
      <c r="CZ107">
        <v>23088.3</v>
      </c>
      <c r="DA107">
        <v>22297.9</v>
      </c>
      <c r="DB107">
        <v>30267.4</v>
      </c>
      <c r="DC107">
        <v>26911.3</v>
      </c>
      <c r="DD107">
        <v>40586.300000000003</v>
      </c>
      <c r="DE107">
        <v>36956.800000000003</v>
      </c>
      <c r="DF107">
        <v>2.0655399999999999</v>
      </c>
      <c r="DG107">
        <v>1.77254</v>
      </c>
      <c r="DH107">
        <v>-3.9547699999999998E-2</v>
      </c>
      <c r="DI107">
        <v>0</v>
      </c>
      <c r="DJ107">
        <v>25.8598</v>
      </c>
      <c r="DK107">
        <v>999.9</v>
      </c>
      <c r="DL107">
        <v>71.599999999999994</v>
      </c>
      <c r="DM107">
        <v>32</v>
      </c>
      <c r="DN107">
        <v>34.164400000000001</v>
      </c>
      <c r="DO107">
        <v>30.305499999999999</v>
      </c>
      <c r="DP107">
        <v>10.8133</v>
      </c>
      <c r="DQ107">
        <v>1</v>
      </c>
      <c r="DR107">
        <v>0.25782699999999997</v>
      </c>
      <c r="DS107">
        <v>1.60978</v>
      </c>
      <c r="DT107">
        <v>20.359000000000002</v>
      </c>
      <c r="DU107">
        <v>5.2117800000000001</v>
      </c>
      <c r="DV107">
        <v>11.8506</v>
      </c>
      <c r="DW107">
        <v>4.9677600000000002</v>
      </c>
      <c r="DX107">
        <v>3.29278</v>
      </c>
      <c r="DY107">
        <v>894.7</v>
      </c>
      <c r="DZ107">
        <v>0</v>
      </c>
      <c r="EA107">
        <v>2830.5</v>
      </c>
      <c r="EB107">
        <v>108.2</v>
      </c>
      <c r="EC107">
        <v>4.9715600000000002</v>
      </c>
      <c r="ED107">
        <v>1.8718999999999999</v>
      </c>
      <c r="EE107">
        <v>1.8690500000000001</v>
      </c>
      <c r="EF107">
        <v>1.8714599999999999</v>
      </c>
      <c r="EG107">
        <v>1.8692</v>
      </c>
      <c r="EH107">
        <v>1.8681300000000001</v>
      </c>
      <c r="EI107">
        <v>1.8699600000000001</v>
      </c>
      <c r="EJ107">
        <v>1.87178</v>
      </c>
      <c r="EK107">
        <v>0</v>
      </c>
      <c r="EL107">
        <v>0</v>
      </c>
      <c r="EM107">
        <v>0</v>
      </c>
      <c r="EN107">
        <v>0</v>
      </c>
      <c r="EO107" t="s">
        <v>320</v>
      </c>
      <c r="EP107" t="s">
        <v>321</v>
      </c>
      <c r="EQ107" t="s">
        <v>322</v>
      </c>
      <c r="ER107" t="s">
        <v>322</v>
      </c>
      <c r="ES107" t="s">
        <v>322</v>
      </c>
      <c r="ET107" t="s">
        <v>322</v>
      </c>
      <c r="EU107">
        <v>0</v>
      </c>
      <c r="EV107">
        <v>100</v>
      </c>
      <c r="EW107">
        <v>100</v>
      </c>
      <c r="EX107">
        <v>7.9989999999999997</v>
      </c>
      <c r="EY107">
        <v>-1.1859999999999999</v>
      </c>
      <c r="EZ107">
        <v>8.0237500000000033</v>
      </c>
      <c r="FA107">
        <v>0</v>
      </c>
      <c r="FB107">
        <v>0</v>
      </c>
      <c r="FC107">
        <v>0</v>
      </c>
      <c r="FD107">
        <v>-1.1877740000000001</v>
      </c>
      <c r="FE107">
        <v>0</v>
      </c>
      <c r="FF107">
        <v>0</v>
      </c>
      <c r="FG107">
        <v>0</v>
      </c>
      <c r="FH107">
        <v>-1</v>
      </c>
      <c r="FI107">
        <v>-1</v>
      </c>
      <c r="FJ107">
        <v>-1</v>
      </c>
      <c r="FK107">
        <v>-1</v>
      </c>
      <c r="FL107">
        <v>0.7</v>
      </c>
      <c r="FM107">
        <v>0.5</v>
      </c>
      <c r="FN107">
        <v>0.14160200000000001</v>
      </c>
      <c r="FO107">
        <v>4.99756</v>
      </c>
      <c r="FP107">
        <v>1.5979000000000001</v>
      </c>
      <c r="FQ107">
        <v>2.1472199999999999</v>
      </c>
      <c r="FR107">
        <v>1.5478499999999999</v>
      </c>
      <c r="FS107">
        <v>2.3999000000000001</v>
      </c>
      <c r="FT107">
        <v>35.9178</v>
      </c>
      <c r="FU107">
        <v>15.121499999999999</v>
      </c>
      <c r="FV107">
        <v>2</v>
      </c>
      <c r="FW107">
        <v>490.04300000000001</v>
      </c>
      <c r="FX107">
        <v>394.22300000000001</v>
      </c>
      <c r="FY107">
        <v>24.5168</v>
      </c>
      <c r="FZ107">
        <v>30.403300000000002</v>
      </c>
      <c r="GA107">
        <v>29.9998</v>
      </c>
      <c r="GB107">
        <v>30.754999999999999</v>
      </c>
      <c r="GC107">
        <v>30.822900000000001</v>
      </c>
      <c r="GD107">
        <v>-1</v>
      </c>
      <c r="GE107">
        <v>0</v>
      </c>
      <c r="GF107">
        <v>100</v>
      </c>
      <c r="GG107">
        <v>24.526299999999999</v>
      </c>
      <c r="GH107">
        <v>432.1</v>
      </c>
      <c r="GI107">
        <v>78.840199999999996</v>
      </c>
      <c r="GJ107">
        <v>102.15300000000001</v>
      </c>
      <c r="GK107">
        <v>96.430700000000002</v>
      </c>
    </row>
    <row r="108" spans="1:193" x14ac:dyDescent="0.35">
      <c r="A108">
        <v>92</v>
      </c>
      <c r="B108">
        <v>1775469514.5</v>
      </c>
      <c r="C108">
        <v>5558.4000000953674</v>
      </c>
      <c r="D108" t="s">
        <v>597</v>
      </c>
      <c r="E108" t="s">
        <v>598</v>
      </c>
      <c r="F108">
        <v>30</v>
      </c>
      <c r="G108">
        <v>1775469504.75</v>
      </c>
      <c r="H108">
        <f t="shared" si="36"/>
        <v>2.1637957609622798E-3</v>
      </c>
      <c r="I108">
        <f>1000*AY108*AG108*(AU108-AV108)/(100*AN108*(1000-AG108*AU108))</f>
        <v>2.1637957609622798</v>
      </c>
      <c r="J108">
        <f>AY108*AG108*(AT108-AS108*(1000-AG108*AV108)/(1000-AG108*AU108))/(100*AN108)</f>
        <v>-1.4461912999068645</v>
      </c>
      <c r="K108">
        <f t="shared" si="37"/>
        <v>17.551682894736839</v>
      </c>
      <c r="L108">
        <f t="shared" si="38"/>
        <v>51.960373712277288</v>
      </c>
      <c r="M108">
        <f>L108*(AZ108+BA108)/1000</f>
        <v>5.2025660670695677</v>
      </c>
      <c r="N108">
        <f>(AS108 - IF(AG108&gt;1, J108*AN108*100/(AI108), 0))*(AZ108+BA108)/1000</f>
        <v>1.7573736161668032</v>
      </c>
      <c r="O108">
        <f t="shared" si="39"/>
        <v>6.45697311036144E-2</v>
      </c>
      <c r="P108">
        <f>IF(LEFT(AP108,1)&lt;&gt;"0",IF(LEFT(AP108,1)="1",3,AQ108),$D$5+$E$5*(BG108*AZ108/($K$5*1000))+$F$5*(BG108*AZ108/($K$5*1000))*MAX(MIN(AN108,$J$5),$I$5)*MAX(MIN(AN108,$J$5),$I$5)+$G$5*MAX(MIN(AN108,$J$5),$I$5)*(BG108*AZ108/($K$5*1000))+$H$5*(BG108*AZ108/($K$5*1000))*(BG108*AZ108/($K$5*1000)))</f>
        <v>2.3883597367757559</v>
      </c>
      <c r="Q108">
        <f>H108*(1000-(1000*0.61365*EXP(17.502*U108/(240.97+U108))/(AZ108+BA108)+AU108)/2)/(1000*0.61365*EXP(17.502*U108/(240.97+U108))/(AZ108+BA108)-AU108)</f>
        <v>6.3615391400433874E-2</v>
      </c>
      <c r="R108">
        <f t="shared" si="40"/>
        <v>3.9844188215872656E-2</v>
      </c>
      <c r="S108">
        <f t="shared" si="41"/>
        <v>9.724314600000003E-2</v>
      </c>
      <c r="T108">
        <f>(BB108+(S108+2*0.95*0.0000000567*(((BB108+$B$7)+273)^4-(BB108+273)^4)-44100*H108)/(1.84*29.3*P108+8*0.95*0.0000000567*(BB108+273)^3))</f>
        <v>24.309963078668872</v>
      </c>
      <c r="U108">
        <f>($C$7*BC108+$D$7*BD108+$E$7*T108)</f>
        <v>25.21083947368421</v>
      </c>
      <c r="V108">
        <f t="shared" si="42"/>
        <v>3.219866522323438</v>
      </c>
      <c r="W108">
        <f t="shared" si="43"/>
        <v>-4.194279796336235</v>
      </c>
      <c r="X108">
        <f>AU108*(AZ108+BA108)/1000</f>
        <v>-0.1332856284456235</v>
      </c>
      <c r="Y108">
        <f t="shared" si="44"/>
        <v>3.1777953526622245</v>
      </c>
      <c r="Z108">
        <f>(V108-AU108*(AZ108+BA108)/1000)</f>
        <v>3.3531521507690614</v>
      </c>
      <c r="AA108">
        <f t="shared" si="45"/>
        <v>-95.423393058436531</v>
      </c>
      <c r="AB108">
        <f>2*29.3*P108*0.92*(BB108-U108)</f>
        <v>-28.426756729149545</v>
      </c>
      <c r="AC108">
        <f>2*0.95*0.0000000567*(((BB108+$B$7)+273)^4-(U108+273)^4)</f>
        <v>-2.5201520909876112</v>
      </c>
      <c r="AD108">
        <f t="shared" si="46"/>
        <v>-126.27305873257369</v>
      </c>
      <c r="AE108">
        <v>21</v>
      </c>
      <c r="AF108">
        <v>4</v>
      </c>
      <c r="AG108">
        <f t="shared" si="47"/>
        <v>1</v>
      </c>
      <c r="AH108">
        <f t="shared" si="48"/>
        <v>0</v>
      </c>
      <c r="AI108">
        <f t="shared" si="49"/>
        <v>25696.993967568298</v>
      </c>
      <c r="AJ108">
        <f t="shared" si="50"/>
        <v>0.5088600000000002</v>
      </c>
      <c r="AK108">
        <f t="shared" si="51"/>
        <v>0.40708800000000017</v>
      </c>
      <c r="AL108">
        <f t="shared" si="52"/>
        <v>0.8</v>
      </c>
      <c r="AM108">
        <f t="shared" si="53"/>
        <v>0.19109999999999999</v>
      </c>
      <c r="AN108">
        <v>3</v>
      </c>
      <c r="AO108">
        <v>0.5</v>
      </c>
      <c r="AP108" t="s">
        <v>317</v>
      </c>
      <c r="AQ108">
        <v>2</v>
      </c>
      <c r="AR108">
        <v>1775469504.75</v>
      </c>
      <c r="AS108">
        <v>17.551682894736839</v>
      </c>
      <c r="AT108">
        <v>16.708665789473692</v>
      </c>
      <c r="AU108">
        <v>-1.331183684210526</v>
      </c>
      <c r="AV108">
        <v>-2.628249552631579</v>
      </c>
      <c r="AW108">
        <v>9.4596828947368419</v>
      </c>
      <c r="AX108">
        <v>-1.4412495526315789</v>
      </c>
      <c r="AY108">
        <v>501.13326315789482</v>
      </c>
      <c r="AZ108">
        <v>100.07742105263161</v>
      </c>
      <c r="BA108">
        <v>4.8226539473684223E-2</v>
      </c>
      <c r="BB108">
        <v>24.99006842105263</v>
      </c>
      <c r="BC108">
        <v>25.21083947368421</v>
      </c>
      <c r="BD108">
        <v>999.90000000000009</v>
      </c>
      <c r="BE108">
        <v>0</v>
      </c>
      <c r="BF108">
        <v>0</v>
      </c>
      <c r="BG108">
        <v>4996.9736842105267</v>
      </c>
      <c r="BH108">
        <v>0.5088600000000002</v>
      </c>
      <c r="BI108">
        <v>98.736542105263155</v>
      </c>
      <c r="BJ108">
        <v>0.7504170342105263</v>
      </c>
      <c r="BK108">
        <v>17.412844736842111</v>
      </c>
      <c r="BL108">
        <v>16.686450000000001</v>
      </c>
      <c r="BM108">
        <v>-1.296325999210526</v>
      </c>
      <c r="BN108">
        <v>16.708665789473692</v>
      </c>
      <c r="BO108">
        <v>-1.331183684210526</v>
      </c>
      <c r="BP108">
        <v>-0.26295431578947359</v>
      </c>
      <c r="BQ108">
        <v>-0.1332214210526316</v>
      </c>
      <c r="BR108">
        <v>-99.90000000000002</v>
      </c>
      <c r="BS108">
        <v>-99.90000000000002</v>
      </c>
      <c r="BT108">
        <v>1775469539</v>
      </c>
      <c r="BU108" t="s">
        <v>599</v>
      </c>
      <c r="BV108">
        <v>1775469534.5</v>
      </c>
      <c r="BW108">
        <v>1775469539</v>
      </c>
      <c r="BX108">
        <v>93</v>
      </c>
      <c r="BY108">
        <v>9.1999999999999998E-2</v>
      </c>
      <c r="BZ108">
        <v>-1E-3</v>
      </c>
      <c r="CA108">
        <v>8.0920000000000005</v>
      </c>
      <c r="CB108">
        <v>-1.1870000000000001</v>
      </c>
      <c r="CC108">
        <v>16</v>
      </c>
      <c r="CD108">
        <v>-1</v>
      </c>
      <c r="CE108">
        <v>0.27</v>
      </c>
      <c r="CF108">
        <v>0.05</v>
      </c>
      <c r="CG108">
        <v>17.000133333333331</v>
      </c>
      <c r="CH108">
        <v>0.68783239788831618</v>
      </c>
      <c r="CI108">
        <v>1.560223059017168</v>
      </c>
      <c r="CJ108">
        <v>-1</v>
      </c>
      <c r="CK108">
        <v>500.73336666666671</v>
      </c>
      <c r="CL108">
        <v>0.41767602111821878</v>
      </c>
      <c r="CM108">
        <v>1.3584047134619179</v>
      </c>
      <c r="CN108">
        <v>-1</v>
      </c>
      <c r="CO108">
        <v>0</v>
      </c>
      <c r="CP108">
        <v>0</v>
      </c>
      <c r="CQ108" t="s">
        <v>319</v>
      </c>
      <c r="CR108">
        <v>3.1675200000000001</v>
      </c>
      <c r="CS108">
        <v>2.6665100000000002</v>
      </c>
      <c r="CT108">
        <v>3.2888800000000001E-3</v>
      </c>
      <c r="CU108">
        <v>4.9752399999999997E-3</v>
      </c>
      <c r="CV108">
        <v>-1.60603E-2</v>
      </c>
      <c r="CW108">
        <v>-1.174E-2</v>
      </c>
      <c r="CX108">
        <v>21489.599999999999</v>
      </c>
      <c r="CY108">
        <v>21835.5</v>
      </c>
      <c r="CZ108">
        <v>23089.200000000001</v>
      </c>
      <c r="DA108">
        <v>22298.799999999999</v>
      </c>
      <c r="DB108">
        <v>30256.9</v>
      </c>
      <c r="DC108">
        <v>26908.400000000001</v>
      </c>
      <c r="DD108">
        <v>40587.699999999997</v>
      </c>
      <c r="DE108">
        <v>36958.400000000001</v>
      </c>
      <c r="DF108">
        <v>2.0647000000000002</v>
      </c>
      <c r="DG108">
        <v>1.7724200000000001</v>
      </c>
      <c r="DH108">
        <v>-3.8474800000000003E-2</v>
      </c>
      <c r="DI108">
        <v>0</v>
      </c>
      <c r="DJ108">
        <v>25.846800000000002</v>
      </c>
      <c r="DK108">
        <v>999.9</v>
      </c>
      <c r="DL108">
        <v>71.599999999999994</v>
      </c>
      <c r="DM108">
        <v>31.9</v>
      </c>
      <c r="DN108">
        <v>33.968499999999999</v>
      </c>
      <c r="DO108">
        <v>30.935500000000001</v>
      </c>
      <c r="DP108">
        <v>10.757199999999999</v>
      </c>
      <c r="DQ108">
        <v>1</v>
      </c>
      <c r="DR108">
        <v>0.25552999999999998</v>
      </c>
      <c r="DS108">
        <v>1.5016799999999999</v>
      </c>
      <c r="DT108">
        <v>20.360499999999998</v>
      </c>
      <c r="DU108">
        <v>5.2119</v>
      </c>
      <c r="DV108">
        <v>11.8506</v>
      </c>
      <c r="DW108">
        <v>4.9675200000000004</v>
      </c>
      <c r="DX108">
        <v>3.2928799999999998</v>
      </c>
      <c r="DY108">
        <v>894.7</v>
      </c>
      <c r="DZ108">
        <v>0</v>
      </c>
      <c r="EA108">
        <v>2863.2</v>
      </c>
      <c r="EB108">
        <v>108.2</v>
      </c>
      <c r="EC108">
        <v>4.9715800000000003</v>
      </c>
      <c r="ED108">
        <v>1.8718399999999999</v>
      </c>
      <c r="EE108">
        <v>1.8690500000000001</v>
      </c>
      <c r="EF108">
        <v>1.87141</v>
      </c>
      <c r="EG108">
        <v>1.8692</v>
      </c>
      <c r="EH108">
        <v>1.8681300000000001</v>
      </c>
      <c r="EI108">
        <v>1.8699600000000001</v>
      </c>
      <c r="EJ108">
        <v>1.87174</v>
      </c>
      <c r="EK108">
        <v>0</v>
      </c>
      <c r="EL108">
        <v>0</v>
      </c>
      <c r="EM108">
        <v>0</v>
      </c>
      <c r="EN108">
        <v>0</v>
      </c>
      <c r="EO108" t="s">
        <v>320</v>
      </c>
      <c r="EP108" t="s">
        <v>321</v>
      </c>
      <c r="EQ108" t="s">
        <v>322</v>
      </c>
      <c r="ER108" t="s">
        <v>322</v>
      </c>
      <c r="ES108" t="s">
        <v>322</v>
      </c>
      <c r="ET108" t="s">
        <v>322</v>
      </c>
      <c r="EU108">
        <v>0</v>
      </c>
      <c r="EV108">
        <v>100</v>
      </c>
      <c r="EW108">
        <v>100</v>
      </c>
      <c r="EX108">
        <v>8.0920000000000005</v>
      </c>
      <c r="EY108">
        <v>-1.1870000000000001</v>
      </c>
      <c r="EZ108">
        <v>7.9993999999999978</v>
      </c>
      <c r="FA108">
        <v>0</v>
      </c>
      <c r="FB108">
        <v>0</v>
      </c>
      <c r="FC108">
        <v>0</v>
      </c>
      <c r="FD108">
        <v>-1.1862600000000001</v>
      </c>
      <c r="FE108">
        <v>0</v>
      </c>
      <c r="FF108">
        <v>0</v>
      </c>
      <c r="FG108">
        <v>0</v>
      </c>
      <c r="FH108">
        <v>-1</v>
      </c>
      <c r="FI108">
        <v>-1</v>
      </c>
      <c r="FJ108">
        <v>-1</v>
      </c>
      <c r="FK108">
        <v>-1</v>
      </c>
      <c r="FL108">
        <v>0.3</v>
      </c>
      <c r="FM108">
        <v>0.6</v>
      </c>
      <c r="FN108">
        <v>0.14160200000000001</v>
      </c>
      <c r="FO108">
        <v>4.99756</v>
      </c>
      <c r="FP108">
        <v>1.5979000000000001</v>
      </c>
      <c r="FQ108">
        <v>2.1472199999999999</v>
      </c>
      <c r="FR108">
        <v>1.5478499999999999</v>
      </c>
      <c r="FS108">
        <v>2.4487299999999999</v>
      </c>
      <c r="FT108">
        <v>35.9178</v>
      </c>
      <c r="FU108">
        <v>15.1127</v>
      </c>
      <c r="FV108">
        <v>2</v>
      </c>
      <c r="FW108">
        <v>489.37</v>
      </c>
      <c r="FX108">
        <v>394.017</v>
      </c>
      <c r="FY108">
        <v>24.604900000000001</v>
      </c>
      <c r="FZ108">
        <v>30.380600000000001</v>
      </c>
      <c r="GA108">
        <v>30</v>
      </c>
      <c r="GB108">
        <v>30.729800000000001</v>
      </c>
      <c r="GC108">
        <v>30.800899999999999</v>
      </c>
      <c r="GD108">
        <v>-1</v>
      </c>
      <c r="GE108">
        <v>0</v>
      </c>
      <c r="GF108">
        <v>100</v>
      </c>
      <c r="GG108">
        <v>24.608899999999998</v>
      </c>
      <c r="GH108">
        <v>432.1</v>
      </c>
      <c r="GI108">
        <v>78.840199999999996</v>
      </c>
      <c r="GJ108">
        <v>102.157</v>
      </c>
      <c r="GK108">
        <v>96.434700000000007</v>
      </c>
    </row>
    <row r="109" spans="1:193" x14ac:dyDescent="0.35">
      <c r="A109">
        <v>93</v>
      </c>
      <c r="B109">
        <v>1775469574.5</v>
      </c>
      <c r="C109">
        <v>5618.4000000953674</v>
      </c>
      <c r="D109" t="s">
        <v>600</v>
      </c>
      <c r="E109" t="s">
        <v>601</v>
      </c>
      <c r="F109">
        <v>30</v>
      </c>
      <c r="G109">
        <v>1775469559.25</v>
      </c>
      <c r="H109">
        <f t="shared" si="36"/>
        <v>2.6400601889520507E-3</v>
      </c>
      <c r="I109">
        <f>1000*AY109*AG109*(AU109-AV109)/(100*AN109*(1000-AG109*AU109))</f>
        <v>2.6400601889520505</v>
      </c>
      <c r="J109">
        <f>AY109*AG109*(AT109-AS109*(1000-AG109*AV109)/(1000-AG109*AU109))/(100*AN109)</f>
        <v>-3.0771792018067741</v>
      </c>
      <c r="K109">
        <f t="shared" si="37"/>
        <v>16.96779866666667</v>
      </c>
      <c r="L109">
        <f t="shared" si="38"/>
        <v>77.720899044685751</v>
      </c>
      <c r="M109">
        <f>L109*(AZ109+BA109)/1000</f>
        <v>7.7818293845531032</v>
      </c>
      <c r="N109">
        <f>(AS109 - IF(AG109&gt;1, J109*AN109*100/(AI109), 0))*(AZ109+BA109)/1000</f>
        <v>1.6989061613856369</v>
      </c>
      <c r="O109">
        <f t="shared" si="39"/>
        <v>7.8970353410998492E-2</v>
      </c>
      <c r="P109">
        <f>IF(LEFT(AP109,1)&lt;&gt;"0",IF(LEFT(AP109,1)="1",3,AQ109),$D$5+$E$5*(BG109*AZ109/($K$5*1000))+$F$5*(BG109*AZ109/($K$5*1000))*MAX(MIN(AN109,$J$5),$I$5)*MAX(MIN(AN109,$J$5),$I$5)+$G$5*MAX(MIN(AN109,$J$5),$I$5)*(BG109*AZ109/($K$5*1000))+$H$5*(BG109*AZ109/($K$5*1000))*(BG109*AZ109/($K$5*1000)))</f>
        <v>2.3886157210292729</v>
      </c>
      <c r="Q109">
        <f>H109*(1000-(1000*0.61365*EXP(17.502*U109/(240.97+U109))/(AZ109+BA109)+AU109)/2)/(1000*0.61365*EXP(17.502*U109/(240.97+U109))/(AZ109+BA109)-AU109)</f>
        <v>7.7548067494539547E-2</v>
      </c>
      <c r="R109">
        <f t="shared" si="40"/>
        <v>4.8593195291300212E-2</v>
      </c>
      <c r="S109">
        <f t="shared" si="41"/>
        <v>9.6221420295000026E-2</v>
      </c>
      <c r="T109">
        <f>(BB109+(S109+2*0.95*0.0000000567*(((BB109+$B$7)+273)^4-(BB109+273)^4)-44100*H109)/(1.84*29.3*P109+8*0.95*0.0000000567*(BB109+273)^3))</f>
        <v>24.178503545443725</v>
      </c>
      <c r="U109">
        <f>($C$7*BC109+$D$7*BD109+$E$7*T109)</f>
        <v>25.218041666666672</v>
      </c>
      <c r="V109">
        <f t="shared" si="42"/>
        <v>3.2212471642000771</v>
      </c>
      <c r="W109">
        <f t="shared" si="43"/>
        <v>-4.2404751844809168</v>
      </c>
      <c r="X109">
        <f>AU109*(AZ109+BA109)/1000</f>
        <v>-0.13490073729768054</v>
      </c>
      <c r="Y109">
        <f t="shared" si="44"/>
        <v>3.1812646325907918</v>
      </c>
      <c r="Z109">
        <f>(V109-AU109*(AZ109+BA109)/1000)</f>
        <v>3.3561479014977578</v>
      </c>
      <c r="AA109">
        <f t="shared" si="45"/>
        <v>-116.42665433278543</v>
      </c>
      <c r="AB109">
        <f>2*29.3*P109*0.92*(BB109-U109)</f>
        <v>-27.00047951628444</v>
      </c>
      <c r="AC109">
        <f>2*0.95*0.0000000567*(((BB109+$B$7)+273)^4-(U109+273)^4)</f>
        <v>-2.3937571958277117</v>
      </c>
      <c r="AD109">
        <f t="shared" si="46"/>
        <v>-145.72466962460257</v>
      </c>
      <c r="AE109">
        <v>20</v>
      </c>
      <c r="AF109">
        <v>4</v>
      </c>
      <c r="AG109">
        <f t="shared" si="47"/>
        <v>1</v>
      </c>
      <c r="AH109">
        <f t="shared" si="48"/>
        <v>0</v>
      </c>
      <c r="AI109">
        <f t="shared" si="49"/>
        <v>25699.242502733468</v>
      </c>
      <c r="AJ109">
        <f t="shared" si="50"/>
        <v>0.50351345000000014</v>
      </c>
      <c r="AK109">
        <f t="shared" si="51"/>
        <v>0.40281076000000016</v>
      </c>
      <c r="AL109">
        <f t="shared" si="52"/>
        <v>0.8</v>
      </c>
      <c r="AM109">
        <f t="shared" si="53"/>
        <v>0.19109999999999999</v>
      </c>
      <c r="AN109">
        <v>3</v>
      </c>
      <c r="AO109">
        <v>0.5</v>
      </c>
      <c r="AP109" t="s">
        <v>317</v>
      </c>
      <c r="AQ109">
        <v>2</v>
      </c>
      <c r="AR109">
        <v>1775469559.25</v>
      </c>
      <c r="AS109">
        <v>16.96779866666667</v>
      </c>
      <c r="AT109">
        <v>15.14931333333333</v>
      </c>
      <c r="AU109">
        <v>-1.3473189999999999</v>
      </c>
      <c r="AV109">
        <v>-2.932665833333334</v>
      </c>
      <c r="AW109">
        <v>8.9187986666666674</v>
      </c>
      <c r="AX109">
        <v>-1.7496658333333339</v>
      </c>
      <c r="AY109">
        <v>500.25971666666658</v>
      </c>
      <c r="AZ109">
        <v>100.07975</v>
      </c>
      <c r="BA109">
        <v>4.5563528333333332E-2</v>
      </c>
      <c r="BB109">
        <v>25.008369999999999</v>
      </c>
      <c r="BC109">
        <v>25.218041666666672</v>
      </c>
      <c r="BD109">
        <v>999.9</v>
      </c>
      <c r="BE109">
        <v>0</v>
      </c>
      <c r="BF109">
        <v>0</v>
      </c>
      <c r="BG109">
        <v>4997.5166666666664</v>
      </c>
      <c r="BH109">
        <v>0.50351345000000014</v>
      </c>
      <c r="BI109">
        <v>94.90361333333334</v>
      </c>
      <c r="BJ109">
        <v>1.861185033333334</v>
      </c>
      <c r="BK109">
        <v>16.960696666666671</v>
      </c>
      <c r="BL109">
        <v>15.12892666666667</v>
      </c>
      <c r="BM109">
        <v>-1.5893520000000001</v>
      </c>
      <c r="BN109">
        <v>15.14931333333333</v>
      </c>
      <c r="BO109">
        <v>-1.3473189999999999</v>
      </c>
      <c r="BP109">
        <v>-0.29390125000000011</v>
      </c>
      <c r="BQ109">
        <v>-0.13483923333333331</v>
      </c>
      <c r="BR109">
        <v>-99.899999999999963</v>
      </c>
      <c r="BS109">
        <v>-99.899999999999963</v>
      </c>
      <c r="BT109">
        <v>1775469598.5</v>
      </c>
      <c r="BU109" t="s">
        <v>602</v>
      </c>
      <c r="BV109">
        <v>1775469597.5</v>
      </c>
      <c r="BW109">
        <v>1775469598.5</v>
      </c>
      <c r="BX109">
        <v>94</v>
      </c>
      <c r="BY109">
        <v>-4.2999999999999997E-2</v>
      </c>
      <c r="BZ109">
        <v>4.0000000000000001E-3</v>
      </c>
      <c r="CA109">
        <v>8.0489999999999995</v>
      </c>
      <c r="CB109">
        <v>-1.1830000000000001</v>
      </c>
      <c r="CC109">
        <v>16</v>
      </c>
      <c r="CD109">
        <v>-1</v>
      </c>
      <c r="CE109">
        <v>0.81</v>
      </c>
      <c r="CF109">
        <v>0.06</v>
      </c>
      <c r="CG109">
        <v>15.15653333333333</v>
      </c>
      <c r="CH109">
        <v>4.6058794109508E-2</v>
      </c>
      <c r="CI109">
        <v>0.43668438437337742</v>
      </c>
      <c r="CJ109">
        <v>-1</v>
      </c>
      <c r="CK109">
        <v>500.32979999999998</v>
      </c>
      <c r="CL109">
        <v>-3.7013081411494642</v>
      </c>
      <c r="CM109">
        <v>0.99428913970400534</v>
      </c>
      <c r="CN109">
        <v>-1</v>
      </c>
      <c r="CO109">
        <v>0</v>
      </c>
      <c r="CP109">
        <v>0</v>
      </c>
      <c r="CQ109" t="s">
        <v>319</v>
      </c>
      <c r="CR109">
        <v>3.1675499999999999</v>
      </c>
      <c r="CS109">
        <v>2.6674199999999999</v>
      </c>
      <c r="CT109">
        <v>2.5456099999999998E-3</v>
      </c>
      <c r="CU109">
        <v>4.4382099999999997E-3</v>
      </c>
      <c r="CV109">
        <v>-1.63429E-2</v>
      </c>
      <c r="CW109">
        <v>-1.1971799999999999E-2</v>
      </c>
      <c r="CX109">
        <v>21506.2</v>
      </c>
      <c r="CY109">
        <v>21847.7</v>
      </c>
      <c r="CZ109">
        <v>23089.599999999999</v>
      </c>
      <c r="DA109">
        <v>22299.200000000001</v>
      </c>
      <c r="DB109">
        <v>30265.9</v>
      </c>
      <c r="DC109">
        <v>26914.9</v>
      </c>
      <c r="DD109">
        <v>40588.400000000001</v>
      </c>
      <c r="DE109">
        <v>36959</v>
      </c>
      <c r="DF109">
        <v>2.06602</v>
      </c>
      <c r="DG109">
        <v>1.77376</v>
      </c>
      <c r="DH109">
        <v>-3.76552E-2</v>
      </c>
      <c r="DI109">
        <v>0</v>
      </c>
      <c r="DJ109">
        <v>25.835799999999999</v>
      </c>
      <c r="DK109">
        <v>999.9</v>
      </c>
      <c r="DL109">
        <v>71.599999999999994</v>
      </c>
      <c r="DM109">
        <v>31.9</v>
      </c>
      <c r="DN109">
        <v>33.970100000000002</v>
      </c>
      <c r="DO109">
        <v>30.515499999999999</v>
      </c>
      <c r="DP109">
        <v>10.6691</v>
      </c>
      <c r="DQ109">
        <v>1</v>
      </c>
      <c r="DR109">
        <v>0.25426199999999999</v>
      </c>
      <c r="DS109">
        <v>1.6628400000000001</v>
      </c>
      <c r="DT109">
        <v>20.358000000000001</v>
      </c>
      <c r="DU109">
        <v>5.2074699999999998</v>
      </c>
      <c r="DV109">
        <v>11.8507</v>
      </c>
      <c r="DW109">
        <v>4.9674800000000001</v>
      </c>
      <c r="DX109">
        <v>3.2923200000000001</v>
      </c>
      <c r="DY109">
        <v>894.7</v>
      </c>
      <c r="DZ109">
        <v>0</v>
      </c>
      <c r="EA109">
        <v>2892.1</v>
      </c>
      <c r="EB109">
        <v>108.2</v>
      </c>
      <c r="EC109">
        <v>4.9716100000000001</v>
      </c>
      <c r="ED109">
        <v>1.8718999999999999</v>
      </c>
      <c r="EE109">
        <v>1.8690500000000001</v>
      </c>
      <c r="EF109">
        <v>1.8714299999999999</v>
      </c>
      <c r="EG109">
        <v>1.8692</v>
      </c>
      <c r="EH109">
        <v>1.86812</v>
      </c>
      <c r="EI109">
        <v>1.8699600000000001</v>
      </c>
      <c r="EJ109">
        <v>1.87178</v>
      </c>
      <c r="EK109">
        <v>0</v>
      </c>
      <c r="EL109">
        <v>0</v>
      </c>
      <c r="EM109">
        <v>0</v>
      </c>
      <c r="EN109">
        <v>0</v>
      </c>
      <c r="EO109" t="s">
        <v>320</v>
      </c>
      <c r="EP109" t="s">
        <v>321</v>
      </c>
      <c r="EQ109" t="s">
        <v>322</v>
      </c>
      <c r="ER109" t="s">
        <v>322</v>
      </c>
      <c r="ES109" t="s">
        <v>322</v>
      </c>
      <c r="ET109" t="s">
        <v>322</v>
      </c>
      <c r="EU109">
        <v>0</v>
      </c>
      <c r="EV109">
        <v>100</v>
      </c>
      <c r="EW109">
        <v>100</v>
      </c>
      <c r="EX109">
        <v>8.0489999999999995</v>
      </c>
      <c r="EY109">
        <v>-1.1830000000000001</v>
      </c>
      <c r="EZ109">
        <v>8.0916979999999992</v>
      </c>
      <c r="FA109">
        <v>0</v>
      </c>
      <c r="FB109">
        <v>0</v>
      </c>
      <c r="FC109">
        <v>0</v>
      </c>
      <c r="FD109">
        <v>-1.1870052380952381</v>
      </c>
      <c r="FE109">
        <v>0</v>
      </c>
      <c r="FF109">
        <v>0</v>
      </c>
      <c r="FG109">
        <v>0</v>
      </c>
      <c r="FH109">
        <v>-1</v>
      </c>
      <c r="FI109">
        <v>-1</v>
      </c>
      <c r="FJ109">
        <v>-1</v>
      </c>
      <c r="FK109">
        <v>-1</v>
      </c>
      <c r="FL109">
        <v>0.7</v>
      </c>
      <c r="FM109">
        <v>0.6</v>
      </c>
      <c r="FN109">
        <v>0.14160200000000001</v>
      </c>
      <c r="FO109">
        <v>4.99756</v>
      </c>
      <c r="FP109">
        <v>1.5979000000000001</v>
      </c>
      <c r="FQ109">
        <v>2.1472199999999999</v>
      </c>
      <c r="FR109">
        <v>1.5478499999999999</v>
      </c>
      <c r="FS109">
        <v>2.32178</v>
      </c>
      <c r="FT109">
        <v>35.9178</v>
      </c>
      <c r="FU109">
        <v>15.0952</v>
      </c>
      <c r="FV109">
        <v>2</v>
      </c>
      <c r="FW109">
        <v>489.99</v>
      </c>
      <c r="FX109">
        <v>394.62799999999999</v>
      </c>
      <c r="FY109">
        <v>24.526399999999999</v>
      </c>
      <c r="FZ109">
        <v>30.358000000000001</v>
      </c>
      <c r="GA109">
        <v>29.9999</v>
      </c>
      <c r="GB109">
        <v>30.710899999999999</v>
      </c>
      <c r="GC109">
        <v>30.777999999999999</v>
      </c>
      <c r="GD109">
        <v>-1</v>
      </c>
      <c r="GE109">
        <v>0</v>
      </c>
      <c r="GF109">
        <v>100</v>
      </c>
      <c r="GG109">
        <v>24.516500000000001</v>
      </c>
      <c r="GH109">
        <v>432.1</v>
      </c>
      <c r="GI109">
        <v>78.840199999999996</v>
      </c>
      <c r="GJ109">
        <v>102.15900000000001</v>
      </c>
      <c r="GK109">
        <v>96.436199999999999</v>
      </c>
    </row>
    <row r="110" spans="1:193" x14ac:dyDescent="0.35">
      <c r="A110">
        <v>94</v>
      </c>
      <c r="B110">
        <v>1775469634.5</v>
      </c>
      <c r="C110">
        <v>5678.4000000953674</v>
      </c>
      <c r="D110" t="s">
        <v>603</v>
      </c>
      <c r="E110" t="s">
        <v>604</v>
      </c>
      <c r="F110">
        <v>60</v>
      </c>
      <c r="G110">
        <v>1775469623.75</v>
      </c>
      <c r="H110">
        <f t="shared" si="36"/>
        <v>2.7486906028422447E-3</v>
      </c>
      <c r="I110">
        <f>1000*AY110*AG110*(AU110-AV110)/(100*AN110*(1000-AG110*AU110))</f>
        <v>2.7486906028422449</v>
      </c>
      <c r="J110">
        <f>AY110*AG110*(AT110-AS110*(1000-AG110*AV110)/(1000-AG110*AU110))/(100*AN110)</f>
        <v>-1.6788175673957424</v>
      </c>
      <c r="K110">
        <f t="shared" si="37"/>
        <v>17.20991452380952</v>
      </c>
      <c r="L110">
        <f t="shared" si="38"/>
        <v>48.584234830591754</v>
      </c>
      <c r="M110">
        <f>L110*(AZ110+BA110)/1000</f>
        <v>4.8645874623319578</v>
      </c>
      <c r="N110">
        <f>(AS110 - IF(AG110&gt;1, J110*AN110*100/(AI110), 0))*(AZ110+BA110)/1000</f>
        <v>1.7231749087383694</v>
      </c>
      <c r="O110">
        <f t="shared" si="39"/>
        <v>8.2328347836889984E-2</v>
      </c>
      <c r="P110">
        <f>IF(LEFT(AP110,1)&lt;&gt;"0",IF(LEFT(AP110,1)="1",3,AQ110),$D$5+$E$5*(BG110*AZ110/($K$5*1000))+$F$5*(BG110*AZ110/($K$5*1000))*MAX(MIN(AN110,$J$5),$I$5)*MAX(MIN(AN110,$J$5),$I$5)+$G$5*MAX(MIN(AN110,$J$5),$I$5)*(BG110*AZ110/($K$5*1000))+$H$5*(BG110*AZ110/($K$5*1000))*(BG110*AZ110/($K$5*1000)))</f>
        <v>2.3914142632145872</v>
      </c>
      <c r="Q110">
        <f>H110*(1000-(1000*0.61365*EXP(17.502*U110/(240.97+U110))/(AZ110+BA110)+AU110)/2)/(1000*0.61365*EXP(17.502*U110/(240.97+U110))/(AZ110+BA110)-AU110)</f>
        <v>8.0785578712969278E-2</v>
      </c>
      <c r="R110">
        <f t="shared" si="40"/>
        <v>5.0627190384938986E-2</v>
      </c>
      <c r="S110">
        <f t="shared" si="41"/>
        <v>9.8321841799999962E-2</v>
      </c>
      <c r="T110">
        <f>(BB110+(S110+2*0.95*0.0000000567*(((BB110+$B$7)+273)^4-(BB110+273)^4)-44100*H110)/(1.84*29.3*P110+8*0.95*0.0000000567*(BB110+273)^3))</f>
        <v>24.147106439095602</v>
      </c>
      <c r="U110">
        <f>($C$7*BC110+$D$7*BD110+$E$7*T110)</f>
        <v>25.199271428571429</v>
      </c>
      <c r="V110">
        <f t="shared" si="42"/>
        <v>3.2176500400051786</v>
      </c>
      <c r="W110">
        <f t="shared" si="43"/>
        <v>-4.2967197632292997</v>
      </c>
      <c r="X110">
        <f>AU110*(AZ110+BA110)/1000</f>
        <v>-0.13670495864849588</v>
      </c>
      <c r="Y110">
        <f t="shared" si="44"/>
        <v>3.181612164200164</v>
      </c>
      <c r="Z110">
        <f>(V110-AU110*(AZ110+BA110)/1000)</f>
        <v>3.3543549986536747</v>
      </c>
      <c r="AA110">
        <f t="shared" si="45"/>
        <v>-121.217255585343</v>
      </c>
      <c r="AB110">
        <f>2*29.3*P110*0.92*(BB110-U110)</f>
        <v>-24.375901996549725</v>
      </c>
      <c r="AC110">
        <f>2*0.95*0.0000000567*(((BB110+$B$7)+273)^4-(U110+273)^4)</f>
        <v>-2.158359397613125</v>
      </c>
      <c r="AD110">
        <f t="shared" si="46"/>
        <v>-147.65319513770584</v>
      </c>
      <c r="AE110">
        <v>20</v>
      </c>
      <c r="AF110">
        <v>4</v>
      </c>
      <c r="AG110">
        <f t="shared" si="47"/>
        <v>1</v>
      </c>
      <c r="AH110">
        <f t="shared" si="48"/>
        <v>0</v>
      </c>
      <c r="AI110">
        <f t="shared" si="49"/>
        <v>25741.878638069909</v>
      </c>
      <c r="AJ110">
        <f t="shared" si="50"/>
        <v>0.5145046666666665</v>
      </c>
      <c r="AK110">
        <f t="shared" si="51"/>
        <v>0.41160373333333322</v>
      </c>
      <c r="AL110">
        <f t="shared" si="52"/>
        <v>0.8</v>
      </c>
      <c r="AM110">
        <f t="shared" si="53"/>
        <v>0.19109999999999999</v>
      </c>
      <c r="AN110">
        <v>3</v>
      </c>
      <c r="AO110">
        <v>0.5</v>
      </c>
      <c r="AP110" t="s">
        <v>317</v>
      </c>
      <c r="AQ110">
        <v>2</v>
      </c>
      <c r="AR110">
        <v>1775469623.75</v>
      </c>
      <c r="AS110">
        <v>17.20991452380952</v>
      </c>
      <c r="AT110">
        <v>16.231040476190479</v>
      </c>
      <c r="AU110">
        <v>-1.3653173809523811</v>
      </c>
      <c r="AV110">
        <v>-3.016726666666667</v>
      </c>
      <c r="AW110">
        <v>9.1499145238095245</v>
      </c>
      <c r="AX110">
        <v>-1.8327266666666671</v>
      </c>
      <c r="AY110">
        <v>500.01719047619048</v>
      </c>
      <c r="AZ110">
        <v>100.08140476190481</v>
      </c>
      <c r="BA110">
        <v>4.5467242857142848E-2</v>
      </c>
      <c r="BB110">
        <v>25.010202380952379</v>
      </c>
      <c r="BC110">
        <v>25.199271428571429</v>
      </c>
      <c r="BD110">
        <v>999.90000000000009</v>
      </c>
      <c r="BE110">
        <v>0</v>
      </c>
      <c r="BF110">
        <v>0</v>
      </c>
      <c r="BG110">
        <v>5004.6428571428569</v>
      </c>
      <c r="BH110">
        <v>0.5145046666666665</v>
      </c>
      <c r="BI110">
        <v>90.828626190476186</v>
      </c>
      <c r="BJ110">
        <v>0.96746734999999973</v>
      </c>
      <c r="BK110">
        <v>17.146790476190478</v>
      </c>
      <c r="BL110">
        <v>16.2089</v>
      </c>
      <c r="BM110">
        <v>-1.6501399999999999</v>
      </c>
      <c r="BN110">
        <v>16.231040476190479</v>
      </c>
      <c r="BO110">
        <v>-1.3653173809523811</v>
      </c>
      <c r="BP110">
        <v>-0.30179114285714292</v>
      </c>
      <c r="BQ110">
        <v>-0.13664273809523811</v>
      </c>
      <c r="BR110">
        <v>-99.9</v>
      </c>
      <c r="BS110">
        <v>-99.9</v>
      </c>
      <c r="BT110">
        <v>1775469670</v>
      </c>
      <c r="BU110" t="s">
        <v>605</v>
      </c>
      <c r="BV110">
        <v>1775469668.5</v>
      </c>
      <c r="BW110">
        <v>1775469670</v>
      </c>
      <c r="BX110">
        <v>95</v>
      </c>
      <c r="BY110">
        <v>1.0999999999999999E-2</v>
      </c>
      <c r="BZ110">
        <v>-1E-3</v>
      </c>
      <c r="CA110">
        <v>8.06</v>
      </c>
      <c r="CB110">
        <v>-1.1839999999999999</v>
      </c>
      <c r="CC110">
        <v>15</v>
      </c>
      <c r="CD110">
        <v>-1</v>
      </c>
      <c r="CE110">
        <v>0.25</v>
      </c>
      <c r="CF110">
        <v>0.05</v>
      </c>
      <c r="CG110">
        <v>15.732871666666661</v>
      </c>
      <c r="CH110">
        <v>5.5777303695471314</v>
      </c>
      <c r="CI110">
        <v>0.93536284850526807</v>
      </c>
      <c r="CJ110">
        <v>-1</v>
      </c>
      <c r="CK110">
        <v>500.2745833333334</v>
      </c>
      <c r="CL110">
        <v>-2.8121978327296131</v>
      </c>
      <c r="CM110">
        <v>0.85416692926825033</v>
      </c>
      <c r="CN110">
        <v>-1</v>
      </c>
      <c r="CO110">
        <v>0</v>
      </c>
      <c r="CP110">
        <v>0</v>
      </c>
      <c r="CQ110" t="s">
        <v>319</v>
      </c>
      <c r="CR110">
        <v>3.1673800000000001</v>
      </c>
      <c r="CS110">
        <v>2.6655799999999998</v>
      </c>
      <c r="CT110">
        <v>2.95203E-3</v>
      </c>
      <c r="CU110">
        <v>4.8343099999999996E-3</v>
      </c>
      <c r="CV110">
        <v>-1.7154099999999999E-2</v>
      </c>
      <c r="CW110">
        <v>-1.2064800000000001E-2</v>
      </c>
      <c r="CX110">
        <v>21498.799999999999</v>
      </c>
      <c r="CY110">
        <v>21839.7</v>
      </c>
      <c r="CZ110">
        <v>23091</v>
      </c>
      <c r="DA110">
        <v>22299.8</v>
      </c>
      <c r="DB110">
        <v>30291.599999999999</v>
      </c>
      <c r="DC110">
        <v>26918.2</v>
      </c>
      <c r="DD110">
        <v>40590.6</v>
      </c>
      <c r="DE110">
        <v>36960.1</v>
      </c>
      <c r="DF110">
        <v>2.0657199999999998</v>
      </c>
      <c r="DG110">
        <v>1.77454</v>
      </c>
      <c r="DH110">
        <v>-3.8576100000000002E-2</v>
      </c>
      <c r="DI110">
        <v>0</v>
      </c>
      <c r="DJ110">
        <v>25.8293</v>
      </c>
      <c r="DK110">
        <v>999.9</v>
      </c>
      <c r="DL110">
        <v>71.599999999999994</v>
      </c>
      <c r="DM110">
        <v>31.9</v>
      </c>
      <c r="DN110">
        <v>33.966799999999999</v>
      </c>
      <c r="DO110">
        <v>30.8155</v>
      </c>
      <c r="DP110">
        <v>11.009600000000001</v>
      </c>
      <c r="DQ110">
        <v>1</v>
      </c>
      <c r="DR110">
        <v>0.25237799999999999</v>
      </c>
      <c r="DS110">
        <v>1.81189</v>
      </c>
      <c r="DT110">
        <v>20.356400000000001</v>
      </c>
      <c r="DU110">
        <v>5.2095000000000002</v>
      </c>
      <c r="DV110">
        <v>11.8492</v>
      </c>
      <c r="DW110">
        <v>4.9674800000000001</v>
      </c>
      <c r="DX110">
        <v>3.2924000000000002</v>
      </c>
      <c r="DY110">
        <v>894.7</v>
      </c>
      <c r="DZ110">
        <v>0</v>
      </c>
      <c r="EA110">
        <v>2927.4</v>
      </c>
      <c r="EB110">
        <v>108.2</v>
      </c>
      <c r="EC110">
        <v>4.9716199999999997</v>
      </c>
      <c r="ED110">
        <v>1.87185</v>
      </c>
      <c r="EE110">
        <v>1.8690500000000001</v>
      </c>
      <c r="EF110">
        <v>1.8713900000000001</v>
      </c>
      <c r="EG110">
        <v>1.8692</v>
      </c>
      <c r="EH110">
        <v>1.8681300000000001</v>
      </c>
      <c r="EI110">
        <v>1.8699600000000001</v>
      </c>
      <c r="EJ110">
        <v>1.87178</v>
      </c>
      <c r="EK110">
        <v>0</v>
      </c>
      <c r="EL110">
        <v>0</v>
      </c>
      <c r="EM110">
        <v>0</v>
      </c>
      <c r="EN110">
        <v>0</v>
      </c>
      <c r="EO110" t="s">
        <v>320</v>
      </c>
      <c r="EP110" t="s">
        <v>321</v>
      </c>
      <c r="EQ110" t="s">
        <v>322</v>
      </c>
      <c r="ER110" t="s">
        <v>322</v>
      </c>
      <c r="ES110" t="s">
        <v>322</v>
      </c>
      <c r="ET110" t="s">
        <v>322</v>
      </c>
      <c r="EU110">
        <v>0</v>
      </c>
      <c r="EV110">
        <v>100</v>
      </c>
      <c r="EW110">
        <v>100</v>
      </c>
      <c r="EX110">
        <v>8.06</v>
      </c>
      <c r="EY110">
        <v>-1.1839999999999999</v>
      </c>
      <c r="EZ110">
        <v>8.0485875000000053</v>
      </c>
      <c r="FA110">
        <v>0</v>
      </c>
      <c r="FB110">
        <v>0</v>
      </c>
      <c r="FC110">
        <v>0</v>
      </c>
      <c r="FD110">
        <v>-1.18272965</v>
      </c>
      <c r="FE110">
        <v>0</v>
      </c>
      <c r="FF110">
        <v>0</v>
      </c>
      <c r="FG110">
        <v>0</v>
      </c>
      <c r="FH110">
        <v>-1</v>
      </c>
      <c r="FI110">
        <v>-1</v>
      </c>
      <c r="FJ110">
        <v>-1</v>
      </c>
      <c r="FK110">
        <v>-1</v>
      </c>
      <c r="FL110">
        <v>0.6</v>
      </c>
      <c r="FM110">
        <v>0.6</v>
      </c>
      <c r="FN110">
        <v>0.14160200000000001</v>
      </c>
      <c r="FO110">
        <v>4.99756</v>
      </c>
      <c r="FP110">
        <v>1.5979000000000001</v>
      </c>
      <c r="FQ110">
        <v>2.1472199999999999</v>
      </c>
      <c r="FR110">
        <v>1.5478499999999999</v>
      </c>
      <c r="FS110">
        <v>2.4487299999999999</v>
      </c>
      <c r="FT110">
        <v>35.871099999999998</v>
      </c>
      <c r="FU110">
        <v>15.0952</v>
      </c>
      <c r="FV110">
        <v>2</v>
      </c>
      <c r="FW110">
        <v>489.61200000000002</v>
      </c>
      <c r="FX110">
        <v>394.89499999999998</v>
      </c>
      <c r="FY110">
        <v>24.373200000000001</v>
      </c>
      <c r="FZ110">
        <v>30.327999999999999</v>
      </c>
      <c r="GA110">
        <v>29.9998</v>
      </c>
      <c r="GB110">
        <v>30.683599999999998</v>
      </c>
      <c r="GC110">
        <v>30.750699999999998</v>
      </c>
      <c r="GD110">
        <v>-1</v>
      </c>
      <c r="GE110">
        <v>0</v>
      </c>
      <c r="GF110">
        <v>100</v>
      </c>
      <c r="GG110">
        <v>24.366199999999999</v>
      </c>
      <c r="GH110">
        <v>432.1</v>
      </c>
      <c r="GI110">
        <v>78.840199999999996</v>
      </c>
      <c r="GJ110">
        <v>102.16500000000001</v>
      </c>
      <c r="GK110">
        <v>96.439099999999996</v>
      </c>
    </row>
    <row r="111" spans="1:193" x14ac:dyDescent="0.35">
      <c r="A111">
        <v>95</v>
      </c>
      <c r="B111">
        <v>1775469694.5</v>
      </c>
      <c r="C111">
        <v>5738.4000000953674</v>
      </c>
      <c r="D111" t="s">
        <v>606</v>
      </c>
      <c r="E111" t="s">
        <v>607</v>
      </c>
      <c r="F111">
        <v>60</v>
      </c>
      <c r="G111">
        <v>1775469682.25</v>
      </c>
      <c r="H111">
        <f t="shared" si="36"/>
        <v>2.3203416131686743E-3</v>
      </c>
      <c r="I111">
        <f>1000*AY111*AG111*(AU111-AV111)/(100*AN111*(1000-AG111*AU111))</f>
        <v>2.3203416131686745</v>
      </c>
      <c r="J111">
        <f>AY111*AG111*(AT111-AS111*(1000-AG111*AV111)/(1000-AG111*AU111))/(100*AN111)</f>
        <v>-2.003597242947694</v>
      </c>
      <c r="K111">
        <f t="shared" si="37"/>
        <v>17.32718083333333</v>
      </c>
      <c r="L111">
        <f t="shared" si="38"/>
        <v>62.05771380205649</v>
      </c>
      <c r="M111">
        <f>L111*(AZ111+BA111)/1000</f>
        <v>6.2137908844611758</v>
      </c>
      <c r="N111">
        <f>(AS111 - IF(AG111&gt;1, J111*AN111*100/(AI111), 0))*(AZ111+BA111)/1000</f>
        <v>1.7349572151336508</v>
      </c>
      <c r="O111">
        <f t="shared" si="39"/>
        <v>6.9314977832286045E-2</v>
      </c>
      <c r="P111">
        <f>IF(LEFT(AP111,1)&lt;&gt;"0",IF(LEFT(AP111,1)="1",3,AQ111),$D$5+$E$5*(BG111*AZ111/($K$5*1000))+$F$5*(BG111*AZ111/($K$5*1000))*MAX(MIN(AN111,$J$5),$I$5)*MAX(MIN(AN111,$J$5),$I$5)+$G$5*MAX(MIN(AN111,$J$5),$I$5)*(BG111*AZ111/($K$5*1000))+$H$5*(BG111*AZ111/($K$5*1000))*(BG111*AZ111/($K$5*1000)))</f>
        <v>2.3927044773181252</v>
      </c>
      <c r="Q111">
        <f>H111*(1000-(1000*0.61365*EXP(17.502*U111/(240.97+U111))/(AZ111+BA111)+AU111)/2)/(1000*0.61365*EXP(17.502*U111/(240.97+U111))/(AZ111+BA111)-AU111)</f>
        <v>6.8218461675913347E-2</v>
      </c>
      <c r="R111">
        <f t="shared" si="40"/>
        <v>4.2733611223557601E-2</v>
      </c>
      <c r="S111">
        <f t="shared" si="41"/>
        <v>9.7432569893750001E-2</v>
      </c>
      <c r="T111">
        <f>(BB111+(S111+2*0.95*0.0000000567*(((BB111+$B$7)+273)^4-(BB111+273)^4)-44100*H111)/(1.84*29.3*P111+8*0.95*0.0000000567*(BB111+273)^3))</f>
        <v>24.272698263997686</v>
      </c>
      <c r="U111">
        <f>($C$7*BC111+$D$7*BD111+$E$7*T111)</f>
        <v>25.202518749999999</v>
      </c>
      <c r="V111">
        <f t="shared" si="42"/>
        <v>3.2182721047522711</v>
      </c>
      <c r="W111">
        <f t="shared" si="43"/>
        <v>-4.2463580399676504</v>
      </c>
      <c r="X111">
        <f>AU111*(AZ111+BA111)/1000</f>
        <v>-0.13502720329870491</v>
      </c>
      <c r="Y111">
        <f t="shared" si="44"/>
        <v>3.1798355679808279</v>
      </c>
      <c r="Z111">
        <f>(V111-AU111*(AZ111+BA111)/1000)</f>
        <v>3.3532993080509761</v>
      </c>
      <c r="AA111">
        <f t="shared" si="45"/>
        <v>-102.32706514073854</v>
      </c>
      <c r="AB111">
        <f>2*29.3*P111*0.92*(BB111-U111)</f>
        <v>-26.01650789452496</v>
      </c>
      <c r="AC111">
        <f>2*0.95*0.0000000567*(((BB111+$B$7)+273)^4-(U111+273)^4)</f>
        <v>-2.3023134518242769</v>
      </c>
      <c r="AD111">
        <f t="shared" si="46"/>
        <v>-130.54845391719402</v>
      </c>
      <c r="AE111">
        <v>21</v>
      </c>
      <c r="AF111">
        <v>4</v>
      </c>
      <c r="AG111">
        <f t="shared" si="47"/>
        <v>1</v>
      </c>
      <c r="AH111">
        <f t="shared" si="48"/>
        <v>0</v>
      </c>
      <c r="AI111">
        <f t="shared" si="49"/>
        <v>25762.427093827013</v>
      </c>
      <c r="AJ111">
        <f t="shared" si="50"/>
        <v>0.5098512291666667</v>
      </c>
      <c r="AK111">
        <f t="shared" si="51"/>
        <v>0.40788098333333339</v>
      </c>
      <c r="AL111">
        <f t="shared" si="52"/>
        <v>0.8</v>
      </c>
      <c r="AM111">
        <f t="shared" si="53"/>
        <v>0.19109999999999999</v>
      </c>
      <c r="AN111">
        <v>3</v>
      </c>
      <c r="AO111">
        <v>0.5</v>
      </c>
      <c r="AP111" t="s">
        <v>317</v>
      </c>
      <c r="AQ111">
        <v>2</v>
      </c>
      <c r="AR111">
        <v>1775469682.25</v>
      </c>
      <c r="AS111">
        <v>17.32718083333333</v>
      </c>
      <c r="AT111">
        <v>16.151260416666659</v>
      </c>
      <c r="AU111">
        <v>-1.348529375</v>
      </c>
      <c r="AV111">
        <v>-2.7401089583333329</v>
      </c>
      <c r="AW111">
        <v>9.2461808333333337</v>
      </c>
      <c r="AX111">
        <v>-1.5560972500000001</v>
      </c>
      <c r="AY111">
        <v>500.89927083333328</v>
      </c>
      <c r="AZ111">
        <v>100.08199999999999</v>
      </c>
      <c r="BA111">
        <v>4.7226549999999999E-2</v>
      </c>
      <c r="BB111">
        <v>25.000833333333329</v>
      </c>
      <c r="BC111">
        <v>25.202518749999999</v>
      </c>
      <c r="BD111">
        <v>999.9</v>
      </c>
      <c r="BE111">
        <v>0</v>
      </c>
      <c r="BF111">
        <v>0</v>
      </c>
      <c r="BG111">
        <v>5007.9375</v>
      </c>
      <c r="BH111">
        <v>0.5098512291666667</v>
      </c>
      <c r="BI111">
        <v>87.35139791666667</v>
      </c>
      <c r="BJ111">
        <v>1.154744527083333</v>
      </c>
      <c r="BK111">
        <v>17.25824166666667</v>
      </c>
      <c r="BL111">
        <v>16.12950833333333</v>
      </c>
      <c r="BM111">
        <v>-1.391579958104167</v>
      </c>
      <c r="BN111">
        <v>16.151260416666659</v>
      </c>
      <c r="BO111">
        <v>-1.348529375</v>
      </c>
      <c r="BP111">
        <v>-0.27423520833333331</v>
      </c>
      <c r="BQ111">
        <v>-0.1349634166666667</v>
      </c>
      <c r="BR111">
        <v>-99.899999999999991</v>
      </c>
      <c r="BS111">
        <v>-99.899999999999991</v>
      </c>
      <c r="BT111">
        <v>1775469720.5</v>
      </c>
      <c r="BU111" t="s">
        <v>608</v>
      </c>
      <c r="BV111">
        <v>1775469720.5</v>
      </c>
      <c r="BW111">
        <v>1775469670</v>
      </c>
      <c r="BX111">
        <v>96</v>
      </c>
      <c r="BY111">
        <v>2.1000000000000001E-2</v>
      </c>
      <c r="BZ111">
        <v>-1E-3</v>
      </c>
      <c r="CA111">
        <v>8.0809999999999995</v>
      </c>
      <c r="CB111">
        <v>-1.1839999999999999</v>
      </c>
      <c r="CC111">
        <v>16</v>
      </c>
      <c r="CD111">
        <v>-1</v>
      </c>
      <c r="CE111">
        <v>1.17</v>
      </c>
      <c r="CF111">
        <v>0.05</v>
      </c>
      <c r="CG111">
        <v>15.99737333333333</v>
      </c>
      <c r="CH111">
        <v>1.165739149763841</v>
      </c>
      <c r="CI111">
        <v>1.3762162252430481</v>
      </c>
      <c r="CJ111">
        <v>-1</v>
      </c>
      <c r="CK111">
        <v>500.72531666666669</v>
      </c>
      <c r="CL111">
        <v>-2.3873998332858082</v>
      </c>
      <c r="CM111">
        <v>1.3844648242993469</v>
      </c>
      <c r="CN111">
        <v>-1</v>
      </c>
      <c r="CO111">
        <v>0</v>
      </c>
      <c r="CP111">
        <v>0</v>
      </c>
      <c r="CQ111" t="s">
        <v>319</v>
      </c>
      <c r="CR111">
        <v>3.1675599999999999</v>
      </c>
      <c r="CS111">
        <v>2.66648</v>
      </c>
      <c r="CT111">
        <v>2.7923700000000002E-3</v>
      </c>
      <c r="CU111">
        <v>4.5056499999999999E-3</v>
      </c>
      <c r="CV111">
        <v>-1.6719100000000001E-2</v>
      </c>
      <c r="CW111">
        <v>-1.17194E-2</v>
      </c>
      <c r="CX111">
        <v>21503</v>
      </c>
      <c r="CY111">
        <v>21847.7</v>
      </c>
      <c r="CZ111">
        <v>23091.7</v>
      </c>
      <c r="DA111">
        <v>22300.5</v>
      </c>
      <c r="DB111">
        <v>30279.5</v>
      </c>
      <c r="DC111">
        <v>26910.2</v>
      </c>
      <c r="DD111">
        <v>40591.599999999999</v>
      </c>
      <c r="DE111">
        <v>36961.599999999999</v>
      </c>
      <c r="DF111">
        <v>2.0657000000000001</v>
      </c>
      <c r="DG111">
        <v>1.77468</v>
      </c>
      <c r="DH111">
        <v>-3.8820500000000001E-2</v>
      </c>
      <c r="DI111">
        <v>0</v>
      </c>
      <c r="DJ111">
        <v>25.841200000000001</v>
      </c>
      <c r="DK111">
        <v>999.9</v>
      </c>
      <c r="DL111">
        <v>71.599999999999994</v>
      </c>
      <c r="DM111">
        <v>31.9</v>
      </c>
      <c r="DN111">
        <v>33.9664</v>
      </c>
      <c r="DO111">
        <v>30.7255</v>
      </c>
      <c r="DP111">
        <v>10.5609</v>
      </c>
      <c r="DQ111">
        <v>1</v>
      </c>
      <c r="DR111">
        <v>0.24934100000000001</v>
      </c>
      <c r="DS111">
        <v>1.6418200000000001</v>
      </c>
      <c r="DT111">
        <v>20.358499999999999</v>
      </c>
      <c r="DU111">
        <v>5.2111799999999997</v>
      </c>
      <c r="DV111">
        <v>11.849299999999999</v>
      </c>
      <c r="DW111">
        <v>4.9678000000000004</v>
      </c>
      <c r="DX111">
        <v>3.2928600000000001</v>
      </c>
      <c r="DY111">
        <v>894.7</v>
      </c>
      <c r="DZ111">
        <v>0</v>
      </c>
      <c r="EA111">
        <v>2960.4</v>
      </c>
      <c r="EB111">
        <v>108.2</v>
      </c>
      <c r="EC111">
        <v>4.9715800000000003</v>
      </c>
      <c r="ED111">
        <v>1.87181</v>
      </c>
      <c r="EE111">
        <v>1.8690500000000001</v>
      </c>
      <c r="EF111">
        <v>1.87141</v>
      </c>
      <c r="EG111">
        <v>1.8692</v>
      </c>
      <c r="EH111">
        <v>1.86812</v>
      </c>
      <c r="EI111">
        <v>1.8699399999999999</v>
      </c>
      <c r="EJ111">
        <v>1.8717200000000001</v>
      </c>
      <c r="EK111">
        <v>0</v>
      </c>
      <c r="EL111">
        <v>0</v>
      </c>
      <c r="EM111">
        <v>0</v>
      </c>
      <c r="EN111">
        <v>0</v>
      </c>
      <c r="EO111" t="s">
        <v>320</v>
      </c>
      <c r="EP111" t="s">
        <v>321</v>
      </c>
      <c r="EQ111" t="s">
        <v>322</v>
      </c>
      <c r="ER111" t="s">
        <v>322</v>
      </c>
      <c r="ES111" t="s">
        <v>322</v>
      </c>
      <c r="ET111" t="s">
        <v>322</v>
      </c>
      <c r="EU111">
        <v>0</v>
      </c>
      <c r="EV111">
        <v>100</v>
      </c>
      <c r="EW111">
        <v>100</v>
      </c>
      <c r="EX111">
        <v>8.0809999999999995</v>
      </c>
      <c r="EY111">
        <v>-1.1839999999999999</v>
      </c>
      <c r="EZ111">
        <v>8.059827499999999</v>
      </c>
      <c r="FA111">
        <v>0</v>
      </c>
      <c r="FB111">
        <v>0</v>
      </c>
      <c r="FC111">
        <v>0</v>
      </c>
      <c r="FD111">
        <v>-1.1840113809523809</v>
      </c>
      <c r="FE111">
        <v>0</v>
      </c>
      <c r="FF111">
        <v>0</v>
      </c>
      <c r="FG111">
        <v>0</v>
      </c>
      <c r="FH111">
        <v>-1</v>
      </c>
      <c r="FI111">
        <v>-1</v>
      </c>
      <c r="FJ111">
        <v>-1</v>
      </c>
      <c r="FK111">
        <v>-1</v>
      </c>
      <c r="FL111">
        <v>0.4</v>
      </c>
      <c r="FM111">
        <v>0.4</v>
      </c>
      <c r="FN111">
        <v>0.14160200000000001</v>
      </c>
      <c r="FO111">
        <v>4.99756</v>
      </c>
      <c r="FP111">
        <v>1.5979000000000001</v>
      </c>
      <c r="FQ111">
        <v>2.1484399999999999</v>
      </c>
      <c r="FR111">
        <v>1.5478499999999999</v>
      </c>
      <c r="FS111">
        <v>2.3828100000000001</v>
      </c>
      <c r="FT111">
        <v>35.824399999999997</v>
      </c>
      <c r="FU111">
        <v>15.068899999999999</v>
      </c>
      <c r="FV111">
        <v>2</v>
      </c>
      <c r="FW111">
        <v>489.36599999999999</v>
      </c>
      <c r="FX111">
        <v>394.79300000000001</v>
      </c>
      <c r="FY111">
        <v>24.4696</v>
      </c>
      <c r="FZ111">
        <v>30.2988</v>
      </c>
      <c r="GA111">
        <v>29.9999</v>
      </c>
      <c r="GB111">
        <v>30.6523</v>
      </c>
      <c r="GC111">
        <v>30.722000000000001</v>
      </c>
      <c r="GD111">
        <v>-1</v>
      </c>
      <c r="GE111">
        <v>0</v>
      </c>
      <c r="GF111">
        <v>100</v>
      </c>
      <c r="GG111">
        <v>24.472000000000001</v>
      </c>
      <c r="GH111">
        <v>432.1</v>
      </c>
      <c r="GI111">
        <v>78.840199999999996</v>
      </c>
      <c r="GJ111">
        <v>102.167</v>
      </c>
      <c r="GK111">
        <v>96.442599999999999</v>
      </c>
    </row>
    <row r="112" spans="1:193" s="1" customFormat="1" x14ac:dyDescent="0.35">
      <c r="A112" s="1">
        <v>96</v>
      </c>
      <c r="B112" s="1">
        <v>1775469754.5</v>
      </c>
      <c r="C112" s="1">
        <v>5798.4000000953674</v>
      </c>
      <c r="D112" s="1" t="s">
        <v>609</v>
      </c>
      <c r="E112" s="1" t="s">
        <v>610</v>
      </c>
      <c r="F112" s="1">
        <v>60</v>
      </c>
      <c r="G112" s="1">
        <v>1775469737.5</v>
      </c>
      <c r="H112" s="1">
        <f t="shared" si="36"/>
        <v>2.4744510350126849E-3</v>
      </c>
      <c r="I112" s="1">
        <f>1000*AY112*AG112*(AU112-AV112)/(100*AN112*(1000-AG112*AU112))</f>
        <v>2.4744510350126849</v>
      </c>
      <c r="J112" s="1">
        <f>AY112*AG112*(AT112-AS112*(1000-AG112*AV112)/(1000-AG112*AU112))/(100*AN112)</f>
        <v>-2.987752726941689</v>
      </c>
      <c r="K112" s="1">
        <f t="shared" si="37"/>
        <v>16.52273746268656</v>
      </c>
      <c r="L112" s="1">
        <f t="shared" si="38"/>
        <v>79.446569511199328</v>
      </c>
      <c r="M112" s="1">
        <f>L112*(AZ112+BA112)/1000</f>
        <v>7.9551598076488217</v>
      </c>
      <c r="N112" s="1">
        <f>(AS112 - IF(AG112&gt;1, J112*AN112*100/(AI112), 0))*(AZ112+BA112)/1000</f>
        <v>1.6544580563288989</v>
      </c>
      <c r="O112" s="1">
        <f t="shared" si="39"/>
        <v>7.402509076142702E-2</v>
      </c>
      <c r="P112" s="1">
        <f>IF(LEFT(AP112,1)&lt;&gt;"0",IF(LEFT(AP112,1)="1",3,AQ112),$D$5+$E$5*(BG112*AZ112/($K$5*1000))+$F$5*(BG112*AZ112/($K$5*1000))*MAX(MIN(AN112,$J$5),$I$5)*MAX(MIN(AN112,$J$5),$I$5)+$G$5*MAX(MIN(AN112,$J$5),$I$5)*(BG112*AZ112/($K$5*1000))+$H$5*(BG112*AZ112/($K$5*1000))*(BG112*AZ112/($K$5*1000)))</f>
        <v>2.3914059999320112</v>
      </c>
      <c r="Q112" s="1">
        <f>H112*(1000-(1000*0.61365*EXP(17.502*U112/(240.97+U112))/(AZ112+BA112)+AU112)/2)/(1000*0.61365*EXP(17.502*U112/(240.97+U112))/(AZ112+BA112)-AU112)</f>
        <v>7.2775271578271683E-2</v>
      </c>
      <c r="R112" s="1">
        <f t="shared" si="40"/>
        <v>4.5595078336046896E-2</v>
      </c>
      <c r="S112" s="1">
        <f t="shared" si="41"/>
        <v>9.6123550997014917E-2</v>
      </c>
      <c r="T112" s="1">
        <f>(BB112+(S112+2*0.95*0.0000000567*(((BB112+$B$7)+273)^4-(BB112+273)^4)-44100*H112)/(1.84*29.3*P112+8*0.95*0.0000000567*(BB112+273)^3))</f>
        <v>24.216355525598512</v>
      </c>
      <c r="U112" s="1">
        <f>($C$7*BC112+$D$7*BD112+$E$7*T112)</f>
        <v>25.212973134328362</v>
      </c>
      <c r="V112" s="1">
        <f t="shared" si="42"/>
        <v>3.2202754856731897</v>
      </c>
      <c r="W112" s="1">
        <f t="shared" si="43"/>
        <v>-4.1479983469744122</v>
      </c>
      <c r="X112" s="1">
        <f>AU112*(AZ112+BA112)/1000</f>
        <v>-0.13184028696068048</v>
      </c>
      <c r="Y112" s="1">
        <f t="shared" si="44"/>
        <v>3.1784074132248867</v>
      </c>
      <c r="Z112" s="1">
        <f>(V112-AU112*(AZ112+BA112)/1000)</f>
        <v>3.3521157726338702</v>
      </c>
      <c r="AA112" s="1">
        <f t="shared" si="45"/>
        <v>-109.12329064405941</v>
      </c>
      <c r="AB112" s="1">
        <f>2*29.3*P112*0.92*(BB112-U112)</f>
        <v>-28.321656771423928</v>
      </c>
      <c r="AC112" s="1">
        <f>2*0.95*0.0000000567*(((BB112+$B$7)+273)^4-(U112+273)^4)</f>
        <v>-2.5077038173086059</v>
      </c>
      <c r="AD112" s="1">
        <f t="shared" si="46"/>
        <v>-139.85652768179492</v>
      </c>
      <c r="AE112" s="1">
        <v>20</v>
      </c>
      <c r="AF112" s="1">
        <v>4</v>
      </c>
      <c r="AG112" s="1">
        <f t="shared" si="47"/>
        <v>1</v>
      </c>
      <c r="AH112" s="1">
        <f t="shared" si="48"/>
        <v>0</v>
      </c>
      <c r="AI112" s="1">
        <f t="shared" si="49"/>
        <v>25743.037118089833</v>
      </c>
      <c r="AJ112" s="1">
        <f t="shared" si="50"/>
        <v>0.50300131343283583</v>
      </c>
      <c r="AK112" s="1">
        <f t="shared" si="51"/>
        <v>0.4024010507462687</v>
      </c>
      <c r="AL112" s="1">
        <f t="shared" si="52"/>
        <v>0.8</v>
      </c>
      <c r="AM112" s="1">
        <f t="shared" si="53"/>
        <v>0.19109999999999999</v>
      </c>
      <c r="AN112" s="1">
        <v>3</v>
      </c>
      <c r="AO112" s="1">
        <v>0.5</v>
      </c>
      <c r="AP112" s="1" t="s">
        <v>317</v>
      </c>
      <c r="AQ112" s="1">
        <v>2</v>
      </c>
      <c r="AR112" s="1">
        <v>1775469737.5</v>
      </c>
      <c r="AS112" s="1">
        <v>16.52273746268656</v>
      </c>
      <c r="AT112" s="1">
        <v>14.756964179104481</v>
      </c>
      <c r="AU112" s="1">
        <v>-1.3166622388059701</v>
      </c>
      <c r="AV112" s="1">
        <v>-2.8013138805970148</v>
      </c>
      <c r="AW112" s="1">
        <v>8.499737462686566</v>
      </c>
      <c r="AX112" s="1">
        <v>-1.6173033582089551</v>
      </c>
      <c r="AY112" s="1">
        <v>500.66473134328351</v>
      </c>
      <c r="AZ112" s="1">
        <v>100.08577611940299</v>
      </c>
      <c r="BA112" s="1">
        <v>4.6424132835820892E-2</v>
      </c>
      <c r="BB112" s="1">
        <v>24.99329850746269</v>
      </c>
      <c r="BC112" s="1">
        <v>25.212973134328362</v>
      </c>
      <c r="BD112" s="1">
        <v>999.89999999999986</v>
      </c>
      <c r="BE112" s="1">
        <v>0</v>
      </c>
      <c r="BF112" s="1">
        <v>0</v>
      </c>
      <c r="BG112" s="1">
        <v>5004.4029850746256</v>
      </c>
      <c r="BH112" s="1">
        <v>0.50300131343283583</v>
      </c>
      <c r="BI112" s="1">
        <v>84.040562686567171</v>
      </c>
      <c r="BJ112" s="1">
        <v>1.8234715895522391</v>
      </c>
      <c r="BK112" s="1">
        <v>16.533992537313431</v>
      </c>
      <c r="BL112" s="1">
        <v>14.73755223880597</v>
      </c>
      <c r="BM112" s="1">
        <v>-1.48465186119403</v>
      </c>
      <c r="BN112" s="1">
        <v>14.756964179104481</v>
      </c>
      <c r="BO112" s="1">
        <v>-1.3166622388059701</v>
      </c>
      <c r="BP112" s="1">
        <v>-0.28037188059701501</v>
      </c>
      <c r="BQ112" s="1">
        <v>-0.1317791492537313</v>
      </c>
      <c r="BR112" s="1">
        <v>-99.899999999999977</v>
      </c>
      <c r="BS112" s="1">
        <v>-99.899999999999977</v>
      </c>
      <c r="BT112" s="1">
        <v>1775469786.5</v>
      </c>
      <c r="BU112" s="1" t="s">
        <v>611</v>
      </c>
      <c r="BV112" s="1">
        <v>1775469786.5</v>
      </c>
      <c r="BW112" s="1">
        <v>1775469670</v>
      </c>
      <c r="BX112" s="1">
        <v>97</v>
      </c>
      <c r="BY112" s="1">
        <v>-5.8000000000000003E-2</v>
      </c>
      <c r="BZ112" s="1">
        <v>-1E-3</v>
      </c>
      <c r="CA112" s="1">
        <v>8.0229999999999997</v>
      </c>
      <c r="CB112" s="1">
        <v>-1.1839999999999999</v>
      </c>
      <c r="CC112" s="1">
        <v>16</v>
      </c>
      <c r="CD112" s="1">
        <v>-1</v>
      </c>
      <c r="CE112" s="1">
        <v>0.82</v>
      </c>
      <c r="CF112" s="1">
        <v>0.05</v>
      </c>
      <c r="CG112" s="1">
        <v>14.72666065573771</v>
      </c>
      <c r="CH112" s="1">
        <v>-2.5659839238498279</v>
      </c>
      <c r="CI112" s="1">
        <v>0.39779042397077491</v>
      </c>
      <c r="CJ112" s="1">
        <v>-1</v>
      </c>
      <c r="CK112" s="1">
        <v>500.66085245901633</v>
      </c>
      <c r="CL112" s="1">
        <v>-6.3053558963508216</v>
      </c>
      <c r="CM112" s="1">
        <v>1.374942572107037</v>
      </c>
      <c r="CN112" s="1">
        <v>-1</v>
      </c>
      <c r="CO112" s="1">
        <v>0</v>
      </c>
      <c r="CP112" s="1">
        <v>0</v>
      </c>
      <c r="CQ112" s="1" t="s">
        <v>319</v>
      </c>
      <c r="CR112" s="1">
        <v>3.1676299999999999</v>
      </c>
      <c r="CS112" s="1">
        <v>2.6666699999999999</v>
      </c>
      <c r="CT112" s="1">
        <v>2.3657999999999999E-3</v>
      </c>
      <c r="CU112" s="1">
        <v>4.2360699999999998E-3</v>
      </c>
      <c r="CV112" s="1">
        <v>-1.6608299999999999E-2</v>
      </c>
      <c r="CW112" s="1">
        <v>-1.15131E-2</v>
      </c>
      <c r="CX112" s="1">
        <v>21512.799999999999</v>
      </c>
      <c r="CY112" s="1">
        <v>21853.8</v>
      </c>
      <c r="CZ112" s="1">
        <v>23092.2</v>
      </c>
      <c r="DA112" s="1">
        <v>22300.6</v>
      </c>
      <c r="DB112" s="1">
        <v>30276.7</v>
      </c>
      <c r="DC112" s="1">
        <v>26905</v>
      </c>
      <c r="DD112" s="1">
        <v>40592.199999999997</v>
      </c>
      <c r="DE112" s="1">
        <v>36962</v>
      </c>
      <c r="DF112" s="1">
        <v>2.06698</v>
      </c>
      <c r="DG112" s="1">
        <v>1.7762199999999999</v>
      </c>
      <c r="DH112" s="1">
        <v>-4.0471600000000003E-2</v>
      </c>
      <c r="DI112" s="1">
        <v>0</v>
      </c>
      <c r="DJ112" s="1">
        <v>25.876799999999999</v>
      </c>
      <c r="DK112" s="1">
        <v>999.9</v>
      </c>
      <c r="DL112" s="1">
        <v>71.7</v>
      </c>
      <c r="DM112" s="1">
        <v>31.9</v>
      </c>
      <c r="DN112" s="1">
        <v>34.013500000000001</v>
      </c>
      <c r="DO112" s="1">
        <v>30.875499999999999</v>
      </c>
      <c r="DP112" s="1">
        <v>10.7011</v>
      </c>
      <c r="DQ112" s="1">
        <v>1</v>
      </c>
      <c r="DR112" s="1">
        <v>0.24762799999999999</v>
      </c>
      <c r="DS112" s="1">
        <v>1.6074900000000001</v>
      </c>
      <c r="DT112" s="1">
        <v>20.358899999999998</v>
      </c>
      <c r="DU112" s="1">
        <v>5.2079500000000003</v>
      </c>
      <c r="DV112" s="1">
        <v>11.850099999999999</v>
      </c>
      <c r="DW112" s="1">
        <v>4.9673999999999996</v>
      </c>
      <c r="DX112" s="1">
        <v>3.2921</v>
      </c>
      <c r="DY112" s="1">
        <v>894.7</v>
      </c>
      <c r="DZ112" s="1">
        <v>0</v>
      </c>
      <c r="EA112" s="1">
        <v>2994.6</v>
      </c>
      <c r="EB112" s="1">
        <v>108.3</v>
      </c>
      <c r="EC112" s="1">
        <v>4.9715800000000003</v>
      </c>
      <c r="ED112" s="1">
        <v>1.87181</v>
      </c>
      <c r="EE112" s="1">
        <v>1.8690500000000001</v>
      </c>
      <c r="EF112" s="1">
        <v>1.8714200000000001</v>
      </c>
      <c r="EG112" s="1">
        <v>1.8692</v>
      </c>
      <c r="EH112" s="1">
        <v>1.8681300000000001</v>
      </c>
      <c r="EI112" s="1">
        <v>1.8699600000000001</v>
      </c>
      <c r="EJ112" s="1">
        <v>1.8717299999999999</v>
      </c>
      <c r="EK112" s="1">
        <v>0</v>
      </c>
      <c r="EL112" s="1">
        <v>0</v>
      </c>
      <c r="EM112" s="1">
        <v>0</v>
      </c>
      <c r="EN112" s="1">
        <v>0</v>
      </c>
      <c r="EO112" s="1" t="s">
        <v>320</v>
      </c>
      <c r="EP112" s="1" t="s">
        <v>321</v>
      </c>
      <c r="EQ112" s="1" t="s">
        <v>322</v>
      </c>
      <c r="ER112" s="1" t="s">
        <v>322</v>
      </c>
      <c r="ES112" s="1" t="s">
        <v>322</v>
      </c>
      <c r="ET112" s="1" t="s">
        <v>322</v>
      </c>
      <c r="EU112" s="1">
        <v>0</v>
      </c>
      <c r="EV112" s="1">
        <v>100</v>
      </c>
      <c r="EW112" s="1">
        <v>100</v>
      </c>
      <c r="EX112" s="1">
        <v>8.0229999999999997</v>
      </c>
      <c r="EY112" s="1">
        <v>-1.1839999999999999</v>
      </c>
      <c r="EZ112" s="1">
        <v>8.0806944999999999</v>
      </c>
      <c r="FA112" s="1">
        <v>0</v>
      </c>
      <c r="FB112" s="1">
        <v>0</v>
      </c>
      <c r="FC112" s="1">
        <v>0</v>
      </c>
      <c r="FD112" s="1">
        <v>-1.1840113809523809</v>
      </c>
      <c r="FE112" s="1">
        <v>0</v>
      </c>
      <c r="FF112" s="1">
        <v>0</v>
      </c>
      <c r="FG112" s="1">
        <v>0</v>
      </c>
      <c r="FH112" s="1">
        <v>-1</v>
      </c>
      <c r="FI112" s="1">
        <v>-1</v>
      </c>
      <c r="FJ112" s="1">
        <v>-1</v>
      </c>
      <c r="FK112" s="1">
        <v>-1</v>
      </c>
      <c r="FL112" s="1">
        <v>0.6</v>
      </c>
      <c r="FM112" s="1">
        <v>1.4</v>
      </c>
      <c r="FN112" s="1">
        <v>0.14160200000000001</v>
      </c>
      <c r="FO112" s="1">
        <v>4.99756</v>
      </c>
      <c r="FP112" s="1">
        <v>1.5979000000000001</v>
      </c>
      <c r="FQ112" s="1">
        <v>2.1484399999999999</v>
      </c>
      <c r="FR112" s="1">
        <v>1.5478499999999999</v>
      </c>
      <c r="FS112" s="1">
        <v>2.36938</v>
      </c>
      <c r="FT112" s="1">
        <v>35.801000000000002</v>
      </c>
      <c r="FU112" s="1">
        <v>15.0602</v>
      </c>
      <c r="FV112" s="1">
        <v>2</v>
      </c>
      <c r="FW112" s="1">
        <v>489.952</v>
      </c>
      <c r="FX112" s="1">
        <v>395.52600000000001</v>
      </c>
      <c r="FY112" s="1">
        <v>24.495100000000001</v>
      </c>
      <c r="FZ112" s="1">
        <v>30.2805</v>
      </c>
      <c r="GA112" s="1">
        <v>30</v>
      </c>
      <c r="GB112" s="1">
        <v>30.632200000000001</v>
      </c>
      <c r="GC112" s="1">
        <v>30.700600000000001</v>
      </c>
      <c r="GD112" s="1">
        <v>-1</v>
      </c>
      <c r="GE112" s="1">
        <v>0</v>
      </c>
      <c r="GF112" s="1">
        <v>100</v>
      </c>
      <c r="GG112" s="1">
        <v>24.501799999999999</v>
      </c>
      <c r="GH112" s="1">
        <v>432.1</v>
      </c>
      <c r="GI112" s="1">
        <v>78.840199999999996</v>
      </c>
      <c r="GJ112" s="1">
        <v>102.169</v>
      </c>
      <c r="GK112" s="1">
        <v>96.4435</v>
      </c>
    </row>
    <row r="113" spans="1:193" x14ac:dyDescent="0.35">
      <c r="A113">
        <v>97</v>
      </c>
      <c r="B113">
        <v>1775469814.5</v>
      </c>
      <c r="C113">
        <v>5858.4000000953674</v>
      </c>
      <c r="D113" t="s">
        <v>612</v>
      </c>
      <c r="E113" t="s">
        <v>613</v>
      </c>
      <c r="F113">
        <v>60</v>
      </c>
      <c r="G113">
        <v>1775469800.5</v>
      </c>
      <c r="H113">
        <f t="shared" ref="H113:H136" si="54">(I113)/1000</f>
        <v>1.5409799157395656E-3</v>
      </c>
      <c r="I113">
        <f>1000*AY113*AG113*(AU113-AV113)/(100*AN113*(1000-AG113*AU113))</f>
        <v>1.5409799157395656</v>
      </c>
      <c r="J113">
        <f>AY113*AG113*(AT113-AS113*(1000-AG113*AV113)/(1000-AG113*AU113))/(100*AN113)</f>
        <v>-0.43595020722255173</v>
      </c>
      <c r="K113">
        <f t="shared" ref="K113:K136" si="55">AS113 - IF(AG113&gt;1, J113*AN113*100/(AI113), 0)</f>
        <v>15.925415454545449</v>
      </c>
      <c r="L113">
        <f t="shared" ref="L113:L136" si="56">((R113-H113/2)*K113-J113)/(R113+H113/2)</f>
        <v>30.817805364864448</v>
      </c>
      <c r="M113">
        <f>L113*(AZ113+BA113)/1000</f>
        <v>3.0859743415007039</v>
      </c>
      <c r="N113">
        <f>(AS113 - IF(AG113&gt;1, J113*AN113*100/(AI113), 0))*(AZ113+BA113)/1000</f>
        <v>1.5947087369984172</v>
      </c>
      <c r="O113">
        <f t="shared" ref="O113:O136" si="57">2/((1/Q113-1/P113)+SIGN(Q113)*SQRT((1/Q113-1/P113)*(1/Q113-1/P113) + 4*AO113/((AO113+1)*(AO113+1))*(2*1/Q113*1/P113-1/P113*1/P113)))</f>
        <v>4.3337632946100879E-2</v>
      </c>
      <c r="P113">
        <f>IF(LEFT(AP113,1)&lt;&gt;"0",IF(LEFT(AP113,1)="1",3,AQ113),$D$5+$E$5*(BG113*AZ113/($K$5*1000))+$F$5*(BG113*AZ113/($K$5*1000))*MAX(MIN(AN113,$J$5),$I$5)*MAX(MIN(AN113,$J$5),$I$5)+$G$5*MAX(MIN(AN113,$J$5),$I$5)*(BG113*AZ113/($K$5*1000))+$H$5*(BG113*AZ113/($K$5*1000))*(BG113*AZ113/($K$5*1000)))</f>
        <v>2.3947328799566674</v>
      </c>
      <c r="Q113">
        <f>H113*(1000-(1000*0.61365*EXP(17.502*U113/(240.97+U113))/(AZ113+BA113)+AU113)/2)/(1000*0.61365*EXP(17.502*U113/(240.97+U113))/(AZ113+BA113)-AU113)</f>
        <v>4.290659746567483E-2</v>
      </c>
      <c r="R113">
        <f t="shared" ref="R113:R136" si="58">1/((AO113+1)/(O113/1.6)+1/(P113/1.37)) + AO113/((AO113+1)/(O113/1.6) + AO113/(P113/1.37))</f>
        <v>2.6854992878314991E-2</v>
      </c>
      <c r="S113">
        <f t="shared" ref="S113:S136" si="59">(AJ113*AM113)</f>
        <v>9.2451045959999978E-2</v>
      </c>
      <c r="T113">
        <f>(BB113+(S113+2*0.95*0.0000000567*(((BB113+$B$7)+273)^4-(BB113+273)^4)-44100*H113)/(1.84*29.3*P113+8*0.95*0.0000000567*(BB113+273)^3))</f>
        <v>25.765520162722925</v>
      </c>
      <c r="U113">
        <f>($C$7*BC113+$D$7*BD113+$E$7*T113)</f>
        <v>26.597252727272721</v>
      </c>
      <c r="V113">
        <f t="shared" ref="V113:V136" si="60">0.61365*EXP(17.502*U113/(240.97+U113))</f>
        <v>3.495366034012902</v>
      </c>
      <c r="W113">
        <f t="shared" ref="W113:W136" si="61">(X113/Y113*100)</f>
        <v>-1.1368914754157164</v>
      </c>
      <c r="X113">
        <f>AU113*(AZ113+BA113)/1000</f>
        <v>-3.8928279719964161E-2</v>
      </c>
      <c r="Y113">
        <f t="shared" ref="Y113:Y136" si="62">0.61365*EXP(17.502*BB113/(240.97+BB113))</f>
        <v>3.4240981273722384</v>
      </c>
      <c r="Z113">
        <f>(V113-AU113*(AZ113+BA113)/1000)</f>
        <v>3.5342943137328664</v>
      </c>
      <c r="AA113">
        <f t="shared" ref="AA113:AA136" si="63">(-H113*44100)</f>
        <v>-67.957214284114841</v>
      </c>
      <c r="AB113">
        <f>2*29.3*P113*0.92*(BB113-U113)</f>
        <v>-45.087635036535318</v>
      </c>
      <c r="AC113">
        <f>2*0.95*0.0000000567*(((BB113+$B$7)+273)^4-(U113+273)^4)</f>
        <v>-4.0398535734978651</v>
      </c>
      <c r="AD113">
        <f t="shared" ref="AD113:AD136" si="64">S113+AC113+AA113+AB113</f>
        <v>-116.99225184818802</v>
      </c>
      <c r="AE113">
        <v>15</v>
      </c>
      <c r="AF113">
        <v>3</v>
      </c>
      <c r="AG113">
        <f t="shared" ref="AG113:AG136" si="65">IF(AE113*$H$13&gt;=AI113,1,(AI113/(AI113-AE113*$H$13)))</f>
        <v>1</v>
      </c>
      <c r="AH113">
        <f t="shared" ref="AH113:AH136" si="66">(AG113-1)*100</f>
        <v>0</v>
      </c>
      <c r="AI113">
        <f t="shared" ref="AI113:AI136" si="67">MAX(0,($B$13+$C$13*BG113)/(1+$D$13*BG113)*AZ113/(BB113+273)*$E$13)</f>
        <v>25685.723939067462</v>
      </c>
      <c r="AJ113">
        <f t="shared" ref="AJ113:AJ136" si="68">$B$11*BH113+$C$11*BI113</f>
        <v>0.48378359999999992</v>
      </c>
      <c r="AK113">
        <f t="shared" ref="AK113:AK136" si="69">AJ113*AL113</f>
        <v>0.38702687999999996</v>
      </c>
      <c r="AL113">
        <f t="shared" ref="AL113:AL136" si="70">($B$11*$D$9+$C$11*$D$9)/($B$11+$C$11)</f>
        <v>0.8</v>
      </c>
      <c r="AM113">
        <f t="shared" ref="AM113:AM136" si="71">($B$11*$K$9+$C$11*$K$9)/($B$11+$C$11)</f>
        <v>0.19109999999999999</v>
      </c>
      <c r="AN113">
        <v>3</v>
      </c>
      <c r="AO113">
        <v>0.5</v>
      </c>
      <c r="AP113" t="s">
        <v>317</v>
      </c>
      <c r="AQ113">
        <v>2</v>
      </c>
      <c r="AR113">
        <v>1775469800.5</v>
      </c>
      <c r="AS113">
        <v>15.925415454545449</v>
      </c>
      <c r="AT113">
        <v>15.678941818181819</v>
      </c>
      <c r="AU113">
        <v>-0.38875376618181828</v>
      </c>
      <c r="AV113">
        <v>-1.312307090909091</v>
      </c>
      <c r="AW113">
        <v>7.8354154545454548</v>
      </c>
      <c r="AX113">
        <v>0.79525705999999996</v>
      </c>
      <c r="AY113">
        <v>500.75472727272722</v>
      </c>
      <c r="AZ113">
        <v>100.0889272727272</v>
      </c>
      <c r="BA113">
        <v>4.7156558181818173E-2</v>
      </c>
      <c r="BB113">
        <v>26.24802</v>
      </c>
      <c r="BC113">
        <v>26.597252727272721</v>
      </c>
      <c r="BD113">
        <v>999.90000000000009</v>
      </c>
      <c r="BE113">
        <v>0</v>
      </c>
      <c r="BF113">
        <v>0</v>
      </c>
      <c r="BG113">
        <v>5012.818181818182</v>
      </c>
      <c r="BH113">
        <v>0.48378359999999992</v>
      </c>
      <c r="BI113">
        <v>80.507259999999988</v>
      </c>
      <c r="BJ113">
        <v>0.1791903558181818</v>
      </c>
      <c r="BK113">
        <v>15.851909090909089</v>
      </c>
      <c r="BL113">
        <v>15.658396363636371</v>
      </c>
      <c r="BM113">
        <v>0.92355379418181838</v>
      </c>
      <c r="BN113">
        <v>15.678941818181819</v>
      </c>
      <c r="BO113">
        <v>-1.312307090909091</v>
      </c>
      <c r="BP113">
        <v>-3.8909936581818183E-2</v>
      </c>
      <c r="BQ113">
        <v>-0.1313476181818182</v>
      </c>
      <c r="BR113">
        <v>-85.456774545454536</v>
      </c>
      <c r="BS113">
        <v>-99.899999999999949</v>
      </c>
      <c r="BT113">
        <v>1775469833</v>
      </c>
      <c r="BU113" t="s">
        <v>614</v>
      </c>
      <c r="BV113">
        <v>1775469833</v>
      </c>
      <c r="BW113">
        <v>1775469670</v>
      </c>
      <c r="BX113">
        <v>98</v>
      </c>
      <c r="BY113">
        <v>6.7000000000000004E-2</v>
      </c>
      <c r="BZ113">
        <v>-1E-3</v>
      </c>
      <c r="CA113">
        <v>8.09</v>
      </c>
      <c r="CB113">
        <v>-1.1839999999999999</v>
      </c>
      <c r="CC113">
        <v>15</v>
      </c>
      <c r="CD113">
        <v>-1</v>
      </c>
      <c r="CE113">
        <v>0.34</v>
      </c>
      <c r="CF113">
        <v>0.05</v>
      </c>
      <c r="CG113">
        <v>15.690941666666671</v>
      </c>
      <c r="CH113">
        <v>-1.0143094192830959</v>
      </c>
      <c r="CI113">
        <v>0.35865326490993421</v>
      </c>
      <c r="CJ113">
        <v>-1</v>
      </c>
      <c r="CK113">
        <v>500.69113333333343</v>
      </c>
      <c r="CL113">
        <v>-4.5024240066674297</v>
      </c>
      <c r="CM113">
        <v>1.391777394397379</v>
      </c>
      <c r="CN113">
        <v>-1</v>
      </c>
      <c r="CO113">
        <v>0</v>
      </c>
      <c r="CP113">
        <v>0</v>
      </c>
      <c r="CQ113" t="s">
        <v>319</v>
      </c>
      <c r="CR113">
        <v>3.16744</v>
      </c>
      <c r="CS113">
        <v>2.6672500000000001</v>
      </c>
      <c r="CT113">
        <v>2.1215399999999999E-3</v>
      </c>
      <c r="CU113">
        <v>4.4342799999999996E-3</v>
      </c>
      <c r="CV113">
        <v>1.1542200000000001E-2</v>
      </c>
      <c r="CW113">
        <v>-1.1771200000000001E-2</v>
      </c>
      <c r="CX113">
        <v>21508.7</v>
      </c>
      <c r="CY113">
        <v>21848.400000000001</v>
      </c>
      <c r="CZ113">
        <v>23082.2</v>
      </c>
      <c r="DA113">
        <v>22299.599999999999</v>
      </c>
      <c r="DB113">
        <v>29425</v>
      </c>
      <c r="DC113">
        <v>26910.5</v>
      </c>
      <c r="DD113">
        <v>40571.199999999997</v>
      </c>
      <c r="DE113">
        <v>36960.199999999997</v>
      </c>
      <c r="DF113">
        <v>2.0771600000000001</v>
      </c>
      <c r="DG113">
        <v>1.7761400000000001</v>
      </c>
      <c r="DH113">
        <v>7.2932200000000003E-2</v>
      </c>
      <c r="DI113">
        <v>0</v>
      </c>
      <c r="DJ113">
        <v>26.158999999999999</v>
      </c>
      <c r="DK113">
        <v>999.9</v>
      </c>
      <c r="DL113">
        <v>71.7</v>
      </c>
      <c r="DM113">
        <v>31.9</v>
      </c>
      <c r="DN113">
        <v>34.014800000000001</v>
      </c>
      <c r="DO113">
        <v>30.005500000000001</v>
      </c>
      <c r="DP113">
        <v>11.085699999999999</v>
      </c>
      <c r="DQ113">
        <v>1</v>
      </c>
      <c r="DR113">
        <v>0.265266</v>
      </c>
      <c r="DS113">
        <v>-6.6666699999999999</v>
      </c>
      <c r="DT113">
        <v>20.194299999999998</v>
      </c>
      <c r="DU113">
        <v>5.2068700000000003</v>
      </c>
      <c r="DV113">
        <v>11.854100000000001</v>
      </c>
      <c r="DW113">
        <v>4.9672799999999997</v>
      </c>
      <c r="DX113">
        <v>3.2920600000000002</v>
      </c>
      <c r="DY113">
        <v>894.7</v>
      </c>
      <c r="DZ113">
        <v>0</v>
      </c>
      <c r="EA113">
        <v>3022.2</v>
      </c>
      <c r="EB113">
        <v>108.3</v>
      </c>
      <c r="EC113">
        <v>4.9714799999999997</v>
      </c>
      <c r="ED113">
        <v>1.8717999999999999</v>
      </c>
      <c r="EE113">
        <v>1.869</v>
      </c>
      <c r="EF113">
        <v>1.8713500000000001</v>
      </c>
      <c r="EG113">
        <v>1.8691500000000001</v>
      </c>
      <c r="EH113">
        <v>1.8680600000000001</v>
      </c>
      <c r="EI113">
        <v>1.8698600000000001</v>
      </c>
      <c r="EJ113">
        <v>1.87164</v>
      </c>
      <c r="EK113">
        <v>0</v>
      </c>
      <c r="EL113">
        <v>0</v>
      </c>
      <c r="EM113">
        <v>0</v>
      </c>
      <c r="EN113">
        <v>0</v>
      </c>
      <c r="EO113" t="s">
        <v>320</v>
      </c>
      <c r="EP113" t="s">
        <v>321</v>
      </c>
      <c r="EQ113" t="s">
        <v>322</v>
      </c>
      <c r="ER113" t="s">
        <v>322</v>
      </c>
      <c r="ES113" t="s">
        <v>322</v>
      </c>
      <c r="ET113" t="s">
        <v>322</v>
      </c>
      <c r="EU113">
        <v>0</v>
      </c>
      <c r="EV113">
        <v>100</v>
      </c>
      <c r="EW113">
        <v>100</v>
      </c>
      <c r="EX113">
        <v>8.09</v>
      </c>
      <c r="EY113">
        <v>-1.1839999999999999</v>
      </c>
      <c r="EZ113">
        <v>8.0227160000000026</v>
      </c>
      <c r="FA113">
        <v>0</v>
      </c>
      <c r="FB113">
        <v>0</v>
      </c>
      <c r="FC113">
        <v>0</v>
      </c>
      <c r="FD113">
        <v>-1.1840113809523809</v>
      </c>
      <c r="FE113">
        <v>0</v>
      </c>
      <c r="FF113">
        <v>0</v>
      </c>
      <c r="FG113">
        <v>0</v>
      </c>
      <c r="FH113">
        <v>-1</v>
      </c>
      <c r="FI113">
        <v>-1</v>
      </c>
      <c r="FJ113">
        <v>-1</v>
      </c>
      <c r="FK113">
        <v>-1</v>
      </c>
      <c r="FL113">
        <v>0.5</v>
      </c>
      <c r="FM113">
        <v>2.4</v>
      </c>
      <c r="FN113">
        <v>0.14160200000000001</v>
      </c>
      <c r="FO113">
        <v>4.99756</v>
      </c>
      <c r="FP113">
        <v>1.5979000000000001</v>
      </c>
      <c r="FQ113">
        <v>2.1484399999999999</v>
      </c>
      <c r="FR113">
        <v>1.5478499999999999</v>
      </c>
      <c r="FS113">
        <v>2.4645999999999999</v>
      </c>
      <c r="FT113">
        <v>35.801000000000002</v>
      </c>
      <c r="FU113">
        <v>14.8325</v>
      </c>
      <c r="FV113">
        <v>2</v>
      </c>
      <c r="FW113">
        <v>496.03100000000001</v>
      </c>
      <c r="FX113">
        <v>395.42599999999999</v>
      </c>
      <c r="FY113">
        <v>33.5625</v>
      </c>
      <c r="FZ113">
        <v>30.274999999999999</v>
      </c>
      <c r="GA113">
        <v>29.9999</v>
      </c>
      <c r="GB113">
        <v>30.657599999999999</v>
      </c>
      <c r="GC113">
        <v>30.6919</v>
      </c>
      <c r="GD113">
        <v>-1</v>
      </c>
      <c r="GE113">
        <v>0</v>
      </c>
      <c r="GF113">
        <v>100</v>
      </c>
      <c r="GG113">
        <v>34.226300000000002</v>
      </c>
      <c r="GH113">
        <v>432.1</v>
      </c>
      <c r="GI113">
        <v>78.840199999999996</v>
      </c>
      <c r="GJ113">
        <v>102.119</v>
      </c>
      <c r="GK113">
        <v>96.438900000000004</v>
      </c>
    </row>
    <row r="114" spans="1:193" x14ac:dyDescent="0.35">
      <c r="A114">
        <v>98</v>
      </c>
      <c r="B114">
        <v>1775469874.5</v>
      </c>
      <c r="C114">
        <v>5918.4000000953674</v>
      </c>
      <c r="D114" t="s">
        <v>615</v>
      </c>
      <c r="E114" t="s">
        <v>616</v>
      </c>
      <c r="F114">
        <v>60</v>
      </c>
      <c r="G114">
        <v>1775469853.2710841</v>
      </c>
      <c r="H114">
        <f t="shared" si="54"/>
        <v>1.5876172928258067E-3</v>
      </c>
      <c r="I114">
        <f>1000*AY114*AG114*(AU114-AV114)/(100*AN114*(1000-AG114*AU114))</f>
        <v>1.5876172928258068</v>
      </c>
      <c r="J114">
        <f>AY114*AG114*(AT114-AS114*(1000-AG114*AV114)/(1000-AG114*AU114))/(100*AN114)</f>
        <v>0.22524704362486381</v>
      </c>
      <c r="K114">
        <f t="shared" si="55"/>
        <v>15.20647843373494</v>
      </c>
      <c r="L114">
        <f t="shared" si="56"/>
        <v>5.9575320800392975</v>
      </c>
      <c r="M114">
        <f>L114*(AZ114+BA114)/1000</f>
        <v>0.59658182466082943</v>
      </c>
      <c r="N114">
        <f>(AS114 - IF(AG114&gt;1, J114*AN114*100/(AI114), 0))*(AZ114+BA114)/1000</f>
        <v>1.522762870393692</v>
      </c>
      <c r="O114">
        <f t="shared" si="57"/>
        <v>4.2223858018175395E-2</v>
      </c>
      <c r="P114">
        <f>IF(LEFT(AP114,1)&lt;&gt;"0",IF(LEFT(AP114,1)="1",3,AQ114),$D$5+$E$5*(BG114*AZ114/($K$5*1000))+$F$5*(BG114*AZ114/($K$5*1000))*MAX(MIN(AN114,$J$5),$I$5)*MAX(MIN(AN114,$J$5),$I$5)+$G$5*MAX(MIN(AN114,$J$5),$I$5)*(BG114*AZ114/($K$5*1000))+$H$5*(BG114*AZ114/($K$5*1000))*(BG114*AZ114/($K$5*1000)))</f>
        <v>2.3913661549442433</v>
      </c>
      <c r="Q114">
        <f>H114*(1000-(1000*0.61365*EXP(17.502*U114/(240.97+U114))/(AZ114+BA114)+AU114)/2)/(1000*0.61365*EXP(17.502*U114/(240.97+U114))/(AZ114+BA114)-AU114)</f>
        <v>4.1814009981907665E-2</v>
      </c>
      <c r="R114">
        <f t="shared" si="58"/>
        <v>2.6170247821445679E-2</v>
      </c>
      <c r="S114">
        <f t="shared" si="59"/>
        <v>8.9480537367469859E-2</v>
      </c>
      <c r="T114">
        <f>(BB114+(S114+2*0.95*0.0000000567*(((BB114+$B$7)+273)^4-(BB114+273)^4)-44100*H114)/(1.84*29.3*P114+8*0.95*0.0000000567*(BB114+273)^3))</f>
        <v>26.925879487004813</v>
      </c>
      <c r="U114">
        <f>($C$7*BC114+$D$7*BD114+$E$7*T114)</f>
        <v>27.52912289156626</v>
      </c>
      <c r="V114">
        <f t="shared" si="60"/>
        <v>3.6919083982024148</v>
      </c>
      <c r="W114">
        <f t="shared" si="61"/>
        <v>-1.115154616794267</v>
      </c>
      <c r="X114">
        <f>AU114*(AZ114+BA114)/1000</f>
        <v>-4.0916014608519374E-2</v>
      </c>
      <c r="Y114">
        <f t="shared" si="62"/>
        <v>3.6690889310166304</v>
      </c>
      <c r="Z114">
        <f>(V114-AU114*(AZ114+BA114)/1000)</f>
        <v>3.7328244128109342</v>
      </c>
      <c r="AA114">
        <f t="shared" si="63"/>
        <v>-70.013922613618078</v>
      </c>
      <c r="AB114">
        <f>2*29.3*P114*0.92*(BB114-U114)</f>
        <v>-13.658262070931354</v>
      </c>
      <c r="AC114">
        <f>2*0.95*0.0000000567*(((BB114+$B$7)+273)^4-(U114+273)^4)</f>
        <v>-1.2384846065331012</v>
      </c>
      <c r="AD114">
        <f t="shared" si="64"/>
        <v>-84.821188753715063</v>
      </c>
      <c r="AE114">
        <v>17</v>
      </c>
      <c r="AF114">
        <v>3</v>
      </c>
      <c r="AG114">
        <f t="shared" si="65"/>
        <v>1</v>
      </c>
      <c r="AH114">
        <f t="shared" si="66"/>
        <v>0</v>
      </c>
      <c r="AI114">
        <f t="shared" si="67"/>
        <v>25533.97325942729</v>
      </c>
      <c r="AJ114">
        <f t="shared" si="68"/>
        <v>0.46823933734939749</v>
      </c>
      <c r="AK114">
        <f t="shared" si="69"/>
        <v>0.37459146987951802</v>
      </c>
      <c r="AL114">
        <f t="shared" si="70"/>
        <v>0.8</v>
      </c>
      <c r="AM114">
        <f t="shared" si="71"/>
        <v>0.19109999999999999</v>
      </c>
      <c r="AN114">
        <v>3</v>
      </c>
      <c r="AO114">
        <v>0.5</v>
      </c>
      <c r="AP114" t="s">
        <v>317</v>
      </c>
      <c r="AQ114">
        <v>2</v>
      </c>
      <c r="AR114">
        <v>1775469853.2710841</v>
      </c>
      <c r="AS114">
        <v>15.20647843373494</v>
      </c>
      <c r="AT114">
        <v>15.35594578313253</v>
      </c>
      <c r="AU114">
        <v>-0.40859184698795181</v>
      </c>
      <c r="AV114">
        <v>-1.3604934939759039</v>
      </c>
      <c r="AW114">
        <v>7.0744784337349396</v>
      </c>
      <c r="AX114">
        <v>0.77541947228915664</v>
      </c>
      <c r="AY114">
        <v>500.55569879518072</v>
      </c>
      <c r="AZ114">
        <v>100.09190361445781</v>
      </c>
      <c r="BA114">
        <v>4.7183619277108443E-2</v>
      </c>
      <c r="BB114">
        <v>27.423181927710839</v>
      </c>
      <c r="BC114">
        <v>27.52912289156626</v>
      </c>
      <c r="BD114">
        <v>999.89999999999964</v>
      </c>
      <c r="BE114">
        <v>0</v>
      </c>
      <c r="BF114">
        <v>0</v>
      </c>
      <c r="BG114">
        <v>5003.9939759036142</v>
      </c>
      <c r="BH114">
        <v>0.46823933734939749</v>
      </c>
      <c r="BI114">
        <v>77.662777108433744</v>
      </c>
      <c r="BJ114">
        <v>-0.19249382265060239</v>
      </c>
      <c r="BK114">
        <v>15.157190361445791</v>
      </c>
      <c r="BL114">
        <v>15.335083132530119</v>
      </c>
      <c r="BM114">
        <v>0.95190181975903621</v>
      </c>
      <c r="BN114">
        <v>15.35594578313253</v>
      </c>
      <c r="BO114">
        <v>-1.3604934939759039</v>
      </c>
      <c r="BP114">
        <v>-4.0896663734939762E-2</v>
      </c>
      <c r="BQ114">
        <v>-0.13617448192771081</v>
      </c>
      <c r="BR114">
        <v>-88.7157626506024</v>
      </c>
      <c r="BS114">
        <v>-99.899999999999991</v>
      </c>
      <c r="BT114">
        <v>1775469892.5</v>
      </c>
      <c r="BU114" t="s">
        <v>617</v>
      </c>
      <c r="BV114">
        <v>1775469892.5</v>
      </c>
      <c r="BW114">
        <v>1775469670</v>
      </c>
      <c r="BX114">
        <v>99</v>
      </c>
      <c r="BY114">
        <v>4.2000000000000003E-2</v>
      </c>
      <c r="BZ114">
        <v>-1E-3</v>
      </c>
      <c r="CA114">
        <v>8.1319999999999997</v>
      </c>
      <c r="CB114">
        <v>-1.1839999999999999</v>
      </c>
      <c r="CC114">
        <v>17</v>
      </c>
      <c r="CD114">
        <v>-1</v>
      </c>
      <c r="CE114">
        <v>0.37</v>
      </c>
      <c r="CF114">
        <v>0.05</v>
      </c>
      <c r="CG114">
        <v>15.44299</v>
      </c>
      <c r="CH114">
        <v>0.59286935259793472</v>
      </c>
      <c r="CI114">
        <v>0.29623440532794298</v>
      </c>
      <c r="CJ114">
        <v>-1</v>
      </c>
      <c r="CK114">
        <v>500.02273333333329</v>
      </c>
      <c r="CL114">
        <v>4.1404834676855289E-2</v>
      </c>
      <c r="CM114">
        <v>8.1074835114782126E-2</v>
      </c>
      <c r="CN114">
        <v>-1</v>
      </c>
      <c r="CO114">
        <v>0</v>
      </c>
      <c r="CP114">
        <v>0</v>
      </c>
      <c r="CQ114" t="s">
        <v>319</v>
      </c>
      <c r="CR114">
        <v>3.1675300000000002</v>
      </c>
      <c r="CS114">
        <v>2.6669200000000002</v>
      </c>
      <c r="CT114">
        <v>2.1870399999999999E-3</v>
      </c>
      <c r="CU114">
        <v>4.6033699999999999E-3</v>
      </c>
      <c r="CV114">
        <v>3.2557200000000001E-3</v>
      </c>
      <c r="CW114">
        <v>-1.2026200000000001E-2</v>
      </c>
      <c r="CX114">
        <v>21514.7</v>
      </c>
      <c r="CY114">
        <v>21847.599999999999</v>
      </c>
      <c r="CZ114">
        <v>23090.3</v>
      </c>
      <c r="DA114">
        <v>22302.5</v>
      </c>
      <c r="DB114">
        <v>29683</v>
      </c>
      <c r="DC114">
        <v>26920.7</v>
      </c>
      <c r="DD114">
        <v>40587.300000000003</v>
      </c>
      <c r="DE114">
        <v>36964.9</v>
      </c>
      <c r="DF114">
        <v>2.07368</v>
      </c>
      <c r="DG114">
        <v>1.77586</v>
      </c>
      <c r="DH114">
        <v>1.30773E-2</v>
      </c>
      <c r="DI114">
        <v>0</v>
      </c>
      <c r="DJ114">
        <v>26.8339</v>
      </c>
      <c r="DK114">
        <v>999.9</v>
      </c>
      <c r="DL114">
        <v>71.8</v>
      </c>
      <c r="DM114">
        <v>31.9</v>
      </c>
      <c r="DN114">
        <v>34.055599999999998</v>
      </c>
      <c r="DO114">
        <v>30.755500000000001</v>
      </c>
      <c r="DP114">
        <v>10.7212</v>
      </c>
      <c r="DQ114">
        <v>1</v>
      </c>
      <c r="DR114">
        <v>0.25833099999999998</v>
      </c>
      <c r="DS114">
        <v>0.53725100000000003</v>
      </c>
      <c r="DT114">
        <v>20.277100000000001</v>
      </c>
      <c r="DU114">
        <v>5.2103400000000004</v>
      </c>
      <c r="DV114">
        <v>11.854200000000001</v>
      </c>
      <c r="DW114">
        <v>4.9676400000000003</v>
      </c>
      <c r="DX114">
        <v>3.2925200000000001</v>
      </c>
      <c r="DY114">
        <v>894.7</v>
      </c>
      <c r="DZ114">
        <v>0</v>
      </c>
      <c r="EA114">
        <v>3058.3</v>
      </c>
      <c r="EB114">
        <v>108.3</v>
      </c>
      <c r="EC114">
        <v>4.9715299999999996</v>
      </c>
      <c r="ED114">
        <v>1.87181</v>
      </c>
      <c r="EE114">
        <v>1.86904</v>
      </c>
      <c r="EF114">
        <v>1.8714</v>
      </c>
      <c r="EG114">
        <v>1.8691899999999999</v>
      </c>
      <c r="EH114">
        <v>1.8681099999999999</v>
      </c>
      <c r="EI114">
        <v>1.86992</v>
      </c>
      <c r="EJ114">
        <v>1.8717299999999999</v>
      </c>
      <c r="EK114">
        <v>0</v>
      </c>
      <c r="EL114">
        <v>0</v>
      </c>
      <c r="EM114">
        <v>0</v>
      </c>
      <c r="EN114">
        <v>0</v>
      </c>
      <c r="EO114" t="s">
        <v>320</v>
      </c>
      <c r="EP114" t="s">
        <v>321</v>
      </c>
      <c r="EQ114" t="s">
        <v>322</v>
      </c>
      <c r="ER114" t="s">
        <v>322</v>
      </c>
      <c r="ES114" t="s">
        <v>322</v>
      </c>
      <c r="ET114" t="s">
        <v>322</v>
      </c>
      <c r="EU114">
        <v>0</v>
      </c>
      <c r="EV114">
        <v>100</v>
      </c>
      <c r="EW114">
        <v>100</v>
      </c>
      <c r="EX114">
        <v>8.1319999999999997</v>
      </c>
      <c r="EY114">
        <v>-1.1839999999999999</v>
      </c>
      <c r="EZ114">
        <v>8.0897828571428576</v>
      </c>
      <c r="FA114">
        <v>0</v>
      </c>
      <c r="FB114">
        <v>0</v>
      </c>
      <c r="FC114">
        <v>0</v>
      </c>
      <c r="FD114">
        <v>-1.1840113809523809</v>
      </c>
      <c r="FE114">
        <v>0</v>
      </c>
      <c r="FF114">
        <v>0</v>
      </c>
      <c r="FG114">
        <v>0</v>
      </c>
      <c r="FH114">
        <v>-1</v>
      </c>
      <c r="FI114">
        <v>-1</v>
      </c>
      <c r="FJ114">
        <v>-1</v>
      </c>
      <c r="FK114">
        <v>-1</v>
      </c>
      <c r="FL114">
        <v>0.7</v>
      </c>
      <c r="FM114">
        <v>3.4</v>
      </c>
      <c r="FN114">
        <v>0.14160200000000001</v>
      </c>
      <c r="FO114">
        <v>4.99756</v>
      </c>
      <c r="FP114">
        <v>1.5979000000000001</v>
      </c>
      <c r="FQ114">
        <v>2.1484399999999999</v>
      </c>
      <c r="FR114">
        <v>1.5478499999999999</v>
      </c>
      <c r="FS114">
        <v>2.3962400000000001</v>
      </c>
      <c r="FT114">
        <v>35.824399999999997</v>
      </c>
      <c r="FU114">
        <v>14.78</v>
      </c>
      <c r="FV114">
        <v>2</v>
      </c>
      <c r="FW114">
        <v>493.79</v>
      </c>
      <c r="FX114">
        <v>395.25099999999998</v>
      </c>
      <c r="FY114">
        <v>25.368300000000001</v>
      </c>
      <c r="FZ114">
        <v>30.3065</v>
      </c>
      <c r="GA114">
        <v>29.998699999999999</v>
      </c>
      <c r="GB114">
        <v>30.628399999999999</v>
      </c>
      <c r="GC114">
        <v>30.6892</v>
      </c>
      <c r="GD114">
        <v>-1</v>
      </c>
      <c r="GE114">
        <v>0</v>
      </c>
      <c r="GF114">
        <v>100</v>
      </c>
      <c r="GG114">
        <v>27.385100000000001</v>
      </c>
      <c r="GH114">
        <v>432.1</v>
      </c>
      <c r="GI114">
        <v>78.840199999999996</v>
      </c>
      <c r="GJ114">
        <v>102.158</v>
      </c>
      <c r="GK114">
        <v>96.451300000000003</v>
      </c>
    </row>
    <row r="115" spans="1:193" x14ac:dyDescent="0.35">
      <c r="A115">
        <v>99</v>
      </c>
      <c r="B115">
        <v>1775469934.5</v>
      </c>
      <c r="C115">
        <v>5978.4000000953674</v>
      </c>
      <c r="D115" t="s">
        <v>618</v>
      </c>
      <c r="E115" t="s">
        <v>619</v>
      </c>
      <c r="F115">
        <v>60</v>
      </c>
      <c r="G115">
        <v>1775469913.5</v>
      </c>
      <c r="H115">
        <f t="shared" si="54"/>
        <v>1.2590005185422375E-3</v>
      </c>
      <c r="I115">
        <f>1000*AY115*AG115*(AU115-AV115)/(100*AN115*(1000-AG115*AU115))</f>
        <v>1.2590005185422375</v>
      </c>
      <c r="J115">
        <f>AY115*AG115*(AT115-AS115*(1000-AG115*AV115)/(1000-AG115*AU115))/(100*AN115)</f>
        <v>-0.10239983803990051</v>
      </c>
      <c r="K115">
        <f t="shared" si="55"/>
        <v>15.707171686746991</v>
      </c>
      <c r="L115">
        <f t="shared" si="56"/>
        <v>19.51784097607209</v>
      </c>
      <c r="M115">
        <f>L115*(AZ115+BA115)/1000</f>
        <v>1.9545830079253379</v>
      </c>
      <c r="N115">
        <f>(AS115 - IF(AG115&gt;1, J115*AN115*100/(AI115), 0))*(AZ115+BA115)/1000</f>
        <v>1.57296961887944</v>
      </c>
      <c r="O115">
        <f t="shared" si="57"/>
        <v>3.3911820736742648E-2</v>
      </c>
      <c r="P115">
        <f>IF(LEFT(AP115,1)&lt;&gt;"0",IF(LEFT(AP115,1)="1",3,AQ115),$D$5+$E$5*(BG115*AZ115/($K$5*1000))+$F$5*(BG115*AZ115/($K$5*1000))*MAX(MIN(AN115,$J$5),$I$5)*MAX(MIN(AN115,$J$5),$I$5)+$G$5*MAX(MIN(AN115,$J$5),$I$5)*(BG115*AZ115/($K$5*1000))+$H$5*(BG115*AZ115/($K$5*1000))*(BG115*AZ115/($K$5*1000)))</f>
        <v>2.3907924775405975</v>
      </c>
      <c r="Q115">
        <f>H115*(1000-(1000*0.61365*EXP(17.502*U115/(240.97+U115))/(AZ115+BA115)+AU115)/2)/(1000*0.61365*EXP(17.502*U115/(240.97+U115))/(AZ115+BA115)-AU115)</f>
        <v>3.3646843301807082E-2</v>
      </c>
      <c r="R115">
        <f t="shared" si="58"/>
        <v>2.1052911534612875E-2</v>
      </c>
      <c r="S115">
        <f t="shared" si="59"/>
        <v>8.8644362049397601E-2</v>
      </c>
      <c r="T115">
        <f>(BB115+(S115+2*0.95*0.0000000567*(((BB115+$B$7)+273)^4-(BB115+273)^4)-44100*H115)/(1.84*29.3*P115+8*0.95*0.0000000567*(BB115+273)^3))</f>
        <v>26.694895294844724</v>
      </c>
      <c r="U115">
        <f>($C$7*BC115+$D$7*BD115+$E$7*T115)</f>
        <v>27.191143373493968</v>
      </c>
      <c r="V115">
        <f t="shared" si="60"/>
        <v>3.6195379211154228</v>
      </c>
      <c r="W115">
        <f t="shared" si="61"/>
        <v>-1.697089192496094</v>
      </c>
      <c r="X115">
        <f>AU115*(AZ115+BA115)/1000</f>
        <v>-6.1060956925794344E-2</v>
      </c>
      <c r="Y115">
        <f t="shared" si="62"/>
        <v>3.5979816026042419</v>
      </c>
      <c r="Z115">
        <f>(V115-AU115*(AZ115+BA115)/1000)</f>
        <v>3.6805988780412173</v>
      </c>
      <c r="AA115">
        <f t="shared" si="63"/>
        <v>-55.521922867712675</v>
      </c>
      <c r="AB115">
        <f>2*29.3*P115*0.92*(BB115-U115)</f>
        <v>-13.122644360680972</v>
      </c>
      <c r="AC115">
        <f>2*0.95*0.0000000567*(((BB115+$B$7)+273)^4-(U115+273)^4)</f>
        <v>-1.1862148763870242</v>
      </c>
      <c r="AD115">
        <f t="shared" si="64"/>
        <v>-69.742137742731273</v>
      </c>
      <c r="AE115">
        <v>17</v>
      </c>
      <c r="AF115">
        <v>3</v>
      </c>
      <c r="AG115">
        <f t="shared" si="65"/>
        <v>1</v>
      </c>
      <c r="AH115">
        <f t="shared" si="66"/>
        <v>0</v>
      </c>
      <c r="AI115">
        <f t="shared" si="67"/>
        <v>25553.48270852381</v>
      </c>
      <c r="AJ115">
        <f t="shared" si="68"/>
        <v>0.46386374698795191</v>
      </c>
      <c r="AK115">
        <f t="shared" si="69"/>
        <v>0.37109099759036157</v>
      </c>
      <c r="AL115">
        <f t="shared" si="70"/>
        <v>0.8</v>
      </c>
      <c r="AM115">
        <f t="shared" si="71"/>
        <v>0.19109999999999999</v>
      </c>
      <c r="AN115">
        <v>3</v>
      </c>
      <c r="AO115">
        <v>0.5</v>
      </c>
      <c r="AP115" t="s">
        <v>317</v>
      </c>
      <c r="AQ115">
        <v>2</v>
      </c>
      <c r="AR115">
        <v>1775469913.5</v>
      </c>
      <c r="AS115">
        <v>15.707171686746991</v>
      </c>
      <c r="AT115">
        <v>15.65764939759036</v>
      </c>
      <c r="AU115">
        <v>-0.60973519277108434</v>
      </c>
      <c r="AV115">
        <v>-1.3647969879518069</v>
      </c>
      <c r="AW115">
        <v>7.6101716867469884</v>
      </c>
      <c r="AX115">
        <v>0.5742760277108433</v>
      </c>
      <c r="AY115">
        <v>500.52916867469889</v>
      </c>
      <c r="AZ115">
        <v>100.09620481927711</v>
      </c>
      <c r="BA115">
        <v>4.7197840963855417E-2</v>
      </c>
      <c r="BB115">
        <v>27.08933253012049</v>
      </c>
      <c r="BC115">
        <v>27.191143373493968</v>
      </c>
      <c r="BD115">
        <v>999.89999999999964</v>
      </c>
      <c r="BE115">
        <v>0</v>
      </c>
      <c r="BF115">
        <v>0</v>
      </c>
      <c r="BG115">
        <v>5002.3012048192768</v>
      </c>
      <c r="BH115">
        <v>0.46386374698795191</v>
      </c>
      <c r="BI115">
        <v>74.54047469879518</v>
      </c>
      <c r="BJ115">
        <v>8.4568533734939749E-2</v>
      </c>
      <c r="BK115">
        <v>15.73257469879518</v>
      </c>
      <c r="BL115">
        <v>15.63631325301205</v>
      </c>
      <c r="BM115">
        <v>0.75506153867469872</v>
      </c>
      <c r="BN115">
        <v>15.65764939759036</v>
      </c>
      <c r="BO115">
        <v>-1.3647969879518069</v>
      </c>
      <c r="BP115">
        <v>-6.1032132530120478E-2</v>
      </c>
      <c r="BQ115">
        <v>-0.1366109518072289</v>
      </c>
      <c r="BR115">
        <v>-99.899999999999991</v>
      </c>
      <c r="BS115">
        <v>-99.899999999999991</v>
      </c>
      <c r="BT115">
        <v>1775469955.5</v>
      </c>
      <c r="BU115" t="s">
        <v>620</v>
      </c>
      <c r="BV115">
        <v>1775469955.5</v>
      </c>
      <c r="BW115">
        <v>1775469670</v>
      </c>
      <c r="BX115">
        <v>100</v>
      </c>
      <c r="BY115">
        <v>-3.5000000000000003E-2</v>
      </c>
      <c r="BZ115">
        <v>-1E-3</v>
      </c>
      <c r="CA115">
        <v>8.0969999999999995</v>
      </c>
      <c r="CB115">
        <v>-1.1839999999999999</v>
      </c>
      <c r="CC115">
        <v>16</v>
      </c>
      <c r="CD115">
        <v>-1</v>
      </c>
      <c r="CE115">
        <v>0.23</v>
      </c>
      <c r="CF115">
        <v>0.05</v>
      </c>
      <c r="CG115">
        <v>15.460645</v>
      </c>
      <c r="CH115">
        <v>0.47364856904697472</v>
      </c>
      <c r="CI115">
        <v>0.21023132610293829</v>
      </c>
      <c r="CJ115">
        <v>-1</v>
      </c>
      <c r="CK115">
        <v>500.00139999999999</v>
      </c>
      <c r="CL115">
        <v>7.5220894690665721E-3</v>
      </c>
      <c r="CM115">
        <v>4.8517763070176211E-2</v>
      </c>
      <c r="CN115">
        <v>-1</v>
      </c>
      <c r="CO115">
        <v>0</v>
      </c>
      <c r="CP115">
        <v>0</v>
      </c>
      <c r="CQ115" t="s">
        <v>319</v>
      </c>
      <c r="CR115">
        <v>3.16757</v>
      </c>
      <c r="CS115">
        <v>2.66812</v>
      </c>
      <c r="CT115">
        <v>2.2207500000000001E-3</v>
      </c>
      <c r="CU115">
        <v>4.7196599999999997E-3</v>
      </c>
      <c r="CV115">
        <v>4.8078399999999999E-3</v>
      </c>
      <c r="CW115">
        <v>-1.2189800000000001E-2</v>
      </c>
      <c r="CX115">
        <v>21509.5</v>
      </c>
      <c r="CY115">
        <v>21841.200000000001</v>
      </c>
      <c r="CZ115">
        <v>23085.8</v>
      </c>
      <c r="DA115">
        <v>22298.9</v>
      </c>
      <c r="DB115">
        <v>29631.200000000001</v>
      </c>
      <c r="DC115">
        <v>26920.400000000001</v>
      </c>
      <c r="DD115">
        <v>40579.699999999997</v>
      </c>
      <c r="DE115">
        <v>36958.6</v>
      </c>
      <c r="DF115">
        <v>2.0737800000000002</v>
      </c>
      <c r="DG115">
        <v>1.77488</v>
      </c>
      <c r="DH115">
        <v>2.12491E-2</v>
      </c>
      <c r="DI115">
        <v>0</v>
      </c>
      <c r="DJ115">
        <v>26.860099999999999</v>
      </c>
      <c r="DK115">
        <v>999.9</v>
      </c>
      <c r="DL115">
        <v>71.8</v>
      </c>
      <c r="DM115">
        <v>31.9</v>
      </c>
      <c r="DN115">
        <v>34.058700000000002</v>
      </c>
      <c r="DO115">
        <v>30.8155</v>
      </c>
      <c r="DP115">
        <v>10.821300000000001</v>
      </c>
      <c r="DQ115">
        <v>1</v>
      </c>
      <c r="DR115">
        <v>0.25247599999999998</v>
      </c>
      <c r="DS115">
        <v>0.56460100000000002</v>
      </c>
      <c r="DT115">
        <v>20.368200000000002</v>
      </c>
      <c r="DU115">
        <v>5.2119</v>
      </c>
      <c r="DV115">
        <v>11.850899999999999</v>
      </c>
      <c r="DW115">
        <v>4.9677600000000002</v>
      </c>
      <c r="DX115">
        <v>3.2929400000000002</v>
      </c>
      <c r="DY115">
        <v>894.7</v>
      </c>
      <c r="DZ115">
        <v>0</v>
      </c>
      <c r="EA115">
        <v>3093.8</v>
      </c>
      <c r="EB115">
        <v>108.3</v>
      </c>
      <c r="EC115">
        <v>4.9716100000000001</v>
      </c>
      <c r="ED115">
        <v>1.8718300000000001</v>
      </c>
      <c r="EE115">
        <v>1.8690500000000001</v>
      </c>
      <c r="EF115">
        <v>1.87147</v>
      </c>
      <c r="EG115">
        <v>1.8692</v>
      </c>
      <c r="EH115">
        <v>1.8681300000000001</v>
      </c>
      <c r="EI115">
        <v>1.8699600000000001</v>
      </c>
      <c r="EJ115">
        <v>1.87178</v>
      </c>
      <c r="EK115">
        <v>0</v>
      </c>
      <c r="EL115">
        <v>0</v>
      </c>
      <c r="EM115">
        <v>0</v>
      </c>
      <c r="EN115">
        <v>0</v>
      </c>
      <c r="EO115" t="s">
        <v>320</v>
      </c>
      <c r="EP115" t="s">
        <v>321</v>
      </c>
      <c r="EQ115" t="s">
        <v>322</v>
      </c>
      <c r="ER115" t="s">
        <v>322</v>
      </c>
      <c r="ES115" t="s">
        <v>322</v>
      </c>
      <c r="ET115" t="s">
        <v>322</v>
      </c>
      <c r="EU115">
        <v>0</v>
      </c>
      <c r="EV115">
        <v>100</v>
      </c>
      <c r="EW115">
        <v>100</v>
      </c>
      <c r="EX115">
        <v>8.0969999999999995</v>
      </c>
      <c r="EY115">
        <v>-1.1839999999999999</v>
      </c>
      <c r="EZ115">
        <v>8.1320455000000003</v>
      </c>
      <c r="FA115">
        <v>0</v>
      </c>
      <c r="FB115">
        <v>0</v>
      </c>
      <c r="FC115">
        <v>0</v>
      </c>
      <c r="FD115">
        <v>-1.1840113809523809</v>
      </c>
      <c r="FE115">
        <v>0</v>
      </c>
      <c r="FF115">
        <v>0</v>
      </c>
      <c r="FG115">
        <v>0</v>
      </c>
      <c r="FH115">
        <v>-1</v>
      </c>
      <c r="FI115">
        <v>-1</v>
      </c>
      <c r="FJ115">
        <v>-1</v>
      </c>
      <c r="FK115">
        <v>-1</v>
      </c>
      <c r="FL115">
        <v>0.7</v>
      </c>
      <c r="FM115">
        <v>4.4000000000000004</v>
      </c>
      <c r="FN115">
        <v>0.14160200000000001</v>
      </c>
      <c r="FO115">
        <v>4.99756</v>
      </c>
      <c r="FP115">
        <v>1.5979000000000001</v>
      </c>
      <c r="FQ115">
        <v>2.1484399999999999</v>
      </c>
      <c r="FR115">
        <v>1.5478499999999999</v>
      </c>
      <c r="FS115">
        <v>2.3046899999999999</v>
      </c>
      <c r="FT115">
        <v>35.777700000000003</v>
      </c>
      <c r="FU115">
        <v>15.016400000000001</v>
      </c>
      <c r="FV115">
        <v>2</v>
      </c>
      <c r="FW115">
        <v>494.089</v>
      </c>
      <c r="FX115">
        <v>394.78199999999998</v>
      </c>
      <c r="FY115">
        <v>27.5563</v>
      </c>
      <c r="FZ115">
        <v>30.3992</v>
      </c>
      <c r="GA115">
        <v>30.000599999999999</v>
      </c>
      <c r="GB115">
        <v>30.6601</v>
      </c>
      <c r="GC115">
        <v>30.702300000000001</v>
      </c>
      <c r="GD115">
        <v>-1</v>
      </c>
      <c r="GE115">
        <v>0</v>
      </c>
      <c r="GF115">
        <v>100</v>
      </c>
      <c r="GG115">
        <v>27.570599999999999</v>
      </c>
      <c r="GH115">
        <v>432.1</v>
      </c>
      <c r="GI115">
        <v>78.840199999999996</v>
      </c>
      <c r="GJ115">
        <v>102.139</v>
      </c>
      <c r="GK115">
        <v>96.435199999999995</v>
      </c>
    </row>
    <row r="116" spans="1:193" x14ac:dyDescent="0.35">
      <c r="A116">
        <v>100</v>
      </c>
      <c r="B116">
        <v>1775469994.5</v>
      </c>
      <c r="C116">
        <v>6038.4000000953674</v>
      </c>
      <c r="D116" t="s">
        <v>621</v>
      </c>
      <c r="E116" t="s">
        <v>622</v>
      </c>
      <c r="F116">
        <v>60</v>
      </c>
      <c r="G116">
        <v>1775469975</v>
      </c>
      <c r="H116">
        <f t="shared" si="54"/>
        <v>1.0682894314188898E-3</v>
      </c>
      <c r="I116">
        <f>1000*AY116*AG116*(AU116-AV116)/(100*AN116*(1000-AG116*AU116))</f>
        <v>1.0682894314188898</v>
      </c>
      <c r="J116">
        <f>AY116*AG116*(AT116-AS116*(1000-AG116*AV116)/(1000-AG116*AU116))/(100*AN116)</f>
        <v>0.17917066645765242</v>
      </c>
      <c r="K116">
        <f t="shared" si="55"/>
        <v>15.72039285714286</v>
      </c>
      <c r="L116">
        <f t="shared" si="56"/>
        <v>5.0044927948608073</v>
      </c>
      <c r="M116">
        <f>L116*(AZ116+BA116)/1000</f>
        <v>0.50117876440231435</v>
      </c>
      <c r="N116">
        <f>(AS116 - IF(AG116&gt;1, J116*AN116*100/(AI116), 0))*(AZ116+BA116)/1000</f>
        <v>1.5743307845607484</v>
      </c>
      <c r="O116">
        <f t="shared" si="57"/>
        <v>2.8566501791952716E-2</v>
      </c>
      <c r="P116">
        <f>IF(LEFT(AP116,1)&lt;&gt;"0",IF(LEFT(AP116,1)="1",3,AQ116),$D$5+$E$5*(BG116*AZ116/($K$5*1000))+$F$5*(BG116*AZ116/($K$5*1000))*MAX(MIN(AN116,$J$5),$I$5)*MAX(MIN(AN116,$J$5),$I$5)+$G$5*MAX(MIN(AN116,$J$5),$I$5)*(BG116*AZ116/($K$5*1000))+$H$5*(BG116*AZ116/($K$5*1000))*(BG116*AZ116/($K$5*1000)))</f>
        <v>2.3890349368861168</v>
      </c>
      <c r="Q116">
        <f>H116*(1000-(1000*0.61365*EXP(17.502*U116/(240.97+U116))/(AZ116+BA116)+AU116)/2)/(1000*0.61365*EXP(17.502*U116/(240.97+U116))/(AZ116+BA116)-AU116)</f>
        <v>2.8378086769664235E-2</v>
      </c>
      <c r="R116">
        <f t="shared" si="58"/>
        <v>1.7753128855873174E-2</v>
      </c>
      <c r="S116">
        <f t="shared" si="59"/>
        <v>8.8940312618181819E-2</v>
      </c>
      <c r="T116">
        <f>(BB116+(S116+2*0.95*0.0000000567*(((BB116+$B$7)+273)^4-(BB116+273)^4)-44100*H116)/(1.84*29.3*P116+8*0.95*0.0000000567*(BB116+273)^3))</f>
        <v>26.77125418386176</v>
      </c>
      <c r="U116">
        <f>($C$7*BC116+$D$7*BD116+$E$7*T116)</f>
        <v>27.23261558441558</v>
      </c>
      <c r="V116">
        <f t="shared" si="60"/>
        <v>3.6283510538399399</v>
      </c>
      <c r="W116">
        <f t="shared" si="61"/>
        <v>-2.0751186334221261</v>
      </c>
      <c r="X116">
        <f>AU116*(AZ116+BA116)/1000</f>
        <v>-7.4735748280868444E-2</v>
      </c>
      <c r="Y116">
        <f t="shared" si="62"/>
        <v>3.6015169001504259</v>
      </c>
      <c r="Z116">
        <f>(V116-AU116*(AZ116+BA116)/1000)</f>
        <v>3.7030868021208083</v>
      </c>
      <c r="AA116">
        <f t="shared" si="63"/>
        <v>-47.111563925573037</v>
      </c>
      <c r="AB116">
        <f>2*29.3*P116*0.92*(BB116-U116)</f>
        <v>-16.299259164687676</v>
      </c>
      <c r="AC116">
        <f>2*0.95*0.0000000567*(((BB116+$B$7)+273)^4-(U116+273)^4)</f>
        <v>-1.4748762642547906</v>
      </c>
      <c r="AD116">
        <f t="shared" si="64"/>
        <v>-64.796759041897332</v>
      </c>
      <c r="AE116">
        <v>17</v>
      </c>
      <c r="AF116">
        <v>3</v>
      </c>
      <c r="AG116">
        <f t="shared" si="65"/>
        <v>1</v>
      </c>
      <c r="AH116">
        <f t="shared" si="66"/>
        <v>0</v>
      </c>
      <c r="AI116">
        <f t="shared" si="67"/>
        <v>25525.23324608757</v>
      </c>
      <c r="AJ116">
        <f t="shared" si="68"/>
        <v>0.4654124155844156</v>
      </c>
      <c r="AK116">
        <f t="shared" si="69"/>
        <v>0.37232993246753249</v>
      </c>
      <c r="AL116">
        <f t="shared" si="70"/>
        <v>0.8</v>
      </c>
      <c r="AM116">
        <f t="shared" si="71"/>
        <v>0.19109999999999999</v>
      </c>
      <c r="AN116">
        <v>3</v>
      </c>
      <c r="AO116">
        <v>0.5</v>
      </c>
      <c r="AP116" t="s">
        <v>317</v>
      </c>
      <c r="AQ116">
        <v>2</v>
      </c>
      <c r="AR116">
        <v>1775469975</v>
      </c>
      <c r="AS116">
        <v>15.72039285714286</v>
      </c>
      <c r="AT116">
        <v>15.837840259740259</v>
      </c>
      <c r="AU116">
        <v>-0.74626967532467536</v>
      </c>
      <c r="AV116">
        <v>-1.3870050649350649</v>
      </c>
      <c r="AW116">
        <v>7.6613928571428591</v>
      </c>
      <c r="AX116">
        <v>0.4377416766233766</v>
      </c>
      <c r="AY116">
        <v>500.55920779220781</v>
      </c>
      <c r="AZ116">
        <v>100.0985844155844</v>
      </c>
      <c r="BA116">
        <v>4.7181588311688311E-2</v>
      </c>
      <c r="BB116">
        <v>27.106066233766239</v>
      </c>
      <c r="BC116">
        <v>27.23261558441558</v>
      </c>
      <c r="BD116">
        <v>999.89999999999952</v>
      </c>
      <c r="BE116">
        <v>0</v>
      </c>
      <c r="BF116">
        <v>0</v>
      </c>
      <c r="BG116">
        <v>4997.6558441558454</v>
      </c>
      <c r="BH116">
        <v>0.4654124155844156</v>
      </c>
      <c r="BI116">
        <v>71.830159740259759</v>
      </c>
      <c r="BJ116">
        <v>-7.9133660025974023E-2</v>
      </c>
      <c r="BK116">
        <v>15.74695714285714</v>
      </c>
      <c r="BL116">
        <v>15.81589870129871</v>
      </c>
      <c r="BM116">
        <v>0.64073514597402592</v>
      </c>
      <c r="BN116">
        <v>15.837840259740259</v>
      </c>
      <c r="BO116">
        <v>-1.3870050649350649</v>
      </c>
      <c r="BP116">
        <v>-7.4700532467532471E-2</v>
      </c>
      <c r="BQ116">
        <v>-0.13883728571428569</v>
      </c>
      <c r="BR116">
        <v>-99.899999999999963</v>
      </c>
      <c r="BS116">
        <v>-99.899999999999963</v>
      </c>
      <c r="BT116">
        <v>1775470016.5</v>
      </c>
      <c r="BU116" t="s">
        <v>623</v>
      </c>
      <c r="BV116">
        <v>1775470016.5</v>
      </c>
      <c r="BW116">
        <v>1775469670</v>
      </c>
      <c r="BX116">
        <v>101</v>
      </c>
      <c r="BY116">
        <v>-3.7999999999999999E-2</v>
      </c>
      <c r="BZ116">
        <v>-1E-3</v>
      </c>
      <c r="CA116">
        <v>8.0589999999999993</v>
      </c>
      <c r="CB116">
        <v>-1.1839999999999999</v>
      </c>
      <c r="CC116">
        <v>16</v>
      </c>
      <c r="CD116">
        <v>-1</v>
      </c>
      <c r="CE116">
        <v>0.12</v>
      </c>
      <c r="CF116">
        <v>0.05</v>
      </c>
      <c r="CG116">
        <v>15.846056666666669</v>
      </c>
      <c r="CH116">
        <v>1.196744429008068</v>
      </c>
      <c r="CI116">
        <v>0.19126187663921829</v>
      </c>
      <c r="CJ116">
        <v>-1</v>
      </c>
      <c r="CK116">
        <v>500.01400000000001</v>
      </c>
      <c r="CL116">
        <v>-0.17847624340014631</v>
      </c>
      <c r="CM116">
        <v>9.0339360192553966E-2</v>
      </c>
      <c r="CN116">
        <v>-1</v>
      </c>
      <c r="CO116">
        <v>0</v>
      </c>
      <c r="CP116">
        <v>0</v>
      </c>
      <c r="CQ116" t="s">
        <v>319</v>
      </c>
      <c r="CR116">
        <v>3.1675800000000001</v>
      </c>
      <c r="CS116">
        <v>2.6669900000000002</v>
      </c>
      <c r="CT116">
        <v>2.3576700000000001E-3</v>
      </c>
      <c r="CU116">
        <v>4.8112399999999996E-3</v>
      </c>
      <c r="CV116">
        <v>3.7402300000000002E-3</v>
      </c>
      <c r="CW116">
        <v>-1.22124E-2</v>
      </c>
      <c r="CX116">
        <v>21505.4</v>
      </c>
      <c r="CY116">
        <v>21838.400000000001</v>
      </c>
      <c r="CZ116">
        <v>23084.799999999999</v>
      </c>
      <c r="DA116">
        <v>22298.2</v>
      </c>
      <c r="DB116">
        <v>29661.8</v>
      </c>
      <c r="DC116">
        <v>26920</v>
      </c>
      <c r="DD116">
        <v>40578.300000000003</v>
      </c>
      <c r="DE116">
        <v>36957.300000000003</v>
      </c>
      <c r="DF116">
        <v>2.0728599999999999</v>
      </c>
      <c r="DG116">
        <v>1.7745599999999999</v>
      </c>
      <c r="DH116">
        <v>1.9478800000000001E-2</v>
      </c>
      <c r="DI116">
        <v>0</v>
      </c>
      <c r="DJ116">
        <v>26.9194</v>
      </c>
      <c r="DK116">
        <v>999.9</v>
      </c>
      <c r="DL116">
        <v>71.900000000000006</v>
      </c>
      <c r="DM116">
        <v>31.8</v>
      </c>
      <c r="DN116">
        <v>33.910699999999999</v>
      </c>
      <c r="DO116">
        <v>30.125499999999999</v>
      </c>
      <c r="DP116">
        <v>11.041700000000001</v>
      </c>
      <c r="DQ116">
        <v>1</v>
      </c>
      <c r="DR116">
        <v>0.25513799999999998</v>
      </c>
      <c r="DS116">
        <v>0.50508500000000001</v>
      </c>
      <c r="DT116">
        <v>20.368400000000001</v>
      </c>
      <c r="DU116">
        <v>5.2119</v>
      </c>
      <c r="DV116">
        <v>11.8499</v>
      </c>
      <c r="DW116">
        <v>4.9678000000000004</v>
      </c>
      <c r="DX116">
        <v>3.2928799999999998</v>
      </c>
      <c r="DY116">
        <v>894.7</v>
      </c>
      <c r="DZ116">
        <v>0</v>
      </c>
      <c r="EA116">
        <v>3122.7</v>
      </c>
      <c r="EB116">
        <v>108.3</v>
      </c>
      <c r="EC116">
        <v>4.9715800000000003</v>
      </c>
      <c r="ED116">
        <v>1.8718300000000001</v>
      </c>
      <c r="EE116">
        <v>1.8690500000000001</v>
      </c>
      <c r="EF116">
        <v>1.8714500000000001</v>
      </c>
      <c r="EG116">
        <v>1.8692</v>
      </c>
      <c r="EH116">
        <v>1.8681300000000001</v>
      </c>
      <c r="EI116">
        <v>1.8699600000000001</v>
      </c>
      <c r="EJ116">
        <v>1.8717999999999999</v>
      </c>
      <c r="EK116">
        <v>0</v>
      </c>
      <c r="EL116">
        <v>0</v>
      </c>
      <c r="EM116">
        <v>0</v>
      </c>
      <c r="EN116">
        <v>0</v>
      </c>
      <c r="EO116" t="s">
        <v>320</v>
      </c>
      <c r="EP116" t="s">
        <v>321</v>
      </c>
      <c r="EQ116" t="s">
        <v>322</v>
      </c>
      <c r="ER116" t="s">
        <v>322</v>
      </c>
      <c r="ES116" t="s">
        <v>322</v>
      </c>
      <c r="ET116" t="s">
        <v>322</v>
      </c>
      <c r="EU116">
        <v>0</v>
      </c>
      <c r="EV116">
        <v>100</v>
      </c>
      <c r="EW116">
        <v>100</v>
      </c>
      <c r="EX116">
        <v>8.0589999999999993</v>
      </c>
      <c r="EY116">
        <v>-1.1839999999999999</v>
      </c>
      <c r="EZ116">
        <v>8.0973144999999978</v>
      </c>
      <c r="FA116">
        <v>0</v>
      </c>
      <c r="FB116">
        <v>0</v>
      </c>
      <c r="FC116">
        <v>0</v>
      </c>
      <c r="FD116">
        <v>-1.1840113809523809</v>
      </c>
      <c r="FE116">
        <v>0</v>
      </c>
      <c r="FF116">
        <v>0</v>
      </c>
      <c r="FG116">
        <v>0</v>
      </c>
      <c r="FH116">
        <v>-1</v>
      </c>
      <c r="FI116">
        <v>-1</v>
      </c>
      <c r="FJ116">
        <v>-1</v>
      </c>
      <c r="FK116">
        <v>-1</v>
      </c>
      <c r="FL116">
        <v>0.7</v>
      </c>
      <c r="FM116">
        <v>5.4</v>
      </c>
      <c r="FN116">
        <v>0.14160200000000001</v>
      </c>
      <c r="FO116">
        <v>4.99756</v>
      </c>
      <c r="FP116">
        <v>1.5979000000000001</v>
      </c>
      <c r="FQ116">
        <v>2.1484399999999999</v>
      </c>
      <c r="FR116">
        <v>1.5478499999999999</v>
      </c>
      <c r="FS116">
        <v>2.3938000000000001</v>
      </c>
      <c r="FT116">
        <v>35.754399999999997</v>
      </c>
      <c r="FU116">
        <v>15.016400000000001</v>
      </c>
      <c r="FV116">
        <v>2</v>
      </c>
      <c r="FW116">
        <v>493.69499999999999</v>
      </c>
      <c r="FX116">
        <v>394.68400000000003</v>
      </c>
      <c r="FY116">
        <v>27.5152</v>
      </c>
      <c r="FZ116">
        <v>30.435700000000001</v>
      </c>
      <c r="GA116">
        <v>30.0002</v>
      </c>
      <c r="GB116">
        <v>30.678599999999999</v>
      </c>
      <c r="GC116">
        <v>30.715399999999999</v>
      </c>
      <c r="GD116">
        <v>-1</v>
      </c>
      <c r="GE116">
        <v>0</v>
      </c>
      <c r="GF116">
        <v>100</v>
      </c>
      <c r="GG116">
        <v>27.507300000000001</v>
      </c>
      <c r="GH116">
        <v>432.1</v>
      </c>
      <c r="GI116">
        <v>78.840199999999996</v>
      </c>
      <c r="GJ116">
        <v>102.13500000000001</v>
      </c>
      <c r="GK116">
        <v>96.431899999999999</v>
      </c>
    </row>
    <row r="117" spans="1:193" x14ac:dyDescent="0.35">
      <c r="A117">
        <v>101</v>
      </c>
      <c r="B117">
        <v>1775470054.5</v>
      </c>
      <c r="C117">
        <v>6098.4000000953674</v>
      </c>
      <c r="D117" t="s">
        <v>624</v>
      </c>
      <c r="E117" t="s">
        <v>625</v>
      </c>
      <c r="F117">
        <v>60</v>
      </c>
      <c r="G117">
        <v>1775470035.5</v>
      </c>
      <c r="H117">
        <f t="shared" si="54"/>
        <v>8.4600717404140918E-4</v>
      </c>
      <c r="I117">
        <f>1000*AY117*AG117*(AU117-AV117)/(100*AN117*(1000-AG117*AU117))</f>
        <v>0.84600717404140913</v>
      </c>
      <c r="J117">
        <f>AY117*AG117*(AT117-AS117*(1000-AG117*AV117)/(1000-AG117*AU117))/(100*AN117)</f>
        <v>-0.26865369256719307</v>
      </c>
      <c r="K117">
        <f t="shared" si="55"/>
        <v>15.763964</v>
      </c>
      <c r="L117">
        <f t="shared" si="56"/>
        <v>33.45910938832855</v>
      </c>
      <c r="M117">
        <f>L117*(AZ117+BA117)/1000</f>
        <v>3.3508607474684258</v>
      </c>
      <c r="N117">
        <f>(AS117 - IF(AG117&gt;1, J117*AN117*100/(AI117), 0))*(AZ117+BA117)/1000</f>
        <v>1.5787284586400678</v>
      </c>
      <c r="O117">
        <f t="shared" si="57"/>
        <v>2.2509407345820766E-2</v>
      </c>
      <c r="P117">
        <f>IF(LEFT(AP117,1)&lt;&gt;"0",IF(LEFT(AP117,1)="1",3,AQ117),$D$5+$E$5*(BG117*AZ117/($K$5*1000))+$F$5*(BG117*AZ117/($K$5*1000))*MAX(MIN(AN117,$J$5),$I$5)*MAX(MIN(AN117,$J$5),$I$5)+$G$5*MAX(MIN(AN117,$J$5),$I$5)*(BG117*AZ117/($K$5*1000))+$H$5*(BG117*AZ117/($K$5*1000))*(BG117*AZ117/($K$5*1000)))</f>
        <v>2.3901437264420307</v>
      </c>
      <c r="Q117">
        <f>H117*(1000-(1000*0.61365*EXP(17.502*U117/(240.97+U117))/(AZ117+BA117)+AU117)/2)/(1000*0.61365*EXP(17.502*U117/(240.97+U117))/(AZ117+BA117)-AU117)</f>
        <v>2.2392299719433163E-2</v>
      </c>
      <c r="R117">
        <f t="shared" si="58"/>
        <v>1.4005658078583127E-2</v>
      </c>
      <c r="S117">
        <f t="shared" si="59"/>
        <v>8.5174806443999995E-2</v>
      </c>
      <c r="T117">
        <f>(BB117+(S117+2*0.95*0.0000000567*(((BB117+$B$7)+273)^4-(BB117+273)^4)-44100*H117)/(1.84*29.3*P117+8*0.95*0.0000000567*(BB117+273)^3))</f>
        <v>26.835732517430131</v>
      </c>
      <c r="U117">
        <f>($C$7*BC117+$D$7*BD117+$E$7*T117)</f>
        <v>27.234458666666661</v>
      </c>
      <c r="V117">
        <f t="shared" si="60"/>
        <v>3.6287431559114576</v>
      </c>
      <c r="W117">
        <f t="shared" si="61"/>
        <v>-2.4463373147033343</v>
      </c>
      <c r="X117">
        <f>AU117*(AZ117+BA117)/1000</f>
        <v>-8.8077316300316372E-2</v>
      </c>
      <c r="Y117">
        <f t="shared" si="62"/>
        <v>3.6003749675460206</v>
      </c>
      <c r="Z117">
        <f>(V117-AU117*(AZ117+BA117)/1000)</f>
        <v>3.7168204722117739</v>
      </c>
      <c r="AA117">
        <f t="shared" si="63"/>
        <v>-37.308916375226147</v>
      </c>
      <c r="AB117">
        <f>2*29.3*P117*0.92*(BB117-U117)</f>
        <v>-17.240608514282055</v>
      </c>
      <c r="AC117">
        <f>2*0.95*0.0000000567*(((BB117+$B$7)+273)^4-(U117+273)^4)</f>
        <v>-1.5593049958601883</v>
      </c>
      <c r="AD117">
        <f t="shared" si="64"/>
        <v>-56.023655078924392</v>
      </c>
      <c r="AE117">
        <v>17</v>
      </c>
      <c r="AF117">
        <v>3</v>
      </c>
      <c r="AG117">
        <f t="shared" si="65"/>
        <v>1</v>
      </c>
      <c r="AH117">
        <f t="shared" si="66"/>
        <v>0</v>
      </c>
      <c r="AI117">
        <f t="shared" si="67"/>
        <v>25542.461984375612</v>
      </c>
      <c r="AJ117">
        <f t="shared" si="68"/>
        <v>0.44570804000000003</v>
      </c>
      <c r="AK117">
        <f t="shared" si="69"/>
        <v>0.35656643200000004</v>
      </c>
      <c r="AL117">
        <f t="shared" si="70"/>
        <v>0.8</v>
      </c>
      <c r="AM117">
        <f t="shared" si="71"/>
        <v>0.19109999999999999</v>
      </c>
      <c r="AN117">
        <v>3</v>
      </c>
      <c r="AO117">
        <v>0.5</v>
      </c>
      <c r="AP117" t="s">
        <v>317</v>
      </c>
      <c r="AQ117">
        <v>2</v>
      </c>
      <c r="AR117">
        <v>1775470035.5</v>
      </c>
      <c r="AS117">
        <v>15.763964</v>
      </c>
      <c r="AT117">
        <v>15.61095066666666</v>
      </c>
      <c r="AU117">
        <v>-0.87947210666666686</v>
      </c>
      <c r="AV117">
        <v>-1.386935733333333</v>
      </c>
      <c r="AW117">
        <v>7.6979639999999998</v>
      </c>
      <c r="AX117">
        <v>0.30453908933333329</v>
      </c>
      <c r="AY117">
        <v>500.57846666666671</v>
      </c>
      <c r="AZ117">
        <v>100.1009466666667</v>
      </c>
      <c r="BA117">
        <v>4.6989388E-2</v>
      </c>
      <c r="BB117">
        <v>27.100662666666661</v>
      </c>
      <c r="BC117">
        <v>27.234458666666661</v>
      </c>
      <c r="BD117">
        <v>999.89999999999964</v>
      </c>
      <c r="BE117">
        <v>0</v>
      </c>
      <c r="BF117">
        <v>0</v>
      </c>
      <c r="BG117">
        <v>5000.3933333333334</v>
      </c>
      <c r="BH117">
        <v>0.44570804000000003</v>
      </c>
      <c r="BI117">
        <v>69.683537333333334</v>
      </c>
      <c r="BJ117">
        <v>0.14651759047999999</v>
      </c>
      <c r="BK117">
        <v>15.743608</v>
      </c>
      <c r="BL117">
        <v>15.58932266666667</v>
      </c>
      <c r="BM117">
        <v>0.50746409720000007</v>
      </c>
      <c r="BN117">
        <v>15.61095066666666</v>
      </c>
      <c r="BO117">
        <v>-1.386935733333333</v>
      </c>
      <c r="BP117">
        <v>-8.8035896000000016E-2</v>
      </c>
      <c r="BQ117">
        <v>-0.13883353333333329</v>
      </c>
      <c r="BR117">
        <v>-99.899999999999977</v>
      </c>
      <c r="BS117">
        <v>-99.899999999999977</v>
      </c>
      <c r="BT117">
        <v>1775470066.5</v>
      </c>
      <c r="BU117" t="s">
        <v>626</v>
      </c>
      <c r="BV117">
        <v>1775470066.5</v>
      </c>
      <c r="BW117">
        <v>1775469670</v>
      </c>
      <c r="BX117">
        <v>102</v>
      </c>
      <c r="BY117">
        <v>6.0000000000000001E-3</v>
      </c>
      <c r="BZ117">
        <v>-1E-3</v>
      </c>
      <c r="CA117">
        <v>8.0660000000000007</v>
      </c>
      <c r="CB117">
        <v>-1.1839999999999999</v>
      </c>
      <c r="CC117">
        <v>16</v>
      </c>
      <c r="CD117">
        <v>-1</v>
      </c>
      <c r="CE117">
        <v>0.42</v>
      </c>
      <c r="CF117">
        <v>0.05</v>
      </c>
      <c r="CG117">
        <v>15.5408262295082</v>
      </c>
      <c r="CH117">
        <v>0.45115430988894512</v>
      </c>
      <c r="CI117">
        <v>0.1074973273043877</v>
      </c>
      <c r="CJ117">
        <v>-1</v>
      </c>
      <c r="CK117">
        <v>500.05768852459022</v>
      </c>
      <c r="CL117">
        <v>-0.57593019566420411</v>
      </c>
      <c r="CM117">
        <v>0.20985252753050071</v>
      </c>
      <c r="CN117">
        <v>-1</v>
      </c>
      <c r="CO117">
        <v>0</v>
      </c>
      <c r="CP117">
        <v>0</v>
      </c>
      <c r="CQ117" t="s">
        <v>319</v>
      </c>
      <c r="CR117">
        <v>3.16744</v>
      </c>
      <c r="CS117">
        <v>2.6666799999999999</v>
      </c>
      <c r="CT117">
        <v>2.2727799999999999E-3</v>
      </c>
      <c r="CU117">
        <v>4.6952699999999997E-3</v>
      </c>
      <c r="CV117">
        <v>2.81832E-3</v>
      </c>
      <c r="CW117">
        <v>-1.22135E-2</v>
      </c>
      <c r="CX117">
        <v>21507.4</v>
      </c>
      <c r="CY117">
        <v>21841.3</v>
      </c>
      <c r="CZ117">
        <v>23084.9</v>
      </c>
      <c r="DA117">
        <v>22298.6</v>
      </c>
      <c r="DB117">
        <v>29689.5</v>
      </c>
      <c r="DC117">
        <v>26920.400000000001</v>
      </c>
      <c r="DD117">
        <v>40578.699999999997</v>
      </c>
      <c r="DE117">
        <v>36957.800000000003</v>
      </c>
      <c r="DF117">
        <v>2.0720800000000001</v>
      </c>
      <c r="DG117">
        <v>1.77502</v>
      </c>
      <c r="DH117">
        <v>1.7261499999999999E-2</v>
      </c>
      <c r="DI117">
        <v>0</v>
      </c>
      <c r="DJ117">
        <v>26.953099999999999</v>
      </c>
      <c r="DK117">
        <v>999.9</v>
      </c>
      <c r="DL117">
        <v>71.900000000000006</v>
      </c>
      <c r="DM117">
        <v>31.8</v>
      </c>
      <c r="DN117">
        <v>33.914099999999998</v>
      </c>
      <c r="DO117">
        <v>30.395499999999998</v>
      </c>
      <c r="DP117">
        <v>11.0457</v>
      </c>
      <c r="DQ117">
        <v>1</v>
      </c>
      <c r="DR117">
        <v>0.25493100000000002</v>
      </c>
      <c r="DS117">
        <v>0.327573</v>
      </c>
      <c r="DT117">
        <v>20.369299999999999</v>
      </c>
      <c r="DU117">
        <v>5.2116600000000002</v>
      </c>
      <c r="DV117">
        <v>11.849299999999999</v>
      </c>
      <c r="DW117">
        <v>4.9678800000000001</v>
      </c>
      <c r="DX117">
        <v>3.2929400000000002</v>
      </c>
      <c r="DY117">
        <v>894.7</v>
      </c>
      <c r="DZ117">
        <v>0</v>
      </c>
      <c r="EA117">
        <v>3157.8</v>
      </c>
      <c r="EB117">
        <v>108.3</v>
      </c>
      <c r="EC117">
        <v>4.9715999999999996</v>
      </c>
      <c r="ED117">
        <v>1.87182</v>
      </c>
      <c r="EE117">
        <v>1.8690500000000001</v>
      </c>
      <c r="EF117">
        <v>1.87148</v>
      </c>
      <c r="EG117">
        <v>1.8692</v>
      </c>
      <c r="EH117">
        <v>1.8681300000000001</v>
      </c>
      <c r="EI117">
        <v>1.8699600000000001</v>
      </c>
      <c r="EJ117">
        <v>1.8717999999999999</v>
      </c>
      <c r="EK117">
        <v>0</v>
      </c>
      <c r="EL117">
        <v>0</v>
      </c>
      <c r="EM117">
        <v>0</v>
      </c>
      <c r="EN117">
        <v>0</v>
      </c>
      <c r="EO117" t="s">
        <v>320</v>
      </c>
      <c r="EP117" t="s">
        <v>321</v>
      </c>
      <c r="EQ117" t="s">
        <v>322</v>
      </c>
      <c r="ER117" t="s">
        <v>322</v>
      </c>
      <c r="ES117" t="s">
        <v>322</v>
      </c>
      <c r="ET117" t="s">
        <v>322</v>
      </c>
      <c r="EU117">
        <v>0</v>
      </c>
      <c r="EV117">
        <v>100</v>
      </c>
      <c r="EW117">
        <v>100</v>
      </c>
      <c r="EX117">
        <v>8.0660000000000007</v>
      </c>
      <c r="EY117">
        <v>-1.1839999999999999</v>
      </c>
      <c r="EZ117">
        <v>8.0594994999999976</v>
      </c>
      <c r="FA117">
        <v>0</v>
      </c>
      <c r="FB117">
        <v>0</v>
      </c>
      <c r="FC117">
        <v>0</v>
      </c>
      <c r="FD117">
        <v>-1.1840113809523809</v>
      </c>
      <c r="FE117">
        <v>0</v>
      </c>
      <c r="FF117">
        <v>0</v>
      </c>
      <c r="FG117">
        <v>0</v>
      </c>
      <c r="FH117">
        <v>-1</v>
      </c>
      <c r="FI117">
        <v>-1</v>
      </c>
      <c r="FJ117">
        <v>-1</v>
      </c>
      <c r="FK117">
        <v>-1</v>
      </c>
      <c r="FL117">
        <v>0.6</v>
      </c>
      <c r="FM117">
        <v>6.4</v>
      </c>
      <c r="FN117">
        <v>0.14160200000000001</v>
      </c>
      <c r="FO117">
        <v>4.99756</v>
      </c>
      <c r="FP117">
        <v>1.5979000000000001</v>
      </c>
      <c r="FQ117">
        <v>2.1484399999999999</v>
      </c>
      <c r="FR117">
        <v>1.5478499999999999</v>
      </c>
      <c r="FS117">
        <v>2.47803</v>
      </c>
      <c r="FT117">
        <v>35.707799999999999</v>
      </c>
      <c r="FU117">
        <v>15.016400000000001</v>
      </c>
      <c r="FV117">
        <v>2</v>
      </c>
      <c r="FW117">
        <v>493.32299999999998</v>
      </c>
      <c r="FX117">
        <v>394.99599999999998</v>
      </c>
      <c r="FY117">
        <v>27.5136</v>
      </c>
      <c r="FZ117">
        <v>30.438400000000001</v>
      </c>
      <c r="GA117">
        <v>30</v>
      </c>
      <c r="GB117">
        <v>30.689</v>
      </c>
      <c r="GC117">
        <v>30.723800000000001</v>
      </c>
      <c r="GD117">
        <v>-1</v>
      </c>
      <c r="GE117">
        <v>0</v>
      </c>
      <c r="GF117">
        <v>100</v>
      </c>
      <c r="GG117">
        <v>27.505800000000001</v>
      </c>
      <c r="GH117">
        <v>432.1</v>
      </c>
      <c r="GI117">
        <v>78.840199999999996</v>
      </c>
      <c r="GJ117">
        <v>102.136</v>
      </c>
      <c r="GK117">
        <v>96.433499999999995</v>
      </c>
    </row>
    <row r="118" spans="1:193" x14ac:dyDescent="0.35">
      <c r="A118">
        <v>102</v>
      </c>
      <c r="B118">
        <v>1775470114.5</v>
      </c>
      <c r="C118">
        <v>6158.4000000953674</v>
      </c>
      <c r="D118" t="s">
        <v>627</v>
      </c>
      <c r="E118" t="s">
        <v>628</v>
      </c>
      <c r="F118">
        <v>60</v>
      </c>
      <c r="G118">
        <v>1775470090.119792</v>
      </c>
      <c r="H118">
        <f t="shared" si="54"/>
        <v>7.7418947330918665E-4</v>
      </c>
      <c r="I118">
        <f>1000*AY118*AG118*(AU118-AV118)/(100*AN118*(1000-AG118*AU118))</f>
        <v>0.77418947330918664</v>
      </c>
      <c r="J118">
        <f>AY118*AG118*(AT118-AS118*(1000-AG118*AV118)/(1000-AG118*AU118))/(100*AN118)</f>
        <v>9.5107083749758181E-2</v>
      </c>
      <c r="K118">
        <f t="shared" si="55"/>
        <v>16.22711854166667</v>
      </c>
      <c r="L118">
        <f t="shared" si="56"/>
        <v>8.0587447571785642</v>
      </c>
      <c r="M118">
        <f>L118*(AZ118+BA118)/1000</f>
        <v>0.80707278404966487</v>
      </c>
      <c r="N118">
        <f>(AS118 - IF(AG118&gt;1, J118*AN118*100/(AI118), 0))*(AZ118+BA118)/1000</f>
        <v>1.6251247722991591</v>
      </c>
      <c r="O118">
        <f t="shared" si="57"/>
        <v>2.0554495449788327E-2</v>
      </c>
      <c r="P118">
        <f>IF(LEFT(AP118,1)&lt;&gt;"0",IF(LEFT(AP118,1)="1",3,AQ118),$D$5+$E$5*(BG118*AZ118/($K$5*1000))+$F$5*(BG118*AZ118/($K$5*1000))*MAX(MIN(AN118,$J$5),$I$5)*MAX(MIN(AN118,$J$5),$I$5)+$G$5*MAX(MIN(AN118,$J$5),$I$5)*(BG118*AZ118/($K$5*1000))+$H$5*(BG118*AZ118/($K$5*1000))*(BG118*AZ118/($K$5*1000)))</f>
        <v>2.3895677122377079</v>
      </c>
      <c r="Q118">
        <f>H118*(1000-(1000*0.61365*EXP(17.502*U118/(240.97+U118))/(AZ118+BA118)+AU118)/2)/(1000*0.61365*EXP(17.502*U118/(240.97+U118))/(AZ118+BA118)-AU118)</f>
        <v>2.0456774718943662E-2</v>
      </c>
      <c r="R118">
        <f t="shared" si="58"/>
        <v>1.2794225186697112E-2</v>
      </c>
      <c r="S118">
        <f t="shared" si="59"/>
        <v>8.6207421584375027E-2</v>
      </c>
      <c r="T118">
        <f>(BB118+(S118+2*0.95*0.0000000567*(((BB118+$B$7)+273)^4-(BB118+273)^4)-44100*H118)/(1.84*29.3*P118+8*0.95*0.0000000567*(BB118+273)^3))</f>
        <v>26.865343559330082</v>
      </c>
      <c r="U118">
        <f>($C$7*BC118+$D$7*BD118+$E$7*T118)</f>
        <v>27.249334375</v>
      </c>
      <c r="V118">
        <f t="shared" si="60"/>
        <v>3.6319092065602723</v>
      </c>
      <c r="W118">
        <f t="shared" si="61"/>
        <v>-2.5329396624679754</v>
      </c>
      <c r="X118">
        <f>AU118*(AZ118+BA118)/1000</f>
        <v>-9.1233409597970785E-2</v>
      </c>
      <c r="Y118">
        <f t="shared" si="62"/>
        <v>3.6018785188541487</v>
      </c>
      <c r="Z118">
        <f>(V118-AU118*(AZ118+BA118)/1000)</f>
        <v>3.7231426161582433</v>
      </c>
      <c r="AA118">
        <f t="shared" si="63"/>
        <v>-34.141755772935134</v>
      </c>
      <c r="AB118">
        <f>2*29.3*P118*0.92*(BB118-U118)</f>
        <v>-18.236312669760693</v>
      </c>
      <c r="AC118">
        <f>2*0.95*0.0000000567*(((BB118+$B$7)+273)^4-(U118+273)^4)</f>
        <v>-1.6499390882800531</v>
      </c>
      <c r="AD118">
        <f t="shared" si="64"/>
        <v>-53.941800109391508</v>
      </c>
      <c r="AE118">
        <v>17</v>
      </c>
      <c r="AF118">
        <v>3</v>
      </c>
      <c r="AG118">
        <f t="shared" si="65"/>
        <v>1</v>
      </c>
      <c r="AH118">
        <f t="shared" si="66"/>
        <v>0</v>
      </c>
      <c r="AI118">
        <f t="shared" si="67"/>
        <v>25533.051639422752</v>
      </c>
      <c r="AJ118">
        <f t="shared" si="68"/>
        <v>0.45111157291666681</v>
      </c>
      <c r="AK118">
        <f t="shared" si="69"/>
        <v>0.36088925833333346</v>
      </c>
      <c r="AL118">
        <f t="shared" si="70"/>
        <v>0.8</v>
      </c>
      <c r="AM118">
        <f t="shared" si="71"/>
        <v>0.19109999999999999</v>
      </c>
      <c r="AN118">
        <v>3</v>
      </c>
      <c r="AO118">
        <v>0.5</v>
      </c>
      <c r="AP118" t="s">
        <v>317</v>
      </c>
      <c r="AQ118">
        <v>2</v>
      </c>
      <c r="AR118">
        <v>1775470090.119792</v>
      </c>
      <c r="AS118">
        <v>16.22711854166667</v>
      </c>
      <c r="AT118">
        <v>16.291660416666669</v>
      </c>
      <c r="AU118">
        <v>-0.91097949999999994</v>
      </c>
      <c r="AV118">
        <v>-1.375483854166667</v>
      </c>
      <c r="AW118">
        <v>8.1991185416666656</v>
      </c>
      <c r="AX118">
        <v>0.27303170104166669</v>
      </c>
      <c r="AY118">
        <v>500.46554166666658</v>
      </c>
      <c r="AZ118">
        <v>100.1020625</v>
      </c>
      <c r="BA118">
        <v>4.6634147916666667E-2</v>
      </c>
      <c r="BB118">
        <v>27.107777083333339</v>
      </c>
      <c r="BC118">
        <v>27.249334375</v>
      </c>
      <c r="BD118">
        <v>999.89999999999975</v>
      </c>
      <c r="BE118">
        <v>0</v>
      </c>
      <c r="BF118">
        <v>0</v>
      </c>
      <c r="BG118">
        <v>4998.854166666667</v>
      </c>
      <c r="BH118">
        <v>0.45111157291666681</v>
      </c>
      <c r="BI118">
        <v>68.011432291666665</v>
      </c>
      <c r="BJ118">
        <v>-2.6770311979166669E-2</v>
      </c>
      <c r="BK118">
        <v>16.250106250000002</v>
      </c>
      <c r="BL118">
        <v>16.269291666666671</v>
      </c>
      <c r="BM118">
        <v>0.46450419812499999</v>
      </c>
      <c r="BN118">
        <v>16.291660416666669</v>
      </c>
      <c r="BO118">
        <v>-1.375483854166667</v>
      </c>
      <c r="BP118">
        <v>-9.1190859374999989E-2</v>
      </c>
      <c r="BQ118">
        <v>-0.1376887083333333</v>
      </c>
      <c r="BR118">
        <v>-99.899999999999991</v>
      </c>
      <c r="BS118">
        <v>-99.899999999999991</v>
      </c>
      <c r="BT118">
        <v>1775470131</v>
      </c>
      <c r="BU118" t="s">
        <v>629</v>
      </c>
      <c r="BV118">
        <v>1775470131</v>
      </c>
      <c r="BW118">
        <v>1775469670</v>
      </c>
      <c r="BX118">
        <v>103</v>
      </c>
      <c r="BY118">
        <v>-3.7999999999999999E-2</v>
      </c>
      <c r="BZ118">
        <v>-1E-3</v>
      </c>
      <c r="CA118">
        <v>8.0280000000000005</v>
      </c>
      <c r="CB118">
        <v>-1.1839999999999999</v>
      </c>
      <c r="CC118">
        <v>15</v>
      </c>
      <c r="CD118">
        <v>-1</v>
      </c>
      <c r="CE118">
        <v>0.23</v>
      </c>
      <c r="CF118">
        <v>0.05</v>
      </c>
      <c r="CG118">
        <v>16.50835166666667</v>
      </c>
      <c r="CH118">
        <v>-9.0410113920527266E-2</v>
      </c>
      <c r="CI118">
        <v>0.37146662994660617</v>
      </c>
      <c r="CJ118">
        <v>-1</v>
      </c>
      <c r="CK118">
        <v>500.00465000000003</v>
      </c>
      <c r="CL118">
        <v>-6.0660183384419183E-2</v>
      </c>
      <c r="CM118">
        <v>5.6340578922596272E-2</v>
      </c>
      <c r="CN118">
        <v>-1</v>
      </c>
      <c r="CO118">
        <v>0</v>
      </c>
      <c r="CP118">
        <v>0</v>
      </c>
      <c r="CQ118" t="s">
        <v>319</v>
      </c>
      <c r="CR118">
        <v>3.1675499999999999</v>
      </c>
      <c r="CS118">
        <v>2.6673100000000001</v>
      </c>
      <c r="CT118">
        <v>2.5011899999999999E-3</v>
      </c>
      <c r="CU118">
        <v>4.8221599999999998E-3</v>
      </c>
      <c r="CV118">
        <v>2.27042E-3</v>
      </c>
      <c r="CW118">
        <v>-1.21288E-2</v>
      </c>
      <c r="CX118">
        <v>21502.7</v>
      </c>
      <c r="CY118">
        <v>21838.7</v>
      </c>
      <c r="CZ118">
        <v>23085.1</v>
      </c>
      <c r="DA118">
        <v>22298.7</v>
      </c>
      <c r="DB118">
        <v>29706</v>
      </c>
      <c r="DC118">
        <v>26918.3</v>
      </c>
      <c r="DD118">
        <v>40579</v>
      </c>
      <c r="DE118">
        <v>36958</v>
      </c>
      <c r="DF118">
        <v>2.07246</v>
      </c>
      <c r="DG118">
        <v>1.7757000000000001</v>
      </c>
      <c r="DH118">
        <v>1.53542E-2</v>
      </c>
      <c r="DI118">
        <v>0</v>
      </c>
      <c r="DJ118">
        <v>26.988700000000001</v>
      </c>
      <c r="DK118">
        <v>999.9</v>
      </c>
      <c r="DL118">
        <v>72</v>
      </c>
      <c r="DM118">
        <v>31.8</v>
      </c>
      <c r="DN118">
        <v>33.960799999999999</v>
      </c>
      <c r="DO118">
        <v>30.755500000000001</v>
      </c>
      <c r="DP118">
        <v>10.729200000000001</v>
      </c>
      <c r="DQ118">
        <v>1</v>
      </c>
      <c r="DR118">
        <v>0.25456099999999998</v>
      </c>
      <c r="DS118">
        <v>0.387706</v>
      </c>
      <c r="DT118">
        <v>20.3689</v>
      </c>
      <c r="DU118">
        <v>5.2112999999999996</v>
      </c>
      <c r="DV118">
        <v>11.8504</v>
      </c>
      <c r="DW118">
        <v>4.9678000000000004</v>
      </c>
      <c r="DX118">
        <v>3.2930000000000001</v>
      </c>
      <c r="DY118">
        <v>894.7</v>
      </c>
      <c r="DZ118">
        <v>0</v>
      </c>
      <c r="EA118">
        <v>3194</v>
      </c>
      <c r="EB118">
        <v>108.4</v>
      </c>
      <c r="EC118">
        <v>4.97159</v>
      </c>
      <c r="ED118">
        <v>1.87182</v>
      </c>
      <c r="EE118">
        <v>1.8690500000000001</v>
      </c>
      <c r="EF118">
        <v>1.8714900000000001</v>
      </c>
      <c r="EG118">
        <v>1.8692</v>
      </c>
      <c r="EH118">
        <v>1.8681300000000001</v>
      </c>
      <c r="EI118">
        <v>1.8699600000000001</v>
      </c>
      <c r="EJ118">
        <v>1.8717600000000001</v>
      </c>
      <c r="EK118">
        <v>0</v>
      </c>
      <c r="EL118">
        <v>0</v>
      </c>
      <c r="EM118">
        <v>0</v>
      </c>
      <c r="EN118">
        <v>0</v>
      </c>
      <c r="EO118" t="s">
        <v>320</v>
      </c>
      <c r="EP118" t="s">
        <v>321</v>
      </c>
      <c r="EQ118" t="s">
        <v>322</v>
      </c>
      <c r="ER118" t="s">
        <v>322</v>
      </c>
      <c r="ES118" t="s">
        <v>322</v>
      </c>
      <c r="ET118" t="s">
        <v>322</v>
      </c>
      <c r="EU118">
        <v>0</v>
      </c>
      <c r="EV118">
        <v>100</v>
      </c>
      <c r="EW118">
        <v>100</v>
      </c>
      <c r="EX118">
        <v>8.0280000000000005</v>
      </c>
      <c r="EY118">
        <v>-1.1839999999999999</v>
      </c>
      <c r="EZ118">
        <v>8.0658435000000015</v>
      </c>
      <c r="FA118">
        <v>0</v>
      </c>
      <c r="FB118">
        <v>0</v>
      </c>
      <c r="FC118">
        <v>0</v>
      </c>
      <c r="FD118">
        <v>-1.1840113809523809</v>
      </c>
      <c r="FE118">
        <v>0</v>
      </c>
      <c r="FF118">
        <v>0</v>
      </c>
      <c r="FG118">
        <v>0</v>
      </c>
      <c r="FH118">
        <v>-1</v>
      </c>
      <c r="FI118">
        <v>-1</v>
      </c>
      <c r="FJ118">
        <v>-1</v>
      </c>
      <c r="FK118">
        <v>-1</v>
      </c>
      <c r="FL118">
        <v>0.8</v>
      </c>
      <c r="FM118">
        <v>7.4</v>
      </c>
      <c r="FN118">
        <v>0.14160200000000001</v>
      </c>
      <c r="FO118">
        <v>4.99756</v>
      </c>
      <c r="FP118">
        <v>1.5979000000000001</v>
      </c>
      <c r="FQ118">
        <v>2.1484399999999999</v>
      </c>
      <c r="FR118">
        <v>1.5478499999999999</v>
      </c>
      <c r="FS118">
        <v>2.4279799999999998</v>
      </c>
      <c r="FT118">
        <v>35.661299999999997</v>
      </c>
      <c r="FU118">
        <v>14.981400000000001</v>
      </c>
      <c r="FV118">
        <v>2</v>
      </c>
      <c r="FW118">
        <v>493.53</v>
      </c>
      <c r="FX118">
        <v>395.40800000000002</v>
      </c>
      <c r="FY118">
        <v>27.429099999999998</v>
      </c>
      <c r="FZ118">
        <v>30.427600000000002</v>
      </c>
      <c r="GA118">
        <v>30.0001</v>
      </c>
      <c r="GB118">
        <v>30.687200000000001</v>
      </c>
      <c r="GC118">
        <v>30.728400000000001</v>
      </c>
      <c r="GD118">
        <v>-1</v>
      </c>
      <c r="GE118">
        <v>0</v>
      </c>
      <c r="GF118">
        <v>100</v>
      </c>
      <c r="GG118">
        <v>27.4255</v>
      </c>
      <c r="GH118">
        <v>432.1</v>
      </c>
      <c r="GI118">
        <v>78.840199999999996</v>
      </c>
      <c r="GJ118">
        <v>102.137</v>
      </c>
      <c r="GK118">
        <v>96.433899999999994</v>
      </c>
    </row>
    <row r="119" spans="1:193" x14ac:dyDescent="0.35">
      <c r="A119">
        <v>103</v>
      </c>
      <c r="B119">
        <v>1775470174.5</v>
      </c>
      <c r="C119">
        <v>6218.4000000953674</v>
      </c>
      <c r="D119" t="s">
        <v>630</v>
      </c>
      <c r="E119" t="s">
        <v>631</v>
      </c>
      <c r="F119">
        <v>60</v>
      </c>
      <c r="G119">
        <v>1775470152.3045981</v>
      </c>
      <c r="H119">
        <f t="shared" si="54"/>
        <v>7.0934897466840723E-4</v>
      </c>
      <c r="I119">
        <f>1000*AY119*AG119*(AU119-AV119)/(100*AN119*(1000-AG119*AU119))</f>
        <v>0.70934897466840718</v>
      </c>
      <c r="J119">
        <f>AY119*AG119*(AT119-AS119*(1000-AG119*AV119)/(1000-AG119*AU119))/(100*AN119)</f>
        <v>-0.24350741315862859</v>
      </c>
      <c r="K119">
        <f t="shared" si="55"/>
        <v>14.83475643678161</v>
      </c>
      <c r="L119">
        <f t="shared" si="56"/>
        <v>34.137076560364903</v>
      </c>
      <c r="M119">
        <f>L119*(AZ119+BA119)/1000</f>
        <v>3.4187947914368877</v>
      </c>
      <c r="N119">
        <f>(AS119 - IF(AG119&gt;1, J119*AN119*100/(AI119), 0))*(AZ119+BA119)/1000</f>
        <v>1.4856863313594093</v>
      </c>
      <c r="O119">
        <f t="shared" si="57"/>
        <v>1.8815154699085637E-2</v>
      </c>
      <c r="P119">
        <f>IF(LEFT(AP119,1)&lt;&gt;"0",IF(LEFT(AP119,1)="1",3,AQ119),$D$5+$E$5*(BG119*AZ119/($K$5*1000))+$F$5*(BG119*AZ119/($K$5*1000))*MAX(MIN(AN119,$J$5),$I$5)*MAX(MIN(AN119,$J$5),$I$5)+$G$5*MAX(MIN(AN119,$J$5),$I$5)*(BG119*AZ119/($K$5*1000))+$H$5*(BG119*AZ119/($K$5*1000))*(BG119*AZ119/($K$5*1000)))</f>
        <v>2.3896458918200234</v>
      </c>
      <c r="Q119">
        <f>H119*(1000-(1000*0.61365*EXP(17.502*U119/(240.97+U119))/(AZ119+BA119)+AU119)/2)/(1000*0.61365*EXP(17.502*U119/(240.97+U119))/(AZ119+BA119)-AU119)</f>
        <v>1.8733239751663286E-2</v>
      </c>
      <c r="R119">
        <f t="shared" si="58"/>
        <v>1.1715604753661551E-2</v>
      </c>
      <c r="S119">
        <f t="shared" si="59"/>
        <v>9.0085464748275876E-2</v>
      </c>
      <c r="T119">
        <f>(BB119+(S119+2*0.95*0.0000000567*(((BB119+$B$7)+273)^4-(BB119+273)^4)-44100*H119)/(1.84*29.3*P119+8*0.95*0.0000000567*(BB119+273)^3))</f>
        <v>26.874249907448764</v>
      </c>
      <c r="U119">
        <f>($C$7*BC119+$D$7*BD119+$E$7*T119)</f>
        <v>27.239673563218389</v>
      </c>
      <c r="V119">
        <f t="shared" si="60"/>
        <v>3.6298527868228678</v>
      </c>
      <c r="W119">
        <f t="shared" si="61"/>
        <v>-2.6518716982959667</v>
      </c>
      <c r="X119">
        <f>AU119*(AZ119+BA119)/1000</f>
        <v>-9.5452855965702382E-2</v>
      </c>
      <c r="Y119">
        <f t="shared" si="62"/>
        <v>3.5994522671303537</v>
      </c>
      <c r="Z119">
        <f>(V119-AU119*(AZ119+BA119)/1000)</f>
        <v>3.72530564278857</v>
      </c>
      <c r="AA119">
        <f t="shared" si="63"/>
        <v>-31.282289782876759</v>
      </c>
      <c r="AB119">
        <f>2*29.3*P119*0.92*(BB119-U119)</f>
        <v>-18.471492966852146</v>
      </c>
      <c r="AC119">
        <f>2*0.95*0.0000000567*(((BB119+$B$7)+273)^4-(U119+273)^4)</f>
        <v>-1.6709859133742615</v>
      </c>
      <c r="AD119">
        <f t="shared" si="64"/>
        <v>-51.334683198354888</v>
      </c>
      <c r="AE119">
        <v>17</v>
      </c>
      <c r="AF119">
        <v>3</v>
      </c>
      <c r="AG119">
        <f t="shared" si="65"/>
        <v>1</v>
      </c>
      <c r="AH119">
        <f t="shared" si="66"/>
        <v>0</v>
      </c>
      <c r="AI119">
        <f t="shared" si="67"/>
        <v>25535.219140930545</v>
      </c>
      <c r="AJ119">
        <f t="shared" si="68"/>
        <v>0.47140483908045983</v>
      </c>
      <c r="AK119">
        <f t="shared" si="69"/>
        <v>0.37712387126436786</v>
      </c>
      <c r="AL119">
        <f t="shared" si="70"/>
        <v>0.8</v>
      </c>
      <c r="AM119">
        <f t="shared" si="71"/>
        <v>0.19109999999999999</v>
      </c>
      <c r="AN119">
        <v>3</v>
      </c>
      <c r="AO119">
        <v>0.5</v>
      </c>
      <c r="AP119" t="s">
        <v>317</v>
      </c>
      <c r="AQ119">
        <v>2</v>
      </c>
      <c r="AR119">
        <v>1775470152.3045981</v>
      </c>
      <c r="AS119">
        <v>14.83475643678161</v>
      </c>
      <c r="AT119">
        <v>14.69510804597701</v>
      </c>
      <c r="AU119">
        <v>-0.95310822988505739</v>
      </c>
      <c r="AV119">
        <v>-1.3786897701149421</v>
      </c>
      <c r="AW119">
        <v>6.7807564367816102</v>
      </c>
      <c r="AX119">
        <v>0.2309028745977012</v>
      </c>
      <c r="AY119">
        <v>500.50929885057468</v>
      </c>
      <c r="AZ119">
        <v>100.10202298850569</v>
      </c>
      <c r="BA119">
        <v>4.699783908045977E-2</v>
      </c>
      <c r="BB119">
        <v>27.09629540229886</v>
      </c>
      <c r="BC119">
        <v>27.239673563218389</v>
      </c>
      <c r="BD119">
        <v>999.89999999999941</v>
      </c>
      <c r="BE119">
        <v>0</v>
      </c>
      <c r="BF119">
        <v>0</v>
      </c>
      <c r="BG119">
        <v>4999.0574712643675</v>
      </c>
      <c r="BH119">
        <v>0.47140483908045983</v>
      </c>
      <c r="BI119">
        <v>66.285536781609196</v>
      </c>
      <c r="BJ119">
        <v>0.113921326908046</v>
      </c>
      <c r="BK119">
        <v>14.79493908045977</v>
      </c>
      <c r="BL119">
        <v>14.674875862068969</v>
      </c>
      <c r="BM119">
        <v>0.42558066586206911</v>
      </c>
      <c r="BN119">
        <v>14.69510804597701</v>
      </c>
      <c r="BO119">
        <v>-1.3786897701149421</v>
      </c>
      <c r="BP119">
        <v>-9.5408034482758627E-2</v>
      </c>
      <c r="BQ119">
        <v>-0.1380095172413793</v>
      </c>
      <c r="BR119">
        <v>-99.899999999999977</v>
      </c>
      <c r="BS119">
        <v>-99.899999999999977</v>
      </c>
      <c r="BT119">
        <v>1775470192.5</v>
      </c>
      <c r="BU119" t="s">
        <v>632</v>
      </c>
      <c r="BV119">
        <v>1775470192.5</v>
      </c>
      <c r="BW119">
        <v>1775469670</v>
      </c>
      <c r="BX119">
        <v>104</v>
      </c>
      <c r="BY119">
        <v>2.5999999999999999E-2</v>
      </c>
      <c r="BZ119">
        <v>-1E-3</v>
      </c>
      <c r="CA119">
        <v>8.0540000000000003</v>
      </c>
      <c r="CB119">
        <v>-1.1839999999999999</v>
      </c>
      <c r="CC119">
        <v>16</v>
      </c>
      <c r="CD119">
        <v>-1</v>
      </c>
      <c r="CE119">
        <v>0.19</v>
      </c>
      <c r="CF119">
        <v>0.05</v>
      </c>
      <c r="CG119">
        <v>14.75971803278688</v>
      </c>
      <c r="CH119">
        <v>0.85544896879958232</v>
      </c>
      <c r="CI119">
        <v>0.14381443816821129</v>
      </c>
      <c r="CJ119">
        <v>-1</v>
      </c>
      <c r="CK119">
        <v>499.99960655737698</v>
      </c>
      <c r="CL119">
        <v>-6.6656795346362901E-2</v>
      </c>
      <c r="CM119">
        <v>6.3622678369449598E-2</v>
      </c>
      <c r="CN119">
        <v>-1</v>
      </c>
      <c r="CO119">
        <v>0</v>
      </c>
      <c r="CP119">
        <v>0</v>
      </c>
      <c r="CQ119" t="s">
        <v>319</v>
      </c>
      <c r="CR119">
        <v>3.1675499999999999</v>
      </c>
      <c r="CS119">
        <v>2.6668099999999999</v>
      </c>
      <c r="CT119">
        <v>2.0577400000000002E-3</v>
      </c>
      <c r="CU119">
        <v>4.4666300000000001E-3</v>
      </c>
      <c r="CV119">
        <v>2.2296099999999999E-3</v>
      </c>
      <c r="CW119">
        <v>-1.20681E-2</v>
      </c>
      <c r="CX119">
        <v>21512.9</v>
      </c>
      <c r="CY119">
        <v>21846.799999999999</v>
      </c>
      <c r="CZ119">
        <v>23085.7</v>
      </c>
      <c r="DA119">
        <v>22299</v>
      </c>
      <c r="DB119">
        <v>29708.1</v>
      </c>
      <c r="DC119">
        <v>26917</v>
      </c>
      <c r="DD119">
        <v>40580.199999999997</v>
      </c>
      <c r="DE119">
        <v>36958.300000000003</v>
      </c>
      <c r="DF119">
        <v>2.0726599999999999</v>
      </c>
      <c r="DG119">
        <v>1.7765599999999999</v>
      </c>
      <c r="DH119">
        <v>1.5437599999999999E-2</v>
      </c>
      <c r="DI119">
        <v>0</v>
      </c>
      <c r="DJ119">
        <v>26.990500000000001</v>
      </c>
      <c r="DK119">
        <v>999.9</v>
      </c>
      <c r="DL119">
        <v>72</v>
      </c>
      <c r="DM119">
        <v>31.8</v>
      </c>
      <c r="DN119">
        <v>33.957099999999997</v>
      </c>
      <c r="DO119">
        <v>30.695499999999999</v>
      </c>
      <c r="DP119">
        <v>10.6571</v>
      </c>
      <c r="DQ119">
        <v>1</v>
      </c>
      <c r="DR119">
        <v>0.25257099999999999</v>
      </c>
      <c r="DS119">
        <v>0.239477</v>
      </c>
      <c r="DT119">
        <v>20.369299999999999</v>
      </c>
      <c r="DU119">
        <v>5.2114200000000004</v>
      </c>
      <c r="DV119">
        <v>11.851699999999999</v>
      </c>
      <c r="DW119">
        <v>4.9677600000000002</v>
      </c>
      <c r="DX119">
        <v>3.2929400000000002</v>
      </c>
      <c r="DY119">
        <v>894.7</v>
      </c>
      <c r="DZ119">
        <v>0</v>
      </c>
      <c r="EA119">
        <v>3229.3</v>
      </c>
      <c r="EB119">
        <v>108.4</v>
      </c>
      <c r="EC119">
        <v>4.9715999999999996</v>
      </c>
      <c r="ED119">
        <v>1.87181</v>
      </c>
      <c r="EE119">
        <v>1.8690500000000001</v>
      </c>
      <c r="EF119">
        <v>1.8714299999999999</v>
      </c>
      <c r="EG119">
        <v>1.8692</v>
      </c>
      <c r="EH119">
        <v>1.8681300000000001</v>
      </c>
      <c r="EI119">
        <v>1.8699600000000001</v>
      </c>
      <c r="EJ119">
        <v>1.87178</v>
      </c>
      <c r="EK119">
        <v>0</v>
      </c>
      <c r="EL119">
        <v>0</v>
      </c>
      <c r="EM119">
        <v>0</v>
      </c>
      <c r="EN119">
        <v>0</v>
      </c>
      <c r="EO119" t="s">
        <v>320</v>
      </c>
      <c r="EP119" t="s">
        <v>321</v>
      </c>
      <c r="EQ119" t="s">
        <v>322</v>
      </c>
      <c r="ER119" t="s">
        <v>322</v>
      </c>
      <c r="ES119" t="s">
        <v>322</v>
      </c>
      <c r="ET119" t="s">
        <v>322</v>
      </c>
      <c r="EU119">
        <v>0</v>
      </c>
      <c r="EV119">
        <v>100</v>
      </c>
      <c r="EW119">
        <v>100</v>
      </c>
      <c r="EX119">
        <v>8.0540000000000003</v>
      </c>
      <c r="EY119">
        <v>-1.1839999999999999</v>
      </c>
      <c r="EZ119">
        <v>8.0278366666666656</v>
      </c>
      <c r="FA119">
        <v>0</v>
      </c>
      <c r="FB119">
        <v>0</v>
      </c>
      <c r="FC119">
        <v>0</v>
      </c>
      <c r="FD119">
        <v>-1.1840113809523809</v>
      </c>
      <c r="FE119">
        <v>0</v>
      </c>
      <c r="FF119">
        <v>0</v>
      </c>
      <c r="FG119">
        <v>0</v>
      </c>
      <c r="FH119">
        <v>-1</v>
      </c>
      <c r="FI119">
        <v>-1</v>
      </c>
      <c r="FJ119">
        <v>-1</v>
      </c>
      <c r="FK119">
        <v>-1</v>
      </c>
      <c r="FL119">
        <v>0.7</v>
      </c>
      <c r="FM119">
        <v>8.4</v>
      </c>
      <c r="FN119">
        <v>0.14160200000000001</v>
      </c>
      <c r="FO119">
        <v>4.99756</v>
      </c>
      <c r="FP119">
        <v>1.5979000000000001</v>
      </c>
      <c r="FQ119">
        <v>2.1484399999999999</v>
      </c>
      <c r="FR119">
        <v>1.5478499999999999</v>
      </c>
      <c r="FS119">
        <v>2.4096700000000002</v>
      </c>
      <c r="FT119">
        <v>35.614800000000002</v>
      </c>
      <c r="FU119">
        <v>14.981400000000001</v>
      </c>
      <c r="FV119">
        <v>2</v>
      </c>
      <c r="FW119">
        <v>493.61900000000003</v>
      </c>
      <c r="FX119">
        <v>395.89299999999997</v>
      </c>
      <c r="FY119">
        <v>27.493300000000001</v>
      </c>
      <c r="FZ119">
        <v>30.406700000000001</v>
      </c>
      <c r="GA119">
        <v>29.9999</v>
      </c>
      <c r="GB119">
        <v>30.683800000000002</v>
      </c>
      <c r="GC119">
        <v>30.728400000000001</v>
      </c>
      <c r="GD119">
        <v>-1</v>
      </c>
      <c r="GE119">
        <v>0</v>
      </c>
      <c r="GF119">
        <v>100</v>
      </c>
      <c r="GG119">
        <v>27.493300000000001</v>
      </c>
      <c r="GH119">
        <v>432.1</v>
      </c>
      <c r="GI119">
        <v>78.840199999999996</v>
      </c>
      <c r="GJ119">
        <v>102.139</v>
      </c>
      <c r="GK119">
        <v>96.434799999999996</v>
      </c>
    </row>
    <row r="120" spans="1:193" x14ac:dyDescent="0.35">
      <c r="A120">
        <v>104</v>
      </c>
      <c r="B120">
        <v>1775470234.5</v>
      </c>
      <c r="C120">
        <v>6278.4000000953674</v>
      </c>
      <c r="D120" t="s">
        <v>633</v>
      </c>
      <c r="E120" t="s">
        <v>634</v>
      </c>
      <c r="F120">
        <v>60</v>
      </c>
      <c r="G120">
        <v>1775470213.5</v>
      </c>
      <c r="H120">
        <f t="shared" si="54"/>
        <v>6.5985159536897139E-4</v>
      </c>
      <c r="I120">
        <f>1000*AY120*AG120*(AU120-AV120)/(100*AN120*(1000-AG120*AU120))</f>
        <v>0.65985159536897142</v>
      </c>
      <c r="J120">
        <f>AY120*AG120*(AT120-AS120*(1000-AG120*AV120)/(1000-AG120*AU120))/(100*AN120)</f>
        <v>-0.31097279999991984</v>
      </c>
      <c r="K120">
        <f t="shared" si="55"/>
        <v>15.48250734939759</v>
      </c>
      <c r="L120">
        <f t="shared" si="56"/>
        <v>42.290057197823813</v>
      </c>
      <c r="M120">
        <f>L120*(AZ120+BA120)/1000</f>
        <v>4.235376766118744</v>
      </c>
      <c r="N120">
        <f>(AS120 - IF(AG120&gt;1, J120*AN120*100/(AI120), 0))*(AZ120+BA120)/1000</f>
        <v>1.5505831926913454</v>
      </c>
      <c r="O120">
        <f t="shared" si="57"/>
        <v>1.7483325067382857E-2</v>
      </c>
      <c r="P120">
        <f>IF(LEFT(AP120,1)&lt;&gt;"0",IF(LEFT(AP120,1)="1",3,AQ120),$D$5+$E$5*(BG120*AZ120/($K$5*1000))+$F$5*(BG120*AZ120/($K$5*1000))*MAX(MIN(AN120,$J$5),$I$5)*MAX(MIN(AN120,$J$5),$I$5)+$G$5*MAX(MIN(AN120,$J$5),$I$5)*(BG120*AZ120/($K$5*1000))+$H$5*(BG120*AZ120/($K$5*1000))*(BG120*AZ120/($K$5*1000)))</f>
        <v>2.3887331905005311</v>
      </c>
      <c r="Q120">
        <f>H120*(1000-(1000*0.61365*EXP(17.502*U120/(240.97+U120))/(AZ120+BA120)+AU120)/2)/(1000*0.61365*EXP(17.502*U120/(240.97+U120))/(AZ120+BA120)-AU120)</f>
        <v>1.7412545920978583E-2</v>
      </c>
      <c r="R120">
        <f t="shared" si="58"/>
        <v>1.0889176452451379E-2</v>
      </c>
      <c r="S120">
        <f t="shared" si="59"/>
        <v>8.4961252608433707E-2</v>
      </c>
      <c r="T120">
        <f>(BB120+(S120+2*0.95*0.0000000567*(((BB120+$B$7)+273)^4-(BB120+273)^4)-44100*H120)/(1.84*29.3*P120+8*0.95*0.0000000567*(BB120+273)^3))</f>
        <v>26.894341852360117</v>
      </c>
      <c r="U120">
        <f>($C$7*BC120+$D$7*BD120+$E$7*T120)</f>
        <v>27.24694939759037</v>
      </c>
      <c r="V120">
        <f t="shared" si="60"/>
        <v>3.6314014409889124</v>
      </c>
      <c r="W120">
        <f t="shared" si="61"/>
        <v>-2.6900777177318727</v>
      </c>
      <c r="X120">
        <f>AU120*(AZ120+BA120)/1000</f>
        <v>-9.6854555677736875E-2</v>
      </c>
      <c r="Y120">
        <f t="shared" si="62"/>
        <v>3.6004370817732125</v>
      </c>
      <c r="Z120">
        <f>(V120-AU120*(AZ120+BA120)/1000)</f>
        <v>3.7282559966666491</v>
      </c>
      <c r="AA120">
        <f t="shared" si="63"/>
        <v>-29.099455355771639</v>
      </c>
      <c r="AB120">
        <f>2*29.3*P120*0.92*(BB120-U120)</f>
        <v>-18.801151080112934</v>
      </c>
      <c r="AC120">
        <f>2*0.95*0.0000000567*(((BB120+$B$7)+273)^4-(U120+273)^4)</f>
        <v>-1.701559117250683</v>
      </c>
      <c r="AD120">
        <f t="shared" si="64"/>
        <v>-49.517204300526821</v>
      </c>
      <c r="AE120">
        <v>17</v>
      </c>
      <c r="AF120">
        <v>3</v>
      </c>
      <c r="AG120">
        <f t="shared" si="65"/>
        <v>1</v>
      </c>
      <c r="AH120">
        <f t="shared" si="66"/>
        <v>0</v>
      </c>
      <c r="AI120">
        <f t="shared" si="67"/>
        <v>25520.891804858195</v>
      </c>
      <c r="AJ120">
        <f t="shared" si="68"/>
        <v>0.44459054216867461</v>
      </c>
      <c r="AK120">
        <f t="shared" si="69"/>
        <v>0.35567243373493973</v>
      </c>
      <c r="AL120">
        <f t="shared" si="70"/>
        <v>0.8</v>
      </c>
      <c r="AM120">
        <f t="shared" si="71"/>
        <v>0.19109999999999999</v>
      </c>
      <c r="AN120">
        <v>3</v>
      </c>
      <c r="AO120">
        <v>0.5</v>
      </c>
      <c r="AP120" t="s">
        <v>317</v>
      </c>
      <c r="AQ120">
        <v>2</v>
      </c>
      <c r="AR120">
        <v>1775470213.5</v>
      </c>
      <c r="AS120">
        <v>15.48250734939759</v>
      </c>
      <c r="AT120">
        <v>15.302242168674701</v>
      </c>
      <c r="AU120">
        <v>-0.96708862650602423</v>
      </c>
      <c r="AV120">
        <v>-1.3629678313253011</v>
      </c>
      <c r="AW120">
        <v>7.4085073493975901</v>
      </c>
      <c r="AX120">
        <v>0.2169226191566265</v>
      </c>
      <c r="AY120">
        <v>500.52368674698789</v>
      </c>
      <c r="AZ120">
        <v>100.1032771084337</v>
      </c>
      <c r="BA120">
        <v>4.7374055421686739E-2</v>
      </c>
      <c r="BB120">
        <v>27.100956626506029</v>
      </c>
      <c r="BC120">
        <v>27.24694939759037</v>
      </c>
      <c r="BD120">
        <v>999.89999999999964</v>
      </c>
      <c r="BE120">
        <v>0</v>
      </c>
      <c r="BF120">
        <v>0</v>
      </c>
      <c r="BG120">
        <v>4996.6445783132531</v>
      </c>
      <c r="BH120">
        <v>0.44459054216867461</v>
      </c>
      <c r="BI120">
        <v>64.663179518072312</v>
      </c>
      <c r="BJ120">
        <v>0.15994687698795179</v>
      </c>
      <c r="BK120">
        <v>15.44724939759036</v>
      </c>
      <c r="BL120">
        <v>15.28141807228916</v>
      </c>
      <c r="BM120">
        <v>0.39587949096385538</v>
      </c>
      <c r="BN120">
        <v>15.302242168674701</v>
      </c>
      <c r="BO120">
        <v>-1.3629678313253011</v>
      </c>
      <c r="BP120">
        <v>-9.680865301204819E-2</v>
      </c>
      <c r="BQ120">
        <v>-0.13643757831325301</v>
      </c>
      <c r="BR120">
        <v>-99.899999999999991</v>
      </c>
      <c r="BS120">
        <v>-99.899999999999991</v>
      </c>
      <c r="BT120">
        <v>1775470250.5</v>
      </c>
      <c r="BU120" t="s">
        <v>635</v>
      </c>
      <c r="BV120">
        <v>1775470250.5</v>
      </c>
      <c r="BW120">
        <v>1775469670</v>
      </c>
      <c r="BX120">
        <v>105</v>
      </c>
      <c r="BY120">
        <v>0.02</v>
      </c>
      <c r="BZ120">
        <v>-1E-3</v>
      </c>
      <c r="CA120">
        <v>8.0739999999999998</v>
      </c>
      <c r="CB120">
        <v>-1.1839999999999999</v>
      </c>
      <c r="CC120">
        <v>16</v>
      </c>
      <c r="CD120">
        <v>-1</v>
      </c>
      <c r="CE120">
        <v>0.17</v>
      </c>
      <c r="CF120">
        <v>0.05</v>
      </c>
      <c r="CG120">
        <v>15.29049666666667</v>
      </c>
      <c r="CH120">
        <v>-7.0061461517075554E-2</v>
      </c>
      <c r="CI120">
        <v>6.9514660244360538E-2</v>
      </c>
      <c r="CJ120">
        <v>-1</v>
      </c>
      <c r="CK120">
        <v>499.99453333333332</v>
      </c>
      <c r="CL120">
        <v>3.2502361768431909E-2</v>
      </c>
      <c r="CM120">
        <v>6.1318422100450853E-2</v>
      </c>
      <c r="CN120">
        <v>-1</v>
      </c>
      <c r="CO120">
        <v>0</v>
      </c>
      <c r="CP120">
        <v>0</v>
      </c>
      <c r="CQ120" t="s">
        <v>319</v>
      </c>
      <c r="CR120">
        <v>3.1675599999999999</v>
      </c>
      <c r="CS120">
        <v>2.66764</v>
      </c>
      <c r="CT120">
        <v>2.1981599999999998E-3</v>
      </c>
      <c r="CU120">
        <v>4.5871699999999998E-3</v>
      </c>
      <c r="CV120">
        <v>2.0124000000000001E-3</v>
      </c>
      <c r="CW120">
        <v>-1.2257000000000001E-2</v>
      </c>
      <c r="CX120">
        <v>21510.3</v>
      </c>
      <c r="CY120">
        <v>21844.799999999999</v>
      </c>
      <c r="CZ120">
        <v>23086.2</v>
      </c>
      <c r="DA120">
        <v>22299.599999999999</v>
      </c>
      <c r="DB120">
        <v>29715.1</v>
      </c>
      <c r="DC120">
        <v>26922.6</v>
      </c>
      <c r="DD120">
        <v>40580.9</v>
      </c>
      <c r="DE120">
        <v>36959.199999999997</v>
      </c>
      <c r="DF120">
        <v>2.0728200000000001</v>
      </c>
      <c r="DG120">
        <v>1.7764200000000001</v>
      </c>
      <c r="DH120">
        <v>1.4382600000000001E-2</v>
      </c>
      <c r="DI120">
        <v>0</v>
      </c>
      <c r="DJ120">
        <v>27.0032</v>
      </c>
      <c r="DK120">
        <v>999.9</v>
      </c>
      <c r="DL120">
        <v>72.099999999999994</v>
      </c>
      <c r="DM120">
        <v>31.7</v>
      </c>
      <c r="DN120">
        <v>33.814500000000002</v>
      </c>
      <c r="DO120">
        <v>30.275500000000001</v>
      </c>
      <c r="DP120">
        <v>10.9575</v>
      </c>
      <c r="DQ120">
        <v>1</v>
      </c>
      <c r="DR120">
        <v>0.25152400000000003</v>
      </c>
      <c r="DS120">
        <v>0.21588499999999999</v>
      </c>
      <c r="DT120">
        <v>20.369199999999999</v>
      </c>
      <c r="DU120">
        <v>5.2116600000000002</v>
      </c>
      <c r="DV120">
        <v>11.8504</v>
      </c>
      <c r="DW120">
        <v>4.9677199999999999</v>
      </c>
      <c r="DX120">
        <v>3.2929400000000002</v>
      </c>
      <c r="DY120">
        <v>894.7</v>
      </c>
      <c r="DZ120">
        <v>0</v>
      </c>
      <c r="EA120">
        <v>3258.6</v>
      </c>
      <c r="EB120">
        <v>108.4</v>
      </c>
      <c r="EC120">
        <v>4.9715999999999996</v>
      </c>
      <c r="ED120">
        <v>1.87181</v>
      </c>
      <c r="EE120">
        <v>1.8690500000000001</v>
      </c>
      <c r="EF120">
        <v>1.8714299999999999</v>
      </c>
      <c r="EG120">
        <v>1.8691899999999999</v>
      </c>
      <c r="EH120">
        <v>1.8681300000000001</v>
      </c>
      <c r="EI120">
        <v>1.8699600000000001</v>
      </c>
      <c r="EJ120">
        <v>1.8717699999999999</v>
      </c>
      <c r="EK120">
        <v>0</v>
      </c>
      <c r="EL120">
        <v>0</v>
      </c>
      <c r="EM120">
        <v>0</v>
      </c>
      <c r="EN120">
        <v>0</v>
      </c>
      <c r="EO120" t="s">
        <v>320</v>
      </c>
      <c r="EP120" t="s">
        <v>321</v>
      </c>
      <c r="EQ120" t="s">
        <v>322</v>
      </c>
      <c r="ER120" t="s">
        <v>322</v>
      </c>
      <c r="ES120" t="s">
        <v>322</v>
      </c>
      <c r="ET120" t="s">
        <v>322</v>
      </c>
      <c r="EU120">
        <v>0</v>
      </c>
      <c r="EV120">
        <v>100</v>
      </c>
      <c r="EW120">
        <v>100</v>
      </c>
      <c r="EX120">
        <v>8.0739999999999998</v>
      </c>
      <c r="EY120">
        <v>-1.1839999999999999</v>
      </c>
      <c r="EZ120">
        <v>8.0536840000000041</v>
      </c>
      <c r="FA120">
        <v>0</v>
      </c>
      <c r="FB120">
        <v>0</v>
      </c>
      <c r="FC120">
        <v>0</v>
      </c>
      <c r="FD120">
        <v>-1.1840113809523809</v>
      </c>
      <c r="FE120">
        <v>0</v>
      </c>
      <c r="FF120">
        <v>0</v>
      </c>
      <c r="FG120">
        <v>0</v>
      </c>
      <c r="FH120">
        <v>-1</v>
      </c>
      <c r="FI120">
        <v>-1</v>
      </c>
      <c r="FJ120">
        <v>-1</v>
      </c>
      <c r="FK120">
        <v>-1</v>
      </c>
      <c r="FL120">
        <v>0.7</v>
      </c>
      <c r="FM120">
        <v>9.4</v>
      </c>
      <c r="FN120">
        <v>0.14160200000000001</v>
      </c>
      <c r="FO120">
        <v>4.99756</v>
      </c>
      <c r="FP120">
        <v>1.5979000000000001</v>
      </c>
      <c r="FQ120">
        <v>2.1484399999999999</v>
      </c>
      <c r="FR120">
        <v>1.5478499999999999</v>
      </c>
      <c r="FS120">
        <v>2.36938</v>
      </c>
      <c r="FT120">
        <v>35.591500000000003</v>
      </c>
      <c r="FU120">
        <v>14.9726</v>
      </c>
      <c r="FV120">
        <v>2</v>
      </c>
      <c r="FW120">
        <v>493.67200000000003</v>
      </c>
      <c r="FX120">
        <v>395.798</v>
      </c>
      <c r="FY120">
        <v>27.465299999999999</v>
      </c>
      <c r="FZ120">
        <v>30.389600000000002</v>
      </c>
      <c r="GA120">
        <v>29.9998</v>
      </c>
      <c r="GB120">
        <v>30.678599999999999</v>
      </c>
      <c r="GC120">
        <v>30.7258</v>
      </c>
      <c r="GD120">
        <v>-1</v>
      </c>
      <c r="GE120">
        <v>0</v>
      </c>
      <c r="GF120">
        <v>100</v>
      </c>
      <c r="GG120">
        <v>27.470300000000002</v>
      </c>
      <c r="GH120">
        <v>432.1</v>
      </c>
      <c r="GI120">
        <v>78.840199999999996</v>
      </c>
      <c r="GJ120">
        <v>102.14100000000001</v>
      </c>
      <c r="GK120">
        <v>96.437299999999993</v>
      </c>
    </row>
    <row r="121" spans="1:193" x14ac:dyDescent="0.35">
      <c r="A121">
        <v>105</v>
      </c>
      <c r="B121">
        <v>1775470294.5</v>
      </c>
      <c r="C121">
        <v>6338.4000000953674</v>
      </c>
      <c r="D121" t="s">
        <v>636</v>
      </c>
      <c r="E121" t="s">
        <v>637</v>
      </c>
      <c r="F121">
        <v>60</v>
      </c>
      <c r="G121">
        <v>1775470272.0625</v>
      </c>
      <c r="H121">
        <f t="shared" si="54"/>
        <v>7.4300973519662872E-4</v>
      </c>
      <c r="I121">
        <f>1000*AY121*AG121*(AU121-AV121)/(100*AN121*(1000-AG121*AU121))</f>
        <v>0.74300973519662872</v>
      </c>
      <c r="J121">
        <f>AY121*AG121*(AT121-AS121*(1000-AG121*AV121)/(1000-AG121*AU121))/(100*AN121)</f>
        <v>-0.10466555814526379</v>
      </c>
      <c r="K121">
        <f t="shared" si="55"/>
        <v>15.740632386363639</v>
      </c>
      <c r="L121">
        <f t="shared" si="56"/>
        <v>23.093965651212965</v>
      </c>
      <c r="M121">
        <f>L121*(AZ121+BA121)/1000</f>
        <v>2.3128678827117084</v>
      </c>
      <c r="N121">
        <f>(AS121 - IF(AG121&gt;1, J121*AN121*100/(AI121), 0))*(AZ121+BA121)/1000</f>
        <v>1.5764292564486457</v>
      </c>
      <c r="O121">
        <f t="shared" si="57"/>
        <v>1.9711820130596597E-2</v>
      </c>
      <c r="P121">
        <f>IF(LEFT(AP121,1)&lt;&gt;"0",IF(LEFT(AP121,1)="1",3,AQ121),$D$5+$E$5*(BG121*AZ121/($K$5*1000))+$F$5*(BG121*AZ121/($K$5*1000))*MAX(MIN(AN121,$J$5),$I$5)*MAX(MIN(AN121,$J$5),$I$5)+$G$5*MAX(MIN(AN121,$J$5),$I$5)*(BG121*AZ121/($K$5*1000))+$H$5*(BG121*AZ121/($K$5*1000))*(BG121*AZ121/($K$5*1000)))</f>
        <v>2.3900160361551843</v>
      </c>
      <c r="Q121">
        <f>H121*(1000-(1000*0.61365*EXP(17.502*U121/(240.97+U121))/(AZ121+BA121)+AU121)/2)/(1000*0.61365*EXP(17.502*U121/(240.97+U121))/(AZ121+BA121)-AU121)</f>
        <v>1.9621945559245221E-2</v>
      </c>
      <c r="R121">
        <f t="shared" si="58"/>
        <v>1.2271756588871155E-2</v>
      </c>
      <c r="S121">
        <f t="shared" si="59"/>
        <v>8.5871488595454556E-2</v>
      </c>
      <c r="T121">
        <f>(BB121+(S121+2*0.95*0.0000000567*(((BB121+$B$7)+273)^4-(BB121+273)^4)-44100*H121)/(1.84*29.3*P121+8*0.95*0.0000000567*(BB121+273)^3))</f>
        <v>26.862628820015491</v>
      </c>
      <c r="U121">
        <f>($C$7*BC121+$D$7*BD121+$E$7*T121)</f>
        <v>27.237285227272729</v>
      </c>
      <c r="V121">
        <f t="shared" si="60"/>
        <v>3.629344557555616</v>
      </c>
      <c r="W121">
        <f t="shared" si="61"/>
        <v>-2.6693949436525202</v>
      </c>
      <c r="X121">
        <f>AU121*(AZ121+BA121)/1000</f>
        <v>-9.607763769243638E-2</v>
      </c>
      <c r="Y121">
        <f t="shared" si="62"/>
        <v>3.5992290283195718</v>
      </c>
      <c r="Z121">
        <f>(V121-AU121*(AZ121+BA121)/1000)</f>
        <v>3.7254221952480524</v>
      </c>
      <c r="AA121">
        <f t="shared" si="63"/>
        <v>-32.766729322171329</v>
      </c>
      <c r="AB121">
        <f>2*29.3*P121*0.92*(BB121-U121)</f>
        <v>-18.30278058885699</v>
      </c>
      <c r="AC121">
        <f>2*0.95*0.0000000567*(((BB121+$B$7)+273)^4-(U121+273)^4)</f>
        <v>-1.6554387668323507</v>
      </c>
      <c r="AD121">
        <f t="shared" si="64"/>
        <v>-52.639077189265215</v>
      </c>
      <c r="AE121">
        <v>17</v>
      </c>
      <c r="AF121">
        <v>3</v>
      </c>
      <c r="AG121">
        <f t="shared" si="65"/>
        <v>1</v>
      </c>
      <c r="AH121">
        <f t="shared" si="66"/>
        <v>0</v>
      </c>
      <c r="AI121">
        <f t="shared" si="67"/>
        <v>25540.884820255393</v>
      </c>
      <c r="AJ121">
        <f t="shared" si="68"/>
        <v>0.44935368181818192</v>
      </c>
      <c r="AK121">
        <f t="shared" si="69"/>
        <v>0.35948294545454557</v>
      </c>
      <c r="AL121">
        <f t="shared" si="70"/>
        <v>0.8</v>
      </c>
      <c r="AM121">
        <f t="shared" si="71"/>
        <v>0.19109999999999999</v>
      </c>
      <c r="AN121">
        <v>3</v>
      </c>
      <c r="AO121">
        <v>0.5</v>
      </c>
      <c r="AP121" t="s">
        <v>317</v>
      </c>
      <c r="AQ121">
        <v>2</v>
      </c>
      <c r="AR121">
        <v>1775470272.0625</v>
      </c>
      <c r="AS121">
        <v>15.740632386363639</v>
      </c>
      <c r="AT121">
        <v>15.684905681818179</v>
      </c>
      <c r="AU121">
        <v>-0.95933437499999996</v>
      </c>
      <c r="AV121">
        <v>-1.405125</v>
      </c>
      <c r="AW121">
        <v>7.6736323863636358</v>
      </c>
      <c r="AX121">
        <v>0.22467678863636359</v>
      </c>
      <c r="AY121">
        <v>500.49675000000002</v>
      </c>
      <c r="AZ121">
        <v>100.103375</v>
      </c>
      <c r="BA121">
        <v>4.6937754545454548E-2</v>
      </c>
      <c r="BB121">
        <v>27.095238636363639</v>
      </c>
      <c r="BC121">
        <v>27.237285227272729</v>
      </c>
      <c r="BD121">
        <v>999.89999999999975</v>
      </c>
      <c r="BE121">
        <v>0</v>
      </c>
      <c r="BF121">
        <v>0</v>
      </c>
      <c r="BG121">
        <v>4999.943181818182</v>
      </c>
      <c r="BH121">
        <v>0.44935368181818192</v>
      </c>
      <c r="BI121">
        <v>63.237587499999997</v>
      </c>
      <c r="BJ121">
        <v>6.2244180738636357E-2</v>
      </c>
      <c r="BK121">
        <v>15.7320625</v>
      </c>
      <c r="BL121">
        <v>15.66289772727273</v>
      </c>
      <c r="BM121">
        <v>0.44579056394318178</v>
      </c>
      <c r="BN121">
        <v>15.684905681818179</v>
      </c>
      <c r="BO121">
        <v>-1.405125</v>
      </c>
      <c r="BP121">
        <v>-9.6032595454545469E-2</v>
      </c>
      <c r="BQ121">
        <v>-0.14065770454545451</v>
      </c>
      <c r="BR121">
        <v>-99.899999999999991</v>
      </c>
      <c r="BS121">
        <v>-99.899999999999991</v>
      </c>
      <c r="BT121">
        <v>1775470311.5</v>
      </c>
      <c r="BU121" t="s">
        <v>638</v>
      </c>
      <c r="BV121">
        <v>1775470311.5</v>
      </c>
      <c r="BW121">
        <v>1775469670</v>
      </c>
      <c r="BX121">
        <v>106</v>
      </c>
      <c r="BY121">
        <v>-7.0000000000000001E-3</v>
      </c>
      <c r="BZ121">
        <v>-1E-3</v>
      </c>
      <c r="CA121">
        <v>8.0670000000000002</v>
      </c>
      <c r="CB121">
        <v>-1.1839999999999999</v>
      </c>
      <c r="CC121">
        <v>16</v>
      </c>
      <c r="CD121">
        <v>-1</v>
      </c>
      <c r="CE121">
        <v>0.2</v>
      </c>
      <c r="CF121">
        <v>0.05</v>
      </c>
      <c r="CG121">
        <v>15.682011666666661</v>
      </c>
      <c r="CH121">
        <v>-3.2458682967466998E-2</v>
      </c>
      <c r="CI121">
        <v>9.8317273985240677E-2</v>
      </c>
      <c r="CJ121">
        <v>-1</v>
      </c>
      <c r="CK121">
        <v>499.99229999999989</v>
      </c>
      <c r="CL121">
        <v>-3.2569046956437787E-2</v>
      </c>
      <c r="CM121">
        <v>6.043406875816363E-2</v>
      </c>
      <c r="CN121">
        <v>-1</v>
      </c>
      <c r="CO121">
        <v>0</v>
      </c>
      <c r="CP121">
        <v>0</v>
      </c>
      <c r="CQ121" t="s">
        <v>319</v>
      </c>
      <c r="CR121">
        <v>3.16744</v>
      </c>
      <c r="CS121">
        <v>2.6668500000000002</v>
      </c>
      <c r="CT121">
        <v>2.2991999999999999E-3</v>
      </c>
      <c r="CU121">
        <v>4.6690899999999999E-3</v>
      </c>
      <c r="CV121">
        <v>2.2192399999999999E-3</v>
      </c>
      <c r="CW121">
        <v>-1.2451500000000001E-2</v>
      </c>
      <c r="CX121">
        <v>21508.7</v>
      </c>
      <c r="CY121">
        <v>21843.7</v>
      </c>
      <c r="CZ121">
        <v>23086.7</v>
      </c>
      <c r="DA121">
        <v>22300.2</v>
      </c>
      <c r="DB121">
        <v>29709.4</v>
      </c>
      <c r="DC121">
        <v>26928.799999999999</v>
      </c>
      <c r="DD121">
        <v>40581.4</v>
      </c>
      <c r="DE121">
        <v>36960.6</v>
      </c>
      <c r="DF121">
        <v>2.07334</v>
      </c>
      <c r="DG121">
        <v>1.7766599999999999</v>
      </c>
      <c r="DH121">
        <v>1.4537599999999999E-2</v>
      </c>
      <c r="DI121">
        <v>0</v>
      </c>
      <c r="DJ121">
        <v>26.990500000000001</v>
      </c>
      <c r="DK121">
        <v>999.9</v>
      </c>
      <c r="DL121">
        <v>72.099999999999994</v>
      </c>
      <c r="DM121">
        <v>31.7</v>
      </c>
      <c r="DN121">
        <v>33.813299999999998</v>
      </c>
      <c r="DO121">
        <v>30.2455</v>
      </c>
      <c r="DP121">
        <v>11.0617</v>
      </c>
      <c r="DQ121">
        <v>1</v>
      </c>
      <c r="DR121">
        <v>0.24946099999999999</v>
      </c>
      <c r="DS121">
        <v>0.16007399999999999</v>
      </c>
      <c r="DT121">
        <v>20.369399999999999</v>
      </c>
      <c r="DU121">
        <v>5.21082</v>
      </c>
      <c r="DV121">
        <v>11.850099999999999</v>
      </c>
      <c r="DW121">
        <v>4.9675599999999998</v>
      </c>
      <c r="DX121">
        <v>3.2928799999999998</v>
      </c>
      <c r="DY121">
        <v>894.7</v>
      </c>
      <c r="DZ121">
        <v>0</v>
      </c>
      <c r="EA121">
        <v>3294.6</v>
      </c>
      <c r="EB121">
        <v>108.4</v>
      </c>
      <c r="EC121">
        <v>4.97159</v>
      </c>
      <c r="ED121">
        <v>1.87182</v>
      </c>
      <c r="EE121">
        <v>1.8690500000000001</v>
      </c>
      <c r="EF121">
        <v>1.87144</v>
      </c>
      <c r="EG121">
        <v>1.8691899999999999</v>
      </c>
      <c r="EH121">
        <v>1.86812</v>
      </c>
      <c r="EI121">
        <v>1.8699600000000001</v>
      </c>
      <c r="EJ121">
        <v>1.8717600000000001</v>
      </c>
      <c r="EK121">
        <v>0</v>
      </c>
      <c r="EL121">
        <v>0</v>
      </c>
      <c r="EM121">
        <v>0</v>
      </c>
      <c r="EN121">
        <v>0</v>
      </c>
      <c r="EO121" t="s">
        <v>320</v>
      </c>
      <c r="EP121" t="s">
        <v>321</v>
      </c>
      <c r="EQ121" t="s">
        <v>322</v>
      </c>
      <c r="ER121" t="s">
        <v>322</v>
      </c>
      <c r="ES121" t="s">
        <v>322</v>
      </c>
      <c r="ET121" t="s">
        <v>322</v>
      </c>
      <c r="EU121">
        <v>0</v>
      </c>
      <c r="EV121">
        <v>100</v>
      </c>
      <c r="EW121">
        <v>100</v>
      </c>
      <c r="EX121">
        <v>8.0670000000000002</v>
      </c>
      <c r="EY121">
        <v>-1.1839999999999999</v>
      </c>
      <c r="EZ121">
        <v>8.0737434999999991</v>
      </c>
      <c r="FA121">
        <v>0</v>
      </c>
      <c r="FB121">
        <v>0</v>
      </c>
      <c r="FC121">
        <v>0</v>
      </c>
      <c r="FD121">
        <v>-1.1840113809523809</v>
      </c>
      <c r="FE121">
        <v>0</v>
      </c>
      <c r="FF121">
        <v>0</v>
      </c>
      <c r="FG121">
        <v>0</v>
      </c>
      <c r="FH121">
        <v>-1</v>
      </c>
      <c r="FI121">
        <v>-1</v>
      </c>
      <c r="FJ121">
        <v>-1</v>
      </c>
      <c r="FK121">
        <v>-1</v>
      </c>
      <c r="FL121">
        <v>0.7</v>
      </c>
      <c r="FM121">
        <v>10.4</v>
      </c>
      <c r="FN121">
        <v>0.14160200000000001</v>
      </c>
      <c r="FO121">
        <v>4.99756</v>
      </c>
      <c r="FP121">
        <v>1.5979000000000001</v>
      </c>
      <c r="FQ121">
        <v>2.1484399999999999</v>
      </c>
      <c r="FR121">
        <v>1.5478499999999999</v>
      </c>
      <c r="FS121">
        <v>2.4060100000000002</v>
      </c>
      <c r="FT121">
        <v>35.545099999999998</v>
      </c>
      <c r="FU121">
        <v>14.9726</v>
      </c>
      <c r="FV121">
        <v>2</v>
      </c>
      <c r="FW121">
        <v>493.88900000000001</v>
      </c>
      <c r="FX121">
        <v>395.86700000000002</v>
      </c>
      <c r="FY121">
        <v>27.523800000000001</v>
      </c>
      <c r="FZ121">
        <v>30.3672</v>
      </c>
      <c r="GA121">
        <v>30</v>
      </c>
      <c r="GB121">
        <v>30.667300000000001</v>
      </c>
      <c r="GC121">
        <v>30.715299999999999</v>
      </c>
      <c r="GD121">
        <v>-1</v>
      </c>
      <c r="GE121">
        <v>0</v>
      </c>
      <c r="GF121">
        <v>100</v>
      </c>
      <c r="GG121">
        <v>27.523800000000001</v>
      </c>
      <c r="GH121">
        <v>432.1</v>
      </c>
      <c r="GI121">
        <v>78.840199999999996</v>
      </c>
      <c r="GJ121">
        <v>102.143</v>
      </c>
      <c r="GK121">
        <v>96.440600000000003</v>
      </c>
    </row>
    <row r="122" spans="1:193" x14ac:dyDescent="0.35">
      <c r="A122">
        <v>106</v>
      </c>
      <c r="B122">
        <v>1775470354.5</v>
      </c>
      <c r="C122">
        <v>6398.4000000953674</v>
      </c>
      <c r="D122" t="s">
        <v>639</v>
      </c>
      <c r="E122" t="s">
        <v>640</v>
      </c>
      <c r="F122">
        <v>60</v>
      </c>
      <c r="G122">
        <v>1775470333</v>
      </c>
      <c r="H122">
        <f t="shared" si="54"/>
        <v>7.158201371995816E-4</v>
      </c>
      <c r="I122">
        <f>1000*AY122*AG122*(AU122-AV122)/(100*AN122*(1000-AG122*AU122))</f>
        <v>0.7158201371995816</v>
      </c>
      <c r="J122">
        <f>AY122*AG122*(AT122-AS122*(1000-AG122*AV122)/(1000-AG122*AU122))/(100*AN122)</f>
        <v>-0.16835649442187797</v>
      </c>
      <c r="K122">
        <f t="shared" si="55"/>
        <v>16.06689247058824</v>
      </c>
      <c r="L122">
        <f t="shared" si="56"/>
        <v>28.94812933922293</v>
      </c>
      <c r="M122">
        <f>L122*(AZ122+BA122)/1000</f>
        <v>2.8991843509853896</v>
      </c>
      <c r="N122">
        <f>(AS122 - IF(AG122&gt;1, J122*AN122*100/(AI122), 0))*(AZ122+BA122)/1000</f>
        <v>1.6091154863184953</v>
      </c>
      <c r="O122">
        <f t="shared" si="57"/>
        <v>1.8982076279179558E-2</v>
      </c>
      <c r="P122">
        <f>IF(LEFT(AP122,1)&lt;&gt;"0",IF(LEFT(AP122,1)="1",3,AQ122),$D$5+$E$5*(BG122*AZ122/($K$5*1000))+$F$5*(BG122*AZ122/($K$5*1000))*MAX(MIN(AN122,$J$5),$I$5)*MAX(MIN(AN122,$J$5),$I$5)+$G$5*MAX(MIN(AN122,$J$5),$I$5)*(BG122*AZ122/($K$5*1000))+$H$5*(BG122*AZ122/($K$5*1000))*(BG122*AZ122/($K$5*1000)))</f>
        <v>2.3891753679313807</v>
      </c>
      <c r="Q122">
        <f>H122*(1000-(1000*0.61365*EXP(17.502*U122/(240.97+U122))/(AZ122+BA122)+AU122)/2)/(1000*0.61365*EXP(17.502*U122/(240.97+U122))/(AZ122+BA122)-AU122)</f>
        <v>1.8898688576930844E-2</v>
      </c>
      <c r="R122">
        <f t="shared" si="58"/>
        <v>1.1819141781999092E-2</v>
      </c>
      <c r="S122">
        <f t="shared" si="59"/>
        <v>8.3285977641176498E-2</v>
      </c>
      <c r="T122">
        <f>(BB122+(S122+2*0.95*0.0000000567*(((BB122+$B$7)+273)^4-(BB122+273)^4)-44100*H122)/(1.84*29.3*P122+8*0.95*0.0000000567*(BB122+273)^3))</f>
        <v>26.873564977977225</v>
      </c>
      <c r="U122">
        <f>($C$7*BC122+$D$7*BD122+$E$7*T122)</f>
        <v>27.23764352941177</v>
      </c>
      <c r="V122">
        <f t="shared" si="60"/>
        <v>3.6294207989972107</v>
      </c>
      <c r="W122">
        <f t="shared" si="61"/>
        <v>-2.6966555410984996</v>
      </c>
      <c r="X122">
        <f>AU122*(AZ122+BA122)/1000</f>
        <v>-9.7073005224982037E-2</v>
      </c>
      <c r="Y122">
        <f t="shared" si="62"/>
        <v>3.5997554654473496</v>
      </c>
      <c r="Z122">
        <f>(V122-AU122*(AZ122+BA122)/1000)</f>
        <v>3.7264938042221929</v>
      </c>
      <c r="AA122">
        <f t="shared" si="63"/>
        <v>-31.567668050501549</v>
      </c>
      <c r="AB122">
        <f>2*29.3*P122*0.92*(BB122-U122)</f>
        <v>-18.021517509899777</v>
      </c>
      <c r="AC122">
        <f>2*0.95*0.0000000567*(((BB122+$B$7)+273)^4-(U122+273)^4)</f>
        <v>-1.630596017576136</v>
      </c>
      <c r="AD122">
        <f t="shared" si="64"/>
        <v>-51.136495600336289</v>
      </c>
      <c r="AE122">
        <v>16</v>
      </c>
      <c r="AF122">
        <v>3</v>
      </c>
      <c r="AG122">
        <f t="shared" si="65"/>
        <v>1</v>
      </c>
      <c r="AH122">
        <f t="shared" si="66"/>
        <v>0</v>
      </c>
      <c r="AI122">
        <f t="shared" si="67"/>
        <v>25527.876214013279</v>
      </c>
      <c r="AJ122">
        <f t="shared" si="68"/>
        <v>0.43582405882352959</v>
      </c>
      <c r="AK122">
        <f t="shared" si="69"/>
        <v>0.34865924705882367</v>
      </c>
      <c r="AL122">
        <f t="shared" si="70"/>
        <v>0.8</v>
      </c>
      <c r="AM122">
        <f t="shared" si="71"/>
        <v>0.19109999999999999</v>
      </c>
      <c r="AN122">
        <v>3</v>
      </c>
      <c r="AO122">
        <v>0.5</v>
      </c>
      <c r="AP122" t="s">
        <v>317</v>
      </c>
      <c r="AQ122">
        <v>2</v>
      </c>
      <c r="AR122">
        <v>1775470333</v>
      </c>
      <c r="AS122">
        <v>16.06689247058824</v>
      </c>
      <c r="AT122">
        <v>15.972877647058819</v>
      </c>
      <c r="AU122">
        <v>-0.96926637647058844</v>
      </c>
      <c r="AV122">
        <v>-1.3987249411764711</v>
      </c>
      <c r="AW122">
        <v>8.0008924705882354</v>
      </c>
      <c r="AX122">
        <v>0.21474493411764711</v>
      </c>
      <c r="AY122">
        <v>500.52369411764698</v>
      </c>
      <c r="AZ122">
        <v>100.1036470588235</v>
      </c>
      <c r="BA122">
        <v>4.7361561176470578E-2</v>
      </c>
      <c r="BB122">
        <v>27.09773058823529</v>
      </c>
      <c r="BC122">
        <v>27.23764352941177</v>
      </c>
      <c r="BD122">
        <v>999.89999999999952</v>
      </c>
      <c r="BE122">
        <v>0</v>
      </c>
      <c r="BF122">
        <v>0</v>
      </c>
      <c r="BG122">
        <v>4997.7647058823532</v>
      </c>
      <c r="BH122">
        <v>0.43582405882352959</v>
      </c>
      <c r="BI122">
        <v>61.958530588235291</v>
      </c>
      <c r="BJ122">
        <v>9.4669576470588226E-2</v>
      </c>
      <c r="BK122">
        <v>16.051996470588239</v>
      </c>
      <c r="BL122">
        <v>15.950572941176469</v>
      </c>
      <c r="BM122">
        <v>0.42945835962352941</v>
      </c>
      <c r="BN122">
        <v>15.972877647058819</v>
      </c>
      <c r="BO122">
        <v>-1.3987249411764711</v>
      </c>
      <c r="BP122">
        <v>-9.7027149411764685E-2</v>
      </c>
      <c r="BQ122">
        <v>-0.14001744705882349</v>
      </c>
      <c r="BR122">
        <v>-99.899999999999977</v>
      </c>
      <c r="BS122">
        <v>-99.899999999999977</v>
      </c>
      <c r="BT122">
        <v>1775470373</v>
      </c>
      <c r="BU122" t="s">
        <v>641</v>
      </c>
      <c r="BV122">
        <v>1775470373</v>
      </c>
      <c r="BW122">
        <v>1775469670</v>
      </c>
      <c r="BX122">
        <v>107</v>
      </c>
      <c r="BY122">
        <v>-1E-3</v>
      </c>
      <c r="BZ122">
        <v>-1E-3</v>
      </c>
      <c r="CA122">
        <v>8.0660000000000007</v>
      </c>
      <c r="CB122">
        <v>-1.1839999999999999</v>
      </c>
      <c r="CC122">
        <v>15</v>
      </c>
      <c r="CD122">
        <v>-1</v>
      </c>
      <c r="CE122">
        <v>0.2</v>
      </c>
      <c r="CF122">
        <v>0.05</v>
      </c>
      <c r="CG122">
        <v>15.89001967213115</v>
      </c>
      <c r="CH122">
        <v>-0.52347033315705915</v>
      </c>
      <c r="CI122">
        <v>9.8783349329785941E-2</v>
      </c>
      <c r="CJ122">
        <v>-1</v>
      </c>
      <c r="CK122">
        <v>500.00395081967213</v>
      </c>
      <c r="CL122">
        <v>-1.407509254386561E-2</v>
      </c>
      <c r="CM122">
        <v>5.993341284073718E-2</v>
      </c>
      <c r="CN122">
        <v>-1</v>
      </c>
      <c r="CO122">
        <v>0</v>
      </c>
      <c r="CP122">
        <v>0</v>
      </c>
      <c r="CQ122" t="s">
        <v>319</v>
      </c>
      <c r="CR122">
        <v>3.1675399999999998</v>
      </c>
      <c r="CS122">
        <v>2.6670799999999999</v>
      </c>
      <c r="CT122">
        <v>2.34571E-3</v>
      </c>
      <c r="CU122">
        <v>4.6419E-3</v>
      </c>
      <c r="CV122">
        <v>2.0558400000000002E-3</v>
      </c>
      <c r="CW122">
        <v>-1.25148E-2</v>
      </c>
      <c r="CX122">
        <v>21508.1</v>
      </c>
      <c r="CY122">
        <v>21844.6</v>
      </c>
      <c r="CZ122">
        <v>23087.1</v>
      </c>
      <c r="DA122">
        <v>22300.5</v>
      </c>
      <c r="DB122">
        <v>29714.9</v>
      </c>
      <c r="DC122">
        <v>26930.6</v>
      </c>
      <c r="DD122">
        <v>40582.199999999997</v>
      </c>
      <c r="DE122">
        <v>36960.699999999997</v>
      </c>
      <c r="DF122">
        <v>2.0739999999999998</v>
      </c>
      <c r="DG122">
        <v>1.77722</v>
      </c>
      <c r="DH122">
        <v>1.53303E-2</v>
      </c>
      <c r="DI122">
        <v>0</v>
      </c>
      <c r="DJ122">
        <v>26.982099999999999</v>
      </c>
      <c r="DK122">
        <v>999.9</v>
      </c>
      <c r="DL122">
        <v>72.2</v>
      </c>
      <c r="DM122">
        <v>31.7</v>
      </c>
      <c r="DN122">
        <v>33.861400000000003</v>
      </c>
      <c r="DO122">
        <v>30.455500000000001</v>
      </c>
      <c r="DP122">
        <v>11.0337</v>
      </c>
      <c r="DQ122">
        <v>1</v>
      </c>
      <c r="DR122">
        <v>0.24778</v>
      </c>
      <c r="DS122">
        <v>0.13964299999999999</v>
      </c>
      <c r="DT122">
        <v>20.369599999999998</v>
      </c>
      <c r="DU122">
        <v>5.2109399999999999</v>
      </c>
      <c r="DV122">
        <v>11.8504</v>
      </c>
      <c r="DW122">
        <v>4.9677199999999999</v>
      </c>
      <c r="DX122">
        <v>3.29298</v>
      </c>
      <c r="DY122">
        <v>894.7</v>
      </c>
      <c r="DZ122">
        <v>0</v>
      </c>
      <c r="EA122">
        <v>3329.7</v>
      </c>
      <c r="EB122">
        <v>108.4</v>
      </c>
      <c r="EC122">
        <v>4.9715999999999996</v>
      </c>
      <c r="ED122">
        <v>1.87181</v>
      </c>
      <c r="EE122">
        <v>1.8690500000000001</v>
      </c>
      <c r="EF122">
        <v>1.8714599999999999</v>
      </c>
      <c r="EG122">
        <v>1.8692</v>
      </c>
      <c r="EH122">
        <v>1.8681300000000001</v>
      </c>
      <c r="EI122">
        <v>1.8699600000000001</v>
      </c>
      <c r="EJ122">
        <v>1.8717900000000001</v>
      </c>
      <c r="EK122">
        <v>0</v>
      </c>
      <c r="EL122">
        <v>0</v>
      </c>
      <c r="EM122">
        <v>0</v>
      </c>
      <c r="EN122">
        <v>0</v>
      </c>
      <c r="EO122" t="s">
        <v>320</v>
      </c>
      <c r="EP122" t="s">
        <v>321</v>
      </c>
      <c r="EQ122" t="s">
        <v>322</v>
      </c>
      <c r="ER122" t="s">
        <v>322</v>
      </c>
      <c r="ES122" t="s">
        <v>322</v>
      </c>
      <c r="ET122" t="s">
        <v>322</v>
      </c>
      <c r="EU122">
        <v>0</v>
      </c>
      <c r="EV122">
        <v>100</v>
      </c>
      <c r="EW122">
        <v>100</v>
      </c>
      <c r="EX122">
        <v>8.0660000000000007</v>
      </c>
      <c r="EY122">
        <v>-1.1839999999999999</v>
      </c>
      <c r="EZ122">
        <v>8.0666559999999983</v>
      </c>
      <c r="FA122">
        <v>0</v>
      </c>
      <c r="FB122">
        <v>0</v>
      </c>
      <c r="FC122">
        <v>0</v>
      </c>
      <c r="FD122">
        <v>-1.1840113809523809</v>
      </c>
      <c r="FE122">
        <v>0</v>
      </c>
      <c r="FF122">
        <v>0</v>
      </c>
      <c r="FG122">
        <v>0</v>
      </c>
      <c r="FH122">
        <v>-1</v>
      </c>
      <c r="FI122">
        <v>-1</v>
      </c>
      <c r="FJ122">
        <v>-1</v>
      </c>
      <c r="FK122">
        <v>-1</v>
      </c>
      <c r="FL122">
        <v>0.7</v>
      </c>
      <c r="FM122">
        <v>11.4</v>
      </c>
      <c r="FN122">
        <v>0.14160200000000001</v>
      </c>
      <c r="FO122">
        <v>4.99756</v>
      </c>
      <c r="FP122">
        <v>1.5979000000000001</v>
      </c>
      <c r="FQ122">
        <v>2.1472199999999999</v>
      </c>
      <c r="FR122">
        <v>1.5478499999999999</v>
      </c>
      <c r="FS122">
        <v>2.4060100000000002</v>
      </c>
      <c r="FT122">
        <v>35.498600000000003</v>
      </c>
      <c r="FU122">
        <v>14.963800000000001</v>
      </c>
      <c r="FV122">
        <v>2</v>
      </c>
      <c r="FW122">
        <v>494.16</v>
      </c>
      <c r="FX122">
        <v>396.11700000000002</v>
      </c>
      <c r="FY122">
        <v>27.495200000000001</v>
      </c>
      <c r="FZ122">
        <v>30.344899999999999</v>
      </c>
      <c r="GA122">
        <v>29.9999</v>
      </c>
      <c r="GB122">
        <v>30.6526</v>
      </c>
      <c r="GC122">
        <v>30.704899999999999</v>
      </c>
      <c r="GD122">
        <v>-1</v>
      </c>
      <c r="GE122">
        <v>0</v>
      </c>
      <c r="GF122">
        <v>100</v>
      </c>
      <c r="GG122">
        <v>27.502099999999999</v>
      </c>
      <c r="GH122">
        <v>432.1</v>
      </c>
      <c r="GI122">
        <v>78.840199999999996</v>
      </c>
      <c r="GJ122">
        <v>102.145</v>
      </c>
      <c r="GK122">
        <v>96.441199999999995</v>
      </c>
    </row>
    <row r="123" spans="1:193" x14ac:dyDescent="0.35">
      <c r="A123">
        <v>107</v>
      </c>
      <c r="B123">
        <v>1775470414.5</v>
      </c>
      <c r="C123">
        <v>6458.4000000953674</v>
      </c>
      <c r="D123" t="s">
        <v>642</v>
      </c>
      <c r="E123" t="s">
        <v>643</v>
      </c>
      <c r="F123">
        <v>60</v>
      </c>
      <c r="G123">
        <v>1775470393.2710841</v>
      </c>
      <c r="H123">
        <f t="shared" si="54"/>
        <v>7.7037877882476082E-4</v>
      </c>
      <c r="I123">
        <f>1000*AY123*AG123*(AU123-AV123)/(100*AN123*(1000-AG123*AU123))</f>
        <v>0.7703787788247608</v>
      </c>
      <c r="J123">
        <f>AY123*AG123*(AT123-AS123*(1000-AG123*AV123)/(1000-AG123*AU123))/(100*AN123)</f>
        <v>-8.9035386412201573E-2</v>
      </c>
      <c r="K123">
        <f t="shared" si="55"/>
        <v>15.597063614457831</v>
      </c>
      <c r="L123">
        <f t="shared" si="56"/>
        <v>21.468396117325991</v>
      </c>
      <c r="M123">
        <f>L123*(AZ123+BA123)/1000</f>
        <v>2.1501148474189753</v>
      </c>
      <c r="N123">
        <f>(AS123 - IF(AG123&gt;1, J123*AN123*100/(AI123), 0))*(AZ123+BA123)/1000</f>
        <v>1.5620858619484557</v>
      </c>
      <c r="O123">
        <f t="shared" si="57"/>
        <v>2.0455363620909398E-2</v>
      </c>
      <c r="P123">
        <f>IF(LEFT(AP123,1)&lt;&gt;"0",IF(LEFT(AP123,1)="1",3,AQ123),$D$5+$E$5*(BG123*AZ123/($K$5*1000))+$F$5*(BG123*AZ123/($K$5*1000))*MAX(MIN(AN123,$J$5),$I$5)*MAX(MIN(AN123,$J$5),$I$5)+$G$5*MAX(MIN(AN123,$J$5),$I$5)*(BG123*AZ123/($K$5*1000))+$H$5*(BG123*AZ123/($K$5*1000))*(BG123*AZ123/($K$5*1000)))</f>
        <v>2.3882797213712652</v>
      </c>
      <c r="Q123">
        <f>H123*(1000-(1000*0.61365*EXP(17.502*U123/(240.97+U123))/(AZ123+BA123)+AU123)/2)/(1000*0.61365*EXP(17.502*U123/(240.97+U123))/(AZ123+BA123)-AU123)</f>
        <v>2.0358528884071702E-2</v>
      </c>
      <c r="R123">
        <f t="shared" si="58"/>
        <v>1.2732742452127695E-2</v>
      </c>
      <c r="S123">
        <f t="shared" si="59"/>
        <v>8.6131567427710817E-2</v>
      </c>
      <c r="T123">
        <f>(BB123+(S123+2*0.95*0.0000000567*(((BB123+$B$7)+273)^4-(BB123+273)^4)-44100*H123)/(1.84*29.3*P123+8*0.95*0.0000000567*(BB123+273)^3))</f>
        <v>26.851955718560852</v>
      </c>
      <c r="U123">
        <f>($C$7*BC123+$D$7*BD123+$E$7*T123)</f>
        <v>27.226592771084331</v>
      </c>
      <c r="V123">
        <f t="shared" si="60"/>
        <v>3.6270700028511156</v>
      </c>
      <c r="W123">
        <f t="shared" si="61"/>
        <v>-2.6662153343594341</v>
      </c>
      <c r="X123">
        <f>AU123*(AZ123+BA123)/1000</f>
        <v>-9.5952366325141689E-2</v>
      </c>
      <c r="Y123">
        <f t="shared" si="62"/>
        <v>3.5988228365731203</v>
      </c>
      <c r="Z123">
        <f>(V123-AU123*(AZ123+BA123)/1000)</f>
        <v>3.7230223691762574</v>
      </c>
      <c r="AA123">
        <f t="shared" si="63"/>
        <v>-33.973704146171954</v>
      </c>
      <c r="AB123">
        <f>2*29.3*P123*0.92*(BB123-U123)</f>
        <v>-17.160352165990279</v>
      </c>
      <c r="AC123">
        <f>2*0.95*0.0000000567*(((BB123+$B$7)+273)^4-(U123+273)^4)</f>
        <v>-1.5531395741389133</v>
      </c>
      <c r="AD123">
        <f t="shared" si="64"/>
        <v>-52.601064318873441</v>
      </c>
      <c r="AE123">
        <v>16</v>
      </c>
      <c r="AF123">
        <v>3</v>
      </c>
      <c r="AG123">
        <f t="shared" si="65"/>
        <v>1</v>
      </c>
      <c r="AH123">
        <f t="shared" si="66"/>
        <v>0</v>
      </c>
      <c r="AI123">
        <f t="shared" si="67"/>
        <v>25514.59134864837</v>
      </c>
      <c r="AJ123">
        <f t="shared" si="68"/>
        <v>0.45071463855421678</v>
      </c>
      <c r="AK123">
        <f t="shared" si="69"/>
        <v>0.36057171084337347</v>
      </c>
      <c r="AL123">
        <f t="shared" si="70"/>
        <v>0.8</v>
      </c>
      <c r="AM123">
        <f t="shared" si="71"/>
        <v>0.19109999999999999</v>
      </c>
      <c r="AN123">
        <v>3</v>
      </c>
      <c r="AO123">
        <v>0.5</v>
      </c>
      <c r="AP123" t="s">
        <v>317</v>
      </c>
      <c r="AQ123">
        <v>2</v>
      </c>
      <c r="AR123">
        <v>1775470393.2710841</v>
      </c>
      <c r="AS123">
        <v>15.597063614457831</v>
      </c>
      <c r="AT123">
        <v>15.5509</v>
      </c>
      <c r="AU123">
        <v>-0.9580620361445783</v>
      </c>
      <c r="AV123">
        <v>-1.4202492771084341</v>
      </c>
      <c r="AW123">
        <v>7.5480636144578312</v>
      </c>
      <c r="AX123">
        <v>0.22594932650602409</v>
      </c>
      <c r="AY123">
        <v>500.52237349397592</v>
      </c>
      <c r="AZ123">
        <v>100.1046265060241</v>
      </c>
      <c r="BA123">
        <v>4.7934293975903611E-2</v>
      </c>
      <c r="BB123">
        <v>27.0933156626506</v>
      </c>
      <c r="BC123">
        <v>27.226592771084331</v>
      </c>
      <c r="BD123">
        <v>999.89999999999964</v>
      </c>
      <c r="BE123">
        <v>0</v>
      </c>
      <c r="BF123">
        <v>0</v>
      </c>
      <c r="BG123">
        <v>4995.4096385542171</v>
      </c>
      <c r="BH123">
        <v>0.45071463855421678</v>
      </c>
      <c r="BI123">
        <v>60.704916867469883</v>
      </c>
      <c r="BJ123">
        <v>6.2896308759036151E-2</v>
      </c>
      <c r="BK123">
        <v>15.598861445783131</v>
      </c>
      <c r="BL123">
        <v>15.528840963855419</v>
      </c>
      <c r="BM123">
        <v>0.46218702373493981</v>
      </c>
      <c r="BN123">
        <v>15.5509</v>
      </c>
      <c r="BO123">
        <v>-1.4202492771084341</v>
      </c>
      <c r="BP123">
        <v>-9.5906275903614446E-2</v>
      </c>
      <c r="BQ123">
        <v>-0.14217340963855421</v>
      </c>
      <c r="BR123">
        <v>-99.899999999999991</v>
      </c>
      <c r="BS123">
        <v>-99.899999999999991</v>
      </c>
      <c r="BT123">
        <v>1775470431</v>
      </c>
      <c r="BU123" t="s">
        <v>644</v>
      </c>
      <c r="BV123">
        <v>1775470431</v>
      </c>
      <c r="BW123">
        <v>1775469670</v>
      </c>
      <c r="BX123">
        <v>108</v>
      </c>
      <c r="BY123">
        <v>-1.6E-2</v>
      </c>
      <c r="BZ123">
        <v>-1E-3</v>
      </c>
      <c r="CA123">
        <v>8.0489999999999995</v>
      </c>
      <c r="CB123">
        <v>-1.1839999999999999</v>
      </c>
      <c r="CC123">
        <v>16</v>
      </c>
      <c r="CD123">
        <v>-1</v>
      </c>
      <c r="CE123">
        <v>0.32</v>
      </c>
      <c r="CF123">
        <v>0.05</v>
      </c>
      <c r="CG123">
        <v>15.546998333333329</v>
      </c>
      <c r="CH123">
        <v>0.87702528480136022</v>
      </c>
      <c r="CI123">
        <v>0.14104841307350999</v>
      </c>
      <c r="CJ123">
        <v>-1</v>
      </c>
      <c r="CK123">
        <v>500.00394999999997</v>
      </c>
      <c r="CL123">
        <v>-0.113221450402288</v>
      </c>
      <c r="CM123">
        <v>6.7824387206964348E-2</v>
      </c>
      <c r="CN123">
        <v>-1</v>
      </c>
      <c r="CO123">
        <v>0</v>
      </c>
      <c r="CP123">
        <v>0</v>
      </c>
      <c r="CQ123" t="s">
        <v>319</v>
      </c>
      <c r="CR123">
        <v>3.1674600000000002</v>
      </c>
      <c r="CS123">
        <v>2.6674500000000001</v>
      </c>
      <c r="CT123">
        <v>2.2903099999999998E-3</v>
      </c>
      <c r="CU123">
        <v>4.7040900000000002E-3</v>
      </c>
      <c r="CV123">
        <v>2.2814200000000001E-3</v>
      </c>
      <c r="CW123">
        <v>-1.26917E-2</v>
      </c>
      <c r="CX123">
        <v>21510</v>
      </c>
      <c r="CY123">
        <v>21844.3</v>
      </c>
      <c r="CZ123">
        <v>23087.7</v>
      </c>
      <c r="DA123">
        <v>22301.5</v>
      </c>
      <c r="DB123">
        <v>29708.9</v>
      </c>
      <c r="DC123">
        <v>26936.5</v>
      </c>
      <c r="DD123">
        <v>40583.1</v>
      </c>
      <c r="DE123">
        <v>36962.5</v>
      </c>
      <c r="DF123">
        <v>2.0741800000000001</v>
      </c>
      <c r="DG123">
        <v>1.77762</v>
      </c>
      <c r="DH123">
        <v>1.6587999999999999E-2</v>
      </c>
      <c r="DI123">
        <v>0</v>
      </c>
      <c r="DJ123">
        <v>26.963000000000001</v>
      </c>
      <c r="DK123">
        <v>999.9</v>
      </c>
      <c r="DL123">
        <v>72.3</v>
      </c>
      <c r="DM123">
        <v>31.7</v>
      </c>
      <c r="DN123">
        <v>33.906300000000002</v>
      </c>
      <c r="DO123">
        <v>30.395499999999998</v>
      </c>
      <c r="DP123">
        <v>11.0817</v>
      </c>
      <c r="DQ123">
        <v>1</v>
      </c>
      <c r="DR123">
        <v>0.24546699999999999</v>
      </c>
      <c r="DS123">
        <v>5.9239699999999999E-2</v>
      </c>
      <c r="DT123">
        <v>20.369599999999998</v>
      </c>
      <c r="DU123">
        <v>5.2116600000000002</v>
      </c>
      <c r="DV123">
        <v>11.85</v>
      </c>
      <c r="DW123">
        <v>4.9678800000000001</v>
      </c>
      <c r="DX123">
        <v>3.29278</v>
      </c>
      <c r="DY123">
        <v>894.7</v>
      </c>
      <c r="DZ123">
        <v>0</v>
      </c>
      <c r="EA123">
        <v>3358.5</v>
      </c>
      <c r="EB123">
        <v>108.4</v>
      </c>
      <c r="EC123">
        <v>4.9715499999999997</v>
      </c>
      <c r="ED123">
        <v>1.8717999999999999</v>
      </c>
      <c r="EE123">
        <v>1.86904</v>
      </c>
      <c r="EF123">
        <v>1.8714500000000001</v>
      </c>
      <c r="EG123">
        <v>1.86917</v>
      </c>
      <c r="EH123">
        <v>1.8681099999999999</v>
      </c>
      <c r="EI123">
        <v>1.86995</v>
      </c>
      <c r="EJ123">
        <v>1.8717600000000001</v>
      </c>
      <c r="EK123">
        <v>0</v>
      </c>
      <c r="EL123">
        <v>0</v>
      </c>
      <c r="EM123">
        <v>0</v>
      </c>
      <c r="EN123">
        <v>0</v>
      </c>
      <c r="EO123" t="s">
        <v>320</v>
      </c>
      <c r="EP123" t="s">
        <v>321</v>
      </c>
      <c r="EQ123" t="s">
        <v>322</v>
      </c>
      <c r="ER123" t="s">
        <v>322</v>
      </c>
      <c r="ES123" t="s">
        <v>322</v>
      </c>
      <c r="ET123" t="s">
        <v>322</v>
      </c>
      <c r="EU123">
        <v>0</v>
      </c>
      <c r="EV123">
        <v>100</v>
      </c>
      <c r="EW123">
        <v>100</v>
      </c>
      <c r="EX123">
        <v>8.0489999999999995</v>
      </c>
      <c r="EY123">
        <v>-1.1839999999999999</v>
      </c>
      <c r="EZ123">
        <v>8.0657280952381001</v>
      </c>
      <c r="FA123">
        <v>0</v>
      </c>
      <c r="FB123">
        <v>0</v>
      </c>
      <c r="FC123">
        <v>0</v>
      </c>
      <c r="FD123">
        <v>-1.1840113809523809</v>
      </c>
      <c r="FE123">
        <v>0</v>
      </c>
      <c r="FF123">
        <v>0</v>
      </c>
      <c r="FG123">
        <v>0</v>
      </c>
      <c r="FH123">
        <v>-1</v>
      </c>
      <c r="FI123">
        <v>-1</v>
      </c>
      <c r="FJ123">
        <v>-1</v>
      </c>
      <c r="FK123">
        <v>-1</v>
      </c>
      <c r="FL123">
        <v>0.7</v>
      </c>
      <c r="FM123">
        <v>12.4</v>
      </c>
      <c r="FN123">
        <v>0.14160200000000001</v>
      </c>
      <c r="FO123">
        <v>4.99756</v>
      </c>
      <c r="FP123">
        <v>1.5979000000000001</v>
      </c>
      <c r="FQ123">
        <v>2.1484399999999999</v>
      </c>
      <c r="FR123">
        <v>1.5478499999999999</v>
      </c>
      <c r="FS123">
        <v>2.4352999999999998</v>
      </c>
      <c r="FT123">
        <v>35.4754</v>
      </c>
      <c r="FU123">
        <v>14.9376</v>
      </c>
      <c r="FV123">
        <v>2</v>
      </c>
      <c r="FW123">
        <v>494.125</v>
      </c>
      <c r="FX123">
        <v>396.23099999999999</v>
      </c>
      <c r="FY123">
        <v>27.5595</v>
      </c>
      <c r="FZ123">
        <v>30.317</v>
      </c>
      <c r="GA123">
        <v>29.9998</v>
      </c>
      <c r="GB123">
        <v>30.6343</v>
      </c>
      <c r="GC123">
        <v>30.687000000000001</v>
      </c>
      <c r="GD123">
        <v>-1</v>
      </c>
      <c r="GE123">
        <v>0</v>
      </c>
      <c r="GF123">
        <v>100</v>
      </c>
      <c r="GG123">
        <v>27.5623</v>
      </c>
      <c r="GH123">
        <v>432.1</v>
      </c>
      <c r="GI123">
        <v>78.840199999999996</v>
      </c>
      <c r="GJ123">
        <v>102.14700000000001</v>
      </c>
      <c r="GK123">
        <v>96.445800000000006</v>
      </c>
    </row>
    <row r="124" spans="1:193" x14ac:dyDescent="0.35">
      <c r="A124">
        <v>108</v>
      </c>
      <c r="B124">
        <v>1775470474.5</v>
      </c>
      <c r="C124">
        <v>6518.4000000953674</v>
      </c>
      <c r="D124" t="s">
        <v>645</v>
      </c>
      <c r="E124" t="s">
        <v>646</v>
      </c>
      <c r="F124">
        <v>60</v>
      </c>
      <c r="G124">
        <v>1775470452.75</v>
      </c>
      <c r="H124">
        <f t="shared" si="54"/>
        <v>7.7194573160941542E-4</v>
      </c>
      <c r="I124">
        <f>1000*AY124*AG124*(AU124-AV124)/(100*AN124*(1000-AG124*AU124))</f>
        <v>0.77194573160941538</v>
      </c>
      <c r="J124">
        <f>AY124*AG124*(AT124-AS124*(1000-AG124*AV124)/(1000-AG124*AU124))/(100*AN124)</f>
        <v>-0.19322882345932926</v>
      </c>
      <c r="K124">
        <f t="shared" si="55"/>
        <v>16.237419186046509</v>
      </c>
      <c r="L124">
        <f t="shared" si="56"/>
        <v>29.99017782427433</v>
      </c>
      <c r="M124">
        <f>L124*(AZ124+BA124)/1000</f>
        <v>3.0036224865707486</v>
      </c>
      <c r="N124">
        <f>(AS124 - IF(AG124&gt;1, J124*AN124*100/(AI124), 0))*(AZ124+BA124)/1000</f>
        <v>1.6262350185736085</v>
      </c>
      <c r="O124">
        <f t="shared" si="57"/>
        <v>2.0487666611604147E-2</v>
      </c>
      <c r="P124">
        <f>IF(LEFT(AP124,1)&lt;&gt;"0",IF(LEFT(AP124,1)="1",3,AQ124),$D$5+$E$5*(BG124*AZ124/($K$5*1000))+$F$5*(BG124*AZ124/($K$5*1000))*MAX(MIN(AN124,$J$5),$I$5)*MAX(MIN(AN124,$J$5),$I$5)+$G$5*MAX(MIN(AN124,$J$5),$I$5)*(BG124*AZ124/($K$5*1000))+$H$5*(BG124*AZ124/($K$5*1000))*(BG124*AZ124/($K$5*1000)))</f>
        <v>2.3898952960315483</v>
      </c>
      <c r="Q124">
        <f>H124*(1000-(1000*0.61365*EXP(17.502*U124/(240.97+U124))/(AZ124+BA124)+AU124)/2)/(1000*0.61365*EXP(17.502*U124/(240.97+U124))/(AZ124+BA124)-AU124)</f>
        <v>2.0390591906497075E-2</v>
      </c>
      <c r="R124">
        <f t="shared" si="58"/>
        <v>1.2752803272099805E-2</v>
      </c>
      <c r="S124">
        <f t="shared" si="59"/>
        <v>8.3378458799999985E-2</v>
      </c>
      <c r="T124">
        <f>(BB124+(S124+2*0.95*0.0000000567*(((BB124+$B$7)+273)^4-(BB124+273)^4)-44100*H124)/(1.84*29.3*P124+8*0.95*0.0000000567*(BB124+273)^3))</f>
        <v>26.859584476314602</v>
      </c>
      <c r="U124">
        <f>($C$7*BC124+$D$7*BD124+$E$7*T124)</f>
        <v>27.231537209302321</v>
      </c>
      <c r="V124">
        <f t="shared" si="60"/>
        <v>3.628121654685565</v>
      </c>
      <c r="W124">
        <f t="shared" si="61"/>
        <v>-2.6839902651804528</v>
      </c>
      <c r="X124">
        <f>AU124*(AZ124+BA124)/1000</f>
        <v>-9.6637354569794734E-2</v>
      </c>
      <c r="Y124">
        <f t="shared" si="62"/>
        <v>3.6005106211999434</v>
      </c>
      <c r="Z124">
        <f>(V124-AU124*(AZ124+BA124)/1000)</f>
        <v>3.7247590092553597</v>
      </c>
      <c r="AA124">
        <f t="shared" si="63"/>
        <v>-34.042806763975221</v>
      </c>
      <c r="AB124">
        <f>2*29.3*P124*0.92*(BB124-U124)</f>
        <v>-16.779688305069357</v>
      </c>
      <c r="AC124">
        <f>2*0.95*0.0000000567*(((BB124+$B$7)+273)^4-(U124+273)^4)</f>
        <v>-1.5177581154331943</v>
      </c>
      <c r="AD124">
        <f t="shared" si="64"/>
        <v>-52.256874725677775</v>
      </c>
      <c r="AE124">
        <v>17</v>
      </c>
      <c r="AF124">
        <v>3</v>
      </c>
      <c r="AG124">
        <f t="shared" si="65"/>
        <v>1</v>
      </c>
      <c r="AH124">
        <f t="shared" si="66"/>
        <v>0</v>
      </c>
      <c r="AI124">
        <f t="shared" si="67"/>
        <v>25538.408181491959</v>
      </c>
      <c r="AJ124">
        <f t="shared" si="68"/>
        <v>0.43630799999999997</v>
      </c>
      <c r="AK124">
        <f t="shared" si="69"/>
        <v>0.34904639999999998</v>
      </c>
      <c r="AL124">
        <f t="shared" si="70"/>
        <v>0.8</v>
      </c>
      <c r="AM124">
        <f t="shared" si="71"/>
        <v>0.19109999999999999</v>
      </c>
      <c r="AN124">
        <v>3</v>
      </c>
      <c r="AO124">
        <v>0.5</v>
      </c>
      <c r="AP124" t="s">
        <v>317</v>
      </c>
      <c r="AQ124">
        <v>2</v>
      </c>
      <c r="AR124">
        <v>1775470452.75</v>
      </c>
      <c r="AS124">
        <v>16.237419186046509</v>
      </c>
      <c r="AT124">
        <v>16.12911627906977</v>
      </c>
      <c r="AU124">
        <v>-0.96489204651162774</v>
      </c>
      <c r="AV124">
        <v>-1.4280200000000001</v>
      </c>
      <c r="AW124">
        <v>8.1764191860465125</v>
      </c>
      <c r="AX124">
        <v>0.21911932558139541</v>
      </c>
      <c r="AY124">
        <v>500.52511627906978</v>
      </c>
      <c r="AZ124">
        <v>100.106488372093</v>
      </c>
      <c r="BA124">
        <v>4.7052036046511633E-2</v>
      </c>
      <c r="BB124">
        <v>27.101304651162799</v>
      </c>
      <c r="BC124">
        <v>27.231537209302321</v>
      </c>
      <c r="BD124">
        <v>999.89999999999941</v>
      </c>
      <c r="BE124">
        <v>0</v>
      </c>
      <c r="BF124">
        <v>0</v>
      </c>
      <c r="BG124">
        <v>4999.4767441860467</v>
      </c>
      <c r="BH124">
        <v>0.43630799999999997</v>
      </c>
      <c r="BI124">
        <v>59.249010465116257</v>
      </c>
      <c r="BJ124">
        <v>9.654312591860463E-2</v>
      </c>
      <c r="BK124">
        <v>16.210018604651161</v>
      </c>
      <c r="BL124">
        <v>16.106118604651162</v>
      </c>
      <c r="BM124">
        <v>0.46312784337209312</v>
      </c>
      <c r="BN124">
        <v>16.12911627906977</v>
      </c>
      <c r="BO124">
        <v>-1.4280200000000001</v>
      </c>
      <c r="BP124">
        <v>-9.6591948837209313E-2</v>
      </c>
      <c r="BQ124">
        <v>-0.14295417441860461</v>
      </c>
      <c r="BR124">
        <v>-99.899999999999977</v>
      </c>
      <c r="BS124">
        <v>-99.899999999999977</v>
      </c>
      <c r="BT124">
        <v>1775470494.5</v>
      </c>
      <c r="BU124" t="s">
        <v>647</v>
      </c>
      <c r="BV124">
        <v>1775470494.5</v>
      </c>
      <c r="BW124">
        <v>1775469670</v>
      </c>
      <c r="BX124">
        <v>109</v>
      </c>
      <c r="BY124">
        <v>1.0999999999999999E-2</v>
      </c>
      <c r="BZ124">
        <v>-1E-3</v>
      </c>
      <c r="CA124">
        <v>8.0609999999999999</v>
      </c>
      <c r="CB124">
        <v>-1.1839999999999999</v>
      </c>
      <c r="CC124">
        <v>16</v>
      </c>
      <c r="CD124">
        <v>-1</v>
      </c>
      <c r="CE124">
        <v>0.2</v>
      </c>
      <c r="CF124">
        <v>0.05</v>
      </c>
      <c r="CG124">
        <v>16.108493333333332</v>
      </c>
      <c r="CH124">
        <v>-0.6053421505973503</v>
      </c>
      <c r="CI124">
        <v>0.1204917505705498</v>
      </c>
      <c r="CJ124">
        <v>-1</v>
      </c>
      <c r="CK124">
        <v>499.99475000000001</v>
      </c>
      <c r="CL124">
        <v>4.7916643512086667E-2</v>
      </c>
      <c r="CM124">
        <v>5.2133042944628609E-2</v>
      </c>
      <c r="CN124">
        <v>-1</v>
      </c>
      <c r="CO124">
        <v>0</v>
      </c>
      <c r="CP124">
        <v>0</v>
      </c>
      <c r="CQ124" t="s">
        <v>319</v>
      </c>
      <c r="CR124">
        <v>3.16751</v>
      </c>
      <c r="CS124">
        <v>2.6669299999999998</v>
      </c>
      <c r="CT124">
        <v>2.39055E-3</v>
      </c>
      <c r="CU124">
        <v>4.7124799999999998E-3</v>
      </c>
      <c r="CV124">
        <v>2.1792000000000001E-3</v>
      </c>
      <c r="CW124">
        <v>-1.26272E-2</v>
      </c>
      <c r="CX124">
        <v>21508.799999999999</v>
      </c>
      <c r="CY124">
        <v>21845.200000000001</v>
      </c>
      <c r="CZ124">
        <v>23088.6</v>
      </c>
      <c r="DA124">
        <v>22302.6</v>
      </c>
      <c r="DB124">
        <v>29713.1</v>
      </c>
      <c r="DC124">
        <v>26936.400000000001</v>
      </c>
      <c r="DD124">
        <v>40584.699999999997</v>
      </c>
      <c r="DE124">
        <v>36964.699999999997</v>
      </c>
      <c r="DF124">
        <v>2.0742400000000001</v>
      </c>
      <c r="DG124">
        <v>1.7784199999999999</v>
      </c>
      <c r="DH124">
        <v>1.6212500000000001E-2</v>
      </c>
      <c r="DI124">
        <v>0</v>
      </c>
      <c r="DJ124">
        <v>26.963000000000001</v>
      </c>
      <c r="DK124">
        <v>999.9</v>
      </c>
      <c r="DL124">
        <v>72.3</v>
      </c>
      <c r="DM124">
        <v>31.6</v>
      </c>
      <c r="DN124">
        <v>33.7104</v>
      </c>
      <c r="DO124">
        <v>30.515499999999999</v>
      </c>
      <c r="DP124">
        <v>11.0136</v>
      </c>
      <c r="DQ124">
        <v>1</v>
      </c>
      <c r="DR124">
        <v>0.24332500000000001</v>
      </c>
      <c r="DS124">
        <v>0.109802</v>
      </c>
      <c r="DT124">
        <v>20.369800000000001</v>
      </c>
      <c r="DU124">
        <v>5.2114200000000004</v>
      </c>
      <c r="DV124">
        <v>11.8507</v>
      </c>
      <c r="DW124">
        <v>4.9678000000000004</v>
      </c>
      <c r="DX124">
        <v>3.2928999999999999</v>
      </c>
      <c r="DY124">
        <v>894.7</v>
      </c>
      <c r="DZ124">
        <v>0</v>
      </c>
      <c r="EA124">
        <v>3394.6</v>
      </c>
      <c r="EB124">
        <v>108.4</v>
      </c>
      <c r="EC124">
        <v>4.9715600000000002</v>
      </c>
      <c r="ED124">
        <v>1.87181</v>
      </c>
      <c r="EE124">
        <v>1.86904</v>
      </c>
      <c r="EF124">
        <v>1.87144</v>
      </c>
      <c r="EG124">
        <v>1.8691800000000001</v>
      </c>
      <c r="EH124">
        <v>1.86812</v>
      </c>
      <c r="EI124">
        <v>1.8699600000000001</v>
      </c>
      <c r="EJ124">
        <v>1.8717600000000001</v>
      </c>
      <c r="EK124">
        <v>0</v>
      </c>
      <c r="EL124">
        <v>0</v>
      </c>
      <c r="EM124">
        <v>0</v>
      </c>
      <c r="EN124">
        <v>0</v>
      </c>
      <c r="EO124" t="s">
        <v>320</v>
      </c>
      <c r="EP124" t="s">
        <v>321</v>
      </c>
      <c r="EQ124" t="s">
        <v>322</v>
      </c>
      <c r="ER124" t="s">
        <v>322</v>
      </c>
      <c r="ES124" t="s">
        <v>322</v>
      </c>
      <c r="ET124" t="s">
        <v>322</v>
      </c>
      <c r="EU124">
        <v>0</v>
      </c>
      <c r="EV124">
        <v>100</v>
      </c>
      <c r="EW124">
        <v>100</v>
      </c>
      <c r="EX124">
        <v>8.0609999999999999</v>
      </c>
      <c r="EY124">
        <v>-1.1839999999999999</v>
      </c>
      <c r="EZ124">
        <v>8.0492423809523803</v>
      </c>
      <c r="FA124">
        <v>0</v>
      </c>
      <c r="FB124">
        <v>0</v>
      </c>
      <c r="FC124">
        <v>0</v>
      </c>
      <c r="FD124">
        <v>-1.1840113809523809</v>
      </c>
      <c r="FE124">
        <v>0</v>
      </c>
      <c r="FF124">
        <v>0</v>
      </c>
      <c r="FG124">
        <v>0</v>
      </c>
      <c r="FH124">
        <v>-1</v>
      </c>
      <c r="FI124">
        <v>-1</v>
      </c>
      <c r="FJ124">
        <v>-1</v>
      </c>
      <c r="FK124">
        <v>-1</v>
      </c>
      <c r="FL124">
        <v>0.7</v>
      </c>
      <c r="FM124">
        <v>13.4</v>
      </c>
      <c r="FN124">
        <v>0.14160200000000001</v>
      </c>
      <c r="FO124">
        <v>4.99756</v>
      </c>
      <c r="FP124">
        <v>1.5979000000000001</v>
      </c>
      <c r="FQ124">
        <v>2.1484399999999999</v>
      </c>
      <c r="FR124">
        <v>1.5478499999999999</v>
      </c>
      <c r="FS124">
        <v>2.3803700000000001</v>
      </c>
      <c r="FT124">
        <v>35.429099999999998</v>
      </c>
      <c r="FU124">
        <v>14.9376</v>
      </c>
      <c r="FV124">
        <v>2</v>
      </c>
      <c r="FW124">
        <v>493.99799999999999</v>
      </c>
      <c r="FX124">
        <v>396.56400000000002</v>
      </c>
      <c r="FY124">
        <v>27.518599999999999</v>
      </c>
      <c r="FZ124">
        <v>30.290800000000001</v>
      </c>
      <c r="GA124">
        <v>29.9999</v>
      </c>
      <c r="GB124">
        <v>30.613</v>
      </c>
      <c r="GC124">
        <v>30.668399999999998</v>
      </c>
      <c r="GD124">
        <v>-1</v>
      </c>
      <c r="GE124">
        <v>0</v>
      </c>
      <c r="GF124">
        <v>100</v>
      </c>
      <c r="GG124">
        <v>27.5181</v>
      </c>
      <c r="GH124">
        <v>432.1</v>
      </c>
      <c r="GI124">
        <v>78.840199999999996</v>
      </c>
      <c r="GJ124">
        <v>102.151</v>
      </c>
      <c r="GK124">
        <v>96.451099999999997</v>
      </c>
    </row>
    <row r="125" spans="1:193" x14ac:dyDescent="0.35">
      <c r="A125">
        <v>109</v>
      </c>
      <c r="B125">
        <v>1775470534.5999999</v>
      </c>
      <c r="C125">
        <v>6578.5</v>
      </c>
      <c r="D125" t="s">
        <v>648</v>
      </c>
      <c r="E125" t="s">
        <v>649</v>
      </c>
      <c r="F125">
        <v>60</v>
      </c>
      <c r="G125">
        <v>1775470514.5650001</v>
      </c>
      <c r="H125">
        <f t="shared" si="54"/>
        <v>7.7630047556215677E-4</v>
      </c>
      <c r="I125">
        <f>1000*AY125*AG125*(AU125-AV125)/(100*AN125*(1000-AG125*AU125))</f>
        <v>0.77630047556215676</v>
      </c>
      <c r="J125">
        <f>AY125*AG125*(AT125-AS125*(1000-AG125*AV125)/(1000-AG125*AU125))/(100*AN125)</f>
        <v>-0.20943326067318491</v>
      </c>
      <c r="K125">
        <f t="shared" si="55"/>
        <v>16.352330375000001</v>
      </c>
      <c r="L125">
        <f t="shared" si="56"/>
        <v>31.236989517088894</v>
      </c>
      <c r="M125">
        <f>L125*(AZ125+BA125)/1000</f>
        <v>3.1285316643100201</v>
      </c>
      <c r="N125">
        <f>(AS125 - IF(AG125&gt;1, J125*AN125*100/(AI125), 0))*(AZ125+BA125)/1000</f>
        <v>1.6377629264003977</v>
      </c>
      <c r="O125">
        <f t="shared" si="57"/>
        <v>2.061123544399274E-2</v>
      </c>
      <c r="P125">
        <f>IF(LEFT(AP125,1)&lt;&gt;"0",IF(LEFT(AP125,1)="1",3,AQ125),$D$5+$E$5*(BG125*AZ125/($K$5*1000))+$F$5*(BG125*AZ125/($K$5*1000))*MAX(MIN(AN125,$J$5),$I$5)*MAX(MIN(AN125,$J$5),$I$5)+$G$5*MAX(MIN(AN125,$J$5),$I$5)*(BG125*AZ125/($K$5*1000))+$H$5*(BG125*AZ125/($K$5*1000))*(BG125*AZ125/($K$5*1000)))</f>
        <v>2.3902540119312619</v>
      </c>
      <c r="Q125">
        <f>H125*(1000-(1000*0.61365*EXP(17.502*U125/(240.97+U125))/(AZ125+BA125)+AU125)/2)/(1000*0.61365*EXP(17.502*U125/(240.97+U125))/(AZ125+BA125)-AU125)</f>
        <v>2.0513003918474857E-2</v>
      </c>
      <c r="R125">
        <f t="shared" si="58"/>
        <v>1.2829414030802693E-2</v>
      </c>
      <c r="S125">
        <f t="shared" si="59"/>
        <v>8.3478528315000022E-2</v>
      </c>
      <c r="T125">
        <f>(BB125+(S125+2*0.95*0.0000000567*(((BB125+$B$7)+273)^4-(BB125+273)^4)-44100*H125)/(1.84*29.3*P125+8*0.95*0.0000000567*(BB125+273)^3))</f>
        <v>26.85470132625117</v>
      </c>
      <c r="U125">
        <f>($C$7*BC125+$D$7*BD125+$E$7*T125)</f>
        <v>27.224372500000001</v>
      </c>
      <c r="V125">
        <f t="shared" si="60"/>
        <v>3.6265978513093966</v>
      </c>
      <c r="W125">
        <f t="shared" si="61"/>
        <v>-2.6918054491783838</v>
      </c>
      <c r="X125">
        <f>AU125*(AZ125+BA125)/1000</f>
        <v>-9.6898552604209626E-2</v>
      </c>
      <c r="Y125">
        <f t="shared" si="62"/>
        <v>3.5997606228854999</v>
      </c>
      <c r="Z125">
        <f>(V125-AU125*(AZ125+BA125)/1000)</f>
        <v>3.723496403913606</v>
      </c>
      <c r="AA125">
        <f t="shared" si="63"/>
        <v>-34.234850972291113</v>
      </c>
      <c r="AB125">
        <f>2*29.3*P125*0.92*(BB125-U125)</f>
        <v>-16.316358294321088</v>
      </c>
      <c r="AC125">
        <f>2*0.95*0.0000000567*(((BB125+$B$7)+273)^4-(U125+273)^4)</f>
        <v>-1.475548443306717</v>
      </c>
      <c r="AD125">
        <f t="shared" si="64"/>
        <v>-51.943279181603913</v>
      </c>
      <c r="AE125">
        <v>17</v>
      </c>
      <c r="AF125">
        <v>3</v>
      </c>
      <c r="AG125">
        <f t="shared" si="65"/>
        <v>1</v>
      </c>
      <c r="AH125">
        <f t="shared" si="66"/>
        <v>0</v>
      </c>
      <c r="AI125">
        <f t="shared" si="67"/>
        <v>25544.13578801386</v>
      </c>
      <c r="AJ125">
        <f t="shared" si="68"/>
        <v>0.43683165000000013</v>
      </c>
      <c r="AK125">
        <f t="shared" si="69"/>
        <v>0.34946532000000013</v>
      </c>
      <c r="AL125">
        <f t="shared" si="70"/>
        <v>0.8</v>
      </c>
      <c r="AM125">
        <f t="shared" si="71"/>
        <v>0.19109999999999999</v>
      </c>
      <c r="AN125">
        <v>3</v>
      </c>
      <c r="AO125">
        <v>0.5</v>
      </c>
      <c r="AP125" t="s">
        <v>317</v>
      </c>
      <c r="AQ125">
        <v>2</v>
      </c>
      <c r="AR125">
        <v>1775470514.5650001</v>
      </c>
      <c r="AS125">
        <v>16.352330375000001</v>
      </c>
      <c r="AT125">
        <v>16.234414999999998</v>
      </c>
      <c r="AU125">
        <v>-0.96748871249999979</v>
      </c>
      <c r="AV125">
        <v>-1.4332141249999999</v>
      </c>
      <c r="AW125">
        <v>8.3633303750000003</v>
      </c>
      <c r="AX125">
        <v>0.2165227525</v>
      </c>
      <c r="AY125">
        <v>500.54271249999999</v>
      </c>
      <c r="AZ125">
        <v>100.10724999999999</v>
      </c>
      <c r="BA125">
        <v>4.7461215000000001E-2</v>
      </c>
      <c r="BB125">
        <v>27.097754999999999</v>
      </c>
      <c r="BC125">
        <v>27.224372500000001</v>
      </c>
      <c r="BD125">
        <v>999.89999999999986</v>
      </c>
      <c r="BE125">
        <v>0</v>
      </c>
      <c r="BF125">
        <v>0</v>
      </c>
      <c r="BG125">
        <v>5000.3625000000002</v>
      </c>
      <c r="BH125">
        <v>0.43683165000000013</v>
      </c>
      <c r="BI125">
        <v>57.6211725</v>
      </c>
      <c r="BJ125">
        <v>0.18944671437499999</v>
      </c>
      <c r="BK125">
        <v>16.407991249999998</v>
      </c>
      <c r="BL125">
        <v>16.2111825</v>
      </c>
      <c r="BM125">
        <v>0.46572548824999999</v>
      </c>
      <c r="BN125">
        <v>16.234414999999998</v>
      </c>
      <c r="BO125">
        <v>-1.4332141249999999</v>
      </c>
      <c r="BP125">
        <v>-9.6852696250000009E-2</v>
      </c>
      <c r="BQ125">
        <v>-0.14347517500000001</v>
      </c>
      <c r="BR125">
        <v>-99.899999999999991</v>
      </c>
      <c r="BS125">
        <v>-99.899999999999991</v>
      </c>
      <c r="BT125">
        <v>1775470548.5999999</v>
      </c>
      <c r="BU125" t="s">
        <v>650</v>
      </c>
      <c r="BV125">
        <v>1775470548.5999999</v>
      </c>
      <c r="BW125">
        <v>1775469670</v>
      </c>
      <c r="BX125">
        <v>110</v>
      </c>
      <c r="BY125">
        <v>-7.1999999999999995E-2</v>
      </c>
      <c r="BZ125">
        <v>-1E-3</v>
      </c>
      <c r="CA125">
        <v>7.9889999999999999</v>
      </c>
      <c r="CB125">
        <v>-1.1839999999999999</v>
      </c>
      <c r="CC125">
        <v>15</v>
      </c>
      <c r="CD125">
        <v>-1</v>
      </c>
      <c r="CE125">
        <v>0.36</v>
      </c>
      <c r="CF125">
        <v>0.05</v>
      </c>
      <c r="CG125">
        <v>16.201509836065579</v>
      </c>
      <c r="CH125">
        <v>-2.5780521562910401</v>
      </c>
      <c r="CI125">
        <v>0.40783915895286821</v>
      </c>
      <c r="CJ125">
        <v>-1</v>
      </c>
      <c r="CK125">
        <v>500.00759016393442</v>
      </c>
      <c r="CL125">
        <v>-8.4122642900191516E-2</v>
      </c>
      <c r="CM125">
        <v>7.3466257906554186E-2</v>
      </c>
      <c r="CN125">
        <v>-1</v>
      </c>
      <c r="CO125">
        <v>0</v>
      </c>
      <c r="CP125">
        <v>0</v>
      </c>
      <c r="CQ125" t="s">
        <v>319</v>
      </c>
      <c r="CR125">
        <v>3.1674600000000002</v>
      </c>
      <c r="CS125">
        <v>2.6677200000000001</v>
      </c>
      <c r="CT125">
        <v>2.3406299999999998E-3</v>
      </c>
      <c r="CU125">
        <v>4.6117099999999998E-3</v>
      </c>
      <c r="CV125">
        <v>2.16657E-3</v>
      </c>
      <c r="CW125">
        <v>-1.27022E-2</v>
      </c>
      <c r="CX125">
        <v>21510.799999999999</v>
      </c>
      <c r="CY125">
        <v>21847.599999999999</v>
      </c>
      <c r="CZ125">
        <v>23089.5</v>
      </c>
      <c r="DA125">
        <v>22302.7</v>
      </c>
      <c r="DB125">
        <v>29714.400000000001</v>
      </c>
      <c r="DC125">
        <v>26938.6</v>
      </c>
      <c r="DD125">
        <v>40585.9</v>
      </c>
      <c r="DE125">
        <v>36964.9</v>
      </c>
      <c r="DF125">
        <v>2.0743800000000001</v>
      </c>
      <c r="DG125">
        <v>1.77946</v>
      </c>
      <c r="DH125">
        <v>1.6528399999999999E-2</v>
      </c>
      <c r="DI125">
        <v>0</v>
      </c>
      <c r="DJ125">
        <v>26.9543</v>
      </c>
      <c r="DK125">
        <v>999.9</v>
      </c>
      <c r="DL125">
        <v>72.400000000000006</v>
      </c>
      <c r="DM125">
        <v>31.6</v>
      </c>
      <c r="DN125">
        <v>33.756900000000002</v>
      </c>
      <c r="DO125">
        <v>30.351900000000001</v>
      </c>
      <c r="DP125">
        <v>10.901400000000001</v>
      </c>
      <c r="DQ125">
        <v>1</v>
      </c>
      <c r="DR125">
        <v>0.24126800000000001</v>
      </c>
      <c r="DS125">
        <v>7.6202599999999995E-2</v>
      </c>
      <c r="DT125">
        <v>20.369800000000001</v>
      </c>
      <c r="DU125">
        <v>5.2122599999999997</v>
      </c>
      <c r="DV125">
        <v>11.8492</v>
      </c>
      <c r="DW125">
        <v>4.9678399999999998</v>
      </c>
      <c r="DX125">
        <v>3.2928600000000001</v>
      </c>
      <c r="DY125">
        <v>894.7</v>
      </c>
      <c r="DZ125">
        <v>0</v>
      </c>
      <c r="EA125">
        <v>3429.4</v>
      </c>
      <c r="EB125">
        <v>108.5</v>
      </c>
      <c r="EC125">
        <v>4.97159</v>
      </c>
      <c r="ED125">
        <v>1.87182</v>
      </c>
      <c r="EE125">
        <v>1.8690500000000001</v>
      </c>
      <c r="EF125">
        <v>1.8714500000000001</v>
      </c>
      <c r="EG125">
        <v>1.8691899999999999</v>
      </c>
      <c r="EH125">
        <v>1.8681300000000001</v>
      </c>
      <c r="EI125">
        <v>1.8699399999999999</v>
      </c>
      <c r="EJ125">
        <v>1.87175</v>
      </c>
      <c r="EK125">
        <v>0</v>
      </c>
      <c r="EL125">
        <v>0</v>
      </c>
      <c r="EM125">
        <v>0</v>
      </c>
      <c r="EN125">
        <v>0</v>
      </c>
      <c r="EO125" t="s">
        <v>320</v>
      </c>
      <c r="EP125" t="s">
        <v>321</v>
      </c>
      <c r="EQ125" t="s">
        <v>322</v>
      </c>
      <c r="ER125" t="s">
        <v>322</v>
      </c>
      <c r="ES125" t="s">
        <v>322</v>
      </c>
      <c r="ET125" t="s">
        <v>322</v>
      </c>
      <c r="EU125">
        <v>0</v>
      </c>
      <c r="EV125">
        <v>100</v>
      </c>
      <c r="EW125">
        <v>100</v>
      </c>
      <c r="EX125">
        <v>7.9889999999999999</v>
      </c>
      <c r="EY125">
        <v>-1.1839999999999999</v>
      </c>
      <c r="EZ125">
        <v>8.0605325000000008</v>
      </c>
      <c r="FA125">
        <v>0</v>
      </c>
      <c r="FB125">
        <v>0</v>
      </c>
      <c r="FC125">
        <v>0</v>
      </c>
      <c r="FD125">
        <v>-1.1840113809523809</v>
      </c>
      <c r="FE125">
        <v>0</v>
      </c>
      <c r="FF125">
        <v>0</v>
      </c>
      <c r="FG125">
        <v>0</v>
      </c>
      <c r="FH125">
        <v>-1</v>
      </c>
      <c r="FI125">
        <v>-1</v>
      </c>
      <c r="FJ125">
        <v>-1</v>
      </c>
      <c r="FK125">
        <v>-1</v>
      </c>
      <c r="FL125">
        <v>0.7</v>
      </c>
      <c r="FM125">
        <v>14.4</v>
      </c>
      <c r="FN125">
        <v>0.14160200000000001</v>
      </c>
      <c r="FO125">
        <v>4.99756</v>
      </c>
      <c r="FP125">
        <v>1.5979000000000001</v>
      </c>
      <c r="FQ125">
        <v>2.1484399999999999</v>
      </c>
      <c r="FR125">
        <v>1.5478499999999999</v>
      </c>
      <c r="FS125">
        <v>2.34375</v>
      </c>
      <c r="FT125">
        <v>35.405900000000003</v>
      </c>
      <c r="FU125">
        <v>14.9026</v>
      </c>
      <c r="FV125">
        <v>2</v>
      </c>
      <c r="FW125">
        <v>493.928</v>
      </c>
      <c r="FX125">
        <v>397.03</v>
      </c>
      <c r="FY125">
        <v>27.5259</v>
      </c>
      <c r="FZ125">
        <v>30.266100000000002</v>
      </c>
      <c r="GA125">
        <v>29.9999</v>
      </c>
      <c r="GB125">
        <v>30.5929</v>
      </c>
      <c r="GC125">
        <v>30.649100000000001</v>
      </c>
      <c r="GD125">
        <v>-1</v>
      </c>
      <c r="GE125">
        <v>0</v>
      </c>
      <c r="GF125">
        <v>100</v>
      </c>
      <c r="GG125">
        <v>27.5289</v>
      </c>
      <c r="GH125">
        <v>432.1</v>
      </c>
      <c r="GI125">
        <v>78.840199999999996</v>
      </c>
      <c r="GJ125">
        <v>102.154</v>
      </c>
      <c r="GK125">
        <v>96.451700000000002</v>
      </c>
    </row>
    <row r="126" spans="1:193" x14ac:dyDescent="0.35">
      <c r="A126">
        <v>110</v>
      </c>
      <c r="B126">
        <v>1775470594.5999999</v>
      </c>
      <c r="C126">
        <v>6638.5</v>
      </c>
      <c r="D126" t="s">
        <v>651</v>
      </c>
      <c r="E126" t="s">
        <v>652</v>
      </c>
      <c r="F126">
        <v>60</v>
      </c>
      <c r="G126">
        <v>1775470571.5999999</v>
      </c>
      <c r="H126">
        <f t="shared" si="54"/>
        <v>7.83554695928202E-4</v>
      </c>
      <c r="I126">
        <f>1000*AY126*AG126*(AU126-AV126)/(100*AN126*(1000-AG126*AU126))</f>
        <v>0.78355469592820204</v>
      </c>
      <c r="J126">
        <f>AY126*AG126*(AT126-AS126*(1000-AG126*AV126)/(1000-AG126*AU126))/(100*AN126)</f>
        <v>-3.1131082169852508E-2</v>
      </c>
      <c r="K126">
        <f t="shared" si="55"/>
        <v>15.815399560439561</v>
      </c>
      <c r="L126">
        <f t="shared" si="56"/>
        <v>17.219358076471419</v>
      </c>
      <c r="M126">
        <f>L126*(AZ126+BA126)/1000</f>
        <v>1.7246382499589272</v>
      </c>
      <c r="N126">
        <f>(AS126 - IF(AG126&gt;1, J126*AN126*100/(AI126), 0))*(AZ126+BA126)/1000</f>
        <v>1.5840220581502082</v>
      </c>
      <c r="O126">
        <f t="shared" si="57"/>
        <v>2.081441693219192E-2</v>
      </c>
      <c r="P126">
        <f>IF(LEFT(AP126,1)&lt;&gt;"0",IF(LEFT(AP126,1)="1",3,AQ126),$D$5+$E$5*(BG126*AZ126/($K$5*1000))+$F$5*(BG126*AZ126/($K$5*1000))*MAX(MIN(AN126,$J$5),$I$5)*MAX(MIN(AN126,$J$5),$I$5)+$G$5*MAX(MIN(AN126,$J$5),$I$5)*(BG126*AZ126/($K$5*1000))+$H$5*(BG126*AZ126/($K$5*1000))*(BG126*AZ126/($K$5*1000)))</f>
        <v>2.3909220537049913</v>
      </c>
      <c r="Q126">
        <f>H126*(1000-(1000*0.61365*EXP(17.502*U126/(240.97+U126))/(AZ126+BA126)+AU126)/2)/(1000*0.61365*EXP(17.502*U126/(240.97+U126))/(AZ126+BA126)-AU126)</f>
        <v>2.0714272090760752E-2</v>
      </c>
      <c r="R126">
        <f t="shared" si="58"/>
        <v>1.2955377402200905E-2</v>
      </c>
      <c r="S126">
        <f t="shared" si="59"/>
        <v>8.450447459999999E-2</v>
      </c>
      <c r="T126">
        <f>(BB126+(S126+2*0.95*0.0000000567*(((BB126+$B$7)+273)^4-(BB126+273)^4)-44100*H126)/(1.84*29.3*P126+8*0.95*0.0000000567*(BB126+273)^3))</f>
        <v>26.853062893377295</v>
      </c>
      <c r="U126">
        <f>($C$7*BC126+$D$7*BD126+$E$7*T126)</f>
        <v>27.22434175824176</v>
      </c>
      <c r="V126">
        <f t="shared" si="60"/>
        <v>3.6265913143001902</v>
      </c>
      <c r="W126">
        <f t="shared" si="61"/>
        <v>-2.6455234552042532</v>
      </c>
      <c r="X126">
        <f>AU126*(AZ126+BA126)/1000</f>
        <v>-9.5235686730111527E-2</v>
      </c>
      <c r="Y126">
        <f t="shared" si="62"/>
        <v>3.5998806414951501</v>
      </c>
      <c r="Z126">
        <f>(V126-AU126*(AZ126+BA126)/1000)</f>
        <v>3.7218270010303018</v>
      </c>
      <c r="AA126">
        <f t="shared" si="63"/>
        <v>-34.554762090433705</v>
      </c>
      <c r="AB126">
        <f>2*29.3*P126*0.92*(BB126-U126)</f>
        <v>-16.243731120255017</v>
      </c>
      <c r="AC126">
        <f>2*0.95*0.0000000567*(((BB126+$B$7)+273)^4-(U126+273)^4)</f>
        <v>-1.4685739986970421</v>
      </c>
      <c r="AD126">
        <f t="shared" si="64"/>
        <v>-52.182562734785762</v>
      </c>
      <c r="AE126">
        <v>16</v>
      </c>
      <c r="AF126">
        <v>3</v>
      </c>
      <c r="AG126">
        <f t="shared" si="65"/>
        <v>1</v>
      </c>
      <c r="AH126">
        <f t="shared" si="66"/>
        <v>0</v>
      </c>
      <c r="AI126">
        <f t="shared" si="67"/>
        <v>25554.142708869993</v>
      </c>
      <c r="AJ126">
        <f t="shared" si="68"/>
        <v>0.44220028571428571</v>
      </c>
      <c r="AK126">
        <f t="shared" si="69"/>
        <v>0.35376022857142858</v>
      </c>
      <c r="AL126">
        <f t="shared" si="70"/>
        <v>0.8</v>
      </c>
      <c r="AM126">
        <f t="shared" si="71"/>
        <v>0.19109999999999999</v>
      </c>
      <c r="AN126">
        <v>3</v>
      </c>
      <c r="AO126">
        <v>0.5</v>
      </c>
      <c r="AP126" t="s">
        <v>317</v>
      </c>
      <c r="AQ126">
        <v>2</v>
      </c>
      <c r="AR126">
        <v>1775470571.5999999</v>
      </c>
      <c r="AS126">
        <v>15.815399560439561</v>
      </c>
      <c r="AT126">
        <v>15.80416703296703</v>
      </c>
      <c r="AU126">
        <v>-0.95086456043956036</v>
      </c>
      <c r="AV126">
        <v>-1.420993076923077</v>
      </c>
      <c r="AW126">
        <v>7.7433995604395607</v>
      </c>
      <c r="AX126">
        <v>0.23314669010989009</v>
      </c>
      <c r="AY126">
        <v>500.48001098901102</v>
      </c>
      <c r="AZ126">
        <v>100.1099010989011</v>
      </c>
      <c r="BA126">
        <v>4.7041006593406598E-2</v>
      </c>
      <c r="BB126">
        <v>27.09832307692308</v>
      </c>
      <c r="BC126">
        <v>27.22434175824176</v>
      </c>
      <c r="BD126">
        <v>999.89999999999964</v>
      </c>
      <c r="BE126">
        <v>0</v>
      </c>
      <c r="BF126">
        <v>0</v>
      </c>
      <c r="BG126">
        <v>5001.9505494505493</v>
      </c>
      <c r="BH126">
        <v>0.44220028571428571</v>
      </c>
      <c r="BI126">
        <v>56.137232967032972</v>
      </c>
      <c r="BJ126">
        <v>-7.1810808131868131E-2</v>
      </c>
      <c r="BK126">
        <v>15.71741868131868</v>
      </c>
      <c r="BL126">
        <v>15.78173846153846</v>
      </c>
      <c r="BM126">
        <v>0.4701281059340659</v>
      </c>
      <c r="BN126">
        <v>15.80416703296703</v>
      </c>
      <c r="BO126">
        <v>-1.420993076923077</v>
      </c>
      <c r="BP126">
        <v>-9.5190869230769221E-2</v>
      </c>
      <c r="BQ126">
        <v>-0.1422554725274725</v>
      </c>
      <c r="BR126">
        <v>-99.899999999999977</v>
      </c>
      <c r="BS126">
        <v>-99.899999999999977</v>
      </c>
      <c r="BT126">
        <v>1775470611.5999999</v>
      </c>
      <c r="BU126" t="s">
        <v>653</v>
      </c>
      <c r="BV126">
        <v>1775470611.5999999</v>
      </c>
      <c r="BW126">
        <v>1775469670</v>
      </c>
      <c r="BX126">
        <v>111</v>
      </c>
      <c r="BY126">
        <v>8.3000000000000004E-2</v>
      </c>
      <c r="BZ126">
        <v>-1E-3</v>
      </c>
      <c r="CA126">
        <v>8.0719999999999992</v>
      </c>
      <c r="CB126">
        <v>-1.1839999999999999</v>
      </c>
      <c r="CC126">
        <v>19</v>
      </c>
      <c r="CD126">
        <v>-1</v>
      </c>
      <c r="CE126">
        <v>0.2</v>
      </c>
      <c r="CF126">
        <v>0.05</v>
      </c>
      <c r="CG126">
        <v>15.930268852459021</v>
      </c>
      <c r="CH126">
        <v>1.098637123215245</v>
      </c>
      <c r="CI126">
        <v>0.1799581577423692</v>
      </c>
      <c r="CJ126">
        <v>-1</v>
      </c>
      <c r="CK126">
        <v>499.99480327868838</v>
      </c>
      <c r="CL126">
        <v>7.3884717080418244E-2</v>
      </c>
      <c r="CM126">
        <v>6.0097958196713798E-2</v>
      </c>
      <c r="CN126">
        <v>-1</v>
      </c>
      <c r="CO126">
        <v>0</v>
      </c>
      <c r="CP126">
        <v>0</v>
      </c>
      <c r="CQ126" t="s">
        <v>319</v>
      </c>
      <c r="CR126">
        <v>3.16751</v>
      </c>
      <c r="CS126">
        <v>2.6668699999999999</v>
      </c>
      <c r="CT126">
        <v>2.4026500000000001E-3</v>
      </c>
      <c r="CU126">
        <v>4.79029E-3</v>
      </c>
      <c r="CV126">
        <v>2.2621400000000002E-3</v>
      </c>
      <c r="CW126">
        <v>-1.26911E-2</v>
      </c>
      <c r="CX126">
        <v>21510.1</v>
      </c>
      <c r="CY126">
        <v>21844.6</v>
      </c>
      <c r="CZ126">
        <v>23090.1</v>
      </c>
      <c r="DA126">
        <v>22303.5</v>
      </c>
      <c r="DB126">
        <v>29712.400000000001</v>
      </c>
      <c r="DC126">
        <v>26939.3</v>
      </c>
      <c r="DD126">
        <v>40587</v>
      </c>
      <c r="DE126">
        <v>36966.300000000003</v>
      </c>
      <c r="DF126">
        <v>2.0751200000000001</v>
      </c>
      <c r="DG126">
        <v>1.7801199999999999</v>
      </c>
      <c r="DH126">
        <v>1.6856199999999998E-2</v>
      </c>
      <c r="DI126">
        <v>0</v>
      </c>
      <c r="DJ126">
        <v>26.949300000000001</v>
      </c>
      <c r="DK126">
        <v>999.9</v>
      </c>
      <c r="DL126">
        <v>72.5</v>
      </c>
      <c r="DM126">
        <v>31.6</v>
      </c>
      <c r="DN126">
        <v>33.806199999999997</v>
      </c>
      <c r="DO126">
        <v>30.501899999999999</v>
      </c>
      <c r="DP126">
        <v>10.9575</v>
      </c>
      <c r="DQ126">
        <v>1</v>
      </c>
      <c r="DR126">
        <v>0.23907900000000001</v>
      </c>
      <c r="DS126">
        <v>5.1681900000000003E-2</v>
      </c>
      <c r="DT126">
        <v>20.369800000000001</v>
      </c>
      <c r="DU126">
        <v>5.2112999999999996</v>
      </c>
      <c r="DV126">
        <v>11.8498</v>
      </c>
      <c r="DW126">
        <v>4.9676799999999997</v>
      </c>
      <c r="DX126">
        <v>3.2928999999999999</v>
      </c>
      <c r="DY126">
        <v>894.7</v>
      </c>
      <c r="DZ126">
        <v>0</v>
      </c>
      <c r="EA126">
        <v>3464.9</v>
      </c>
      <c r="EB126">
        <v>108.5</v>
      </c>
      <c r="EC126">
        <v>4.9715699999999998</v>
      </c>
      <c r="ED126">
        <v>1.87181</v>
      </c>
      <c r="EE126">
        <v>1.8690500000000001</v>
      </c>
      <c r="EF126">
        <v>1.8714</v>
      </c>
      <c r="EG126">
        <v>1.8692</v>
      </c>
      <c r="EH126">
        <v>1.86808</v>
      </c>
      <c r="EI126">
        <v>1.8699399999999999</v>
      </c>
      <c r="EJ126">
        <v>1.87174</v>
      </c>
      <c r="EK126">
        <v>0</v>
      </c>
      <c r="EL126">
        <v>0</v>
      </c>
      <c r="EM126">
        <v>0</v>
      </c>
      <c r="EN126">
        <v>0</v>
      </c>
      <c r="EO126" t="s">
        <v>320</v>
      </c>
      <c r="EP126" t="s">
        <v>321</v>
      </c>
      <c r="EQ126" t="s">
        <v>322</v>
      </c>
      <c r="ER126" t="s">
        <v>322</v>
      </c>
      <c r="ES126" t="s">
        <v>322</v>
      </c>
      <c r="ET126" t="s">
        <v>322</v>
      </c>
      <c r="EU126">
        <v>0</v>
      </c>
      <c r="EV126">
        <v>100</v>
      </c>
      <c r="EW126">
        <v>100</v>
      </c>
      <c r="EX126">
        <v>8.0719999999999992</v>
      </c>
      <c r="EY126">
        <v>-1.1839999999999999</v>
      </c>
      <c r="EZ126">
        <v>7.9889545000000002</v>
      </c>
      <c r="FA126">
        <v>0</v>
      </c>
      <c r="FB126">
        <v>0</v>
      </c>
      <c r="FC126">
        <v>0</v>
      </c>
      <c r="FD126">
        <v>-1.1840113809523809</v>
      </c>
      <c r="FE126">
        <v>0</v>
      </c>
      <c r="FF126">
        <v>0</v>
      </c>
      <c r="FG126">
        <v>0</v>
      </c>
      <c r="FH126">
        <v>-1</v>
      </c>
      <c r="FI126">
        <v>-1</v>
      </c>
      <c r="FJ126">
        <v>-1</v>
      </c>
      <c r="FK126">
        <v>-1</v>
      </c>
      <c r="FL126">
        <v>0.8</v>
      </c>
      <c r="FM126">
        <v>15.4</v>
      </c>
      <c r="FN126">
        <v>0.14160200000000001</v>
      </c>
      <c r="FO126">
        <v>4.99756</v>
      </c>
      <c r="FP126">
        <v>1.5979000000000001</v>
      </c>
      <c r="FQ126">
        <v>2.1484399999999999</v>
      </c>
      <c r="FR126">
        <v>1.5478499999999999</v>
      </c>
      <c r="FS126">
        <v>2.3767100000000001</v>
      </c>
      <c r="FT126">
        <v>35.3827</v>
      </c>
      <c r="FU126">
        <v>14.893800000000001</v>
      </c>
      <c r="FV126">
        <v>2</v>
      </c>
      <c r="FW126">
        <v>494.19099999999997</v>
      </c>
      <c r="FX126">
        <v>397.27100000000002</v>
      </c>
      <c r="FY126">
        <v>27.545300000000001</v>
      </c>
      <c r="FZ126">
        <v>30.239899999999999</v>
      </c>
      <c r="GA126">
        <v>30</v>
      </c>
      <c r="GB126">
        <v>30.571100000000001</v>
      </c>
      <c r="GC126">
        <v>30.628299999999999</v>
      </c>
      <c r="GD126">
        <v>-1</v>
      </c>
      <c r="GE126">
        <v>0</v>
      </c>
      <c r="GF126">
        <v>100</v>
      </c>
      <c r="GG126">
        <v>27.5471</v>
      </c>
      <c r="GH126">
        <v>432.1</v>
      </c>
      <c r="GI126">
        <v>78.840199999999996</v>
      </c>
      <c r="GJ126">
        <v>102.157</v>
      </c>
      <c r="GK126">
        <v>96.455299999999994</v>
      </c>
    </row>
    <row r="127" spans="1:193" x14ac:dyDescent="0.35">
      <c r="A127">
        <v>111</v>
      </c>
      <c r="B127">
        <v>1775470654.5999999</v>
      </c>
      <c r="C127">
        <v>6698.5</v>
      </c>
      <c r="D127" t="s">
        <v>654</v>
      </c>
      <c r="E127" t="s">
        <v>655</v>
      </c>
      <c r="F127">
        <v>60</v>
      </c>
      <c r="G127">
        <v>1775470633.0999999</v>
      </c>
      <c r="H127">
        <f t="shared" si="54"/>
        <v>7.915383274603898E-4</v>
      </c>
      <c r="I127">
        <f>1000*AY127*AG127*(AU127-AV127)/(100*AN127*(1000-AG127*AU127))</f>
        <v>0.79153832746038977</v>
      </c>
      <c r="J127">
        <f>AY127*AG127*(AT127-AS127*(1000-AG127*AV127)/(1000-AG127*AU127))/(100*AN127)</f>
        <v>-0.68376706793629871</v>
      </c>
      <c r="K127">
        <f t="shared" si="55"/>
        <v>17.200092352941169</v>
      </c>
      <c r="L127">
        <f t="shared" si="56"/>
        <v>66.903743438512464</v>
      </c>
      <c r="M127">
        <f>L127*(AZ127+BA127)/1000</f>
        <v>6.7010666408559052</v>
      </c>
      <c r="N127">
        <f>(AS127 - IF(AG127&gt;1, J127*AN127*100/(AI127), 0))*(AZ127+BA127)/1000</f>
        <v>1.7227580873985471</v>
      </c>
      <c r="O127">
        <f t="shared" si="57"/>
        <v>2.1027133365372923E-2</v>
      </c>
      <c r="P127">
        <f>IF(LEFT(AP127,1)&lt;&gt;"0",IF(LEFT(AP127,1)="1",3,AQ127),$D$5+$E$5*(BG127*AZ127/($K$5*1000))+$F$5*(BG127*AZ127/($K$5*1000))*MAX(MIN(AN127,$J$5),$I$5)*MAX(MIN(AN127,$J$5),$I$5)+$G$5*MAX(MIN(AN127,$J$5),$I$5)*(BG127*AZ127/($K$5*1000))+$H$5*(BG127*AZ127/($K$5*1000))*(BG127*AZ127/($K$5*1000)))</f>
        <v>2.3895602613775355</v>
      </c>
      <c r="Q127">
        <f>H127*(1000-(1000*0.61365*EXP(17.502*U127/(240.97+U127))/(AZ127+BA127)+AU127)/2)/(1000*0.61365*EXP(17.502*U127/(240.97+U127))/(AZ127+BA127)-AU127)</f>
        <v>2.092487865935292E-2</v>
      </c>
      <c r="R127">
        <f t="shared" si="58"/>
        <v>1.3087194782908911E-2</v>
      </c>
      <c r="S127">
        <f t="shared" si="59"/>
        <v>8.4641317295294088E-2</v>
      </c>
      <c r="T127">
        <f>(BB127+(S127+2*0.95*0.0000000567*(((BB127+$B$7)+273)^4-(BB127+273)^4)-44100*H127)/(1.84*29.3*P127+8*0.95*0.0000000567*(BB127+273)^3))</f>
        <v>26.853030281375265</v>
      </c>
      <c r="U127">
        <f>($C$7*BC127+$D$7*BD127+$E$7*T127)</f>
        <v>27.223943529411759</v>
      </c>
      <c r="V127">
        <f t="shared" si="60"/>
        <v>3.6265066347925021</v>
      </c>
      <c r="W127">
        <f t="shared" si="61"/>
        <v>-2.6529108605503526</v>
      </c>
      <c r="X127">
        <f>AU127*(AZ127+BA127)/1000</f>
        <v>-9.5516200837778342E-2</v>
      </c>
      <c r="Y127">
        <f t="shared" si="62"/>
        <v>3.6004300882526934</v>
      </c>
      <c r="Z127">
        <f>(V127-AU127*(AZ127+BA127)/1000)</f>
        <v>3.7220228356302805</v>
      </c>
      <c r="AA127">
        <f t="shared" si="63"/>
        <v>-34.906840241003188</v>
      </c>
      <c r="AB127">
        <f>2*29.3*P127*0.92*(BB127-U127)</f>
        <v>-15.84817117525534</v>
      </c>
      <c r="AC127">
        <f>2*0.95*0.0000000567*(((BB127+$B$7)+273)^4-(U127+273)^4)</f>
        <v>-1.4336442764297568</v>
      </c>
      <c r="AD127">
        <f t="shared" si="64"/>
        <v>-52.104014375392985</v>
      </c>
      <c r="AE127">
        <v>16</v>
      </c>
      <c r="AF127">
        <v>3</v>
      </c>
      <c r="AG127">
        <f t="shared" si="65"/>
        <v>1</v>
      </c>
      <c r="AH127">
        <f t="shared" si="66"/>
        <v>0</v>
      </c>
      <c r="AI127">
        <f t="shared" si="67"/>
        <v>25533.099202734804</v>
      </c>
      <c r="AJ127">
        <f t="shared" si="68"/>
        <v>0.44291636470588219</v>
      </c>
      <c r="AK127">
        <f t="shared" si="69"/>
        <v>0.35433309176470579</v>
      </c>
      <c r="AL127">
        <f t="shared" si="70"/>
        <v>0.8</v>
      </c>
      <c r="AM127">
        <f t="shared" si="71"/>
        <v>0.19109999999999999</v>
      </c>
      <c r="AN127">
        <v>3</v>
      </c>
      <c r="AO127">
        <v>0.5</v>
      </c>
      <c r="AP127" t="s">
        <v>317</v>
      </c>
      <c r="AQ127">
        <v>2</v>
      </c>
      <c r="AR127">
        <v>1775470633.0999999</v>
      </c>
      <c r="AS127">
        <v>17.200092352941169</v>
      </c>
      <c r="AT127">
        <v>16.79841764705882</v>
      </c>
      <c r="AU127">
        <v>-0.95363794117647038</v>
      </c>
      <c r="AV127">
        <v>-1.4285210588235291</v>
      </c>
      <c r="AW127">
        <v>9.1640923529411733</v>
      </c>
      <c r="AX127">
        <v>0.23037324588235289</v>
      </c>
      <c r="AY127">
        <v>500.51884705882338</v>
      </c>
      <c r="AZ127">
        <v>100.1126588235294</v>
      </c>
      <c r="BA127">
        <v>4.7157301176470587E-2</v>
      </c>
      <c r="BB127">
        <v>27.100923529411769</v>
      </c>
      <c r="BC127">
        <v>27.223943529411759</v>
      </c>
      <c r="BD127">
        <v>999.89999999999952</v>
      </c>
      <c r="BE127">
        <v>0</v>
      </c>
      <c r="BF127">
        <v>0</v>
      </c>
      <c r="BG127">
        <v>4998.3058823529409</v>
      </c>
      <c r="BH127">
        <v>0.44291636470588219</v>
      </c>
      <c r="BI127">
        <v>54.350184705882342</v>
      </c>
      <c r="BJ127">
        <v>0.4378077149411766</v>
      </c>
      <c r="BK127">
        <v>17.21974941176471</v>
      </c>
      <c r="BL127">
        <v>16.774455294117651</v>
      </c>
      <c r="BM127">
        <v>0.47488292494117651</v>
      </c>
      <c r="BN127">
        <v>16.79841764705882</v>
      </c>
      <c r="BO127">
        <v>-1.4285210588235291</v>
      </c>
      <c r="BP127">
        <v>-9.5471300000000009E-2</v>
      </c>
      <c r="BQ127">
        <v>-0.14301308235294119</v>
      </c>
      <c r="BR127">
        <v>-99.899999999999977</v>
      </c>
      <c r="BS127">
        <v>-99.899999999999977</v>
      </c>
      <c r="BT127">
        <v>1775470670.5999999</v>
      </c>
      <c r="BU127" t="s">
        <v>656</v>
      </c>
      <c r="BV127">
        <v>1775470670.5999999</v>
      </c>
      <c r="BW127">
        <v>1775469670</v>
      </c>
      <c r="BX127">
        <v>112</v>
      </c>
      <c r="BY127">
        <v>-3.5999999999999997E-2</v>
      </c>
      <c r="BZ127">
        <v>-1E-3</v>
      </c>
      <c r="CA127">
        <v>8.0359999999999996</v>
      </c>
      <c r="CB127">
        <v>-1.1839999999999999</v>
      </c>
      <c r="CC127">
        <v>16</v>
      </c>
      <c r="CD127">
        <v>-1</v>
      </c>
      <c r="CE127">
        <v>0.24</v>
      </c>
      <c r="CF127">
        <v>0.05</v>
      </c>
      <c r="CG127">
        <v>16.309998333333329</v>
      </c>
      <c r="CH127">
        <v>-1.3488010002778481</v>
      </c>
      <c r="CI127">
        <v>0.23358345082051959</v>
      </c>
      <c r="CJ127">
        <v>-1</v>
      </c>
      <c r="CK127">
        <v>499.9956499999999</v>
      </c>
      <c r="CL127">
        <v>1.223673242723877E-3</v>
      </c>
      <c r="CM127">
        <v>8.565742330158492E-2</v>
      </c>
      <c r="CN127">
        <v>-1</v>
      </c>
      <c r="CO127">
        <v>0</v>
      </c>
      <c r="CP127">
        <v>0</v>
      </c>
      <c r="CQ127" t="s">
        <v>319</v>
      </c>
      <c r="CR127">
        <v>3.16751</v>
      </c>
      <c r="CS127">
        <v>2.66696</v>
      </c>
      <c r="CT127">
        <v>2.4527500000000001E-3</v>
      </c>
      <c r="CU127">
        <v>4.84666E-3</v>
      </c>
      <c r="CV127">
        <v>2.25501E-3</v>
      </c>
      <c r="CW127">
        <v>-1.2630000000000001E-2</v>
      </c>
      <c r="CX127">
        <v>21509.599999999999</v>
      </c>
      <c r="CY127">
        <v>21843.9</v>
      </c>
      <c r="CZ127">
        <v>23090.7</v>
      </c>
      <c r="DA127">
        <v>22304</v>
      </c>
      <c r="DB127">
        <v>29713.3</v>
      </c>
      <c r="DC127">
        <v>26938.3</v>
      </c>
      <c r="DD127">
        <v>40587.9</v>
      </c>
      <c r="DE127">
        <v>36967.199999999997</v>
      </c>
      <c r="DF127">
        <v>2.0752999999999999</v>
      </c>
      <c r="DG127">
        <v>1.78054</v>
      </c>
      <c r="DH127">
        <v>1.6385299999999998E-2</v>
      </c>
      <c r="DI127">
        <v>0</v>
      </c>
      <c r="DJ127">
        <v>26.951699999999999</v>
      </c>
      <c r="DK127">
        <v>999.9</v>
      </c>
      <c r="DL127">
        <v>72.5</v>
      </c>
      <c r="DM127">
        <v>31.6</v>
      </c>
      <c r="DN127">
        <v>33.807200000000002</v>
      </c>
      <c r="DO127">
        <v>30.411899999999999</v>
      </c>
      <c r="DP127">
        <v>11.009600000000001</v>
      </c>
      <c r="DQ127">
        <v>1</v>
      </c>
      <c r="DR127">
        <v>0.237596</v>
      </c>
      <c r="DS127">
        <v>7.0287600000000006E-2</v>
      </c>
      <c r="DT127">
        <v>20.369800000000001</v>
      </c>
      <c r="DU127">
        <v>5.2120199999999999</v>
      </c>
      <c r="DV127">
        <v>11.8489</v>
      </c>
      <c r="DW127">
        <v>4.9678399999999998</v>
      </c>
      <c r="DX127">
        <v>3.2928999999999999</v>
      </c>
      <c r="DY127">
        <v>894.7</v>
      </c>
      <c r="DZ127">
        <v>0</v>
      </c>
      <c r="EA127">
        <v>3494.1</v>
      </c>
      <c r="EB127">
        <v>108.5</v>
      </c>
      <c r="EC127">
        <v>4.9715800000000003</v>
      </c>
      <c r="ED127">
        <v>1.8717999999999999</v>
      </c>
      <c r="EE127">
        <v>1.86904</v>
      </c>
      <c r="EF127">
        <v>1.87141</v>
      </c>
      <c r="EG127">
        <v>1.86917</v>
      </c>
      <c r="EH127">
        <v>1.8681099999999999</v>
      </c>
      <c r="EI127">
        <v>1.86992</v>
      </c>
      <c r="EJ127">
        <v>1.8717200000000001</v>
      </c>
      <c r="EK127">
        <v>0</v>
      </c>
      <c r="EL127">
        <v>0</v>
      </c>
      <c r="EM127">
        <v>0</v>
      </c>
      <c r="EN127">
        <v>0</v>
      </c>
      <c r="EO127" t="s">
        <v>320</v>
      </c>
      <c r="EP127" t="s">
        <v>321</v>
      </c>
      <c r="EQ127" t="s">
        <v>322</v>
      </c>
      <c r="ER127" t="s">
        <v>322</v>
      </c>
      <c r="ES127" t="s">
        <v>322</v>
      </c>
      <c r="ET127" t="s">
        <v>322</v>
      </c>
      <c r="EU127">
        <v>0</v>
      </c>
      <c r="EV127">
        <v>100</v>
      </c>
      <c r="EW127">
        <v>100</v>
      </c>
      <c r="EX127">
        <v>8.0359999999999996</v>
      </c>
      <c r="EY127">
        <v>-1.1839999999999999</v>
      </c>
      <c r="EZ127">
        <v>8.0721350000000012</v>
      </c>
      <c r="FA127">
        <v>0</v>
      </c>
      <c r="FB127">
        <v>0</v>
      </c>
      <c r="FC127">
        <v>0</v>
      </c>
      <c r="FD127">
        <v>-1.1840113809523809</v>
      </c>
      <c r="FE127">
        <v>0</v>
      </c>
      <c r="FF127">
        <v>0</v>
      </c>
      <c r="FG127">
        <v>0</v>
      </c>
      <c r="FH127">
        <v>-1</v>
      </c>
      <c r="FI127">
        <v>-1</v>
      </c>
      <c r="FJ127">
        <v>-1</v>
      </c>
      <c r="FK127">
        <v>-1</v>
      </c>
      <c r="FL127">
        <v>0.7</v>
      </c>
      <c r="FM127">
        <v>16.399999999999999</v>
      </c>
      <c r="FN127">
        <v>0.14160200000000001</v>
      </c>
      <c r="FO127">
        <v>4.99756</v>
      </c>
      <c r="FP127">
        <v>1.5979000000000001</v>
      </c>
      <c r="FQ127">
        <v>2.1484399999999999</v>
      </c>
      <c r="FR127">
        <v>1.5478499999999999</v>
      </c>
      <c r="FS127">
        <v>2.4450699999999999</v>
      </c>
      <c r="FT127">
        <v>35.336500000000001</v>
      </c>
      <c r="FU127">
        <v>14.893800000000001</v>
      </c>
      <c r="FV127">
        <v>2</v>
      </c>
      <c r="FW127">
        <v>494.137</v>
      </c>
      <c r="FX127">
        <v>397.38299999999998</v>
      </c>
      <c r="FY127">
        <v>27.527999999999999</v>
      </c>
      <c r="FZ127">
        <v>30.217600000000001</v>
      </c>
      <c r="GA127">
        <v>29.9999</v>
      </c>
      <c r="GB127">
        <v>30.5503</v>
      </c>
      <c r="GC127">
        <v>30.608599999999999</v>
      </c>
      <c r="GD127">
        <v>-1</v>
      </c>
      <c r="GE127">
        <v>0</v>
      </c>
      <c r="GF127">
        <v>100</v>
      </c>
      <c r="GG127">
        <v>27.527000000000001</v>
      </c>
      <c r="GH127">
        <v>432.1</v>
      </c>
      <c r="GI127">
        <v>78.840199999999996</v>
      </c>
      <c r="GJ127">
        <v>102.16</v>
      </c>
      <c r="GK127">
        <v>96.457499999999996</v>
      </c>
    </row>
    <row r="128" spans="1:193" x14ac:dyDescent="0.35">
      <c r="A128">
        <v>112</v>
      </c>
      <c r="B128">
        <v>1775470714.5999999</v>
      </c>
      <c r="C128">
        <v>6758.5</v>
      </c>
      <c r="D128" t="s">
        <v>657</v>
      </c>
      <c r="E128" t="s">
        <v>658</v>
      </c>
      <c r="F128">
        <v>60</v>
      </c>
      <c r="G128">
        <v>1775470692.1624999</v>
      </c>
      <c r="H128">
        <f t="shared" si="54"/>
        <v>7.7288518826241408E-4</v>
      </c>
      <c r="I128">
        <f>1000*AY128*AG128*(AU128-AV128)/(100*AN128*(1000-AG128*AU128))</f>
        <v>0.77288518826241404</v>
      </c>
      <c r="J128">
        <f>AY128*AG128*(AT128-AS128*(1000-AG128*AV128)/(1000-AG128*AU128))/(100*AN128)</f>
        <v>-2.2930789761258973E-2</v>
      </c>
      <c r="K128">
        <f t="shared" si="55"/>
        <v>16.307826136363641</v>
      </c>
      <c r="L128">
        <f t="shared" si="56"/>
        <v>17.092230960500462</v>
      </c>
      <c r="M128">
        <f>L128*(AZ128+BA128)/1000</f>
        <v>1.7119782876981442</v>
      </c>
      <c r="N128">
        <f>(AS128 - IF(AG128&gt;1, J128*AN128*100/(AI128), 0))*(AZ128+BA128)/1000</f>
        <v>1.6334113627138469</v>
      </c>
      <c r="O128">
        <f t="shared" si="57"/>
        <v>2.0529232797234582E-2</v>
      </c>
      <c r="P128">
        <f>IF(LEFT(AP128,1)&lt;&gt;"0",IF(LEFT(AP128,1)="1",3,AQ128),$D$5+$E$5*(BG128*AZ128/($K$5*1000))+$F$5*(BG128*AZ128/($K$5*1000))*MAX(MIN(AN128,$J$5),$I$5)*MAX(MIN(AN128,$J$5),$I$5)+$G$5*MAX(MIN(AN128,$J$5),$I$5)*(BG128*AZ128/($K$5*1000))+$H$5*(BG128*AZ128/($K$5*1000))*(BG128*AZ128/($K$5*1000)))</f>
        <v>2.3905973943464458</v>
      </c>
      <c r="Q128">
        <f>H128*(1000-(1000*0.61365*EXP(17.502*U128/(240.97+U128))/(AZ128+BA128)+AU128)/2)/(1000*0.61365*EXP(17.502*U128/(240.97+U128))/(AZ128+BA128)-AU128)</f>
        <v>2.0431793284848197E-2</v>
      </c>
      <c r="R128">
        <f t="shared" si="58"/>
        <v>1.2778586699344438E-2</v>
      </c>
      <c r="S128">
        <f t="shared" si="59"/>
        <v>8.0945404002272736E-2</v>
      </c>
      <c r="T128">
        <f>(BB128+(S128+2*0.95*0.0000000567*(((BB128+$B$7)+273)^4-(BB128+273)^4)-44100*H128)/(1.84*29.3*P128+8*0.95*0.0000000567*(BB128+273)^3))</f>
        <v>26.858139381344145</v>
      </c>
      <c r="U128">
        <f>($C$7*BC128+$D$7*BD128+$E$7*T128)</f>
        <v>27.22383409090909</v>
      </c>
      <c r="V128">
        <f t="shared" si="60"/>
        <v>3.626483364056067</v>
      </c>
      <c r="W128">
        <f t="shared" si="61"/>
        <v>-2.6550647475967315</v>
      </c>
      <c r="X128">
        <f>AU128*(AZ128+BA128)/1000</f>
        <v>-9.558916819234306E-2</v>
      </c>
      <c r="Y128">
        <f t="shared" si="62"/>
        <v>3.6002575183474121</v>
      </c>
      <c r="Z128">
        <f>(V128-AU128*(AZ128+BA128)/1000)</f>
        <v>3.7220725322484101</v>
      </c>
      <c r="AA128">
        <f t="shared" si="63"/>
        <v>-34.084236802372459</v>
      </c>
      <c r="AB128">
        <f>2*29.3*P128*0.92*(BB128-U128)</f>
        <v>-15.946204348306019</v>
      </c>
      <c r="AC128">
        <f>2*0.95*0.0000000567*(((BB128+$B$7)+273)^4-(U128+273)^4)</f>
        <v>-1.4418799830034577</v>
      </c>
      <c r="AD128">
        <f t="shared" si="64"/>
        <v>-51.391375729679659</v>
      </c>
      <c r="AE128">
        <v>17</v>
      </c>
      <c r="AF128">
        <v>3</v>
      </c>
      <c r="AG128">
        <f t="shared" si="65"/>
        <v>1</v>
      </c>
      <c r="AH128">
        <f t="shared" si="66"/>
        <v>0</v>
      </c>
      <c r="AI128">
        <f t="shared" si="67"/>
        <v>25548.880013715163</v>
      </c>
      <c r="AJ128">
        <f t="shared" si="68"/>
        <v>0.42357615909090912</v>
      </c>
      <c r="AK128">
        <f t="shared" si="69"/>
        <v>0.33886092727272732</v>
      </c>
      <c r="AL128">
        <f t="shared" si="70"/>
        <v>0.8</v>
      </c>
      <c r="AM128">
        <f t="shared" si="71"/>
        <v>0.19109999999999999</v>
      </c>
      <c r="AN128">
        <v>3</v>
      </c>
      <c r="AO128">
        <v>0.5</v>
      </c>
      <c r="AP128" t="s">
        <v>317</v>
      </c>
      <c r="AQ128">
        <v>2</v>
      </c>
      <c r="AR128">
        <v>1775470692.1624999</v>
      </c>
      <c r="AS128">
        <v>16.307826136363641</v>
      </c>
      <c r="AT128">
        <v>16.301636363636359</v>
      </c>
      <c r="AU128">
        <v>-0.95435330681818165</v>
      </c>
      <c r="AV128">
        <v>-1.418058409090909</v>
      </c>
      <c r="AW128">
        <v>8.2688261363636357</v>
      </c>
      <c r="AX128">
        <v>0.22965804886363639</v>
      </c>
      <c r="AY128">
        <v>500.50524999999999</v>
      </c>
      <c r="AZ128">
        <v>100.11423863636369</v>
      </c>
      <c r="BA128">
        <v>4.6956918181818179E-2</v>
      </c>
      <c r="BB128">
        <v>27.100106818181821</v>
      </c>
      <c r="BC128">
        <v>27.22383409090909</v>
      </c>
      <c r="BD128">
        <v>999.89999999999975</v>
      </c>
      <c r="BE128">
        <v>0</v>
      </c>
      <c r="BF128">
        <v>0</v>
      </c>
      <c r="BG128">
        <v>5000.897727272727</v>
      </c>
      <c r="BH128">
        <v>0.42357615909090912</v>
      </c>
      <c r="BI128">
        <v>52.445980681818178</v>
      </c>
      <c r="BJ128">
        <v>3.7786955795454549E-3</v>
      </c>
      <c r="BK128">
        <v>16.289874999999999</v>
      </c>
      <c r="BL128">
        <v>16.278556818181819</v>
      </c>
      <c r="BM128">
        <v>0.46370491795454549</v>
      </c>
      <c r="BN128">
        <v>16.301636363636359</v>
      </c>
      <c r="BO128">
        <v>-1.418058409090909</v>
      </c>
      <c r="BP128">
        <v>-9.5544367045454534E-2</v>
      </c>
      <c r="BQ128">
        <v>-0.14196788636363639</v>
      </c>
      <c r="BR128">
        <v>-99.899999999999991</v>
      </c>
      <c r="BS128">
        <v>-99.899999999999991</v>
      </c>
      <c r="BT128">
        <v>1775470730.5999999</v>
      </c>
      <c r="BU128" t="s">
        <v>659</v>
      </c>
      <c r="BV128">
        <v>1775470730.5999999</v>
      </c>
      <c r="BW128">
        <v>1775469670</v>
      </c>
      <c r="BX128">
        <v>113</v>
      </c>
      <c r="BY128">
        <v>3.0000000000000001E-3</v>
      </c>
      <c r="BZ128">
        <v>-1E-3</v>
      </c>
      <c r="CA128">
        <v>8.0389999999999997</v>
      </c>
      <c r="CB128">
        <v>-1.1839999999999999</v>
      </c>
      <c r="CC128">
        <v>17</v>
      </c>
      <c r="CD128">
        <v>-1</v>
      </c>
      <c r="CE128">
        <v>0.19</v>
      </c>
      <c r="CF128">
        <v>0.05</v>
      </c>
      <c r="CG128">
        <v>16.323250000000002</v>
      </c>
      <c r="CH128">
        <v>0.6249202556265856</v>
      </c>
      <c r="CI128">
        <v>0.10108113490327141</v>
      </c>
      <c r="CJ128">
        <v>-1</v>
      </c>
      <c r="CK128">
        <v>499.99593333333343</v>
      </c>
      <c r="CL128">
        <v>5.1694359544754119E-2</v>
      </c>
      <c r="CM128">
        <v>5.6311297465270083E-2</v>
      </c>
      <c r="CN128">
        <v>-1</v>
      </c>
      <c r="CO128">
        <v>0</v>
      </c>
      <c r="CP128">
        <v>0</v>
      </c>
      <c r="CQ128" t="s">
        <v>319</v>
      </c>
      <c r="CR128">
        <v>3.1675599999999999</v>
      </c>
      <c r="CS128">
        <v>2.6669200000000002</v>
      </c>
      <c r="CT128">
        <v>2.51075E-3</v>
      </c>
      <c r="CU128">
        <v>4.9270800000000003E-3</v>
      </c>
      <c r="CV128">
        <v>2.2216599999999999E-3</v>
      </c>
      <c r="CW128">
        <v>-1.2657099999999999E-2</v>
      </c>
      <c r="CX128">
        <v>21508.7</v>
      </c>
      <c r="CY128">
        <v>21842.5</v>
      </c>
      <c r="CZ128">
        <v>23091</v>
      </c>
      <c r="DA128">
        <v>22304.3</v>
      </c>
      <c r="DB128">
        <v>29714.6</v>
      </c>
      <c r="DC128">
        <v>26939.3</v>
      </c>
      <c r="DD128">
        <v>40588.300000000003</v>
      </c>
      <c r="DE128">
        <v>36967.5</v>
      </c>
      <c r="DF128">
        <v>2.0753599999999999</v>
      </c>
      <c r="DG128">
        <v>1.7810999999999999</v>
      </c>
      <c r="DH128">
        <v>1.5652200000000002E-2</v>
      </c>
      <c r="DI128">
        <v>0</v>
      </c>
      <c r="DJ128">
        <v>26.960699999999999</v>
      </c>
      <c r="DK128">
        <v>999.9</v>
      </c>
      <c r="DL128">
        <v>72.599999999999994</v>
      </c>
      <c r="DM128">
        <v>31.5</v>
      </c>
      <c r="DN128">
        <v>33.660299999999999</v>
      </c>
      <c r="DO128">
        <v>30.5319</v>
      </c>
      <c r="DP128">
        <v>10.777200000000001</v>
      </c>
      <c r="DQ128">
        <v>1</v>
      </c>
      <c r="DR128">
        <v>0.23596300000000001</v>
      </c>
      <c r="DS128">
        <v>6.9137299999999999E-2</v>
      </c>
      <c r="DT128">
        <v>20.369800000000001</v>
      </c>
      <c r="DU128">
        <v>5.2129799999999999</v>
      </c>
      <c r="DV128">
        <v>11.848699999999999</v>
      </c>
      <c r="DW128">
        <v>4.9676799999999997</v>
      </c>
      <c r="DX128">
        <v>3.2928600000000001</v>
      </c>
      <c r="DY128">
        <v>894.7</v>
      </c>
      <c r="DZ128">
        <v>0</v>
      </c>
      <c r="EA128">
        <v>3530.1</v>
      </c>
      <c r="EB128">
        <v>108.5</v>
      </c>
      <c r="EC128">
        <v>4.9715800000000003</v>
      </c>
      <c r="ED128">
        <v>1.87181</v>
      </c>
      <c r="EE128">
        <v>1.86903</v>
      </c>
      <c r="EF128">
        <v>1.8713900000000001</v>
      </c>
      <c r="EG128">
        <v>1.8691899999999999</v>
      </c>
      <c r="EH128">
        <v>1.8681300000000001</v>
      </c>
      <c r="EI128">
        <v>1.8699300000000001</v>
      </c>
      <c r="EJ128">
        <v>1.87174</v>
      </c>
      <c r="EK128">
        <v>0</v>
      </c>
      <c r="EL128">
        <v>0</v>
      </c>
      <c r="EM128">
        <v>0</v>
      </c>
      <c r="EN128">
        <v>0</v>
      </c>
      <c r="EO128" t="s">
        <v>320</v>
      </c>
      <c r="EP128" t="s">
        <v>321</v>
      </c>
      <c r="EQ128" t="s">
        <v>322</v>
      </c>
      <c r="ER128" t="s">
        <v>322</v>
      </c>
      <c r="ES128" t="s">
        <v>322</v>
      </c>
      <c r="ET128" t="s">
        <v>322</v>
      </c>
      <c r="EU128">
        <v>0</v>
      </c>
      <c r="EV128">
        <v>100</v>
      </c>
      <c r="EW128">
        <v>100</v>
      </c>
      <c r="EX128">
        <v>8.0389999999999997</v>
      </c>
      <c r="EY128">
        <v>-1.1839999999999999</v>
      </c>
      <c r="EZ128">
        <v>8.0361815000000014</v>
      </c>
      <c r="FA128">
        <v>0</v>
      </c>
      <c r="FB128">
        <v>0</v>
      </c>
      <c r="FC128">
        <v>0</v>
      </c>
      <c r="FD128">
        <v>-1.1840113809523809</v>
      </c>
      <c r="FE128">
        <v>0</v>
      </c>
      <c r="FF128">
        <v>0</v>
      </c>
      <c r="FG128">
        <v>0</v>
      </c>
      <c r="FH128">
        <v>-1</v>
      </c>
      <c r="FI128">
        <v>-1</v>
      </c>
      <c r="FJ128">
        <v>-1</v>
      </c>
      <c r="FK128">
        <v>-1</v>
      </c>
      <c r="FL128">
        <v>0.7</v>
      </c>
      <c r="FM128">
        <v>17.399999999999999</v>
      </c>
      <c r="FN128">
        <v>0.14160200000000001</v>
      </c>
      <c r="FO128">
        <v>4.99756</v>
      </c>
      <c r="FP128">
        <v>1.5979000000000001</v>
      </c>
      <c r="FQ128">
        <v>2.1484399999999999</v>
      </c>
      <c r="FR128">
        <v>1.5478499999999999</v>
      </c>
      <c r="FS128">
        <v>2.4511699999999998</v>
      </c>
      <c r="FT128">
        <v>35.313299999999998</v>
      </c>
      <c r="FU128">
        <v>14.885</v>
      </c>
      <c r="FV128">
        <v>2</v>
      </c>
      <c r="FW128">
        <v>494.03199999999998</v>
      </c>
      <c r="FX128">
        <v>397.58699999999999</v>
      </c>
      <c r="FY128">
        <v>27.520900000000001</v>
      </c>
      <c r="FZ128">
        <v>30.199300000000001</v>
      </c>
      <c r="GA128">
        <v>29.9999</v>
      </c>
      <c r="GB128">
        <v>30.5319</v>
      </c>
      <c r="GC128">
        <v>30.590800000000002</v>
      </c>
      <c r="GD128">
        <v>-1</v>
      </c>
      <c r="GE128">
        <v>0</v>
      </c>
      <c r="GF128">
        <v>100</v>
      </c>
      <c r="GG128">
        <v>27.521699999999999</v>
      </c>
      <c r="GH128">
        <v>432.1</v>
      </c>
      <c r="GI128">
        <v>78.840199999999996</v>
      </c>
      <c r="GJ128">
        <v>102.161</v>
      </c>
      <c r="GK128">
        <v>96.458500000000001</v>
      </c>
    </row>
    <row r="129" spans="1:193" x14ac:dyDescent="0.35">
      <c r="A129">
        <v>113</v>
      </c>
      <c r="B129">
        <v>1775470774.5999999</v>
      </c>
      <c r="C129">
        <v>6818.5</v>
      </c>
      <c r="D129" t="s">
        <v>660</v>
      </c>
      <c r="E129" t="s">
        <v>661</v>
      </c>
      <c r="F129">
        <v>60</v>
      </c>
      <c r="G129">
        <v>1775470752.5999999</v>
      </c>
      <c r="H129">
        <f t="shared" si="54"/>
        <v>7.6664278409052417E-4</v>
      </c>
      <c r="I129">
        <f>1000*AY129*AG129*(AU129-AV129)/(100*AN129*(1000-AG129*AU129))</f>
        <v>0.76664278409052422</v>
      </c>
      <c r="J129">
        <f>AY129*AG129*(AT129-AS129*(1000-AG129*AV129)/(1000-AG129*AU129))/(100*AN129)</f>
        <v>-0.16021428840049654</v>
      </c>
      <c r="K129">
        <f t="shared" si="55"/>
        <v>16.408924252873561</v>
      </c>
      <c r="L129">
        <f t="shared" si="56"/>
        <v>27.71482207761915</v>
      </c>
      <c r="M129">
        <f>L129*(AZ129+BA129)/1000</f>
        <v>2.776022919633121</v>
      </c>
      <c r="N129">
        <f>(AS129 - IF(AG129&gt;1, J129*AN129*100/(AI129), 0))*(AZ129+BA129)/1000</f>
        <v>1.6435808133614369</v>
      </c>
      <c r="O129">
        <f t="shared" si="57"/>
        <v>2.0361908726644735E-2</v>
      </c>
      <c r="P129">
        <f>IF(LEFT(AP129,1)&lt;&gt;"0",IF(LEFT(AP129,1)="1",3,AQ129),$D$5+$E$5*(BG129*AZ129/($K$5*1000))+$F$5*(BG129*AZ129/($K$5*1000))*MAX(MIN(AN129,$J$5),$I$5)*MAX(MIN(AN129,$J$5),$I$5)+$G$5*MAX(MIN(AN129,$J$5),$I$5)*(BG129*AZ129/($K$5*1000))+$H$5*(BG129*AZ129/($K$5*1000))*(BG129*AZ129/($K$5*1000)))</f>
        <v>2.3910218426148049</v>
      </c>
      <c r="Q129">
        <f>H129*(1000-(1000*0.61365*EXP(17.502*U129/(240.97+U129))/(AZ129+BA129)+AU129)/2)/(1000*0.61365*EXP(17.502*U129/(240.97+U129))/(AZ129+BA129)-AU129)</f>
        <v>2.0266064035581486E-2</v>
      </c>
      <c r="R129">
        <f t="shared" si="58"/>
        <v>1.2674863576176419E-2</v>
      </c>
      <c r="S129">
        <f t="shared" si="59"/>
        <v>8.4510451731034456E-2</v>
      </c>
      <c r="T129">
        <f>(BB129+(S129+2*0.95*0.0000000567*(((BB129+$B$7)+273)^4-(BB129+273)^4)-44100*H129)/(1.84*29.3*P129+8*0.95*0.0000000567*(BB129+273)^3))</f>
        <v>26.862403538841171</v>
      </c>
      <c r="U129">
        <f>($C$7*BC129+$D$7*BD129+$E$7*T129)</f>
        <v>27.227522988505751</v>
      </c>
      <c r="V129">
        <f t="shared" si="60"/>
        <v>3.627267834098129</v>
      </c>
      <c r="W129">
        <f t="shared" si="61"/>
        <v>-2.6385916791582638</v>
      </c>
      <c r="X129">
        <f>AU129*(AZ129+BA129)/1000</f>
        <v>-9.5008586167286455E-2</v>
      </c>
      <c r="Y129">
        <f t="shared" si="62"/>
        <v>3.6007309095128774</v>
      </c>
      <c r="Z129">
        <f>(V129-AU129*(AZ129+BA129)/1000)</f>
        <v>3.7222764202654153</v>
      </c>
      <c r="AA129">
        <f t="shared" si="63"/>
        <v>-33.808946778392112</v>
      </c>
      <c r="AB129">
        <f>2*29.3*P129*0.92*(BB129-U129)</f>
        <v>-16.135765656859618</v>
      </c>
      <c r="AC129">
        <f>2*0.95*0.0000000567*(((BB129+$B$7)+273)^4-(U129+273)^4)</f>
        <v>-1.4588046273811592</v>
      </c>
      <c r="AD129">
        <f t="shared" si="64"/>
        <v>-51.319006610901859</v>
      </c>
      <c r="AE129">
        <v>17</v>
      </c>
      <c r="AF129">
        <v>3</v>
      </c>
      <c r="AG129">
        <f t="shared" si="65"/>
        <v>1</v>
      </c>
      <c r="AH129">
        <f t="shared" si="66"/>
        <v>0</v>
      </c>
      <c r="AI129">
        <f t="shared" si="67"/>
        <v>25555.033381386609</v>
      </c>
      <c r="AJ129">
        <f t="shared" si="68"/>
        <v>0.44223156321839069</v>
      </c>
      <c r="AK129">
        <f t="shared" si="69"/>
        <v>0.35378525057471255</v>
      </c>
      <c r="AL129">
        <f t="shared" si="70"/>
        <v>0.8</v>
      </c>
      <c r="AM129">
        <f t="shared" si="71"/>
        <v>0.19109999999999999</v>
      </c>
      <c r="AN129">
        <v>3</v>
      </c>
      <c r="AO129">
        <v>0.5</v>
      </c>
      <c r="AP129" t="s">
        <v>317</v>
      </c>
      <c r="AQ129">
        <v>2</v>
      </c>
      <c r="AR129">
        <v>1775470752.5999999</v>
      </c>
      <c r="AS129">
        <v>16.408924252873561</v>
      </c>
      <c r="AT129">
        <v>16.320434482758621</v>
      </c>
      <c r="AU129">
        <v>-0.94853181609195369</v>
      </c>
      <c r="AV129">
        <v>-1.408481149425288</v>
      </c>
      <c r="AW129">
        <v>8.3799242528735611</v>
      </c>
      <c r="AX129">
        <v>0.2354796126436782</v>
      </c>
      <c r="AY129">
        <v>500.51380459770121</v>
      </c>
      <c r="AZ129">
        <v>100.1170459770115</v>
      </c>
      <c r="BA129">
        <v>4.6790971264367813E-2</v>
      </c>
      <c r="BB129">
        <v>27.102347126436779</v>
      </c>
      <c r="BC129">
        <v>27.227522988505751</v>
      </c>
      <c r="BD129">
        <v>999.89999999999941</v>
      </c>
      <c r="BE129">
        <v>0</v>
      </c>
      <c r="BF129">
        <v>0</v>
      </c>
      <c r="BG129">
        <v>5001.8505747126437</v>
      </c>
      <c r="BH129">
        <v>0.44223156321839069</v>
      </c>
      <c r="BI129">
        <v>50.570882758620691</v>
      </c>
      <c r="BJ129">
        <v>9.8458651333333327E-2</v>
      </c>
      <c r="BK129">
        <v>16.403322988505749</v>
      </c>
      <c r="BL129">
        <v>16.29748505747127</v>
      </c>
      <c r="BM129">
        <v>0.45994885379310341</v>
      </c>
      <c r="BN129">
        <v>16.320434482758621</v>
      </c>
      <c r="BO129">
        <v>-1.408481149425288</v>
      </c>
      <c r="BP129">
        <v>-9.4964195402298848E-2</v>
      </c>
      <c r="BQ129">
        <v>-0.14101289655172411</v>
      </c>
      <c r="BR129">
        <v>-99.899999999999977</v>
      </c>
      <c r="BS129">
        <v>-99.899999999999977</v>
      </c>
      <c r="BT129">
        <v>1775470788.5999999</v>
      </c>
      <c r="BU129" t="s">
        <v>662</v>
      </c>
      <c r="BV129">
        <v>1775470788.5999999</v>
      </c>
      <c r="BW129">
        <v>1775469670</v>
      </c>
      <c r="BX129">
        <v>114</v>
      </c>
      <c r="BY129">
        <v>-0.01</v>
      </c>
      <c r="BZ129">
        <v>-1E-3</v>
      </c>
      <c r="CA129">
        <v>8.0289999999999999</v>
      </c>
      <c r="CB129">
        <v>-1.1839999999999999</v>
      </c>
      <c r="CC129">
        <v>16</v>
      </c>
      <c r="CD129">
        <v>-1</v>
      </c>
      <c r="CE129">
        <v>0.3</v>
      </c>
      <c r="CF129">
        <v>0.05</v>
      </c>
      <c r="CG129">
        <v>16.32368833333333</v>
      </c>
      <c r="CH129">
        <v>1.073393164767986</v>
      </c>
      <c r="CI129">
        <v>0.1942631146080549</v>
      </c>
      <c r="CJ129">
        <v>-1</v>
      </c>
      <c r="CK129">
        <v>500.00476666666663</v>
      </c>
      <c r="CL129">
        <v>-7.2560155598285769E-2</v>
      </c>
      <c r="CM129">
        <v>5.836304957381365E-2</v>
      </c>
      <c r="CN129">
        <v>-1</v>
      </c>
      <c r="CO129">
        <v>0</v>
      </c>
      <c r="CP129">
        <v>0</v>
      </c>
      <c r="CQ129" t="s">
        <v>319</v>
      </c>
      <c r="CR129">
        <v>3.1675200000000001</v>
      </c>
      <c r="CS129">
        <v>2.6667299999999998</v>
      </c>
      <c r="CT129">
        <v>2.53682E-3</v>
      </c>
      <c r="CU129">
        <v>4.9190400000000004E-3</v>
      </c>
      <c r="CV129">
        <v>2.2429199999999998E-3</v>
      </c>
      <c r="CW129">
        <v>-1.2548999999999999E-2</v>
      </c>
      <c r="CX129">
        <v>21508.7</v>
      </c>
      <c r="CY129">
        <v>21842.799999999999</v>
      </c>
      <c r="CZ129">
        <v>23091.5</v>
      </c>
      <c r="DA129">
        <v>22304.400000000001</v>
      </c>
      <c r="DB129">
        <v>29714.6</v>
      </c>
      <c r="DC129">
        <v>26936.9</v>
      </c>
      <c r="DD129">
        <v>40589.1</v>
      </c>
      <c r="DE129">
        <v>36968.1</v>
      </c>
      <c r="DF129">
        <v>2.0754999999999999</v>
      </c>
      <c r="DG129">
        <v>1.7818799999999999</v>
      </c>
      <c r="DH129">
        <v>1.5986E-2</v>
      </c>
      <c r="DI129">
        <v>0</v>
      </c>
      <c r="DJ129">
        <v>26.969899999999999</v>
      </c>
      <c r="DK129">
        <v>999.9</v>
      </c>
      <c r="DL129">
        <v>72.7</v>
      </c>
      <c r="DM129">
        <v>31.5</v>
      </c>
      <c r="DN129">
        <v>33.704300000000003</v>
      </c>
      <c r="DO129">
        <v>30.591899999999999</v>
      </c>
      <c r="DP129">
        <v>10.601000000000001</v>
      </c>
      <c r="DQ129">
        <v>1</v>
      </c>
      <c r="DR129">
        <v>0.235045</v>
      </c>
      <c r="DS129">
        <v>0.118425</v>
      </c>
      <c r="DT129">
        <v>20.370100000000001</v>
      </c>
      <c r="DU129">
        <v>5.2127400000000002</v>
      </c>
      <c r="DV129">
        <v>11.849399999999999</v>
      </c>
      <c r="DW129">
        <v>4.9678399999999998</v>
      </c>
      <c r="DX129">
        <v>3.2928199999999999</v>
      </c>
      <c r="DY129">
        <v>894.7</v>
      </c>
      <c r="DZ129">
        <v>0</v>
      </c>
      <c r="EA129">
        <v>3565</v>
      </c>
      <c r="EB129">
        <v>108.5</v>
      </c>
      <c r="EC129">
        <v>4.9715499999999997</v>
      </c>
      <c r="ED129">
        <v>1.8717999999999999</v>
      </c>
      <c r="EE129">
        <v>1.86903</v>
      </c>
      <c r="EF129">
        <v>1.8714299999999999</v>
      </c>
      <c r="EG129">
        <v>1.8691899999999999</v>
      </c>
      <c r="EH129">
        <v>1.8681099999999999</v>
      </c>
      <c r="EI129">
        <v>1.86995</v>
      </c>
      <c r="EJ129">
        <v>1.87168</v>
      </c>
      <c r="EK129">
        <v>0</v>
      </c>
      <c r="EL129">
        <v>0</v>
      </c>
      <c r="EM129">
        <v>0</v>
      </c>
      <c r="EN129">
        <v>0</v>
      </c>
      <c r="EO129" t="s">
        <v>320</v>
      </c>
      <c r="EP129" t="s">
        <v>321</v>
      </c>
      <c r="EQ129" t="s">
        <v>322</v>
      </c>
      <c r="ER129" t="s">
        <v>322</v>
      </c>
      <c r="ES129" t="s">
        <v>322</v>
      </c>
      <c r="ET129" t="s">
        <v>322</v>
      </c>
      <c r="EU129">
        <v>0</v>
      </c>
      <c r="EV129">
        <v>100</v>
      </c>
      <c r="EW129">
        <v>100</v>
      </c>
      <c r="EX129">
        <v>8.0289999999999999</v>
      </c>
      <c r="EY129">
        <v>-1.1839999999999999</v>
      </c>
      <c r="EZ129">
        <v>8.0389719999999976</v>
      </c>
      <c r="FA129">
        <v>0</v>
      </c>
      <c r="FB129">
        <v>0</v>
      </c>
      <c r="FC129">
        <v>0</v>
      </c>
      <c r="FD129">
        <v>-1.1840113809523809</v>
      </c>
      <c r="FE129">
        <v>0</v>
      </c>
      <c r="FF129">
        <v>0</v>
      </c>
      <c r="FG129">
        <v>0</v>
      </c>
      <c r="FH129">
        <v>-1</v>
      </c>
      <c r="FI129">
        <v>-1</v>
      </c>
      <c r="FJ129">
        <v>-1</v>
      </c>
      <c r="FK129">
        <v>-1</v>
      </c>
      <c r="FL129">
        <v>0.7</v>
      </c>
      <c r="FM129">
        <v>18.399999999999999</v>
      </c>
      <c r="FN129">
        <v>0.14160200000000001</v>
      </c>
      <c r="FO129">
        <v>4.99756</v>
      </c>
      <c r="FP129">
        <v>1.5979000000000001</v>
      </c>
      <c r="FQ129">
        <v>2.1484399999999999</v>
      </c>
      <c r="FR129">
        <v>1.5478499999999999</v>
      </c>
      <c r="FS129">
        <v>2.3852500000000001</v>
      </c>
      <c r="FT129">
        <v>35.290199999999999</v>
      </c>
      <c r="FU129">
        <v>14.8675</v>
      </c>
      <c r="FV129">
        <v>2</v>
      </c>
      <c r="FW129">
        <v>494.01499999999999</v>
      </c>
      <c r="FX129">
        <v>397.94299999999998</v>
      </c>
      <c r="FY129">
        <v>27.500599999999999</v>
      </c>
      <c r="FZ129">
        <v>30.186199999999999</v>
      </c>
      <c r="GA129">
        <v>30.0001</v>
      </c>
      <c r="GB129">
        <v>30.518899999999999</v>
      </c>
      <c r="GC129">
        <v>30.577500000000001</v>
      </c>
      <c r="GD129">
        <v>-1</v>
      </c>
      <c r="GE129">
        <v>0</v>
      </c>
      <c r="GF129">
        <v>100</v>
      </c>
      <c r="GG129">
        <v>27.497800000000002</v>
      </c>
      <c r="GH129">
        <v>432.1</v>
      </c>
      <c r="GI129">
        <v>78.840199999999996</v>
      </c>
      <c r="GJ129">
        <v>102.163</v>
      </c>
      <c r="GK129">
        <v>96.459699999999998</v>
      </c>
    </row>
    <row r="130" spans="1:193" x14ac:dyDescent="0.35">
      <c r="A130">
        <v>114</v>
      </c>
      <c r="B130">
        <v>1775470834.5999999</v>
      </c>
      <c r="C130">
        <v>6878.5</v>
      </c>
      <c r="D130" t="s">
        <v>663</v>
      </c>
      <c r="E130" t="s">
        <v>664</v>
      </c>
      <c r="F130">
        <v>60</v>
      </c>
      <c r="G130">
        <v>1775470811.1923909</v>
      </c>
      <c r="H130">
        <f t="shared" si="54"/>
        <v>7.7785325202282807E-4</v>
      </c>
      <c r="I130">
        <f>1000*AY130*AG130*(AU130-AV130)/(100*AN130*(1000-AG130*AU130))</f>
        <v>0.77785325202282807</v>
      </c>
      <c r="J130">
        <f>AY130*AG130*(AT130-AS130*(1000-AG130*AV130)/(1000-AG130*AU130))/(100*AN130)</f>
        <v>-0.21246153755792804</v>
      </c>
      <c r="K130">
        <f t="shared" si="55"/>
        <v>16.018061304347821</v>
      </c>
      <c r="L130">
        <f t="shared" si="56"/>
        <v>31.111647474847249</v>
      </c>
      <c r="M130">
        <f>L130*(AZ130+BA130)/1000</f>
        <v>3.1162819765509893</v>
      </c>
      <c r="N130">
        <f>(AS130 - IF(AG130&gt;1, J130*AN130*100/(AI130), 0))*(AZ130+BA130)/1000</f>
        <v>1.6044407735843642</v>
      </c>
      <c r="O130">
        <f t="shared" si="57"/>
        <v>2.0663553777735506E-2</v>
      </c>
      <c r="P130">
        <f>IF(LEFT(AP130,1)&lt;&gt;"0",IF(LEFT(AP130,1)="1",3,AQ130),$D$5+$E$5*(BG130*AZ130/($K$5*1000))+$F$5*(BG130*AZ130/($K$5*1000))*MAX(MIN(AN130,$J$5),$I$5)*MAX(MIN(AN130,$J$5),$I$5)+$G$5*MAX(MIN(AN130,$J$5),$I$5)*(BG130*AZ130/($K$5*1000))+$H$5*(BG130*AZ130/($K$5*1000))*(BG130*AZ130/($K$5*1000)))</f>
        <v>2.3907218893187858</v>
      </c>
      <c r="Q130">
        <f>H130*(1000-(1000*0.61365*EXP(17.502*U130/(240.97+U130))/(AZ130+BA130)+AU130)/2)/(1000*0.61365*EXP(17.502*U130/(240.97+U130))/(AZ130+BA130)-AU130)</f>
        <v>2.0564843440734927E-2</v>
      </c>
      <c r="R130">
        <f t="shared" si="58"/>
        <v>1.2861856469668375E-2</v>
      </c>
      <c r="S130">
        <f t="shared" si="59"/>
        <v>8.3787915476086952E-2</v>
      </c>
      <c r="T130">
        <f>(BB130+(S130+2*0.95*0.0000000567*(((BB130+$B$7)+273)^4-(BB130+273)^4)-44100*H130)/(1.84*29.3*P130+8*0.95*0.0000000567*(BB130+273)^3))</f>
        <v>26.854921327343678</v>
      </c>
      <c r="U130">
        <f>($C$7*BC130+$D$7*BD130+$E$7*T130)</f>
        <v>27.223716304347821</v>
      </c>
      <c r="V130">
        <f t="shared" si="60"/>
        <v>3.6264583183544268</v>
      </c>
      <c r="W130">
        <f t="shared" si="61"/>
        <v>-2.6507754222849611</v>
      </c>
      <c r="X130">
        <f>AU130*(AZ130+BA130)/1000</f>
        <v>-9.5425273390449677E-2</v>
      </c>
      <c r="Y130">
        <f t="shared" si="62"/>
        <v>3.5999003381506136</v>
      </c>
      <c r="Z130">
        <f>(V130-AU130*(AZ130+BA130)/1000)</f>
        <v>3.7218835917448763</v>
      </c>
      <c r="AA130">
        <f t="shared" si="63"/>
        <v>-34.303328414206717</v>
      </c>
      <c r="AB130">
        <f>2*29.3*P130*0.92*(BB130-U130)</f>
        <v>-16.14974139166738</v>
      </c>
      <c r="AC130">
        <f>2*0.95*0.0000000567*(((BB130+$B$7)+273)^4-(U130+273)^4)</f>
        <v>-1.4601948742957473</v>
      </c>
      <c r="AD130">
        <f t="shared" si="64"/>
        <v>-51.829476764693752</v>
      </c>
      <c r="AE130">
        <v>17</v>
      </c>
      <c r="AF130">
        <v>3</v>
      </c>
      <c r="AG130">
        <f t="shared" si="65"/>
        <v>1</v>
      </c>
      <c r="AH130">
        <f t="shared" si="66"/>
        <v>0</v>
      </c>
      <c r="AI130">
        <f t="shared" si="67"/>
        <v>25550.77811462243</v>
      </c>
      <c r="AJ130">
        <f t="shared" si="68"/>
        <v>0.43845063043478261</v>
      </c>
      <c r="AK130">
        <f t="shared" si="69"/>
        <v>0.35076050434782613</v>
      </c>
      <c r="AL130">
        <f t="shared" si="70"/>
        <v>0.8</v>
      </c>
      <c r="AM130">
        <f t="shared" si="71"/>
        <v>0.19109999999999999</v>
      </c>
      <c r="AN130">
        <v>3</v>
      </c>
      <c r="AO130">
        <v>0.5</v>
      </c>
      <c r="AP130" t="s">
        <v>317</v>
      </c>
      <c r="AQ130">
        <v>2</v>
      </c>
      <c r="AR130">
        <v>1775470811.1923909</v>
      </c>
      <c r="AS130">
        <v>16.018061304347821</v>
      </c>
      <c r="AT130">
        <v>15.898173913043481</v>
      </c>
      <c r="AU130">
        <v>-0.95268576086956513</v>
      </c>
      <c r="AV130">
        <v>-1.4193996739130439</v>
      </c>
      <c r="AW130">
        <v>7.9520613043478248</v>
      </c>
      <c r="AX130">
        <v>0.2313256217391304</v>
      </c>
      <c r="AY130">
        <v>500.47423913043468</v>
      </c>
      <c r="AZ130">
        <v>100.1177391304348</v>
      </c>
      <c r="BA130">
        <v>4.6740396739130427E-2</v>
      </c>
      <c r="BB130">
        <v>27.098416304347829</v>
      </c>
      <c r="BC130">
        <v>27.223716304347821</v>
      </c>
      <c r="BD130">
        <v>999.89999999999952</v>
      </c>
      <c r="BE130">
        <v>0</v>
      </c>
      <c r="BF130">
        <v>0</v>
      </c>
      <c r="BG130">
        <v>5001.04347826087</v>
      </c>
      <c r="BH130">
        <v>0.43845063043478261</v>
      </c>
      <c r="BI130">
        <v>48.732814130434789</v>
      </c>
      <c r="BJ130">
        <v>8.3064521847826103E-2</v>
      </c>
      <c r="BK130">
        <v>15.966022826086959</v>
      </c>
      <c r="BL130">
        <v>15.87563260869565</v>
      </c>
      <c r="BM130">
        <v>0.46671364554347822</v>
      </c>
      <c r="BN130">
        <v>15.898173913043481</v>
      </c>
      <c r="BO130">
        <v>-1.4193996739130439</v>
      </c>
      <c r="BP130">
        <v>-9.5380674999999998E-2</v>
      </c>
      <c r="BQ130">
        <v>-0.14210696739130441</v>
      </c>
      <c r="BR130">
        <v>-99.899999999999977</v>
      </c>
      <c r="BS130">
        <v>-99.899999999999977</v>
      </c>
      <c r="BT130">
        <v>1775470849.5999999</v>
      </c>
      <c r="BU130" t="s">
        <v>665</v>
      </c>
      <c r="BV130">
        <v>1775470849.5999999</v>
      </c>
      <c r="BW130">
        <v>1775469670</v>
      </c>
      <c r="BX130">
        <v>115</v>
      </c>
      <c r="BY130">
        <v>3.6999999999999998E-2</v>
      </c>
      <c r="BZ130">
        <v>-1E-3</v>
      </c>
      <c r="CA130">
        <v>8.0660000000000007</v>
      </c>
      <c r="CB130">
        <v>-1.1839999999999999</v>
      </c>
      <c r="CC130">
        <v>17</v>
      </c>
      <c r="CD130">
        <v>-1</v>
      </c>
      <c r="CE130">
        <v>0.14000000000000001</v>
      </c>
      <c r="CF130">
        <v>0.05</v>
      </c>
      <c r="CG130">
        <v>16.093586885245902</v>
      </c>
      <c r="CH130">
        <v>1.5340626123744221</v>
      </c>
      <c r="CI130">
        <v>0.29482438756000912</v>
      </c>
      <c r="CJ130">
        <v>-1</v>
      </c>
      <c r="CK130">
        <v>500.00145901639348</v>
      </c>
      <c r="CL130">
        <v>2.4869381279982901E-2</v>
      </c>
      <c r="CM130">
        <v>6.0784104309735007E-2</v>
      </c>
      <c r="CN130">
        <v>-1</v>
      </c>
      <c r="CO130">
        <v>0</v>
      </c>
      <c r="CP130">
        <v>0</v>
      </c>
      <c r="CQ130" t="s">
        <v>319</v>
      </c>
      <c r="CR130">
        <v>3.16744</v>
      </c>
      <c r="CS130">
        <v>2.6665399999999999</v>
      </c>
      <c r="CT130">
        <v>2.4586899999999999E-3</v>
      </c>
      <c r="CU130">
        <v>4.8632099999999998E-3</v>
      </c>
      <c r="CV130">
        <v>2.3069100000000001E-3</v>
      </c>
      <c r="CW130">
        <v>-1.2567500000000001E-2</v>
      </c>
      <c r="CX130">
        <v>21510.6</v>
      </c>
      <c r="CY130">
        <v>21843.8</v>
      </c>
      <c r="CZ130">
        <v>23091.7</v>
      </c>
      <c r="DA130">
        <v>22304.2</v>
      </c>
      <c r="DB130">
        <v>29712.9</v>
      </c>
      <c r="DC130">
        <v>26937</v>
      </c>
      <c r="DD130">
        <v>40589.4</v>
      </c>
      <c r="DE130">
        <v>36967.599999999999</v>
      </c>
      <c r="DF130">
        <v>2.07552</v>
      </c>
      <c r="DG130">
        <v>1.78216</v>
      </c>
      <c r="DH130">
        <v>1.6760799999999999E-2</v>
      </c>
      <c r="DI130">
        <v>0</v>
      </c>
      <c r="DJ130">
        <v>26.970400000000001</v>
      </c>
      <c r="DK130">
        <v>999.9</v>
      </c>
      <c r="DL130">
        <v>72.7</v>
      </c>
      <c r="DM130">
        <v>31.5</v>
      </c>
      <c r="DN130">
        <v>33.701599999999999</v>
      </c>
      <c r="DO130">
        <v>30.471900000000002</v>
      </c>
      <c r="DP130">
        <v>10.665100000000001</v>
      </c>
      <c r="DQ130">
        <v>1</v>
      </c>
      <c r="DR130">
        <v>0.234348</v>
      </c>
      <c r="DS130">
        <v>9.6884499999999998E-2</v>
      </c>
      <c r="DT130">
        <v>20.370200000000001</v>
      </c>
      <c r="DU130">
        <v>5.2129799999999999</v>
      </c>
      <c r="DV130">
        <v>11.849399999999999</v>
      </c>
      <c r="DW130">
        <v>4.968</v>
      </c>
      <c r="DX130">
        <v>3.2927399999999998</v>
      </c>
      <c r="DY130">
        <v>894.7</v>
      </c>
      <c r="DZ130">
        <v>0</v>
      </c>
      <c r="EA130">
        <v>3594.5</v>
      </c>
      <c r="EB130">
        <v>108.5</v>
      </c>
      <c r="EC130">
        <v>4.9715800000000003</v>
      </c>
      <c r="ED130">
        <v>1.8717999999999999</v>
      </c>
      <c r="EE130">
        <v>1.86904</v>
      </c>
      <c r="EF130">
        <v>1.8713900000000001</v>
      </c>
      <c r="EG130">
        <v>1.8691899999999999</v>
      </c>
      <c r="EH130">
        <v>1.8681099999999999</v>
      </c>
      <c r="EI130">
        <v>1.8699399999999999</v>
      </c>
      <c r="EJ130">
        <v>1.87178</v>
      </c>
      <c r="EK130">
        <v>0</v>
      </c>
      <c r="EL130">
        <v>0</v>
      </c>
      <c r="EM130">
        <v>0</v>
      </c>
      <c r="EN130">
        <v>0</v>
      </c>
      <c r="EO130" t="s">
        <v>320</v>
      </c>
      <c r="EP130" t="s">
        <v>321</v>
      </c>
      <c r="EQ130" t="s">
        <v>322</v>
      </c>
      <c r="ER130" t="s">
        <v>322</v>
      </c>
      <c r="ES130" t="s">
        <v>322</v>
      </c>
      <c r="ET130" t="s">
        <v>322</v>
      </c>
      <c r="EU130">
        <v>0</v>
      </c>
      <c r="EV130">
        <v>100</v>
      </c>
      <c r="EW130">
        <v>100</v>
      </c>
      <c r="EX130">
        <v>8.0660000000000007</v>
      </c>
      <c r="EY130">
        <v>-1.1839999999999999</v>
      </c>
      <c r="EZ130">
        <v>8.0290669999999995</v>
      </c>
      <c r="FA130">
        <v>0</v>
      </c>
      <c r="FB130">
        <v>0</v>
      </c>
      <c r="FC130">
        <v>0</v>
      </c>
      <c r="FD130">
        <v>-1.1840113809523809</v>
      </c>
      <c r="FE130">
        <v>0</v>
      </c>
      <c r="FF130">
        <v>0</v>
      </c>
      <c r="FG130">
        <v>0</v>
      </c>
      <c r="FH130">
        <v>-1</v>
      </c>
      <c r="FI130">
        <v>-1</v>
      </c>
      <c r="FJ130">
        <v>-1</v>
      </c>
      <c r="FK130">
        <v>-1</v>
      </c>
      <c r="FL130">
        <v>0.8</v>
      </c>
      <c r="FM130">
        <v>19.399999999999999</v>
      </c>
      <c r="FN130">
        <v>0.14160200000000001</v>
      </c>
      <c r="FO130">
        <v>4.99756</v>
      </c>
      <c r="FP130">
        <v>1.5979000000000001</v>
      </c>
      <c r="FQ130">
        <v>2.1484399999999999</v>
      </c>
      <c r="FR130">
        <v>1.5478499999999999</v>
      </c>
      <c r="FS130">
        <v>2.32178</v>
      </c>
      <c r="FT130">
        <v>35.267099999999999</v>
      </c>
      <c r="FU130">
        <v>14.85</v>
      </c>
      <c r="FV130">
        <v>2</v>
      </c>
      <c r="FW130">
        <v>493.947</v>
      </c>
      <c r="FX130">
        <v>398.036</v>
      </c>
      <c r="FY130">
        <v>27.517600000000002</v>
      </c>
      <c r="FZ130">
        <v>30.1784</v>
      </c>
      <c r="GA130">
        <v>30.0001</v>
      </c>
      <c r="GB130">
        <v>30.508500000000002</v>
      </c>
      <c r="GC130">
        <v>30.5671</v>
      </c>
      <c r="GD130">
        <v>-1</v>
      </c>
      <c r="GE130">
        <v>0</v>
      </c>
      <c r="GF130">
        <v>100</v>
      </c>
      <c r="GG130">
        <v>27.511900000000001</v>
      </c>
      <c r="GH130">
        <v>432.1</v>
      </c>
      <c r="GI130">
        <v>78.840199999999996</v>
      </c>
      <c r="GJ130">
        <v>102.164</v>
      </c>
      <c r="GK130">
        <v>96.458399999999997</v>
      </c>
    </row>
    <row r="131" spans="1:193" x14ac:dyDescent="0.35">
      <c r="A131">
        <v>115</v>
      </c>
      <c r="B131">
        <v>1775470894.5999999</v>
      </c>
      <c r="C131">
        <v>6938.5</v>
      </c>
      <c r="D131" t="s">
        <v>666</v>
      </c>
      <c r="E131" t="s">
        <v>667</v>
      </c>
      <c r="F131">
        <v>60</v>
      </c>
      <c r="G131">
        <v>1775470872.0999999</v>
      </c>
      <c r="H131">
        <f t="shared" si="54"/>
        <v>7.1233676109494829E-4</v>
      </c>
      <c r="I131">
        <f>1000*AY131*AG131*(AU131-AV131)/(100*AN131*(1000-AG131*AU131))</f>
        <v>0.71233676109494826</v>
      </c>
      <c r="J131">
        <f>AY131*AG131*(AT131-AS131*(1000-AG131*AV131)/(1000-AG131*AU131))/(100*AN131)</f>
        <v>-0.21646533612170651</v>
      </c>
      <c r="K131">
        <f t="shared" si="55"/>
        <v>17.144656179775279</v>
      </c>
      <c r="L131">
        <f t="shared" si="56"/>
        <v>33.990386746392836</v>
      </c>
      <c r="M131">
        <f>L131*(AZ131+BA131)/1000</f>
        <v>3.4047018597978131</v>
      </c>
      <c r="N131">
        <f>(AS131 - IF(AG131&gt;1, J131*AN131*100/(AI131), 0))*(AZ131+BA131)/1000</f>
        <v>1.7173221127608858</v>
      </c>
      <c r="O131">
        <f t="shared" si="57"/>
        <v>1.8900750725234415E-2</v>
      </c>
      <c r="P131">
        <f>IF(LEFT(AP131,1)&lt;&gt;"0",IF(LEFT(AP131,1)="1",3,AQ131),$D$5+$E$5*(BG131*AZ131/($K$5*1000))+$F$5*(BG131*AZ131/($K$5*1000))*MAX(MIN(AN131,$J$5),$I$5)*MAX(MIN(AN131,$J$5),$I$5)+$G$5*MAX(MIN(AN131,$J$5),$I$5)*(BG131*AZ131/($K$5*1000))+$H$5*(BG131*AZ131/($K$5*1000))*(BG131*AZ131/($K$5*1000)))</f>
        <v>2.3904508536630713</v>
      </c>
      <c r="Q131">
        <f>H131*(1000-(1000*0.61365*EXP(17.502*U131/(240.97+U131))/(AZ131+BA131)+AU131)/2)/(1000*0.61365*EXP(17.502*U131/(240.97+U131))/(AZ131+BA131)-AU131)</f>
        <v>1.8818118240035278E-2</v>
      </c>
      <c r="R131">
        <f t="shared" si="58"/>
        <v>1.17687178902372E-2</v>
      </c>
      <c r="S131">
        <f t="shared" si="59"/>
        <v>7.9452689352808969E-2</v>
      </c>
      <c r="T131">
        <f>(BB131+(S131+2*0.95*0.0000000567*(((BB131+$B$7)+273)^4-(BB131+273)^4)-44100*H131)/(1.84*29.3*P131+8*0.95*0.0000000567*(BB131+273)^3))</f>
        <v>26.886273936268854</v>
      </c>
      <c r="U131">
        <f>($C$7*BC131+$D$7*BD131+$E$7*T131)</f>
        <v>27.239861797752809</v>
      </c>
      <c r="V131">
        <f t="shared" si="60"/>
        <v>3.6298928450929027</v>
      </c>
      <c r="W131">
        <f t="shared" si="61"/>
        <v>-2.6340776661647634</v>
      </c>
      <c r="X131">
        <f>AU131*(AZ131+BA131)/1000</f>
        <v>-9.4884544592705136E-2</v>
      </c>
      <c r="Y131">
        <f t="shared" si="62"/>
        <v>3.6021923655295156</v>
      </c>
      <c r="Z131">
        <f>(V131-AU131*(AZ131+BA131)/1000)</f>
        <v>3.7247773896856078</v>
      </c>
      <c r="AA131">
        <f t="shared" si="63"/>
        <v>-31.414051164287219</v>
      </c>
      <c r="AB131">
        <f>2*29.3*P131*0.92*(BB131-U131)</f>
        <v>-16.830942626802159</v>
      </c>
      <c r="AC131">
        <f>2*0.95*0.0000000567*(((BB131+$B$7)+273)^4-(U131+273)^4)</f>
        <v>-1.5221642038966063</v>
      </c>
      <c r="AD131">
        <f t="shared" si="64"/>
        <v>-49.687705305633173</v>
      </c>
      <c r="AE131">
        <v>16</v>
      </c>
      <c r="AF131">
        <v>3</v>
      </c>
      <c r="AG131">
        <f t="shared" si="65"/>
        <v>1</v>
      </c>
      <c r="AH131">
        <f t="shared" si="66"/>
        <v>0</v>
      </c>
      <c r="AI131">
        <f t="shared" si="67"/>
        <v>25545.649524294004</v>
      </c>
      <c r="AJ131">
        <f t="shared" si="68"/>
        <v>0.41576498876404488</v>
      </c>
      <c r="AK131">
        <f t="shared" si="69"/>
        <v>0.33261199101123595</v>
      </c>
      <c r="AL131">
        <f t="shared" si="70"/>
        <v>0.8</v>
      </c>
      <c r="AM131">
        <f t="shared" si="71"/>
        <v>0.19109999999999999</v>
      </c>
      <c r="AN131">
        <v>3</v>
      </c>
      <c r="AO131">
        <v>0.5</v>
      </c>
      <c r="AP131" t="s">
        <v>317</v>
      </c>
      <c r="AQ131">
        <v>2</v>
      </c>
      <c r="AR131">
        <v>1775470872.0999999</v>
      </c>
      <c r="AS131">
        <v>17.144656179775279</v>
      </c>
      <c r="AT131">
        <v>17.022225842696631</v>
      </c>
      <c r="AU131">
        <v>-0.9472671910112358</v>
      </c>
      <c r="AV131">
        <v>-1.3746510112359549</v>
      </c>
      <c r="AW131">
        <v>9.114656179775281</v>
      </c>
      <c r="AX131">
        <v>0.23674421685393249</v>
      </c>
      <c r="AY131">
        <v>500.49498876404499</v>
      </c>
      <c r="AZ131">
        <v>100.11982022471911</v>
      </c>
      <c r="BA131">
        <v>4.6791152808988767E-2</v>
      </c>
      <c r="BB131">
        <v>27.109261797752811</v>
      </c>
      <c r="BC131">
        <v>27.239861797752809</v>
      </c>
      <c r="BD131">
        <v>999.89999999999975</v>
      </c>
      <c r="BE131">
        <v>0</v>
      </c>
      <c r="BF131">
        <v>0</v>
      </c>
      <c r="BG131">
        <v>5000.2415730337079</v>
      </c>
      <c r="BH131">
        <v>0.41576498876404488</v>
      </c>
      <c r="BI131">
        <v>46.923171910112359</v>
      </c>
      <c r="BJ131">
        <v>0.15852050269662921</v>
      </c>
      <c r="BK131">
        <v>17.164482022471908</v>
      </c>
      <c r="BL131">
        <v>16.998853932584272</v>
      </c>
      <c r="BM131">
        <v>0.42738380387640462</v>
      </c>
      <c r="BN131">
        <v>17.022225842696631</v>
      </c>
      <c r="BO131">
        <v>-1.3746510112359549</v>
      </c>
      <c r="BP131">
        <v>-9.4840158426966276E-2</v>
      </c>
      <c r="BQ131">
        <v>-0.1376298314606742</v>
      </c>
      <c r="BR131">
        <v>-99.899999999999977</v>
      </c>
      <c r="BS131">
        <v>-99.899999999999977</v>
      </c>
      <c r="BT131">
        <v>1775470911.5999999</v>
      </c>
      <c r="BU131" t="s">
        <v>668</v>
      </c>
      <c r="BV131">
        <v>1775470911.5999999</v>
      </c>
      <c r="BW131">
        <v>1775469670</v>
      </c>
      <c r="BX131">
        <v>116</v>
      </c>
      <c r="BY131">
        <v>-3.6999999999999998E-2</v>
      </c>
      <c r="BZ131">
        <v>-1E-3</v>
      </c>
      <c r="CA131">
        <v>8.0299999999999994</v>
      </c>
      <c r="CB131">
        <v>-1.1839999999999999</v>
      </c>
      <c r="CC131">
        <v>17</v>
      </c>
      <c r="CD131">
        <v>-1</v>
      </c>
      <c r="CE131">
        <v>0.15</v>
      </c>
      <c r="CF131">
        <v>0.05</v>
      </c>
      <c r="CG131">
        <v>16.862113114754099</v>
      </c>
      <c r="CH131">
        <v>0.46960867265995859</v>
      </c>
      <c r="CI131">
        <v>0.1799446895671363</v>
      </c>
      <c r="CJ131">
        <v>-1</v>
      </c>
      <c r="CK131">
        <v>499.98678688524592</v>
      </c>
      <c r="CL131">
        <v>-2.2020095185542078E-3</v>
      </c>
      <c r="CM131">
        <v>6.1890732576232302E-2</v>
      </c>
      <c r="CN131">
        <v>-1</v>
      </c>
      <c r="CO131">
        <v>0</v>
      </c>
      <c r="CP131">
        <v>0</v>
      </c>
      <c r="CQ131" t="s">
        <v>319</v>
      </c>
      <c r="CR131">
        <v>3.1674899999999999</v>
      </c>
      <c r="CS131">
        <v>2.6667299999999998</v>
      </c>
      <c r="CT131">
        <v>2.6925999999999999E-3</v>
      </c>
      <c r="CU131">
        <v>5.0523900000000004E-3</v>
      </c>
      <c r="CV131">
        <v>2.05288E-3</v>
      </c>
      <c r="CW131">
        <v>-1.2408199999999999E-2</v>
      </c>
      <c r="CX131">
        <v>21505.3</v>
      </c>
      <c r="CY131">
        <v>21839</v>
      </c>
      <c r="CZ131">
        <v>23091.4</v>
      </c>
      <c r="DA131">
        <v>22303.5</v>
      </c>
      <c r="DB131">
        <v>29720.2</v>
      </c>
      <c r="DC131">
        <v>26931.8</v>
      </c>
      <c r="DD131">
        <v>40589</v>
      </c>
      <c r="DE131">
        <v>36966.300000000003</v>
      </c>
      <c r="DF131">
        <v>2.0759400000000001</v>
      </c>
      <c r="DG131">
        <v>1.7822</v>
      </c>
      <c r="DH131">
        <v>1.2892499999999999E-2</v>
      </c>
      <c r="DI131">
        <v>0</v>
      </c>
      <c r="DJ131">
        <v>27.017900000000001</v>
      </c>
      <c r="DK131">
        <v>999.9</v>
      </c>
      <c r="DL131">
        <v>72.8</v>
      </c>
      <c r="DM131">
        <v>31.5</v>
      </c>
      <c r="DN131">
        <v>33.751600000000003</v>
      </c>
      <c r="DO131">
        <v>30.411899999999999</v>
      </c>
      <c r="DP131">
        <v>10.9175</v>
      </c>
      <c r="DQ131">
        <v>1</v>
      </c>
      <c r="DR131">
        <v>0.2354</v>
      </c>
      <c r="DS131">
        <v>0.231909</v>
      </c>
      <c r="DT131">
        <v>20.369800000000001</v>
      </c>
      <c r="DU131">
        <v>5.2127400000000002</v>
      </c>
      <c r="DV131">
        <v>11.8489</v>
      </c>
      <c r="DW131">
        <v>4.9678000000000004</v>
      </c>
      <c r="DX131">
        <v>3.2927599999999999</v>
      </c>
      <c r="DY131">
        <v>894.7</v>
      </c>
      <c r="DZ131">
        <v>0</v>
      </c>
      <c r="EA131">
        <v>3630.7</v>
      </c>
      <c r="EB131">
        <v>108.6</v>
      </c>
      <c r="EC131">
        <v>4.9715600000000002</v>
      </c>
      <c r="ED131">
        <v>1.87181</v>
      </c>
      <c r="EE131">
        <v>1.8690500000000001</v>
      </c>
      <c r="EF131">
        <v>1.8714599999999999</v>
      </c>
      <c r="EG131">
        <v>1.8691800000000001</v>
      </c>
      <c r="EH131">
        <v>1.8681099999999999</v>
      </c>
      <c r="EI131">
        <v>1.8699600000000001</v>
      </c>
      <c r="EJ131">
        <v>1.8717900000000001</v>
      </c>
      <c r="EK131">
        <v>0</v>
      </c>
      <c r="EL131">
        <v>0</v>
      </c>
      <c r="EM131">
        <v>0</v>
      </c>
      <c r="EN131">
        <v>0</v>
      </c>
      <c r="EO131" t="s">
        <v>320</v>
      </c>
      <c r="EP131" t="s">
        <v>321</v>
      </c>
      <c r="EQ131" t="s">
        <v>322</v>
      </c>
      <c r="ER131" t="s">
        <v>322</v>
      </c>
      <c r="ES131" t="s">
        <v>322</v>
      </c>
      <c r="ET131" t="s">
        <v>322</v>
      </c>
      <c r="EU131">
        <v>0</v>
      </c>
      <c r="EV131">
        <v>100</v>
      </c>
      <c r="EW131">
        <v>100</v>
      </c>
      <c r="EX131">
        <v>8.0299999999999994</v>
      </c>
      <c r="EY131">
        <v>-1.1839999999999999</v>
      </c>
      <c r="EZ131">
        <v>8.0660889999999998</v>
      </c>
      <c r="FA131">
        <v>0</v>
      </c>
      <c r="FB131">
        <v>0</v>
      </c>
      <c r="FC131">
        <v>0</v>
      </c>
      <c r="FD131">
        <v>-1.1840113809523809</v>
      </c>
      <c r="FE131">
        <v>0</v>
      </c>
      <c r="FF131">
        <v>0</v>
      </c>
      <c r="FG131">
        <v>0</v>
      </c>
      <c r="FH131">
        <v>-1</v>
      </c>
      <c r="FI131">
        <v>-1</v>
      </c>
      <c r="FJ131">
        <v>-1</v>
      </c>
      <c r="FK131">
        <v>-1</v>
      </c>
      <c r="FL131">
        <v>0.8</v>
      </c>
      <c r="FM131">
        <v>20.399999999999999</v>
      </c>
      <c r="FN131">
        <v>0.14160200000000001</v>
      </c>
      <c r="FO131">
        <v>4.99756</v>
      </c>
      <c r="FP131">
        <v>1.5979000000000001</v>
      </c>
      <c r="FQ131">
        <v>2.1484399999999999</v>
      </c>
      <c r="FR131">
        <v>1.5478499999999999</v>
      </c>
      <c r="FS131">
        <v>2.3901400000000002</v>
      </c>
      <c r="FT131">
        <v>35.244</v>
      </c>
      <c r="FU131">
        <v>14.8413</v>
      </c>
      <c r="FV131">
        <v>2</v>
      </c>
      <c r="FW131">
        <v>494.15100000000001</v>
      </c>
      <c r="FX131">
        <v>398.02499999999998</v>
      </c>
      <c r="FY131">
        <v>27.408899999999999</v>
      </c>
      <c r="FZ131">
        <v>30.1784</v>
      </c>
      <c r="GA131">
        <v>30</v>
      </c>
      <c r="GB131">
        <v>30.503299999999999</v>
      </c>
      <c r="GC131">
        <v>30.562000000000001</v>
      </c>
      <c r="GD131">
        <v>-1</v>
      </c>
      <c r="GE131">
        <v>0</v>
      </c>
      <c r="GF131">
        <v>100</v>
      </c>
      <c r="GG131">
        <v>27.411300000000001</v>
      </c>
      <c r="GH131">
        <v>432.1</v>
      </c>
      <c r="GI131">
        <v>78.840199999999996</v>
      </c>
      <c r="GJ131">
        <v>102.163</v>
      </c>
      <c r="GK131">
        <v>96.455200000000005</v>
      </c>
    </row>
    <row r="132" spans="1:193" x14ac:dyDescent="0.35">
      <c r="A132">
        <v>116</v>
      </c>
      <c r="B132">
        <v>1775470954.5999999</v>
      </c>
      <c r="C132">
        <v>6998.5</v>
      </c>
      <c r="D132" t="s">
        <v>669</v>
      </c>
      <c r="E132" t="s">
        <v>670</v>
      </c>
      <c r="F132">
        <v>60</v>
      </c>
      <c r="G132">
        <v>1775470933.0999999</v>
      </c>
      <c r="H132">
        <f t="shared" si="54"/>
        <v>7.6514420543796465E-4</v>
      </c>
      <c r="I132">
        <f>1000*AY132*AG132*(AU132-AV132)/(100*AN132*(1000-AG132*AU132))</f>
        <v>0.76514420543796469</v>
      </c>
      <c r="J132">
        <f>AY132*AG132*(AT132-AS132*(1000-AG132*AV132)/(1000-AG132*AU132))/(100*AN132)</f>
        <v>-7.2147371143809397E-2</v>
      </c>
      <c r="K132">
        <f t="shared" si="55"/>
        <v>16.90204094117647</v>
      </c>
      <c r="L132">
        <f t="shared" si="56"/>
        <v>21.446304364528299</v>
      </c>
      <c r="M132">
        <f>L132*(AZ132+BA132)/1000</f>
        <v>2.1482193614695873</v>
      </c>
      <c r="N132">
        <f>(AS132 - IF(AG132&gt;1, J132*AN132*100/(AI132), 0))*(AZ132+BA132)/1000</f>
        <v>1.6930325608099492</v>
      </c>
      <c r="O132">
        <f t="shared" si="57"/>
        <v>2.0318815484615775E-2</v>
      </c>
      <c r="P132">
        <f>IF(LEFT(AP132,1)&lt;&gt;"0",IF(LEFT(AP132,1)="1",3,AQ132),$D$5+$E$5*(BG132*AZ132/($K$5*1000))+$F$5*(BG132*AZ132/($K$5*1000))*MAX(MIN(AN132,$J$5),$I$5)*MAX(MIN(AN132,$J$5),$I$5)+$G$5*MAX(MIN(AN132,$J$5),$I$5)*(BG132*AZ132/($K$5*1000))+$H$5*(BG132*AZ132/($K$5*1000))*(BG132*AZ132/($K$5*1000)))</f>
        <v>2.3895017651012038</v>
      </c>
      <c r="Q132">
        <f>H132*(1000-(1000*0.61365*EXP(17.502*U132/(240.97+U132))/(AZ132+BA132)+AU132)/2)/(1000*0.61365*EXP(17.502*U132/(240.97+U132))/(AZ132+BA132)-AU132)</f>
        <v>2.0223314616507441E-2</v>
      </c>
      <c r="R132">
        <f t="shared" si="58"/>
        <v>1.2648114488490193E-2</v>
      </c>
      <c r="S132">
        <f t="shared" si="59"/>
        <v>8.2402929271764722E-2</v>
      </c>
      <c r="T132">
        <f>(BB132+(S132+2*0.95*0.0000000567*(((BB132+$B$7)+273)^4-(BB132+273)^4)-44100*H132)/(1.84*29.3*P132+8*0.95*0.0000000567*(BB132+273)^3))</f>
        <v>26.854980951040886</v>
      </c>
      <c r="U132">
        <f>($C$7*BC132+$D$7*BD132+$E$7*T132)</f>
        <v>27.22567529411765</v>
      </c>
      <c r="V132">
        <f t="shared" si="60"/>
        <v>3.6268748903676582</v>
      </c>
      <c r="W132">
        <f t="shared" si="61"/>
        <v>-2.6712277957673889</v>
      </c>
      <c r="X132">
        <f>AU132*(AZ132+BA132)/1000</f>
        <v>-9.6140062382318064E-2</v>
      </c>
      <c r="Y132">
        <f t="shared" si="62"/>
        <v>3.5990963606568411</v>
      </c>
      <c r="Z132">
        <f>(V132-AU132*(AZ132+BA132)/1000)</f>
        <v>3.7230149527499763</v>
      </c>
      <c r="AA132">
        <f t="shared" si="63"/>
        <v>-33.742859459814241</v>
      </c>
      <c r="AB132">
        <f>2*29.3*P132*0.92*(BB132-U132)</f>
        <v>-16.884124904159574</v>
      </c>
      <c r="AC132">
        <f>2*0.95*0.0000000567*(((BB132+$B$7)+273)^4-(U132+273)^4)</f>
        <v>-1.5273603059575773</v>
      </c>
      <c r="AD132">
        <f t="shared" si="64"/>
        <v>-52.071941740659625</v>
      </c>
      <c r="AE132">
        <v>16</v>
      </c>
      <c r="AF132">
        <v>3</v>
      </c>
      <c r="AG132">
        <f t="shared" si="65"/>
        <v>1</v>
      </c>
      <c r="AH132">
        <f t="shared" si="66"/>
        <v>0</v>
      </c>
      <c r="AI132">
        <f t="shared" si="67"/>
        <v>25532.430161870358</v>
      </c>
      <c r="AJ132">
        <f t="shared" si="68"/>
        <v>0.43120318823529419</v>
      </c>
      <c r="AK132">
        <f t="shared" si="69"/>
        <v>0.34496255058823538</v>
      </c>
      <c r="AL132">
        <f t="shared" si="70"/>
        <v>0.8</v>
      </c>
      <c r="AM132">
        <f t="shared" si="71"/>
        <v>0.19109999999999999</v>
      </c>
      <c r="AN132">
        <v>3</v>
      </c>
      <c r="AO132">
        <v>0.5</v>
      </c>
      <c r="AP132" t="s">
        <v>317</v>
      </c>
      <c r="AQ132">
        <v>2</v>
      </c>
      <c r="AR132">
        <v>1775470933.0999999</v>
      </c>
      <c r="AS132">
        <v>16.90204094117647</v>
      </c>
      <c r="AT132">
        <v>16.866548235294118</v>
      </c>
      <c r="AU132">
        <v>-0.95979445882352965</v>
      </c>
      <c r="AV132">
        <v>-1.4188531764705881</v>
      </c>
      <c r="AW132">
        <v>8.8940409411764723</v>
      </c>
      <c r="AX132">
        <v>0.22421711294117641</v>
      </c>
      <c r="AY132">
        <v>500.51021176470579</v>
      </c>
      <c r="AZ132">
        <v>100.1206</v>
      </c>
      <c r="BA132">
        <v>4.6744683529411767E-2</v>
      </c>
      <c r="BB132">
        <v>27.094610588235291</v>
      </c>
      <c r="BC132">
        <v>27.22567529411765</v>
      </c>
      <c r="BD132">
        <v>999.89999999999952</v>
      </c>
      <c r="BE132">
        <v>0</v>
      </c>
      <c r="BF132">
        <v>0</v>
      </c>
      <c r="BG132">
        <v>4997.7588235294124</v>
      </c>
      <c r="BH132">
        <v>0.43120318823529419</v>
      </c>
      <c r="BI132">
        <v>45.172667058823528</v>
      </c>
      <c r="BJ132">
        <v>5.7066805729411772E-2</v>
      </c>
      <c r="BK132">
        <v>16.907388235294121</v>
      </c>
      <c r="BL132">
        <v>16.84264588235294</v>
      </c>
      <c r="BM132">
        <v>0.45905856047058818</v>
      </c>
      <c r="BN132">
        <v>16.866548235294118</v>
      </c>
      <c r="BO132">
        <v>-1.4188531764705881</v>
      </c>
      <c r="BP132">
        <v>-9.6095279999999991E-2</v>
      </c>
      <c r="BQ132">
        <v>-0.1420564470588235</v>
      </c>
      <c r="BR132">
        <v>-99.899999999999977</v>
      </c>
      <c r="BS132">
        <v>-99.899999999999977</v>
      </c>
      <c r="BT132">
        <v>1775470971.5999999</v>
      </c>
      <c r="BU132" t="s">
        <v>671</v>
      </c>
      <c r="BV132">
        <v>1775470971.5999999</v>
      </c>
      <c r="BW132">
        <v>1775469670</v>
      </c>
      <c r="BX132">
        <v>117</v>
      </c>
      <c r="BY132">
        <v>-2.1999999999999999E-2</v>
      </c>
      <c r="BZ132">
        <v>-1E-3</v>
      </c>
      <c r="CA132">
        <v>8.0079999999999991</v>
      </c>
      <c r="CB132">
        <v>-1.1839999999999999</v>
      </c>
      <c r="CC132">
        <v>17</v>
      </c>
      <c r="CD132">
        <v>-1</v>
      </c>
      <c r="CE132">
        <v>0.12</v>
      </c>
      <c r="CF132">
        <v>0.05</v>
      </c>
      <c r="CG132">
        <v>16.88647666666667</v>
      </c>
      <c r="CH132">
        <v>0.63390341761604141</v>
      </c>
      <c r="CI132">
        <v>0.1223795984722216</v>
      </c>
      <c r="CJ132">
        <v>-1</v>
      </c>
      <c r="CK132">
        <v>500.00116666666668</v>
      </c>
      <c r="CL132">
        <v>-4.1791608780202147E-2</v>
      </c>
      <c r="CM132">
        <v>5.6934514039277608E-2</v>
      </c>
      <c r="CN132">
        <v>-1</v>
      </c>
      <c r="CO132">
        <v>0</v>
      </c>
      <c r="CP132">
        <v>0</v>
      </c>
      <c r="CQ132" t="s">
        <v>319</v>
      </c>
      <c r="CR132">
        <v>3.16743</v>
      </c>
      <c r="CS132">
        <v>2.6668699999999999</v>
      </c>
      <c r="CT132">
        <v>2.6817400000000002E-3</v>
      </c>
      <c r="CU132">
        <v>5.0445000000000004E-3</v>
      </c>
      <c r="CV132">
        <v>2.25128E-3</v>
      </c>
      <c r="CW132">
        <v>-1.25971E-2</v>
      </c>
      <c r="CX132">
        <v>21505.3</v>
      </c>
      <c r="CY132">
        <v>21839.1</v>
      </c>
      <c r="CZ132">
        <v>23091.200000000001</v>
      </c>
      <c r="DA132">
        <v>22303.5</v>
      </c>
      <c r="DB132">
        <v>29714</v>
      </c>
      <c r="DC132">
        <v>26936.9</v>
      </c>
      <c r="DD132">
        <v>40588.6</v>
      </c>
      <c r="DE132">
        <v>36966.400000000001</v>
      </c>
      <c r="DF132">
        <v>2.07592</v>
      </c>
      <c r="DG132">
        <v>1.78254</v>
      </c>
      <c r="DH132">
        <v>1.3572000000000001E-2</v>
      </c>
      <c r="DI132">
        <v>0</v>
      </c>
      <c r="DJ132">
        <v>27.004200000000001</v>
      </c>
      <c r="DK132">
        <v>999.9</v>
      </c>
      <c r="DL132">
        <v>72.900000000000006</v>
      </c>
      <c r="DM132">
        <v>31.4</v>
      </c>
      <c r="DN132">
        <v>33.603000000000002</v>
      </c>
      <c r="DO132">
        <v>30.681899999999999</v>
      </c>
      <c r="DP132">
        <v>11.0136</v>
      </c>
      <c r="DQ132">
        <v>1</v>
      </c>
      <c r="DR132">
        <v>0.23491899999999999</v>
      </c>
      <c r="DS132">
        <v>0.11119800000000001</v>
      </c>
      <c r="DT132">
        <v>20.37</v>
      </c>
      <c r="DU132">
        <v>5.2125000000000004</v>
      </c>
      <c r="DV132">
        <v>11.8499</v>
      </c>
      <c r="DW132">
        <v>4.9678000000000004</v>
      </c>
      <c r="DX132">
        <v>3.2929400000000002</v>
      </c>
      <c r="DY132">
        <v>894.7</v>
      </c>
      <c r="DZ132">
        <v>0</v>
      </c>
      <c r="EA132">
        <v>3666</v>
      </c>
      <c r="EB132">
        <v>108.6</v>
      </c>
      <c r="EC132">
        <v>4.9715800000000003</v>
      </c>
      <c r="ED132">
        <v>1.87181</v>
      </c>
      <c r="EE132">
        <v>1.8690500000000001</v>
      </c>
      <c r="EF132">
        <v>1.8713900000000001</v>
      </c>
      <c r="EG132">
        <v>1.8691899999999999</v>
      </c>
      <c r="EH132">
        <v>1.8681099999999999</v>
      </c>
      <c r="EI132">
        <v>1.86995</v>
      </c>
      <c r="EJ132">
        <v>1.87174</v>
      </c>
      <c r="EK132">
        <v>0</v>
      </c>
      <c r="EL132">
        <v>0</v>
      </c>
      <c r="EM132">
        <v>0</v>
      </c>
      <c r="EN132">
        <v>0</v>
      </c>
      <c r="EO132" t="s">
        <v>320</v>
      </c>
      <c r="EP132" t="s">
        <v>321</v>
      </c>
      <c r="EQ132" t="s">
        <v>322</v>
      </c>
      <c r="ER132" t="s">
        <v>322</v>
      </c>
      <c r="ES132" t="s">
        <v>322</v>
      </c>
      <c r="ET132" t="s">
        <v>322</v>
      </c>
      <c r="EU132">
        <v>0</v>
      </c>
      <c r="EV132">
        <v>100</v>
      </c>
      <c r="EW132">
        <v>100</v>
      </c>
      <c r="EX132">
        <v>8.0079999999999991</v>
      </c>
      <c r="EY132">
        <v>-1.1839999999999999</v>
      </c>
      <c r="EZ132">
        <v>8.0295724999999987</v>
      </c>
      <c r="FA132">
        <v>0</v>
      </c>
      <c r="FB132">
        <v>0</v>
      </c>
      <c r="FC132">
        <v>0</v>
      </c>
      <c r="FD132">
        <v>-1.1840113809523809</v>
      </c>
      <c r="FE132">
        <v>0</v>
      </c>
      <c r="FF132">
        <v>0</v>
      </c>
      <c r="FG132">
        <v>0</v>
      </c>
      <c r="FH132">
        <v>-1</v>
      </c>
      <c r="FI132">
        <v>-1</v>
      </c>
      <c r="FJ132">
        <v>-1</v>
      </c>
      <c r="FK132">
        <v>-1</v>
      </c>
      <c r="FL132">
        <v>0.7</v>
      </c>
      <c r="FM132">
        <v>21.4</v>
      </c>
      <c r="FN132">
        <v>0.14160200000000001</v>
      </c>
      <c r="FO132">
        <v>4.99756</v>
      </c>
      <c r="FP132">
        <v>1.5979000000000001</v>
      </c>
      <c r="FQ132">
        <v>2.1484399999999999</v>
      </c>
      <c r="FR132">
        <v>1.5478499999999999</v>
      </c>
      <c r="FS132">
        <v>2.4511699999999998</v>
      </c>
      <c r="FT132">
        <v>35.244</v>
      </c>
      <c r="FU132">
        <v>14.8325</v>
      </c>
      <c r="FV132">
        <v>2</v>
      </c>
      <c r="FW132">
        <v>494.13900000000001</v>
      </c>
      <c r="FX132">
        <v>398.20100000000002</v>
      </c>
      <c r="FY132">
        <v>27.501100000000001</v>
      </c>
      <c r="FZ132">
        <v>30.181699999999999</v>
      </c>
      <c r="GA132">
        <v>30.0001</v>
      </c>
      <c r="GB132">
        <v>30.503299999999999</v>
      </c>
      <c r="GC132">
        <v>30.5593</v>
      </c>
      <c r="GD132">
        <v>-1</v>
      </c>
      <c r="GE132">
        <v>0</v>
      </c>
      <c r="GF132">
        <v>100</v>
      </c>
      <c r="GG132">
        <v>27.502700000000001</v>
      </c>
      <c r="GH132">
        <v>432.1</v>
      </c>
      <c r="GI132">
        <v>78.840199999999996</v>
      </c>
      <c r="GJ132">
        <v>102.16200000000001</v>
      </c>
      <c r="GK132">
        <v>96.455399999999997</v>
      </c>
    </row>
    <row r="133" spans="1:193" x14ac:dyDescent="0.35">
      <c r="A133">
        <v>117</v>
      </c>
      <c r="B133">
        <v>1775471014.5999999</v>
      </c>
      <c r="C133">
        <v>7058.5</v>
      </c>
      <c r="D133" t="s">
        <v>672</v>
      </c>
      <c r="E133" t="s">
        <v>673</v>
      </c>
      <c r="F133">
        <v>60</v>
      </c>
      <c r="G133">
        <v>1775470992.646512</v>
      </c>
      <c r="H133">
        <f t="shared" si="54"/>
        <v>7.7956453689512022E-4</v>
      </c>
      <c r="I133">
        <f>1000*AY133*AG133*(AU133-AV133)/(100*AN133*(1000-AG133*AU133))</f>
        <v>0.77956453689512017</v>
      </c>
      <c r="J133">
        <f>AY133*AG133*(AT133-AS133*(1000-AG133*AV133)/(1000-AG133*AU133))/(100*AN133)</f>
        <v>-4.4581616847917394E-2</v>
      </c>
      <c r="K133">
        <f t="shared" si="55"/>
        <v>16.89770558139535</v>
      </c>
      <c r="L133">
        <f t="shared" si="56"/>
        <v>19.263872396474106</v>
      </c>
      <c r="M133">
        <f>L133*(AZ133+BA133)/1000</f>
        <v>1.9296204872288389</v>
      </c>
      <c r="N133">
        <f>(AS133 - IF(AG133&gt;1, J133*AN133*100/(AI133), 0))*(AZ133+BA133)/1000</f>
        <v>1.6926066683762668</v>
      </c>
      <c r="O133">
        <f t="shared" si="57"/>
        <v>2.0699866755248247E-2</v>
      </c>
      <c r="P133">
        <f>IF(LEFT(AP133,1)&lt;&gt;"0",IF(LEFT(AP133,1)="1",3,AQ133),$D$5+$E$5*(BG133*AZ133/($K$5*1000))+$F$5*(BG133*AZ133/($K$5*1000))*MAX(MIN(AN133,$J$5),$I$5)*MAX(MIN(AN133,$J$5),$I$5)+$G$5*MAX(MIN(AN133,$J$5),$I$5)*(BG133*AZ133/($K$5*1000))+$H$5*(BG133*AZ133/($K$5*1000))*(BG133*AZ133/($K$5*1000)))</f>
        <v>2.3890862970114473</v>
      </c>
      <c r="Q133">
        <f>H133*(1000-(1000*0.61365*EXP(17.502*U133/(240.97+U133))/(AZ133+BA133)+AU133)/2)/(1000*0.61365*EXP(17.502*U133/(240.97+U133))/(AZ133+BA133)-AU133)</f>
        <v>2.0600742610305093E-2</v>
      </c>
      <c r="R133">
        <f t="shared" si="58"/>
        <v>1.2884330368755244E-2</v>
      </c>
      <c r="S133">
        <f t="shared" si="59"/>
        <v>8.3947659038372105E-2</v>
      </c>
      <c r="T133">
        <f>(BB133+(S133+2*0.95*0.0000000567*(((BB133+$B$7)+273)^4-(BB133+273)^4)-44100*H133)/(1.84*29.3*P133+8*0.95*0.0000000567*(BB133+273)^3))</f>
        <v>26.85396705347015</v>
      </c>
      <c r="U133">
        <f>($C$7*BC133+$D$7*BD133+$E$7*T133)</f>
        <v>27.230046511627911</v>
      </c>
      <c r="V133">
        <f t="shared" si="60"/>
        <v>3.6278045643674912</v>
      </c>
      <c r="W133">
        <f t="shared" si="61"/>
        <v>-2.6633755693157664</v>
      </c>
      <c r="X133">
        <f>AU133*(AZ133+BA133)/1000</f>
        <v>-9.5877374166284973E-2</v>
      </c>
      <c r="Y133">
        <f t="shared" si="62"/>
        <v>3.5998443205257873</v>
      </c>
      <c r="Z133">
        <f>(V133-AU133*(AZ133+BA133)/1000)</f>
        <v>3.723681938533776</v>
      </c>
      <c r="AA133">
        <f t="shared" si="63"/>
        <v>-34.378796077074803</v>
      </c>
      <c r="AB133">
        <f>2*29.3*P133*0.92*(BB133-U133)</f>
        <v>-16.988176384904371</v>
      </c>
      <c r="AC133">
        <f>2*0.95*0.0000000567*(((BB133+$B$7)+273)^4-(U133+273)^4)</f>
        <v>-1.5371009624118348</v>
      </c>
      <c r="AD133">
        <f t="shared" si="64"/>
        <v>-52.820125765352635</v>
      </c>
      <c r="AE133">
        <v>16</v>
      </c>
      <c r="AF133">
        <v>3</v>
      </c>
      <c r="AG133">
        <f t="shared" si="65"/>
        <v>1</v>
      </c>
      <c r="AH133">
        <f t="shared" si="66"/>
        <v>0</v>
      </c>
      <c r="AI133">
        <f t="shared" si="67"/>
        <v>25525.788999206758</v>
      </c>
      <c r="AJ133">
        <f t="shared" si="68"/>
        <v>0.43928654651162802</v>
      </c>
      <c r="AK133">
        <f t="shared" si="69"/>
        <v>0.35142923720930241</v>
      </c>
      <c r="AL133">
        <f t="shared" si="70"/>
        <v>0.8</v>
      </c>
      <c r="AM133">
        <f t="shared" si="71"/>
        <v>0.19109999999999999</v>
      </c>
      <c r="AN133">
        <v>3</v>
      </c>
      <c r="AO133">
        <v>0.5</v>
      </c>
      <c r="AP133" t="s">
        <v>317</v>
      </c>
      <c r="AQ133">
        <v>2</v>
      </c>
      <c r="AR133">
        <v>1775470992.646512</v>
      </c>
      <c r="AS133">
        <v>16.89770558139535</v>
      </c>
      <c r="AT133">
        <v>16.878879069767439</v>
      </c>
      <c r="AU133">
        <v>-0.95716723255813962</v>
      </c>
      <c r="AV133">
        <v>-1.4248879069767439</v>
      </c>
      <c r="AW133">
        <v>8.8557055813953482</v>
      </c>
      <c r="AX133">
        <v>0.22684420232558139</v>
      </c>
      <c r="AY133">
        <v>500.49789534883718</v>
      </c>
      <c r="AZ133">
        <v>100.1211279069767</v>
      </c>
      <c r="BA133">
        <v>4.6712053488372103E-2</v>
      </c>
      <c r="BB133">
        <v>27.0981511627907</v>
      </c>
      <c r="BC133">
        <v>27.230046511627911</v>
      </c>
      <c r="BD133">
        <v>999.89999999999941</v>
      </c>
      <c r="BE133">
        <v>0</v>
      </c>
      <c r="BF133">
        <v>0</v>
      </c>
      <c r="BG133">
        <v>4996.6627906976746</v>
      </c>
      <c r="BH133">
        <v>0.43928654651162802</v>
      </c>
      <c r="BI133">
        <v>43.596027906976737</v>
      </c>
      <c r="BJ133">
        <v>-1.5049699302325579E-2</v>
      </c>
      <c r="BK133">
        <v>16.84771860465116</v>
      </c>
      <c r="BL133">
        <v>16.854865116279068</v>
      </c>
      <c r="BM133">
        <v>0.46772104081395338</v>
      </c>
      <c r="BN133">
        <v>16.878879069767439</v>
      </c>
      <c r="BO133">
        <v>-1.4248879069767439</v>
      </c>
      <c r="BP133">
        <v>-9.5832698837209296E-2</v>
      </c>
      <c r="BQ133">
        <v>-0.1426615</v>
      </c>
      <c r="BR133">
        <v>-99.899999999999977</v>
      </c>
      <c r="BS133">
        <v>-99.899999999999977</v>
      </c>
      <c r="BT133">
        <v>1775471026.5999999</v>
      </c>
      <c r="BU133" t="s">
        <v>674</v>
      </c>
      <c r="BV133">
        <v>1775471026.5999999</v>
      </c>
      <c r="BW133">
        <v>1775469670</v>
      </c>
      <c r="BX133">
        <v>118</v>
      </c>
      <c r="BY133">
        <v>3.4000000000000002E-2</v>
      </c>
      <c r="BZ133">
        <v>-1E-3</v>
      </c>
      <c r="CA133">
        <v>8.0419999999999998</v>
      </c>
      <c r="CB133">
        <v>-1.1839999999999999</v>
      </c>
      <c r="CC133">
        <v>17</v>
      </c>
      <c r="CD133">
        <v>-1</v>
      </c>
      <c r="CE133">
        <v>0.23</v>
      </c>
      <c r="CF133">
        <v>0.05</v>
      </c>
      <c r="CG133">
        <v>16.956955000000001</v>
      </c>
      <c r="CH133">
        <v>0.48618538482910528</v>
      </c>
      <c r="CI133">
        <v>0.112111350042417</v>
      </c>
      <c r="CJ133">
        <v>-1</v>
      </c>
      <c r="CK133">
        <v>499.99153333333351</v>
      </c>
      <c r="CL133">
        <v>-6.8252292303610393E-2</v>
      </c>
      <c r="CM133">
        <v>5.512273174975342E-2</v>
      </c>
      <c r="CN133">
        <v>-1</v>
      </c>
      <c r="CO133">
        <v>0</v>
      </c>
      <c r="CP133">
        <v>0</v>
      </c>
      <c r="CQ133" t="s">
        <v>319</v>
      </c>
      <c r="CR133">
        <v>3.1675200000000001</v>
      </c>
      <c r="CS133">
        <v>2.6674000000000002</v>
      </c>
      <c r="CT133">
        <v>2.7122000000000001E-3</v>
      </c>
      <c r="CU133">
        <v>5.1100299999999998E-3</v>
      </c>
      <c r="CV133">
        <v>2.22886E-3</v>
      </c>
      <c r="CW133">
        <v>-1.2691900000000001E-2</v>
      </c>
      <c r="CX133">
        <v>21504.6</v>
      </c>
      <c r="CY133">
        <v>21837.7</v>
      </c>
      <c r="CZ133">
        <v>23091.1</v>
      </c>
      <c r="DA133">
        <v>22303.5</v>
      </c>
      <c r="DB133">
        <v>29714.400000000001</v>
      </c>
      <c r="DC133">
        <v>26939.5</v>
      </c>
      <c r="DD133">
        <v>40588.199999999997</v>
      </c>
      <c r="DE133">
        <v>36966.6</v>
      </c>
      <c r="DF133">
        <v>2.0759799999999999</v>
      </c>
      <c r="DG133">
        <v>1.7825800000000001</v>
      </c>
      <c r="DH133">
        <v>1.35601E-2</v>
      </c>
      <c r="DI133">
        <v>0</v>
      </c>
      <c r="DJ133">
        <v>26.999600000000001</v>
      </c>
      <c r="DK133">
        <v>999.9</v>
      </c>
      <c r="DL133">
        <v>72.900000000000006</v>
      </c>
      <c r="DM133">
        <v>31.4</v>
      </c>
      <c r="DN133">
        <v>33.603700000000003</v>
      </c>
      <c r="DO133">
        <v>30.591899999999999</v>
      </c>
      <c r="DP133">
        <v>10.929500000000001</v>
      </c>
      <c r="DQ133">
        <v>1</v>
      </c>
      <c r="DR133">
        <v>0.23511599999999999</v>
      </c>
      <c r="DS133">
        <v>0.12812899999999999</v>
      </c>
      <c r="DT133">
        <v>20.370200000000001</v>
      </c>
      <c r="DU133">
        <v>5.2135800000000003</v>
      </c>
      <c r="DV133">
        <v>11.8507</v>
      </c>
      <c r="DW133">
        <v>4.9677600000000002</v>
      </c>
      <c r="DX133">
        <v>3.2929599999999999</v>
      </c>
      <c r="DY133">
        <v>894.7</v>
      </c>
      <c r="DZ133">
        <v>0</v>
      </c>
      <c r="EA133">
        <v>3700.6</v>
      </c>
      <c r="EB133">
        <v>108.6</v>
      </c>
      <c r="EC133">
        <v>4.9715800000000003</v>
      </c>
      <c r="ED133">
        <v>1.87182</v>
      </c>
      <c r="EE133">
        <v>1.86904</v>
      </c>
      <c r="EF133">
        <v>1.8714</v>
      </c>
      <c r="EG133">
        <v>1.86917</v>
      </c>
      <c r="EH133">
        <v>1.8681300000000001</v>
      </c>
      <c r="EI133">
        <v>1.86995</v>
      </c>
      <c r="EJ133">
        <v>1.8717600000000001</v>
      </c>
      <c r="EK133">
        <v>0</v>
      </c>
      <c r="EL133">
        <v>0</v>
      </c>
      <c r="EM133">
        <v>0</v>
      </c>
      <c r="EN133">
        <v>0</v>
      </c>
      <c r="EO133" t="s">
        <v>320</v>
      </c>
      <c r="EP133" t="s">
        <v>321</v>
      </c>
      <c r="EQ133" t="s">
        <v>322</v>
      </c>
      <c r="ER133" t="s">
        <v>322</v>
      </c>
      <c r="ES133" t="s">
        <v>322</v>
      </c>
      <c r="ET133" t="s">
        <v>322</v>
      </c>
      <c r="EU133">
        <v>0</v>
      </c>
      <c r="EV133">
        <v>100</v>
      </c>
      <c r="EW133">
        <v>100</v>
      </c>
      <c r="EX133">
        <v>8.0419999999999998</v>
      </c>
      <c r="EY133">
        <v>-1.1839999999999999</v>
      </c>
      <c r="EZ133">
        <v>8.0078734999999988</v>
      </c>
      <c r="FA133">
        <v>0</v>
      </c>
      <c r="FB133">
        <v>0</v>
      </c>
      <c r="FC133">
        <v>0</v>
      </c>
      <c r="FD133">
        <v>-1.1840113809523809</v>
      </c>
      <c r="FE133">
        <v>0</v>
      </c>
      <c r="FF133">
        <v>0</v>
      </c>
      <c r="FG133">
        <v>0</v>
      </c>
      <c r="FH133">
        <v>-1</v>
      </c>
      <c r="FI133">
        <v>-1</v>
      </c>
      <c r="FJ133">
        <v>-1</v>
      </c>
      <c r="FK133">
        <v>-1</v>
      </c>
      <c r="FL133">
        <v>0.7</v>
      </c>
      <c r="FM133">
        <v>22.4</v>
      </c>
      <c r="FN133">
        <v>0.14160200000000001</v>
      </c>
      <c r="FO133">
        <v>4.99756</v>
      </c>
      <c r="FP133">
        <v>1.5979000000000001</v>
      </c>
      <c r="FQ133">
        <v>2.1496599999999999</v>
      </c>
      <c r="FR133">
        <v>1.5478499999999999</v>
      </c>
      <c r="FS133">
        <v>2.4706999999999999</v>
      </c>
      <c r="FT133">
        <v>35.2209</v>
      </c>
      <c r="FU133">
        <v>14.8325</v>
      </c>
      <c r="FV133">
        <v>2</v>
      </c>
      <c r="FW133">
        <v>494.154</v>
      </c>
      <c r="FX133">
        <v>398.20699999999999</v>
      </c>
      <c r="FY133">
        <v>27.49</v>
      </c>
      <c r="FZ133">
        <v>30.183599999999998</v>
      </c>
      <c r="GA133">
        <v>30.0001</v>
      </c>
      <c r="GB133">
        <v>30.500699999999998</v>
      </c>
      <c r="GC133">
        <v>30.556699999999999</v>
      </c>
      <c r="GD133">
        <v>-1</v>
      </c>
      <c r="GE133">
        <v>0</v>
      </c>
      <c r="GF133">
        <v>100</v>
      </c>
      <c r="GG133">
        <v>27.4908</v>
      </c>
      <c r="GH133">
        <v>432.1</v>
      </c>
      <c r="GI133">
        <v>78.840199999999996</v>
      </c>
      <c r="GJ133">
        <v>102.161</v>
      </c>
      <c r="GK133">
        <v>96.455699999999993</v>
      </c>
    </row>
    <row r="134" spans="1:193" x14ac:dyDescent="0.35">
      <c r="A134">
        <v>118</v>
      </c>
      <c r="B134">
        <v>1775471074.5999999</v>
      </c>
      <c r="C134">
        <v>7118.5</v>
      </c>
      <c r="D134" t="s">
        <v>675</v>
      </c>
      <c r="E134" t="s">
        <v>676</v>
      </c>
      <c r="F134">
        <v>60</v>
      </c>
      <c r="G134">
        <v>1775471050.2197909</v>
      </c>
      <c r="H134">
        <f t="shared" si="54"/>
        <v>8.2834733053428365E-4</v>
      </c>
      <c r="I134">
        <f>1000*AY134*AG134*(AU134-AV134)/(100*AN134*(1000-AG134*AU134))</f>
        <v>0.82834733053428367</v>
      </c>
      <c r="J134">
        <f>AY134*AG134*(AT134-AS134*(1000-AG134*AV134)/(1000-AG134*AU134))/(100*AN134)</f>
        <v>-0.37376818963320269</v>
      </c>
      <c r="K134">
        <f t="shared" si="55"/>
        <v>16.727376562500002</v>
      </c>
      <c r="L134">
        <f t="shared" si="56"/>
        <v>42.234052652418171</v>
      </c>
      <c r="M134">
        <f>L134*(AZ134+BA134)/1000</f>
        <v>4.2305325720911924</v>
      </c>
      <c r="N134">
        <f>(AS134 - IF(AG134&gt;1, J134*AN134*100/(AI134), 0))*(AZ134+BA134)/1000</f>
        <v>1.6755605240085636</v>
      </c>
      <c r="O134">
        <f t="shared" si="57"/>
        <v>2.2010119986932683E-2</v>
      </c>
      <c r="P134">
        <f>IF(LEFT(AP134,1)&lt;&gt;"0",IF(LEFT(AP134,1)="1",3,AQ134),$D$5+$E$5*(BG134*AZ134/($K$5*1000))+$F$5*(BG134*AZ134/($K$5*1000))*MAX(MIN(AN134,$J$5),$I$5)*MAX(MIN(AN134,$J$5),$I$5)+$G$5*MAX(MIN(AN134,$J$5),$I$5)*(BG134*AZ134/($K$5*1000))+$H$5*(BG134*AZ134/($K$5*1000))*(BG134*AZ134/($K$5*1000)))</f>
        <v>2.3894977692057275</v>
      </c>
      <c r="Q134">
        <f>H134*(1000-(1000*0.61365*EXP(17.502*U134/(240.97+U134))/(AZ134+BA134)+AU134)/2)/(1000*0.61365*EXP(17.502*U134/(240.97+U134))/(AZ134+BA134)-AU134)</f>
        <v>2.1898105879794415E-2</v>
      </c>
      <c r="R134">
        <f t="shared" si="58"/>
        <v>1.3696332566200384E-2</v>
      </c>
      <c r="S134">
        <f t="shared" si="59"/>
        <v>8.447839456874999E-2</v>
      </c>
      <c r="T134">
        <f>(BB134+(S134+2*0.95*0.0000000567*(((BB134+$B$7)+273)^4-(BB134+273)^4)-44100*H134)/(1.84*29.3*P134+8*0.95*0.0000000567*(BB134+273)^3))</f>
        <v>26.836484134542083</v>
      </c>
      <c r="U134">
        <f>($C$7*BC134+$D$7*BD134+$E$7*T134)</f>
        <v>27.22728020833334</v>
      </c>
      <c r="V134">
        <f t="shared" si="60"/>
        <v>3.627216200632664</v>
      </c>
      <c r="W134">
        <f t="shared" si="61"/>
        <v>-2.6420445715381753</v>
      </c>
      <c r="X134">
        <f>AU134*(AZ134+BA134)/1000</f>
        <v>-9.5097158908281507E-2</v>
      </c>
      <c r="Y134">
        <f t="shared" si="62"/>
        <v>3.5993775401342591</v>
      </c>
      <c r="Z134">
        <f>(V134-AU134*(AZ134+BA134)/1000)</f>
        <v>3.7223133595409457</v>
      </c>
      <c r="AA134">
        <f t="shared" si="63"/>
        <v>-36.53011727656191</v>
      </c>
      <c r="AB134">
        <f>2*29.3*P134*0.92*(BB134-U134)</f>
        <v>-16.919372908051756</v>
      </c>
      <c r="AC134">
        <f>2*0.95*0.0000000567*(((BB134+$B$7)+273)^4-(U134+273)^4)</f>
        <v>-1.530573903447807</v>
      </c>
      <c r="AD134">
        <f t="shared" si="64"/>
        <v>-54.89558569349272</v>
      </c>
      <c r="AE134">
        <v>17</v>
      </c>
      <c r="AF134">
        <v>3</v>
      </c>
      <c r="AG134">
        <f t="shared" si="65"/>
        <v>1</v>
      </c>
      <c r="AH134">
        <f t="shared" si="66"/>
        <v>0</v>
      </c>
      <c r="AI134">
        <f t="shared" si="67"/>
        <v>25532.203246060413</v>
      </c>
      <c r="AJ134">
        <f t="shared" si="68"/>
        <v>0.44206381249999999</v>
      </c>
      <c r="AK134">
        <f t="shared" si="69"/>
        <v>0.35365105000000002</v>
      </c>
      <c r="AL134">
        <f t="shared" si="70"/>
        <v>0.8</v>
      </c>
      <c r="AM134">
        <f t="shared" si="71"/>
        <v>0.19109999999999999</v>
      </c>
      <c r="AN134">
        <v>3</v>
      </c>
      <c r="AO134">
        <v>0.5</v>
      </c>
      <c r="AP134" t="s">
        <v>317</v>
      </c>
      <c r="AQ134">
        <v>2</v>
      </c>
      <c r="AR134">
        <v>1775471050.2197909</v>
      </c>
      <c r="AS134">
        <v>16.727376562500002</v>
      </c>
      <c r="AT134">
        <v>16.511624999999999</v>
      </c>
      <c r="AU134">
        <v>-0.9493694583333333</v>
      </c>
      <c r="AV134">
        <v>-1.446398854166667</v>
      </c>
      <c r="AW134">
        <v>8.6723765625000002</v>
      </c>
      <c r="AX134">
        <v>0.2346417645833333</v>
      </c>
      <c r="AY134">
        <v>500.45354166666669</v>
      </c>
      <c r="AZ134">
        <v>100.1219270833333</v>
      </c>
      <c r="BA134">
        <v>4.6830267708333338E-2</v>
      </c>
      <c r="BB134">
        <v>27.095941666666661</v>
      </c>
      <c r="BC134">
        <v>27.22728020833334</v>
      </c>
      <c r="BD134">
        <v>999.89999999999975</v>
      </c>
      <c r="BE134">
        <v>0</v>
      </c>
      <c r="BF134">
        <v>0</v>
      </c>
      <c r="BG134">
        <v>4997.682291666667</v>
      </c>
      <c r="BH134">
        <v>0.44206381249999999</v>
      </c>
      <c r="BI134">
        <v>42.191061458333337</v>
      </c>
      <c r="BJ134">
        <v>0.20219039229166669</v>
      </c>
      <c r="BK134">
        <v>16.697944791666671</v>
      </c>
      <c r="BL134">
        <v>16.487784375</v>
      </c>
      <c r="BM134">
        <v>0.49702880312500008</v>
      </c>
      <c r="BN134">
        <v>16.511624999999999</v>
      </c>
      <c r="BO134">
        <v>-1.446398854166667</v>
      </c>
      <c r="BP134">
        <v>-9.5052659375000001E-2</v>
      </c>
      <c r="BQ134">
        <v>-0.14481616666666669</v>
      </c>
      <c r="BR134">
        <v>-99.899999999999991</v>
      </c>
      <c r="BS134">
        <v>-99.899999999999991</v>
      </c>
      <c r="BT134">
        <v>1775471094.5999999</v>
      </c>
      <c r="BU134" t="s">
        <v>677</v>
      </c>
      <c r="BV134">
        <v>1775471094.5999999</v>
      </c>
      <c r="BW134">
        <v>1775469670</v>
      </c>
      <c r="BX134">
        <v>119</v>
      </c>
      <c r="BY134">
        <v>1.2999999999999999E-2</v>
      </c>
      <c r="BZ134">
        <v>-1E-3</v>
      </c>
      <c r="CA134">
        <v>8.0549999999999997</v>
      </c>
      <c r="CB134">
        <v>-1.1839999999999999</v>
      </c>
      <c r="CC134">
        <v>17</v>
      </c>
      <c r="CD134">
        <v>-1</v>
      </c>
      <c r="CE134">
        <v>0.37</v>
      </c>
      <c r="CF134">
        <v>0.05</v>
      </c>
      <c r="CG134">
        <v>16.204804918032789</v>
      </c>
      <c r="CH134">
        <v>0.1536139608672526</v>
      </c>
      <c r="CI134">
        <v>0.1903751175591209</v>
      </c>
      <c r="CJ134">
        <v>-1</v>
      </c>
      <c r="CK134">
        <v>500.00444262295082</v>
      </c>
      <c r="CL134">
        <v>9.197673188804989E-2</v>
      </c>
      <c r="CM134">
        <v>6.6263390132170613E-2</v>
      </c>
      <c r="CN134">
        <v>-1</v>
      </c>
      <c r="CO134">
        <v>0</v>
      </c>
      <c r="CP134">
        <v>0</v>
      </c>
      <c r="CQ134" t="s">
        <v>319</v>
      </c>
      <c r="CR134">
        <v>3.1674600000000002</v>
      </c>
      <c r="CS134">
        <v>2.6672199999999999</v>
      </c>
      <c r="CT134">
        <v>2.47635E-3</v>
      </c>
      <c r="CU134">
        <v>4.9839200000000002E-3</v>
      </c>
      <c r="CV134">
        <v>2.3020699999999998E-3</v>
      </c>
      <c r="CW134">
        <v>-1.2863299999999999E-2</v>
      </c>
      <c r="CX134">
        <v>21509.599999999999</v>
      </c>
      <c r="CY134">
        <v>21840.9</v>
      </c>
      <c r="CZ134">
        <v>23091</v>
      </c>
      <c r="DA134">
        <v>22303.9</v>
      </c>
      <c r="DB134">
        <v>29712.1</v>
      </c>
      <c r="DC134">
        <v>26944.400000000001</v>
      </c>
      <c r="DD134">
        <v>40588.1</v>
      </c>
      <c r="DE134">
        <v>36967.1</v>
      </c>
      <c r="DF134">
        <v>2.0758399999999999</v>
      </c>
      <c r="DG134">
        <v>1.7828999999999999</v>
      </c>
      <c r="DH134">
        <v>1.4966699999999999E-2</v>
      </c>
      <c r="DI134">
        <v>0</v>
      </c>
      <c r="DJ134">
        <v>26.985900000000001</v>
      </c>
      <c r="DK134">
        <v>999.9</v>
      </c>
      <c r="DL134">
        <v>73</v>
      </c>
      <c r="DM134">
        <v>31.4</v>
      </c>
      <c r="DN134">
        <v>33.649700000000003</v>
      </c>
      <c r="DO134">
        <v>30.561900000000001</v>
      </c>
      <c r="DP134">
        <v>10.885400000000001</v>
      </c>
      <c r="DQ134">
        <v>1</v>
      </c>
      <c r="DR134">
        <v>0.23497599999999999</v>
      </c>
      <c r="DS134">
        <v>8.3446599999999996E-2</v>
      </c>
      <c r="DT134">
        <v>20.370200000000001</v>
      </c>
      <c r="DU134">
        <v>5.21394</v>
      </c>
      <c r="DV134">
        <v>11.8505</v>
      </c>
      <c r="DW134">
        <v>4.968</v>
      </c>
      <c r="DX134">
        <v>3.2928600000000001</v>
      </c>
      <c r="DY134">
        <v>894.7</v>
      </c>
      <c r="DZ134">
        <v>0</v>
      </c>
      <c r="EA134">
        <v>3730.4</v>
      </c>
      <c r="EB134">
        <v>108.6</v>
      </c>
      <c r="EC134">
        <v>4.97159</v>
      </c>
      <c r="ED134">
        <v>1.87181</v>
      </c>
      <c r="EE134">
        <v>1.86904</v>
      </c>
      <c r="EF134">
        <v>1.8714599999999999</v>
      </c>
      <c r="EG134">
        <v>1.8691599999999999</v>
      </c>
      <c r="EH134">
        <v>1.86812</v>
      </c>
      <c r="EI134">
        <v>1.8699600000000001</v>
      </c>
      <c r="EJ134">
        <v>1.8717900000000001</v>
      </c>
      <c r="EK134">
        <v>0</v>
      </c>
      <c r="EL134">
        <v>0</v>
      </c>
      <c r="EM134">
        <v>0</v>
      </c>
      <c r="EN134">
        <v>0</v>
      </c>
      <c r="EO134" t="s">
        <v>320</v>
      </c>
      <c r="EP134" t="s">
        <v>321</v>
      </c>
      <c r="EQ134" t="s">
        <v>322</v>
      </c>
      <c r="ER134" t="s">
        <v>322</v>
      </c>
      <c r="ES134" t="s">
        <v>322</v>
      </c>
      <c r="ET134" t="s">
        <v>322</v>
      </c>
      <c r="EU134">
        <v>0</v>
      </c>
      <c r="EV134">
        <v>100</v>
      </c>
      <c r="EW134">
        <v>100</v>
      </c>
      <c r="EX134">
        <v>8.0549999999999997</v>
      </c>
      <c r="EY134">
        <v>-1.1839999999999999</v>
      </c>
      <c r="EZ134">
        <v>8.0417935000000043</v>
      </c>
      <c r="FA134">
        <v>0</v>
      </c>
      <c r="FB134">
        <v>0</v>
      </c>
      <c r="FC134">
        <v>0</v>
      </c>
      <c r="FD134">
        <v>-1.1840113809523809</v>
      </c>
      <c r="FE134">
        <v>0</v>
      </c>
      <c r="FF134">
        <v>0</v>
      </c>
      <c r="FG134">
        <v>0</v>
      </c>
      <c r="FH134">
        <v>-1</v>
      </c>
      <c r="FI134">
        <v>-1</v>
      </c>
      <c r="FJ134">
        <v>-1</v>
      </c>
      <c r="FK134">
        <v>-1</v>
      </c>
      <c r="FL134">
        <v>0.8</v>
      </c>
      <c r="FM134">
        <v>23.4</v>
      </c>
      <c r="FN134">
        <v>0.14160200000000001</v>
      </c>
      <c r="FO134">
        <v>4.99756</v>
      </c>
      <c r="FP134">
        <v>1.5979000000000001</v>
      </c>
      <c r="FQ134">
        <v>2.1484399999999999</v>
      </c>
      <c r="FR134">
        <v>1.5478499999999999</v>
      </c>
      <c r="FS134">
        <v>2.4621599999999999</v>
      </c>
      <c r="FT134">
        <v>35.197800000000001</v>
      </c>
      <c r="FU134">
        <v>14.815</v>
      </c>
      <c r="FV134">
        <v>2</v>
      </c>
      <c r="FW134">
        <v>494.053</v>
      </c>
      <c r="FX134">
        <v>398.37200000000001</v>
      </c>
      <c r="FY134">
        <v>27.522500000000001</v>
      </c>
      <c r="FZ134">
        <v>30.183599999999998</v>
      </c>
      <c r="GA134">
        <v>30.0001</v>
      </c>
      <c r="GB134">
        <v>30.498100000000001</v>
      </c>
      <c r="GC134">
        <v>30.554200000000002</v>
      </c>
      <c r="GD134">
        <v>-1</v>
      </c>
      <c r="GE134">
        <v>0</v>
      </c>
      <c r="GF134">
        <v>100</v>
      </c>
      <c r="GG134">
        <v>27.523499999999999</v>
      </c>
      <c r="GH134">
        <v>432.1</v>
      </c>
      <c r="GI134">
        <v>78.840199999999996</v>
      </c>
      <c r="GJ134">
        <v>102.161</v>
      </c>
      <c r="GK134">
        <v>96.4572</v>
      </c>
    </row>
    <row r="135" spans="1:193" x14ac:dyDescent="0.35">
      <c r="A135">
        <v>119</v>
      </c>
      <c r="B135">
        <v>1775471134.5999999</v>
      </c>
      <c r="C135">
        <v>7178.5</v>
      </c>
      <c r="D135" t="s">
        <v>678</v>
      </c>
      <c r="E135" t="s">
        <v>679</v>
      </c>
      <c r="F135">
        <v>60</v>
      </c>
      <c r="G135">
        <v>1775471114.6000011</v>
      </c>
      <c r="H135">
        <f t="shared" si="54"/>
        <v>8.1469068006341907E-4</v>
      </c>
      <c r="I135">
        <f>1000*AY135*AG135*(AU135-AV135)/(100*AN135*(1000-AG135*AU135))</f>
        <v>0.81469068006341905</v>
      </c>
      <c r="J135">
        <f>AY135*AG135*(AT135-AS135*(1000-AG135*AV135)/(1000-AG135*AU135))/(100*AN135)</f>
        <v>-5.6374746406948804E-2</v>
      </c>
      <c r="K135">
        <f t="shared" si="55"/>
        <v>16.495290632911392</v>
      </c>
      <c r="L135">
        <f t="shared" si="56"/>
        <v>19.588790233907801</v>
      </c>
      <c r="M135">
        <f>L135*(AZ135+BA135)/1000</f>
        <v>1.9621766105050904</v>
      </c>
      <c r="N135">
        <f>(AS135 - IF(AG135&gt;1, J135*AN135*100/(AI135), 0))*(AZ135+BA135)/1000</f>
        <v>1.6523058890771305</v>
      </c>
      <c r="O135">
        <f t="shared" si="57"/>
        <v>2.1648219542382403E-2</v>
      </c>
      <c r="P135">
        <f>IF(LEFT(AP135,1)&lt;&gt;"0",IF(LEFT(AP135,1)="1",3,AQ135),$D$5+$E$5*(BG135*AZ135/($K$5*1000))+$F$5*(BG135*AZ135/($K$5*1000))*MAX(MIN(AN135,$J$5),$I$5)*MAX(MIN(AN135,$J$5),$I$5)+$G$5*MAX(MIN(AN135,$J$5),$I$5)*(BG135*AZ135/($K$5*1000))+$H$5*(BG135*AZ135/($K$5*1000))*(BG135*AZ135/($K$5*1000)))</f>
        <v>2.3913411288040916</v>
      </c>
      <c r="Q135">
        <f>H135*(1000-(1000*0.61365*EXP(17.502*U135/(240.97+U135))/(AZ135+BA135)+AU135)/2)/(1000*0.61365*EXP(17.502*U135/(240.97+U135))/(AZ135+BA135)-AU135)</f>
        <v>2.1539932023567323E-2</v>
      </c>
      <c r="R135">
        <f t="shared" si="58"/>
        <v>1.3472141455295123E-2</v>
      </c>
      <c r="S135">
        <f t="shared" si="59"/>
        <v>8.0788311170886071E-2</v>
      </c>
      <c r="T135">
        <f>(BB135+(S135+2*0.95*0.0000000567*(((BB135+$B$7)+273)^4-(BB135+273)^4)-44100*H135)/(1.84*29.3*P135+8*0.95*0.0000000567*(BB135+273)^3))</f>
        <v>26.843836624716918</v>
      </c>
      <c r="U135">
        <f>($C$7*BC135+$D$7*BD135+$E$7*T135)</f>
        <v>27.221150632911399</v>
      </c>
      <c r="V135">
        <f t="shared" si="60"/>
        <v>3.6259128008661068</v>
      </c>
      <c r="W135">
        <f t="shared" si="61"/>
        <v>-2.6647942249681851</v>
      </c>
      <c r="X135">
        <f>AU135*(AZ135+BA135)/1000</f>
        <v>-9.5932388768324814E-2</v>
      </c>
      <c r="Y135">
        <f t="shared" si="62"/>
        <v>3.5999923697474299</v>
      </c>
      <c r="Z135">
        <f>(V135-AU135*(AZ135+BA135)/1000)</f>
        <v>3.7218451896344318</v>
      </c>
      <c r="AA135">
        <f t="shared" si="63"/>
        <v>-35.927858990796778</v>
      </c>
      <c r="AB135">
        <f>2*29.3*P135*0.92*(BB135-U135)</f>
        <v>-15.766995320699255</v>
      </c>
      <c r="AC135">
        <f>2*0.95*0.0000000567*(((BB135+$B$7)+273)^4-(U135+273)^4)</f>
        <v>-1.4252041779087319</v>
      </c>
      <c r="AD135">
        <f t="shared" si="64"/>
        <v>-53.039270178233878</v>
      </c>
      <c r="AE135">
        <v>16</v>
      </c>
      <c r="AF135">
        <v>3</v>
      </c>
      <c r="AG135">
        <f t="shared" si="65"/>
        <v>1</v>
      </c>
      <c r="AH135">
        <f t="shared" si="66"/>
        <v>0</v>
      </c>
      <c r="AI135">
        <f t="shared" si="67"/>
        <v>25560.014520408968</v>
      </c>
      <c r="AJ135">
        <f t="shared" si="68"/>
        <v>0.4227541139240506</v>
      </c>
      <c r="AK135">
        <f t="shared" si="69"/>
        <v>0.33820329113924052</v>
      </c>
      <c r="AL135">
        <f t="shared" si="70"/>
        <v>0.8</v>
      </c>
      <c r="AM135">
        <f t="shared" si="71"/>
        <v>0.19109999999999999</v>
      </c>
      <c r="AN135">
        <v>3</v>
      </c>
      <c r="AO135">
        <v>0.5</v>
      </c>
      <c r="AP135" t="s">
        <v>317</v>
      </c>
      <c r="AQ135">
        <v>2</v>
      </c>
      <c r="AR135">
        <v>1775471114.6000011</v>
      </c>
      <c r="AS135">
        <v>16.495290632911392</v>
      </c>
      <c r="AT135">
        <v>16.469556962025319</v>
      </c>
      <c r="AU135">
        <v>-0.95771167088607612</v>
      </c>
      <c r="AV135">
        <v>-1.44646164556962</v>
      </c>
      <c r="AW135">
        <v>8.4662906329113916</v>
      </c>
      <c r="AX135">
        <v>0.2262995215189873</v>
      </c>
      <c r="AY135">
        <v>500.54483544303781</v>
      </c>
      <c r="AZ135">
        <v>100.1213924050633</v>
      </c>
      <c r="BA135">
        <v>4.6948113924050641E-2</v>
      </c>
      <c r="BB135">
        <v>27.098851898734189</v>
      </c>
      <c r="BC135">
        <v>27.221150632911399</v>
      </c>
      <c r="BD135">
        <v>999.8999999999993</v>
      </c>
      <c r="BE135">
        <v>0</v>
      </c>
      <c r="BF135">
        <v>0</v>
      </c>
      <c r="BG135">
        <v>5002.4556962025317</v>
      </c>
      <c r="BH135">
        <v>0.4227541139240506</v>
      </c>
      <c r="BI135">
        <v>40.612177215189867</v>
      </c>
      <c r="BJ135">
        <v>5.1775827468354428E-2</v>
      </c>
      <c r="BK135">
        <v>16.50552151898734</v>
      </c>
      <c r="BL135">
        <v>16.445773417721519</v>
      </c>
      <c r="BM135">
        <v>0.48875000518987338</v>
      </c>
      <c r="BN135">
        <v>16.469556962025319</v>
      </c>
      <c r="BO135">
        <v>-1.44646164556962</v>
      </c>
      <c r="BP135">
        <v>-9.5887445569620269E-2</v>
      </c>
      <c r="BQ135">
        <v>-0.14482184810126589</v>
      </c>
      <c r="BR135">
        <v>-99.899999999999963</v>
      </c>
      <c r="BS135">
        <v>-99.899999999999963</v>
      </c>
      <c r="BT135">
        <v>1775471156.5999999</v>
      </c>
      <c r="BU135" t="s">
        <v>680</v>
      </c>
      <c r="BV135">
        <v>1775471156.5999999</v>
      </c>
      <c r="BW135">
        <v>1775469670</v>
      </c>
      <c r="BX135">
        <v>120</v>
      </c>
      <c r="BY135">
        <v>-2.5999999999999999E-2</v>
      </c>
      <c r="BZ135">
        <v>-1E-3</v>
      </c>
      <c r="CA135">
        <v>8.0289999999999999</v>
      </c>
      <c r="CB135">
        <v>-1.1839999999999999</v>
      </c>
      <c r="CC135">
        <v>17</v>
      </c>
      <c r="CD135">
        <v>-1</v>
      </c>
      <c r="CE135">
        <v>0.51</v>
      </c>
      <c r="CF135">
        <v>0.05</v>
      </c>
      <c r="CG135">
        <v>16.429755737704919</v>
      </c>
      <c r="CH135">
        <v>1.8246257006874389</v>
      </c>
      <c r="CI135">
        <v>0.30626100436547182</v>
      </c>
      <c r="CJ135">
        <v>-1</v>
      </c>
      <c r="CK135">
        <v>500.00888524590158</v>
      </c>
      <c r="CL135">
        <v>-0.15445795875265489</v>
      </c>
      <c r="CM135">
        <v>7.277184160001203E-2</v>
      </c>
      <c r="CN135">
        <v>-1</v>
      </c>
      <c r="CO135">
        <v>0</v>
      </c>
      <c r="CP135">
        <v>0</v>
      </c>
      <c r="CQ135" t="s">
        <v>319</v>
      </c>
      <c r="CR135">
        <v>3.1675599999999999</v>
      </c>
      <c r="CS135">
        <v>2.6667100000000001</v>
      </c>
      <c r="CT135">
        <v>2.5981400000000001E-3</v>
      </c>
      <c r="CU135">
        <v>5.0460699999999997E-3</v>
      </c>
      <c r="CV135">
        <v>2.25465E-3</v>
      </c>
      <c r="CW135">
        <v>-1.29487E-2</v>
      </c>
      <c r="CX135">
        <v>21506.799999999999</v>
      </c>
      <c r="CY135">
        <v>21839.599999999999</v>
      </c>
      <c r="CZ135">
        <v>23090.799999999999</v>
      </c>
      <c r="DA135">
        <v>22304</v>
      </c>
      <c r="DB135">
        <v>29713.4</v>
      </c>
      <c r="DC135">
        <v>26946.799999999999</v>
      </c>
      <c r="DD135">
        <v>40587.9</v>
      </c>
      <c r="DE135">
        <v>36967.199999999997</v>
      </c>
      <c r="DF135">
        <v>2.0762999999999998</v>
      </c>
      <c r="DG135">
        <v>1.7825</v>
      </c>
      <c r="DH135">
        <v>1.47939E-2</v>
      </c>
      <c r="DI135">
        <v>0</v>
      </c>
      <c r="DJ135">
        <v>26.985900000000001</v>
      </c>
      <c r="DK135">
        <v>999.9</v>
      </c>
      <c r="DL135">
        <v>73.099999999999994</v>
      </c>
      <c r="DM135">
        <v>31.4</v>
      </c>
      <c r="DN135">
        <v>33.697099999999999</v>
      </c>
      <c r="DO135">
        <v>30.291899999999998</v>
      </c>
      <c r="DP135">
        <v>10.885400000000001</v>
      </c>
      <c r="DQ135">
        <v>1</v>
      </c>
      <c r="DR135">
        <v>0.234902</v>
      </c>
      <c r="DS135">
        <v>0.111619</v>
      </c>
      <c r="DT135">
        <v>20.369900000000001</v>
      </c>
      <c r="DU135">
        <v>5.2138200000000001</v>
      </c>
      <c r="DV135">
        <v>11.851100000000001</v>
      </c>
      <c r="DW135">
        <v>4.968</v>
      </c>
      <c r="DX135">
        <v>3.2928600000000001</v>
      </c>
      <c r="DY135">
        <v>894.7</v>
      </c>
      <c r="DZ135">
        <v>0</v>
      </c>
      <c r="EA135">
        <v>3765.1</v>
      </c>
      <c r="EB135">
        <v>108.6</v>
      </c>
      <c r="EC135">
        <v>4.97159</v>
      </c>
      <c r="ED135">
        <v>1.8717999999999999</v>
      </c>
      <c r="EE135">
        <v>1.86904</v>
      </c>
      <c r="EF135">
        <v>1.8714299999999999</v>
      </c>
      <c r="EG135">
        <v>1.8691899999999999</v>
      </c>
      <c r="EH135">
        <v>1.8681099999999999</v>
      </c>
      <c r="EI135">
        <v>1.8699600000000001</v>
      </c>
      <c r="EJ135">
        <v>1.87178</v>
      </c>
      <c r="EK135">
        <v>0</v>
      </c>
      <c r="EL135">
        <v>0</v>
      </c>
      <c r="EM135">
        <v>0</v>
      </c>
      <c r="EN135">
        <v>0</v>
      </c>
      <c r="EO135" t="s">
        <v>320</v>
      </c>
      <c r="EP135" t="s">
        <v>321</v>
      </c>
      <c r="EQ135" t="s">
        <v>322</v>
      </c>
      <c r="ER135" t="s">
        <v>322</v>
      </c>
      <c r="ES135" t="s">
        <v>322</v>
      </c>
      <c r="ET135" t="s">
        <v>322</v>
      </c>
      <c r="EU135">
        <v>0</v>
      </c>
      <c r="EV135">
        <v>100</v>
      </c>
      <c r="EW135">
        <v>100</v>
      </c>
      <c r="EX135">
        <v>8.0289999999999999</v>
      </c>
      <c r="EY135">
        <v>-1.1839999999999999</v>
      </c>
      <c r="EZ135">
        <v>8.0550409999999957</v>
      </c>
      <c r="FA135">
        <v>0</v>
      </c>
      <c r="FB135">
        <v>0</v>
      </c>
      <c r="FC135">
        <v>0</v>
      </c>
      <c r="FD135">
        <v>-1.1840113809523809</v>
      </c>
      <c r="FE135">
        <v>0</v>
      </c>
      <c r="FF135">
        <v>0</v>
      </c>
      <c r="FG135">
        <v>0</v>
      </c>
      <c r="FH135">
        <v>-1</v>
      </c>
      <c r="FI135">
        <v>-1</v>
      </c>
      <c r="FJ135">
        <v>-1</v>
      </c>
      <c r="FK135">
        <v>-1</v>
      </c>
      <c r="FL135">
        <v>0.7</v>
      </c>
      <c r="FM135">
        <v>24.4</v>
      </c>
      <c r="FN135">
        <v>0.14160200000000001</v>
      </c>
      <c r="FO135">
        <v>4.99756</v>
      </c>
      <c r="FP135">
        <v>1.5979000000000001</v>
      </c>
      <c r="FQ135">
        <v>2.1484399999999999</v>
      </c>
      <c r="FR135">
        <v>1.5478499999999999</v>
      </c>
      <c r="FS135">
        <v>2.4450699999999999</v>
      </c>
      <c r="FT135">
        <v>35.197800000000001</v>
      </c>
      <c r="FU135">
        <v>14.8062</v>
      </c>
      <c r="FV135">
        <v>2</v>
      </c>
      <c r="FW135">
        <v>494.3</v>
      </c>
      <c r="FX135">
        <v>398.11500000000001</v>
      </c>
      <c r="FY135">
        <v>27.5062</v>
      </c>
      <c r="FZ135">
        <v>30.181000000000001</v>
      </c>
      <c r="GA135">
        <v>30</v>
      </c>
      <c r="GB135">
        <v>30.4954</v>
      </c>
      <c r="GC135">
        <v>30.549399999999999</v>
      </c>
      <c r="GD135">
        <v>-1</v>
      </c>
      <c r="GE135">
        <v>0</v>
      </c>
      <c r="GF135">
        <v>100</v>
      </c>
      <c r="GG135">
        <v>27.503</v>
      </c>
      <c r="GH135">
        <v>432.1</v>
      </c>
      <c r="GI135">
        <v>78.840199999999996</v>
      </c>
      <c r="GJ135">
        <v>102.16</v>
      </c>
      <c r="GK135">
        <v>96.457499999999996</v>
      </c>
    </row>
    <row r="136" spans="1:193" x14ac:dyDescent="0.35">
      <c r="A136">
        <v>120</v>
      </c>
      <c r="B136">
        <v>1775471194.5999999</v>
      </c>
      <c r="C136">
        <v>7238.5</v>
      </c>
      <c r="D136" t="s">
        <v>681</v>
      </c>
      <c r="E136" t="s">
        <v>682</v>
      </c>
      <c r="F136">
        <v>60</v>
      </c>
      <c r="G136">
        <v>1775471175.5999999</v>
      </c>
      <c r="H136">
        <f t="shared" si="54"/>
        <v>8.1075613527388578E-4</v>
      </c>
      <c r="I136">
        <f>1000*AY136*AG136*(AU136-AV136)/(100*AN136*(1000-AG136*AU136))</f>
        <v>0.81075613527388579</v>
      </c>
      <c r="J136">
        <f>AY136*AG136*(AT136-AS136*(1000-AG136*AV136)/(1000-AG136*AU136))/(100*AN136)</f>
        <v>-0.14196403277834377</v>
      </c>
      <c r="K136">
        <f t="shared" si="55"/>
        <v>17.145509066666669</v>
      </c>
      <c r="L136">
        <f t="shared" si="56"/>
        <v>26.421828705268926</v>
      </c>
      <c r="M136">
        <f>L136*(AZ136+BA136)/1000</f>
        <v>2.6466624681608875</v>
      </c>
      <c r="N136">
        <f>(AS136 - IF(AG136&gt;1, J136*AN136*100/(AI136), 0))*(AZ136+BA136)/1000</f>
        <v>1.7174577827464954</v>
      </c>
      <c r="O136">
        <f t="shared" si="57"/>
        <v>2.1531919405070894E-2</v>
      </c>
      <c r="P136">
        <f>IF(LEFT(AP136,1)&lt;&gt;"0",IF(LEFT(AP136,1)="1",3,AQ136),$D$5+$E$5*(BG136*AZ136/($K$5*1000))+$F$5*(BG136*AZ136/($K$5*1000))*MAX(MIN(AN136,$J$5),$I$5)*MAX(MIN(AN136,$J$5),$I$5)+$G$5*MAX(MIN(AN136,$J$5),$I$5)*(BG136*AZ136/($K$5*1000))+$H$5*(BG136*AZ136/($K$5*1000))*(BG136*AZ136/($K$5*1000)))</f>
        <v>2.3887297391568265</v>
      </c>
      <c r="Q136">
        <f>H136*(1000-(1000*0.61365*EXP(17.502*U136/(240.97+U136))/(AZ136+BA136)+AU136)/2)/(1000*0.61365*EXP(17.502*U136/(240.97+U136))/(AZ136+BA136)-AU136)</f>
        <v>2.1424672667044155E-2</v>
      </c>
      <c r="R136">
        <f t="shared" si="58"/>
        <v>1.3400011472545626E-2</v>
      </c>
      <c r="S136">
        <f t="shared" si="59"/>
        <v>7.9854900943999996E-2</v>
      </c>
      <c r="T136">
        <f>(BB136+(S136+2*0.95*0.0000000567*(((BB136+$B$7)+273)^4-(BB136+273)^4)-44100*H136)/(1.84*29.3*P136+8*0.95*0.0000000567*(BB136+273)^3))</f>
        <v>26.848052038482347</v>
      </c>
      <c r="U136">
        <f>($C$7*BC136+$D$7*BD136+$E$7*T136)</f>
        <v>27.226253333333329</v>
      </c>
      <c r="V136">
        <f t="shared" si="60"/>
        <v>3.6269978162736143</v>
      </c>
      <c r="W136">
        <f t="shared" si="61"/>
        <v>-2.6895145523374393</v>
      </c>
      <c r="X136">
        <f>AU136*(AZ136+BA136)/1000</f>
        <v>-9.6840739393663111E-2</v>
      </c>
      <c r="Y136">
        <f t="shared" si="62"/>
        <v>3.6006772787118573</v>
      </c>
      <c r="Z136">
        <f>(V136-AU136*(AZ136+BA136)/1000)</f>
        <v>3.7238385556672773</v>
      </c>
      <c r="AA136">
        <f t="shared" si="63"/>
        <v>-35.754345565578362</v>
      </c>
      <c r="AB136">
        <f>2*29.3*P136*0.92*(BB136-U136)</f>
        <v>-15.989473506111997</v>
      </c>
      <c r="AC136">
        <f>2*0.95*0.0000000567*(((BB136+$B$7)+273)^4-(U136+273)^4)</f>
        <v>-1.4469547123708206</v>
      </c>
      <c r="AD136">
        <f t="shared" si="64"/>
        <v>-53.110918883117179</v>
      </c>
      <c r="AE136">
        <v>16</v>
      </c>
      <c r="AF136">
        <v>3</v>
      </c>
      <c r="AG136">
        <f t="shared" si="65"/>
        <v>1</v>
      </c>
      <c r="AH136">
        <f t="shared" si="66"/>
        <v>0</v>
      </c>
      <c r="AI136">
        <f t="shared" si="67"/>
        <v>25519.9898088679</v>
      </c>
      <c r="AJ136">
        <f t="shared" si="68"/>
        <v>0.41786970666666667</v>
      </c>
      <c r="AK136">
        <f t="shared" si="69"/>
        <v>0.33429576533333338</v>
      </c>
      <c r="AL136">
        <f t="shared" si="70"/>
        <v>0.8</v>
      </c>
      <c r="AM136">
        <f t="shared" si="71"/>
        <v>0.19109999999999999</v>
      </c>
      <c r="AN136">
        <v>3</v>
      </c>
      <c r="AO136">
        <v>0.5</v>
      </c>
      <c r="AP136" t="s">
        <v>317</v>
      </c>
      <c r="AQ136">
        <v>2</v>
      </c>
      <c r="AR136">
        <v>1775471175.5999999</v>
      </c>
      <c r="AS136">
        <v>17.145509066666669</v>
      </c>
      <c r="AT136">
        <v>17.068760000000001</v>
      </c>
      <c r="AU136">
        <v>-0.96676832000000024</v>
      </c>
      <c r="AV136">
        <v>-1.4531292</v>
      </c>
      <c r="AW136">
        <v>9.0935090666666678</v>
      </c>
      <c r="AX136">
        <v>0.21724315866666671</v>
      </c>
      <c r="AY136">
        <v>500.57888000000003</v>
      </c>
      <c r="AZ136">
        <v>100.12215999999999</v>
      </c>
      <c r="BA136">
        <v>4.7381543999999998E-2</v>
      </c>
      <c r="BB136">
        <v>27.102093333333329</v>
      </c>
      <c r="BC136">
        <v>27.226253333333329</v>
      </c>
      <c r="BD136">
        <v>999.89999999999964</v>
      </c>
      <c r="BE136">
        <v>0</v>
      </c>
      <c r="BF136">
        <v>0</v>
      </c>
      <c r="BG136">
        <v>4995.6933333333336</v>
      </c>
      <c r="BH136">
        <v>0.41786970666666667</v>
      </c>
      <c r="BI136">
        <v>39.164040000000007</v>
      </c>
      <c r="BJ136">
        <v>5.3409625866666657E-2</v>
      </c>
      <c r="BK136">
        <v>17.105644000000002</v>
      </c>
      <c r="BL136">
        <v>17.04399466666667</v>
      </c>
      <c r="BM136">
        <v>0.48636094533333329</v>
      </c>
      <c r="BN136">
        <v>17.068760000000001</v>
      </c>
      <c r="BO136">
        <v>-1.4531292</v>
      </c>
      <c r="BP136">
        <v>-9.6794891999999993E-2</v>
      </c>
      <c r="BQ136">
        <v>-0.1454904266666667</v>
      </c>
      <c r="BR136">
        <v>-99.899999999999977</v>
      </c>
      <c r="BS136">
        <v>-99.899999999999977</v>
      </c>
      <c r="BT136">
        <v>1775471216.5999999</v>
      </c>
      <c r="BU136" t="s">
        <v>683</v>
      </c>
      <c r="BV136">
        <v>1775471216.5999999</v>
      </c>
      <c r="BW136">
        <v>1775469670</v>
      </c>
      <c r="BX136">
        <v>121</v>
      </c>
      <c r="BY136">
        <v>2.3E-2</v>
      </c>
      <c r="BZ136">
        <v>-1E-3</v>
      </c>
      <c r="CA136">
        <v>8.0519999999999996</v>
      </c>
      <c r="CB136">
        <v>-1.1839999999999999</v>
      </c>
      <c r="CC136">
        <v>17</v>
      </c>
      <c r="CD136">
        <v>-1</v>
      </c>
      <c r="CE136">
        <v>0.18</v>
      </c>
      <c r="CF136">
        <v>0.05</v>
      </c>
      <c r="CG136">
        <v>17.146652459016391</v>
      </c>
      <c r="CH136">
        <v>0.62717165520889717</v>
      </c>
      <c r="CI136">
        <v>0.52692632502291048</v>
      </c>
      <c r="CJ136">
        <v>-1</v>
      </c>
      <c r="CK136">
        <v>500.10016393442629</v>
      </c>
      <c r="CL136">
        <v>-1.224247488101607</v>
      </c>
      <c r="CM136">
        <v>0.39713276387361168</v>
      </c>
      <c r="CN136">
        <v>-1</v>
      </c>
      <c r="CO136">
        <v>0</v>
      </c>
      <c r="CP136">
        <v>0</v>
      </c>
      <c r="CQ136" t="s">
        <v>319</v>
      </c>
      <c r="CR136">
        <v>3.1675599999999999</v>
      </c>
      <c r="CS136">
        <v>2.66683</v>
      </c>
      <c r="CT136">
        <v>2.7037099999999998E-3</v>
      </c>
      <c r="CU136">
        <v>5.0037199999999997E-3</v>
      </c>
      <c r="CV136">
        <v>2.2356899999999998E-3</v>
      </c>
      <c r="CW136">
        <v>-1.29058E-2</v>
      </c>
      <c r="CX136">
        <v>21504.9</v>
      </c>
      <c r="CY136">
        <v>21840.6</v>
      </c>
      <c r="CZ136">
        <v>23091.200000000001</v>
      </c>
      <c r="DA136">
        <v>22304.1</v>
      </c>
      <c r="DB136">
        <v>29714.5</v>
      </c>
      <c r="DC136">
        <v>26945.8</v>
      </c>
      <c r="DD136">
        <v>40588.6</v>
      </c>
      <c r="DE136">
        <v>36967.4</v>
      </c>
      <c r="DF136">
        <v>2.0762200000000002</v>
      </c>
      <c r="DG136">
        <v>1.7827</v>
      </c>
      <c r="DH136">
        <v>1.38164E-2</v>
      </c>
      <c r="DI136">
        <v>0</v>
      </c>
      <c r="DJ136">
        <v>26.990500000000001</v>
      </c>
      <c r="DK136">
        <v>999.9</v>
      </c>
      <c r="DL136">
        <v>73.099999999999994</v>
      </c>
      <c r="DM136">
        <v>31.4</v>
      </c>
      <c r="DN136">
        <v>33.696300000000001</v>
      </c>
      <c r="DO136">
        <v>30.201899999999998</v>
      </c>
      <c r="DP136">
        <v>10.8454</v>
      </c>
      <c r="DQ136">
        <v>1</v>
      </c>
      <c r="DR136">
        <v>0.23490900000000001</v>
      </c>
      <c r="DS136">
        <v>0.14671200000000001</v>
      </c>
      <c r="DT136">
        <v>20.369900000000001</v>
      </c>
      <c r="DU136">
        <v>5.2117800000000001</v>
      </c>
      <c r="DV136">
        <v>11.851000000000001</v>
      </c>
      <c r="DW136">
        <v>4.9675599999999998</v>
      </c>
      <c r="DX136">
        <v>3.2928999999999999</v>
      </c>
      <c r="DY136">
        <v>894.7</v>
      </c>
      <c r="DZ136">
        <v>0</v>
      </c>
      <c r="EA136">
        <v>3799.2</v>
      </c>
      <c r="EB136">
        <v>108.7</v>
      </c>
      <c r="EC136">
        <v>4.9716100000000001</v>
      </c>
      <c r="ED136">
        <v>1.8718300000000001</v>
      </c>
      <c r="EE136">
        <v>1.86904</v>
      </c>
      <c r="EF136">
        <v>1.8714599999999999</v>
      </c>
      <c r="EG136">
        <v>1.8691899999999999</v>
      </c>
      <c r="EH136">
        <v>1.86812</v>
      </c>
      <c r="EI136">
        <v>1.86995</v>
      </c>
      <c r="EJ136">
        <v>1.87178</v>
      </c>
      <c r="EK136">
        <v>0</v>
      </c>
      <c r="EL136">
        <v>0</v>
      </c>
      <c r="EM136">
        <v>0</v>
      </c>
      <c r="EN136">
        <v>0</v>
      </c>
      <c r="EO136" t="s">
        <v>320</v>
      </c>
      <c r="EP136" t="s">
        <v>321</v>
      </c>
      <c r="EQ136" t="s">
        <v>322</v>
      </c>
      <c r="ER136" t="s">
        <v>322</v>
      </c>
      <c r="ES136" t="s">
        <v>322</v>
      </c>
      <c r="ET136" t="s">
        <v>322</v>
      </c>
      <c r="EU136">
        <v>0</v>
      </c>
      <c r="EV136">
        <v>100</v>
      </c>
      <c r="EW136">
        <v>100</v>
      </c>
      <c r="EX136">
        <v>8.0519999999999996</v>
      </c>
      <c r="EY136">
        <v>-1.1839999999999999</v>
      </c>
      <c r="EZ136">
        <v>8.0286560000000033</v>
      </c>
      <c r="FA136">
        <v>0</v>
      </c>
      <c r="FB136">
        <v>0</v>
      </c>
      <c r="FC136">
        <v>0</v>
      </c>
      <c r="FD136">
        <v>-1.1840113809523809</v>
      </c>
      <c r="FE136">
        <v>0</v>
      </c>
      <c r="FF136">
        <v>0</v>
      </c>
      <c r="FG136">
        <v>0</v>
      </c>
      <c r="FH136">
        <v>-1</v>
      </c>
      <c r="FI136">
        <v>-1</v>
      </c>
      <c r="FJ136">
        <v>-1</v>
      </c>
      <c r="FK136">
        <v>-1</v>
      </c>
      <c r="FL136">
        <v>0.6</v>
      </c>
      <c r="FM136">
        <v>25.4</v>
      </c>
      <c r="FN136">
        <v>0.14160200000000001</v>
      </c>
      <c r="FO136">
        <v>4.99756</v>
      </c>
      <c r="FP136">
        <v>1.5979000000000001</v>
      </c>
      <c r="FQ136">
        <v>2.1484399999999999</v>
      </c>
      <c r="FR136">
        <v>1.5478499999999999</v>
      </c>
      <c r="FS136">
        <v>2.4609399999999999</v>
      </c>
      <c r="FT136">
        <v>35.174700000000001</v>
      </c>
      <c r="FU136">
        <v>14.797499999999999</v>
      </c>
      <c r="FV136">
        <v>2</v>
      </c>
      <c r="FW136">
        <v>494.23399999999998</v>
      </c>
      <c r="FX136">
        <v>398.226</v>
      </c>
      <c r="FY136">
        <v>27.4862</v>
      </c>
      <c r="FZ136">
        <v>30.180499999999999</v>
      </c>
      <c r="GA136">
        <v>30.0001</v>
      </c>
      <c r="GB136">
        <v>30.492899999999999</v>
      </c>
      <c r="GC136">
        <v>30.548999999999999</v>
      </c>
      <c r="GD136">
        <v>-1</v>
      </c>
      <c r="GE136">
        <v>0</v>
      </c>
      <c r="GF136">
        <v>100</v>
      </c>
      <c r="GG136">
        <v>27.4832</v>
      </c>
      <c r="GH136">
        <v>432.1</v>
      </c>
      <c r="GI136">
        <v>78.840199999999996</v>
      </c>
      <c r="GJ136">
        <v>102.16200000000001</v>
      </c>
      <c r="GK136">
        <v>96.457999999999998</v>
      </c>
    </row>
    <row r="138" spans="1:193" x14ac:dyDescent="0.35">
      <c r="O138" s="2">
        <f>AVERAGE(O17:O136)</f>
        <v>6.4574460423873617E-2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332</v>
      </c>
      <c r="B16" t="s">
        <v>333</v>
      </c>
    </row>
    <row r="17" spans="1:2" x14ac:dyDescent="0.35">
      <c r="A17" t="s">
        <v>334</v>
      </c>
      <c r="B17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Ozkar Homzah</cp:lastModifiedBy>
  <dcterms:created xsi:type="dcterms:W3CDTF">2026-04-06T10:25:50Z</dcterms:created>
  <dcterms:modified xsi:type="dcterms:W3CDTF">2026-04-07T07:42:06Z</dcterms:modified>
</cp:coreProperties>
</file>