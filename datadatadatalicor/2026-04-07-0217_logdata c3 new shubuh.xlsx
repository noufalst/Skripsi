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Pengukuran 2025\Data LiCOR\Penelitian GreenRoof (soil) 2026\"/>
    </mc:Choice>
  </mc:AlternateContent>
  <xr:revisionPtr revIDLastSave="0" documentId="13_ncr:1_{C99E46EF-6FD8-45A8-BF60-BAB5D4A93AC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69" i="1" l="1"/>
  <c r="AM165" i="1"/>
  <c r="AL165" i="1"/>
  <c r="AJ165" i="1"/>
  <c r="AK165" i="1" s="1"/>
  <c r="AI165" i="1"/>
  <c r="AG165" i="1" s="1"/>
  <c r="Y165" i="1"/>
  <c r="W165" i="1" s="1"/>
  <c r="X165" i="1"/>
  <c r="P165" i="1"/>
  <c r="AM164" i="1"/>
  <c r="AL164" i="1"/>
  <c r="AJ164" i="1"/>
  <c r="AK164" i="1" s="1"/>
  <c r="AI164" i="1"/>
  <c r="AG164" i="1"/>
  <c r="Y164" i="1"/>
  <c r="X164" i="1"/>
  <c r="W164" i="1"/>
  <c r="P164" i="1"/>
  <c r="AM163" i="1"/>
  <c r="AL163" i="1"/>
  <c r="AJ163" i="1"/>
  <c r="AK163" i="1" s="1"/>
  <c r="AI163" i="1"/>
  <c r="AG163" i="1" s="1"/>
  <c r="Y163" i="1"/>
  <c r="W163" i="1" s="1"/>
  <c r="X163" i="1"/>
  <c r="P163" i="1"/>
  <c r="AM162" i="1"/>
  <c r="AL162" i="1"/>
  <c r="AK162" i="1"/>
  <c r="AJ162" i="1"/>
  <c r="AI162" i="1"/>
  <c r="AG162" i="1"/>
  <c r="Y162" i="1"/>
  <c r="X162" i="1"/>
  <c r="W162" i="1"/>
  <c r="S162" i="1"/>
  <c r="T162" i="1" s="1"/>
  <c r="U162" i="1" s="1"/>
  <c r="P162" i="1"/>
  <c r="N162" i="1"/>
  <c r="K162" i="1"/>
  <c r="I162" i="1"/>
  <c r="H162" i="1"/>
  <c r="AA162" i="1" s="1"/>
  <c r="AM161" i="1"/>
  <c r="AL161" i="1"/>
  <c r="AJ161" i="1"/>
  <c r="AI161" i="1"/>
  <c r="AG161" i="1"/>
  <c r="Y161" i="1"/>
  <c r="X161" i="1"/>
  <c r="W161" i="1"/>
  <c r="P161" i="1"/>
  <c r="N161" i="1"/>
  <c r="AM160" i="1"/>
  <c r="AL160" i="1"/>
  <c r="AJ160" i="1"/>
  <c r="AK160" i="1" s="1"/>
  <c r="AI160" i="1"/>
  <c r="AH160" i="1"/>
  <c r="AG160" i="1"/>
  <c r="Y160" i="1"/>
  <c r="X160" i="1"/>
  <c r="W160" i="1" s="1"/>
  <c r="P160" i="1"/>
  <c r="K160" i="1"/>
  <c r="J160" i="1"/>
  <c r="AM159" i="1"/>
  <c r="AL159" i="1"/>
  <c r="AK159" i="1"/>
  <c r="AJ159" i="1"/>
  <c r="S159" i="1" s="1"/>
  <c r="AI159" i="1"/>
  <c r="AG159" i="1" s="1"/>
  <c r="AH159" i="1" s="1"/>
  <c r="Y159" i="1"/>
  <c r="X159" i="1"/>
  <c r="W159" i="1" s="1"/>
  <c r="P159" i="1"/>
  <c r="N159" i="1"/>
  <c r="K159" i="1"/>
  <c r="I159" i="1"/>
  <c r="H159" i="1"/>
  <c r="AM158" i="1"/>
  <c r="AL158" i="1"/>
  <c r="AK158" i="1"/>
  <c r="AJ158" i="1"/>
  <c r="AI158" i="1"/>
  <c r="AG158" i="1" s="1"/>
  <c r="Y158" i="1"/>
  <c r="X158" i="1"/>
  <c r="W158" i="1" s="1"/>
  <c r="S158" i="1"/>
  <c r="P158" i="1"/>
  <c r="N158" i="1"/>
  <c r="AM157" i="1"/>
  <c r="AL157" i="1"/>
  <c r="AJ157" i="1"/>
  <c r="AI157" i="1"/>
  <c r="AG157" i="1" s="1"/>
  <c r="I157" i="1" s="1"/>
  <c r="H157" i="1" s="1"/>
  <c r="Y157" i="1"/>
  <c r="X157" i="1"/>
  <c r="W157" i="1"/>
  <c r="P157" i="1"/>
  <c r="N157" i="1"/>
  <c r="AM156" i="1"/>
  <c r="AL156" i="1"/>
  <c r="AJ156" i="1"/>
  <c r="AI156" i="1"/>
  <c r="AG156" i="1"/>
  <c r="Y156" i="1"/>
  <c r="X156" i="1"/>
  <c r="W156" i="1" s="1"/>
  <c r="P156" i="1"/>
  <c r="K156" i="1"/>
  <c r="J156" i="1"/>
  <c r="AM155" i="1"/>
  <c r="AL155" i="1"/>
  <c r="AK155" i="1"/>
  <c r="AJ155" i="1"/>
  <c r="AI155" i="1"/>
  <c r="AG155" i="1" s="1"/>
  <c r="AH155" i="1"/>
  <c r="Y155" i="1"/>
  <c r="X155" i="1"/>
  <c r="S155" i="1"/>
  <c r="P155" i="1"/>
  <c r="N155" i="1"/>
  <c r="K155" i="1"/>
  <c r="J155" i="1"/>
  <c r="I155" i="1"/>
  <c r="H155" i="1" s="1"/>
  <c r="AM154" i="1"/>
  <c r="AL154" i="1"/>
  <c r="AK154" i="1"/>
  <c r="AJ154" i="1"/>
  <c r="AI154" i="1"/>
  <c r="AG154" i="1"/>
  <c r="AA154" i="1"/>
  <c r="Y154" i="1"/>
  <c r="X154" i="1"/>
  <c r="T154" i="1"/>
  <c r="U154" i="1" s="1"/>
  <c r="S154" i="1"/>
  <c r="P154" i="1"/>
  <c r="I154" i="1"/>
  <c r="H154" i="1" s="1"/>
  <c r="AM153" i="1"/>
  <c r="AL153" i="1"/>
  <c r="AJ153" i="1"/>
  <c r="AI153" i="1"/>
  <c r="AG153" i="1" s="1"/>
  <c r="Y153" i="1"/>
  <c r="W153" i="1" s="1"/>
  <c r="X153" i="1"/>
  <c r="P153" i="1"/>
  <c r="AM152" i="1"/>
  <c r="AL152" i="1"/>
  <c r="AK152" i="1" s="1"/>
  <c r="AJ152" i="1"/>
  <c r="S152" i="1" s="1"/>
  <c r="AI152" i="1"/>
  <c r="AG152" i="1"/>
  <c r="Y152" i="1"/>
  <c r="X152" i="1"/>
  <c r="W152" i="1"/>
  <c r="P152" i="1"/>
  <c r="K152" i="1"/>
  <c r="AM151" i="1"/>
  <c r="S151" i="1" s="1"/>
  <c r="AL151" i="1"/>
  <c r="AK151" i="1"/>
  <c r="AJ151" i="1"/>
  <c r="AI151" i="1"/>
  <c r="AG151" i="1" s="1"/>
  <c r="N151" i="1" s="1"/>
  <c r="AH151" i="1"/>
  <c r="Y151" i="1"/>
  <c r="X151" i="1"/>
  <c r="P151" i="1"/>
  <c r="K151" i="1"/>
  <c r="J151" i="1"/>
  <c r="AM150" i="1"/>
  <c r="AL150" i="1"/>
  <c r="AK150" i="1" s="1"/>
  <c r="AJ150" i="1"/>
  <c r="AI150" i="1"/>
  <c r="AG150" i="1" s="1"/>
  <c r="Y150" i="1"/>
  <c r="X150" i="1"/>
  <c r="W150" i="1"/>
  <c r="S150" i="1"/>
  <c r="P150" i="1"/>
  <c r="AM149" i="1"/>
  <c r="AL149" i="1"/>
  <c r="AJ149" i="1"/>
  <c r="AI149" i="1"/>
  <c r="AG149" i="1"/>
  <c r="J149" i="1" s="1"/>
  <c r="Y149" i="1"/>
  <c r="W149" i="1" s="1"/>
  <c r="X149" i="1"/>
  <c r="P149" i="1"/>
  <c r="AM148" i="1"/>
  <c r="S148" i="1" s="1"/>
  <c r="AL148" i="1"/>
  <c r="AK148" i="1" s="1"/>
  <c r="AJ148" i="1"/>
  <c r="AI148" i="1"/>
  <c r="AH148" i="1"/>
  <c r="AG148" i="1"/>
  <c r="Y148" i="1"/>
  <c r="X148" i="1"/>
  <c r="W148" i="1"/>
  <c r="P148" i="1"/>
  <c r="K148" i="1"/>
  <c r="J148" i="1"/>
  <c r="AM147" i="1"/>
  <c r="AL147" i="1"/>
  <c r="AJ147" i="1"/>
  <c r="AK147" i="1" s="1"/>
  <c r="AI147" i="1"/>
  <c r="AG147" i="1" s="1"/>
  <c r="Y147" i="1"/>
  <c r="X147" i="1"/>
  <c r="W147" i="1" s="1"/>
  <c r="P147" i="1"/>
  <c r="K147" i="1"/>
  <c r="AM146" i="1"/>
  <c r="AL146" i="1"/>
  <c r="AK146" i="1" s="1"/>
  <c r="AJ146" i="1"/>
  <c r="AI146" i="1"/>
  <c r="AG146" i="1" s="1"/>
  <c r="Y146" i="1"/>
  <c r="X146" i="1"/>
  <c r="W146" i="1"/>
  <c r="S146" i="1"/>
  <c r="P146" i="1"/>
  <c r="AM145" i="1"/>
  <c r="AL145" i="1"/>
  <c r="AJ145" i="1"/>
  <c r="AI145" i="1"/>
  <c r="AG145" i="1"/>
  <c r="Y145" i="1"/>
  <c r="W145" i="1" s="1"/>
  <c r="X145" i="1"/>
  <c r="P145" i="1"/>
  <c r="I145" i="1"/>
  <c r="H145" i="1" s="1"/>
  <c r="AM144" i="1"/>
  <c r="S144" i="1" s="1"/>
  <c r="AL144" i="1"/>
  <c r="AJ144" i="1"/>
  <c r="AK144" i="1" s="1"/>
  <c r="AI144" i="1"/>
  <c r="AG144" i="1"/>
  <c r="Y144" i="1"/>
  <c r="X144" i="1"/>
  <c r="W144" i="1" s="1"/>
  <c r="P144" i="1"/>
  <c r="K144" i="1"/>
  <c r="J144" i="1"/>
  <c r="AM143" i="1"/>
  <c r="AL143" i="1"/>
  <c r="AJ143" i="1"/>
  <c r="AK143" i="1" s="1"/>
  <c r="AI143" i="1"/>
  <c r="AG143" i="1" s="1"/>
  <c r="AH143" i="1"/>
  <c r="AC143" i="1"/>
  <c r="Y143" i="1"/>
  <c r="X143" i="1"/>
  <c r="U143" i="1"/>
  <c r="T143" i="1"/>
  <c r="S143" i="1"/>
  <c r="P143" i="1"/>
  <c r="AB143" i="1" s="1"/>
  <c r="N143" i="1"/>
  <c r="K143" i="1"/>
  <c r="J143" i="1"/>
  <c r="I143" i="1"/>
  <c r="H143" i="1"/>
  <c r="AA143" i="1" s="1"/>
  <c r="AM142" i="1"/>
  <c r="AL142" i="1"/>
  <c r="AJ142" i="1"/>
  <c r="AK142" i="1" s="1"/>
  <c r="AI142" i="1"/>
  <c r="AG142" i="1" s="1"/>
  <c r="I142" i="1" s="1"/>
  <c r="H142" i="1" s="1"/>
  <c r="AH142" i="1"/>
  <c r="AB142" i="1"/>
  <c r="Y142" i="1"/>
  <c r="X142" i="1"/>
  <c r="W142" i="1" s="1"/>
  <c r="S142" i="1"/>
  <c r="T142" i="1" s="1"/>
  <c r="U142" i="1" s="1"/>
  <c r="P142" i="1"/>
  <c r="N142" i="1"/>
  <c r="K142" i="1"/>
  <c r="J142" i="1"/>
  <c r="AM141" i="1"/>
  <c r="AL141" i="1"/>
  <c r="AJ141" i="1"/>
  <c r="AI141" i="1"/>
  <c r="AH141" i="1"/>
  <c r="AG141" i="1"/>
  <c r="Y141" i="1"/>
  <c r="X141" i="1"/>
  <c r="W141" i="1"/>
  <c r="P141" i="1"/>
  <c r="N141" i="1"/>
  <c r="AM140" i="1"/>
  <c r="AL140" i="1"/>
  <c r="AK140" i="1"/>
  <c r="AJ140" i="1"/>
  <c r="S140" i="1" s="1"/>
  <c r="AI140" i="1"/>
  <c r="AG140" i="1"/>
  <c r="Y140" i="1"/>
  <c r="X140" i="1"/>
  <c r="W140" i="1"/>
  <c r="P140" i="1"/>
  <c r="N140" i="1"/>
  <c r="J140" i="1"/>
  <c r="AM139" i="1"/>
  <c r="AL139" i="1"/>
  <c r="AJ139" i="1"/>
  <c r="AI139" i="1"/>
  <c r="AG139" i="1" s="1"/>
  <c r="Y139" i="1"/>
  <c r="X139" i="1"/>
  <c r="W139" i="1" s="1"/>
  <c r="P139" i="1"/>
  <c r="AM138" i="1"/>
  <c r="AL138" i="1"/>
  <c r="AJ138" i="1"/>
  <c r="AI138" i="1"/>
  <c r="AG138" i="1" s="1"/>
  <c r="Y138" i="1"/>
  <c r="X138" i="1"/>
  <c r="W138" i="1" s="1"/>
  <c r="T138" i="1"/>
  <c r="U138" i="1" s="1"/>
  <c r="S138" i="1"/>
  <c r="P138" i="1"/>
  <c r="I138" i="1"/>
  <c r="H138" i="1" s="1"/>
  <c r="AM137" i="1"/>
  <c r="S137" i="1" s="1"/>
  <c r="AL137" i="1"/>
  <c r="AJ137" i="1"/>
  <c r="AI137" i="1"/>
  <c r="AG137" i="1"/>
  <c r="Y137" i="1"/>
  <c r="X137" i="1"/>
  <c r="W137" i="1" s="1"/>
  <c r="P137" i="1"/>
  <c r="N137" i="1"/>
  <c r="AM136" i="1"/>
  <c r="AL136" i="1"/>
  <c r="AJ136" i="1"/>
  <c r="AI136" i="1"/>
  <c r="AG136" i="1" s="1"/>
  <c r="Y136" i="1"/>
  <c r="X136" i="1"/>
  <c r="W136" i="1" s="1"/>
  <c r="P136" i="1"/>
  <c r="J136" i="1"/>
  <c r="AM135" i="1"/>
  <c r="AL135" i="1"/>
  <c r="AJ135" i="1"/>
  <c r="AK135" i="1" s="1"/>
  <c r="AI135" i="1"/>
  <c r="AG135" i="1"/>
  <c r="Y135" i="1"/>
  <c r="X135" i="1"/>
  <c r="W135" i="1"/>
  <c r="S135" i="1"/>
  <c r="P135" i="1"/>
  <c r="AM134" i="1"/>
  <c r="AL134" i="1"/>
  <c r="AJ134" i="1"/>
  <c r="AI134" i="1"/>
  <c r="AG134" i="1" s="1"/>
  <c r="K134" i="1" s="1"/>
  <c r="AH134" i="1"/>
  <c r="Y134" i="1"/>
  <c r="X134" i="1"/>
  <c r="P134" i="1"/>
  <c r="N134" i="1"/>
  <c r="J134" i="1"/>
  <c r="I134" i="1"/>
  <c r="H134" i="1" s="1"/>
  <c r="AM133" i="1"/>
  <c r="AL133" i="1"/>
  <c r="AK133" i="1"/>
  <c r="AJ133" i="1"/>
  <c r="AI133" i="1"/>
  <c r="AG133" i="1"/>
  <c r="Y133" i="1"/>
  <c r="X133" i="1"/>
  <c r="W133" i="1" s="1"/>
  <c r="S133" i="1"/>
  <c r="P133" i="1"/>
  <c r="K133" i="1"/>
  <c r="AM132" i="1"/>
  <c r="AL132" i="1"/>
  <c r="AJ132" i="1"/>
  <c r="AI132" i="1"/>
  <c r="AG132" i="1" s="1"/>
  <c r="Y132" i="1"/>
  <c r="X132" i="1"/>
  <c r="P132" i="1"/>
  <c r="N132" i="1"/>
  <c r="J132" i="1"/>
  <c r="I132" i="1"/>
  <c r="H132" i="1"/>
  <c r="AA132" i="1" s="1"/>
  <c r="AM131" i="1"/>
  <c r="AL131" i="1"/>
  <c r="AK131" i="1"/>
  <c r="AJ131" i="1"/>
  <c r="AI131" i="1"/>
  <c r="AG131" i="1"/>
  <c r="I131" i="1" s="1"/>
  <c r="Y131" i="1"/>
  <c r="X131" i="1"/>
  <c r="W131" i="1"/>
  <c r="S131" i="1"/>
  <c r="P131" i="1"/>
  <c r="K131" i="1"/>
  <c r="J131" i="1"/>
  <c r="H131" i="1"/>
  <c r="AM130" i="1"/>
  <c r="AL130" i="1"/>
  <c r="AJ130" i="1"/>
  <c r="AI130" i="1"/>
  <c r="AG130" i="1" s="1"/>
  <c r="K130" i="1" s="1"/>
  <c r="Y130" i="1"/>
  <c r="X130" i="1"/>
  <c r="P130" i="1"/>
  <c r="N130" i="1"/>
  <c r="I130" i="1"/>
  <c r="H130" i="1"/>
  <c r="AM129" i="1"/>
  <c r="AL129" i="1"/>
  <c r="AK129" i="1"/>
  <c r="AJ129" i="1"/>
  <c r="AI129" i="1"/>
  <c r="AG129" i="1"/>
  <c r="I129" i="1" s="1"/>
  <c r="Y129" i="1"/>
  <c r="X129" i="1"/>
  <c r="W129" i="1" s="1"/>
  <c r="S129" i="1"/>
  <c r="P129" i="1"/>
  <c r="K129" i="1"/>
  <c r="J129" i="1"/>
  <c r="H129" i="1"/>
  <c r="AM128" i="1"/>
  <c r="AL128" i="1"/>
  <c r="AJ128" i="1"/>
  <c r="AI128" i="1"/>
  <c r="AG128" i="1" s="1"/>
  <c r="AH128" i="1" s="1"/>
  <c r="Y128" i="1"/>
  <c r="X128" i="1"/>
  <c r="W128" i="1" s="1"/>
  <c r="T128" i="1"/>
  <c r="U128" i="1" s="1"/>
  <c r="AB128" i="1" s="1"/>
  <c r="S128" i="1"/>
  <c r="P128" i="1"/>
  <c r="K128" i="1"/>
  <c r="J128" i="1"/>
  <c r="I128" i="1"/>
  <c r="H128" i="1" s="1"/>
  <c r="AA128" i="1" s="1"/>
  <c r="AM127" i="1"/>
  <c r="AL127" i="1"/>
  <c r="AJ127" i="1"/>
  <c r="AI127" i="1"/>
  <c r="AG127" i="1"/>
  <c r="Y127" i="1"/>
  <c r="X127" i="1"/>
  <c r="W127" i="1"/>
  <c r="P127" i="1"/>
  <c r="I127" i="1"/>
  <c r="H127" i="1" s="1"/>
  <c r="AM126" i="1"/>
  <c r="S126" i="1" s="1"/>
  <c r="AL126" i="1"/>
  <c r="AK126" i="1"/>
  <c r="AJ126" i="1"/>
  <c r="AI126" i="1"/>
  <c r="AH126" i="1"/>
  <c r="AG126" i="1"/>
  <c r="Y126" i="1"/>
  <c r="X126" i="1"/>
  <c r="W126" i="1" s="1"/>
  <c r="P126" i="1"/>
  <c r="AM125" i="1"/>
  <c r="AL125" i="1"/>
  <c r="AK125" i="1"/>
  <c r="AJ125" i="1"/>
  <c r="AI125" i="1"/>
  <c r="AG125" i="1"/>
  <c r="J125" i="1" s="1"/>
  <c r="Y125" i="1"/>
  <c r="X125" i="1"/>
  <c r="W125" i="1"/>
  <c r="S125" i="1"/>
  <c r="P125" i="1"/>
  <c r="N125" i="1"/>
  <c r="K125" i="1"/>
  <c r="AM124" i="1"/>
  <c r="AL124" i="1"/>
  <c r="AK124" i="1"/>
  <c r="AJ124" i="1"/>
  <c r="AI124" i="1"/>
  <c r="AG124" i="1" s="1"/>
  <c r="Y124" i="1"/>
  <c r="W124" i="1" s="1"/>
  <c r="X124" i="1"/>
  <c r="S124" i="1"/>
  <c r="P124" i="1"/>
  <c r="AM123" i="1"/>
  <c r="AL123" i="1"/>
  <c r="AJ123" i="1"/>
  <c r="AI123" i="1"/>
  <c r="AG123" i="1"/>
  <c r="Y123" i="1"/>
  <c r="W123" i="1" s="1"/>
  <c r="X123" i="1"/>
  <c r="P123" i="1"/>
  <c r="AM122" i="1"/>
  <c r="S122" i="1" s="1"/>
  <c r="AL122" i="1"/>
  <c r="AK122" i="1"/>
  <c r="AJ122" i="1"/>
  <c r="AI122" i="1"/>
  <c r="AH122" i="1"/>
  <c r="AG122" i="1"/>
  <c r="Y122" i="1"/>
  <c r="X122" i="1"/>
  <c r="W122" i="1"/>
  <c r="P122" i="1"/>
  <c r="AM121" i="1"/>
  <c r="AL121" i="1"/>
  <c r="AK121" i="1"/>
  <c r="AJ121" i="1"/>
  <c r="AI121" i="1"/>
  <c r="AG121" i="1"/>
  <c r="J121" i="1" s="1"/>
  <c r="Y121" i="1"/>
  <c r="X121" i="1"/>
  <c r="W121" i="1"/>
  <c r="S121" i="1"/>
  <c r="P121" i="1"/>
  <c r="N121" i="1"/>
  <c r="K121" i="1"/>
  <c r="AM120" i="1"/>
  <c r="AL120" i="1"/>
  <c r="AK120" i="1"/>
  <c r="AJ120" i="1"/>
  <c r="AI120" i="1"/>
  <c r="AG120" i="1" s="1"/>
  <c r="Y120" i="1"/>
  <c r="W120" i="1" s="1"/>
  <c r="X120" i="1"/>
  <c r="S120" i="1"/>
  <c r="P120" i="1"/>
  <c r="AM119" i="1"/>
  <c r="AL119" i="1"/>
  <c r="AJ119" i="1"/>
  <c r="AI119" i="1"/>
  <c r="AG119" i="1"/>
  <c r="Y119" i="1"/>
  <c r="X119" i="1"/>
  <c r="W119" i="1"/>
  <c r="P119" i="1"/>
  <c r="AM118" i="1"/>
  <c r="S118" i="1" s="1"/>
  <c r="AL118" i="1"/>
  <c r="AK118" i="1" s="1"/>
  <c r="AJ118" i="1"/>
  <c r="AI118" i="1"/>
  <c r="AG118" i="1"/>
  <c r="Y118" i="1"/>
  <c r="X118" i="1"/>
  <c r="W118" i="1"/>
  <c r="P118" i="1"/>
  <c r="AM117" i="1"/>
  <c r="AL117" i="1"/>
  <c r="AK117" i="1"/>
  <c r="AJ117" i="1"/>
  <c r="AI117" i="1"/>
  <c r="AG117" i="1"/>
  <c r="J117" i="1" s="1"/>
  <c r="Y117" i="1"/>
  <c r="X117" i="1"/>
  <c r="W117" i="1"/>
  <c r="S117" i="1"/>
  <c r="P117" i="1"/>
  <c r="N117" i="1"/>
  <c r="K117" i="1"/>
  <c r="AM116" i="1"/>
  <c r="AL116" i="1"/>
  <c r="AJ116" i="1"/>
  <c r="AK116" i="1" s="1"/>
  <c r="AI116" i="1"/>
  <c r="AG116" i="1" s="1"/>
  <c r="Y116" i="1"/>
  <c r="W116" i="1" s="1"/>
  <c r="X116" i="1"/>
  <c r="S116" i="1"/>
  <c r="P116" i="1"/>
  <c r="K116" i="1"/>
  <c r="AM115" i="1"/>
  <c r="AL115" i="1"/>
  <c r="AJ115" i="1"/>
  <c r="AI115" i="1"/>
  <c r="AG115" i="1" s="1"/>
  <c r="Y115" i="1"/>
  <c r="X115" i="1"/>
  <c r="W115" i="1"/>
  <c r="P115" i="1"/>
  <c r="AM114" i="1"/>
  <c r="AL114" i="1"/>
  <c r="AJ114" i="1"/>
  <c r="AK114" i="1" s="1"/>
  <c r="AI114" i="1"/>
  <c r="AH114" i="1"/>
  <c r="AG114" i="1"/>
  <c r="Y114" i="1"/>
  <c r="X114" i="1"/>
  <c r="W114" i="1"/>
  <c r="P114" i="1"/>
  <c r="N114" i="1"/>
  <c r="AM113" i="1"/>
  <c r="AL113" i="1"/>
  <c r="AK113" i="1"/>
  <c r="AJ113" i="1"/>
  <c r="AI113" i="1"/>
  <c r="AG113" i="1"/>
  <c r="I113" i="1" s="1"/>
  <c r="H113" i="1" s="1"/>
  <c r="AA113" i="1"/>
  <c r="Y113" i="1"/>
  <c r="X113" i="1"/>
  <c r="W113" i="1"/>
  <c r="U113" i="1"/>
  <c r="T113" i="1"/>
  <c r="S113" i="1"/>
  <c r="P113" i="1"/>
  <c r="N113" i="1"/>
  <c r="K113" i="1"/>
  <c r="J113" i="1"/>
  <c r="AM112" i="1"/>
  <c r="AL112" i="1"/>
  <c r="AJ112" i="1"/>
  <c r="AI112" i="1"/>
  <c r="AG112" i="1" s="1"/>
  <c r="Y112" i="1"/>
  <c r="X112" i="1"/>
  <c r="W112" i="1" s="1"/>
  <c r="S112" i="1"/>
  <c r="P112" i="1"/>
  <c r="K112" i="1"/>
  <c r="J112" i="1"/>
  <c r="I112" i="1"/>
  <c r="H112" i="1" s="1"/>
  <c r="AM111" i="1"/>
  <c r="AL111" i="1"/>
  <c r="AJ111" i="1"/>
  <c r="AI111" i="1"/>
  <c r="AG111" i="1"/>
  <c r="Y111" i="1"/>
  <c r="X111" i="1"/>
  <c r="W111" i="1" s="1"/>
  <c r="P111" i="1"/>
  <c r="AM110" i="1"/>
  <c r="AL110" i="1"/>
  <c r="AJ110" i="1"/>
  <c r="AK110" i="1" s="1"/>
  <c r="AI110" i="1"/>
  <c r="AG110" i="1"/>
  <c r="Y110" i="1"/>
  <c r="X110" i="1"/>
  <c r="W110" i="1"/>
  <c r="P110" i="1"/>
  <c r="AM109" i="1"/>
  <c r="AL109" i="1"/>
  <c r="AK109" i="1" s="1"/>
  <c r="AJ109" i="1"/>
  <c r="AI109" i="1"/>
  <c r="AG109" i="1"/>
  <c r="AH109" i="1" s="1"/>
  <c r="AA109" i="1"/>
  <c r="Y109" i="1"/>
  <c r="X109" i="1"/>
  <c r="W109" i="1"/>
  <c r="S109" i="1"/>
  <c r="P109" i="1"/>
  <c r="N109" i="1"/>
  <c r="K109" i="1"/>
  <c r="J109" i="1"/>
  <c r="I109" i="1"/>
  <c r="H109" i="1"/>
  <c r="AM108" i="1"/>
  <c r="S108" i="1" s="1"/>
  <c r="AL108" i="1"/>
  <c r="AK108" i="1"/>
  <c r="AJ108" i="1"/>
  <c r="AI108" i="1"/>
  <c r="AG108" i="1"/>
  <c r="N108" i="1" s="1"/>
  <c r="Y108" i="1"/>
  <c r="X108" i="1"/>
  <c r="W108" i="1"/>
  <c r="P108" i="1"/>
  <c r="K108" i="1"/>
  <c r="AM107" i="1"/>
  <c r="S107" i="1" s="1"/>
  <c r="AL107" i="1"/>
  <c r="AK107" i="1" s="1"/>
  <c r="AJ107" i="1"/>
  <c r="AI107" i="1"/>
  <c r="AG107" i="1" s="1"/>
  <c r="Y107" i="1"/>
  <c r="X107" i="1"/>
  <c r="P107" i="1"/>
  <c r="AM106" i="1"/>
  <c r="AL106" i="1"/>
  <c r="AJ106" i="1"/>
  <c r="AK106" i="1" s="1"/>
  <c r="AI106" i="1"/>
  <c r="AG106" i="1" s="1"/>
  <c r="Y106" i="1"/>
  <c r="X106" i="1"/>
  <c r="W106" i="1"/>
  <c r="P106" i="1"/>
  <c r="AM105" i="1"/>
  <c r="AL105" i="1"/>
  <c r="AJ105" i="1"/>
  <c r="AK105" i="1" s="1"/>
  <c r="AI105" i="1"/>
  <c r="AG105" i="1" s="1"/>
  <c r="Y105" i="1"/>
  <c r="W105" i="1" s="1"/>
  <c r="X105" i="1"/>
  <c r="P105" i="1"/>
  <c r="I105" i="1"/>
  <c r="H105" i="1" s="1"/>
  <c r="AM104" i="1"/>
  <c r="S104" i="1" s="1"/>
  <c r="AL104" i="1"/>
  <c r="AK104" i="1"/>
  <c r="AJ104" i="1"/>
  <c r="AI104" i="1"/>
  <c r="AG104" i="1"/>
  <c r="Y104" i="1"/>
  <c r="X104" i="1"/>
  <c r="W104" i="1"/>
  <c r="P104" i="1"/>
  <c r="N104" i="1"/>
  <c r="AM103" i="1"/>
  <c r="AL103" i="1"/>
  <c r="AK103" i="1" s="1"/>
  <c r="AJ103" i="1"/>
  <c r="AI103" i="1"/>
  <c r="AG103" i="1" s="1"/>
  <c r="Y103" i="1"/>
  <c r="X103" i="1"/>
  <c r="W103" i="1" s="1"/>
  <c r="S103" i="1"/>
  <c r="P103" i="1"/>
  <c r="AM102" i="1"/>
  <c r="AL102" i="1"/>
  <c r="AJ102" i="1"/>
  <c r="AK102" i="1" s="1"/>
  <c r="AI102" i="1"/>
  <c r="AG102" i="1" s="1"/>
  <c r="Y102" i="1"/>
  <c r="W102" i="1" s="1"/>
  <c r="X102" i="1"/>
  <c r="P102" i="1"/>
  <c r="AM101" i="1"/>
  <c r="AL101" i="1"/>
  <c r="AJ101" i="1"/>
  <c r="AK101" i="1" s="1"/>
  <c r="AI101" i="1"/>
  <c r="AH101" i="1"/>
  <c r="AG101" i="1"/>
  <c r="Y101" i="1"/>
  <c r="X101" i="1"/>
  <c r="W101" i="1" s="1"/>
  <c r="P101" i="1"/>
  <c r="I101" i="1"/>
  <c r="H101" i="1" s="1"/>
  <c r="AM100" i="1"/>
  <c r="AL100" i="1"/>
  <c r="AK100" i="1"/>
  <c r="AJ100" i="1"/>
  <c r="AI100" i="1"/>
  <c r="AG100" i="1"/>
  <c r="Y100" i="1"/>
  <c r="X100" i="1"/>
  <c r="W100" i="1"/>
  <c r="S100" i="1"/>
  <c r="P100" i="1"/>
  <c r="AM99" i="1"/>
  <c r="S99" i="1" s="1"/>
  <c r="AL99" i="1"/>
  <c r="AK99" i="1"/>
  <c r="AJ99" i="1"/>
  <c r="AI99" i="1"/>
  <c r="AG99" i="1" s="1"/>
  <c r="Y99" i="1"/>
  <c r="X99" i="1"/>
  <c r="W99" i="1" s="1"/>
  <c r="P99" i="1"/>
  <c r="K99" i="1"/>
  <c r="I99" i="1"/>
  <c r="H99" i="1" s="1"/>
  <c r="AM98" i="1"/>
  <c r="AL98" i="1"/>
  <c r="AJ98" i="1"/>
  <c r="AK98" i="1" s="1"/>
  <c r="AI98" i="1"/>
  <c r="AG98" i="1"/>
  <c r="Y98" i="1"/>
  <c r="W98" i="1" s="1"/>
  <c r="X98" i="1"/>
  <c r="P98" i="1"/>
  <c r="AM97" i="1"/>
  <c r="AL97" i="1"/>
  <c r="AJ97" i="1"/>
  <c r="AK97" i="1" s="1"/>
  <c r="AI97" i="1"/>
  <c r="AG97" i="1"/>
  <c r="Y97" i="1"/>
  <c r="X97" i="1"/>
  <c r="W97" i="1"/>
  <c r="P97" i="1"/>
  <c r="AM96" i="1"/>
  <c r="AL96" i="1"/>
  <c r="AK96" i="1"/>
  <c r="AJ96" i="1"/>
  <c r="AI96" i="1"/>
  <c r="AG96" i="1"/>
  <c r="N96" i="1" s="1"/>
  <c r="Y96" i="1"/>
  <c r="X96" i="1"/>
  <c r="W96" i="1"/>
  <c r="S96" i="1"/>
  <c r="P96" i="1"/>
  <c r="AM95" i="1"/>
  <c r="AL95" i="1"/>
  <c r="AJ95" i="1"/>
  <c r="AI95" i="1"/>
  <c r="AG95" i="1" s="1"/>
  <c r="Y95" i="1"/>
  <c r="X95" i="1"/>
  <c r="S95" i="1"/>
  <c r="P95" i="1"/>
  <c r="N95" i="1"/>
  <c r="AM94" i="1"/>
  <c r="AL94" i="1"/>
  <c r="AK94" i="1"/>
  <c r="AJ94" i="1"/>
  <c r="AI94" i="1"/>
  <c r="AG94" i="1"/>
  <c r="AH94" i="1" s="1"/>
  <c r="Y94" i="1"/>
  <c r="X94" i="1"/>
  <c r="W94" i="1"/>
  <c r="S94" i="1"/>
  <c r="P94" i="1"/>
  <c r="N94" i="1"/>
  <c r="K94" i="1"/>
  <c r="J94" i="1"/>
  <c r="AM93" i="1"/>
  <c r="AL93" i="1"/>
  <c r="AJ93" i="1"/>
  <c r="AI93" i="1"/>
  <c r="AG93" i="1"/>
  <c r="Y93" i="1"/>
  <c r="X93" i="1"/>
  <c r="W93" i="1" s="1"/>
  <c r="P93" i="1"/>
  <c r="AM92" i="1"/>
  <c r="S92" i="1" s="1"/>
  <c r="AL92" i="1"/>
  <c r="AJ92" i="1"/>
  <c r="AI92" i="1"/>
  <c r="AH92" i="1"/>
  <c r="AG92" i="1"/>
  <c r="I92" i="1" s="1"/>
  <c r="AA92" i="1"/>
  <c r="Y92" i="1"/>
  <c r="X92" i="1"/>
  <c r="W92" i="1" s="1"/>
  <c r="U92" i="1"/>
  <c r="T92" i="1"/>
  <c r="P92" i="1"/>
  <c r="N92" i="1"/>
  <c r="K92" i="1"/>
  <c r="J92" i="1"/>
  <c r="H92" i="1"/>
  <c r="AM91" i="1"/>
  <c r="AL91" i="1"/>
  <c r="AK91" i="1" s="1"/>
  <c r="AJ91" i="1"/>
  <c r="AI91" i="1"/>
  <c r="AG91" i="1" s="1"/>
  <c r="I91" i="1" s="1"/>
  <c r="H91" i="1" s="1"/>
  <c r="AH91" i="1"/>
  <c r="AA91" i="1"/>
  <c r="Y91" i="1"/>
  <c r="X91" i="1"/>
  <c r="W91" i="1" s="1"/>
  <c r="T91" i="1"/>
  <c r="U91" i="1" s="1"/>
  <c r="S91" i="1"/>
  <c r="P91" i="1"/>
  <c r="K91" i="1"/>
  <c r="J91" i="1"/>
  <c r="AM90" i="1"/>
  <c r="AL90" i="1"/>
  <c r="AK90" i="1"/>
  <c r="AJ90" i="1"/>
  <c r="AI90" i="1"/>
  <c r="AG90" i="1" s="1"/>
  <c r="N90" i="1" s="1"/>
  <c r="AH90" i="1"/>
  <c r="Y90" i="1"/>
  <c r="X90" i="1"/>
  <c r="S90" i="1"/>
  <c r="P90" i="1"/>
  <c r="K90" i="1"/>
  <c r="J90" i="1"/>
  <c r="I90" i="1"/>
  <c r="H90" i="1"/>
  <c r="AM89" i="1"/>
  <c r="AL89" i="1"/>
  <c r="AK89" i="1"/>
  <c r="AJ89" i="1"/>
  <c r="AI89" i="1"/>
  <c r="AG89" i="1"/>
  <c r="Y89" i="1"/>
  <c r="W89" i="1" s="1"/>
  <c r="X89" i="1"/>
  <c r="S89" i="1"/>
  <c r="P89" i="1"/>
  <c r="I89" i="1"/>
  <c r="H89" i="1" s="1"/>
  <c r="AM88" i="1"/>
  <c r="S88" i="1" s="1"/>
  <c r="AL88" i="1"/>
  <c r="AJ88" i="1"/>
  <c r="AK88" i="1" s="1"/>
  <c r="AI88" i="1"/>
  <c r="AG88" i="1"/>
  <c r="Y88" i="1"/>
  <c r="X88" i="1"/>
  <c r="W88" i="1" s="1"/>
  <c r="T88" i="1"/>
  <c r="U88" i="1" s="1"/>
  <c r="P88" i="1"/>
  <c r="N88" i="1"/>
  <c r="I88" i="1"/>
  <c r="H88" i="1"/>
  <c r="AA88" i="1" s="1"/>
  <c r="AM87" i="1"/>
  <c r="AL87" i="1"/>
  <c r="AJ87" i="1"/>
  <c r="AI87" i="1"/>
  <c r="AG87" i="1"/>
  <c r="Y87" i="1"/>
  <c r="X87" i="1"/>
  <c r="W87" i="1"/>
  <c r="P87" i="1"/>
  <c r="N87" i="1"/>
  <c r="K87" i="1"/>
  <c r="J87" i="1"/>
  <c r="AM86" i="1"/>
  <c r="AL86" i="1"/>
  <c r="AJ86" i="1"/>
  <c r="AI86" i="1"/>
  <c r="AG86" i="1" s="1"/>
  <c r="N86" i="1" s="1"/>
  <c r="AH86" i="1"/>
  <c r="Y86" i="1"/>
  <c r="X86" i="1"/>
  <c r="W86" i="1" s="1"/>
  <c r="T86" i="1"/>
  <c r="U86" i="1" s="1"/>
  <c r="S86" i="1"/>
  <c r="P86" i="1"/>
  <c r="K86" i="1"/>
  <c r="J86" i="1"/>
  <c r="I86" i="1"/>
  <c r="H86" i="1" s="1"/>
  <c r="AM85" i="1"/>
  <c r="AL85" i="1"/>
  <c r="AJ85" i="1"/>
  <c r="AK85" i="1" s="1"/>
  <c r="AI85" i="1"/>
  <c r="AG85" i="1"/>
  <c r="Y85" i="1"/>
  <c r="X85" i="1"/>
  <c r="W85" i="1"/>
  <c r="S85" i="1"/>
  <c r="P85" i="1"/>
  <c r="J85" i="1"/>
  <c r="I85" i="1"/>
  <c r="H85" i="1" s="1"/>
  <c r="AM84" i="1"/>
  <c r="S84" i="1" s="1"/>
  <c r="AL84" i="1"/>
  <c r="AJ84" i="1"/>
  <c r="AI84" i="1"/>
  <c r="AG84" i="1"/>
  <c r="Y84" i="1"/>
  <c r="W84" i="1" s="1"/>
  <c r="X84" i="1"/>
  <c r="P84" i="1"/>
  <c r="I84" i="1"/>
  <c r="H84" i="1" s="1"/>
  <c r="AM83" i="1"/>
  <c r="AL83" i="1"/>
  <c r="AK83" i="1"/>
  <c r="AJ83" i="1"/>
  <c r="AI83" i="1"/>
  <c r="AG83" i="1"/>
  <c r="Y83" i="1"/>
  <c r="X83" i="1"/>
  <c r="W83" i="1"/>
  <c r="S83" i="1"/>
  <c r="P83" i="1"/>
  <c r="N83" i="1"/>
  <c r="K83" i="1"/>
  <c r="J83" i="1"/>
  <c r="AM82" i="1"/>
  <c r="S82" i="1" s="1"/>
  <c r="AL82" i="1"/>
  <c r="AJ82" i="1"/>
  <c r="AK82" i="1" s="1"/>
  <c r="AI82" i="1"/>
  <c r="AG82" i="1" s="1"/>
  <c r="AH82" i="1" s="1"/>
  <c r="Y82" i="1"/>
  <c r="X82" i="1"/>
  <c r="W82" i="1" s="1"/>
  <c r="P82" i="1"/>
  <c r="AM81" i="1"/>
  <c r="AL81" i="1"/>
  <c r="AJ81" i="1"/>
  <c r="AK81" i="1" s="1"/>
  <c r="AI81" i="1"/>
  <c r="AG81" i="1" s="1"/>
  <c r="K81" i="1" s="1"/>
  <c r="AH81" i="1"/>
  <c r="Y81" i="1"/>
  <c r="X81" i="1"/>
  <c r="W81" i="1"/>
  <c r="S81" i="1"/>
  <c r="P81" i="1"/>
  <c r="J81" i="1"/>
  <c r="AM80" i="1"/>
  <c r="AL80" i="1"/>
  <c r="AJ80" i="1"/>
  <c r="AI80" i="1"/>
  <c r="AH80" i="1"/>
  <c r="AG80" i="1"/>
  <c r="Y80" i="1"/>
  <c r="X80" i="1"/>
  <c r="W80" i="1"/>
  <c r="P80" i="1"/>
  <c r="I80" i="1"/>
  <c r="H80" i="1" s="1"/>
  <c r="AA80" i="1" s="1"/>
  <c r="AM79" i="1"/>
  <c r="AL79" i="1"/>
  <c r="AK79" i="1" s="1"/>
  <c r="AJ79" i="1"/>
  <c r="AI79" i="1"/>
  <c r="AG79" i="1"/>
  <c r="Y79" i="1"/>
  <c r="X79" i="1"/>
  <c r="W79" i="1"/>
  <c r="S79" i="1"/>
  <c r="P79" i="1"/>
  <c r="N79" i="1"/>
  <c r="K79" i="1"/>
  <c r="J79" i="1"/>
  <c r="AM78" i="1"/>
  <c r="AL78" i="1"/>
  <c r="AJ78" i="1"/>
  <c r="AI78" i="1"/>
  <c r="AG78" i="1" s="1"/>
  <c r="Y78" i="1"/>
  <c r="X78" i="1"/>
  <c r="W78" i="1" s="1"/>
  <c r="P78" i="1"/>
  <c r="AM77" i="1"/>
  <c r="AL77" i="1"/>
  <c r="AJ77" i="1"/>
  <c r="AI77" i="1"/>
  <c r="AG77" i="1" s="1"/>
  <c r="Y77" i="1"/>
  <c r="X77" i="1"/>
  <c r="W77" i="1" s="1"/>
  <c r="P77" i="1"/>
  <c r="AM76" i="1"/>
  <c r="AL76" i="1"/>
  <c r="AK76" i="1"/>
  <c r="AJ76" i="1"/>
  <c r="AI76" i="1"/>
  <c r="AG76" i="1"/>
  <c r="N76" i="1" s="1"/>
  <c r="Y76" i="1"/>
  <c r="X76" i="1"/>
  <c r="W76" i="1"/>
  <c r="S76" i="1"/>
  <c r="P76" i="1"/>
  <c r="K76" i="1"/>
  <c r="AM75" i="1"/>
  <c r="AL75" i="1"/>
  <c r="AJ75" i="1"/>
  <c r="AI75" i="1"/>
  <c r="AG75" i="1" s="1"/>
  <c r="Y75" i="1"/>
  <c r="X75" i="1"/>
  <c r="P75" i="1"/>
  <c r="J75" i="1"/>
  <c r="AM74" i="1"/>
  <c r="AL74" i="1"/>
  <c r="AK74" i="1"/>
  <c r="AJ74" i="1"/>
  <c r="AI74" i="1"/>
  <c r="AH74" i="1"/>
  <c r="AG74" i="1"/>
  <c r="K74" i="1" s="1"/>
  <c r="Y74" i="1"/>
  <c r="X74" i="1"/>
  <c r="W74" i="1" s="1"/>
  <c r="S74" i="1"/>
  <c r="P74" i="1"/>
  <c r="AM73" i="1"/>
  <c r="AL73" i="1"/>
  <c r="AJ73" i="1"/>
  <c r="AK73" i="1" s="1"/>
  <c r="AI73" i="1"/>
  <c r="AG73" i="1" s="1"/>
  <c r="Y73" i="1"/>
  <c r="X73" i="1"/>
  <c r="P73" i="1"/>
  <c r="AM72" i="1"/>
  <c r="AL72" i="1"/>
  <c r="AK72" i="1" s="1"/>
  <c r="AJ72" i="1"/>
  <c r="AI72" i="1"/>
  <c r="AG72" i="1"/>
  <c r="K72" i="1" s="1"/>
  <c r="Y72" i="1"/>
  <c r="X72" i="1"/>
  <c r="W72" i="1"/>
  <c r="S72" i="1"/>
  <c r="P72" i="1"/>
  <c r="AM71" i="1"/>
  <c r="S71" i="1" s="1"/>
  <c r="AL71" i="1"/>
  <c r="AK71" i="1" s="1"/>
  <c r="AJ71" i="1"/>
  <c r="AI71" i="1"/>
  <c r="AG71" i="1" s="1"/>
  <c r="Y71" i="1"/>
  <c r="X71" i="1"/>
  <c r="W71" i="1" s="1"/>
  <c r="P71" i="1"/>
  <c r="J71" i="1"/>
  <c r="I71" i="1"/>
  <c r="H71" i="1" s="1"/>
  <c r="AA71" i="1" s="1"/>
  <c r="AM70" i="1"/>
  <c r="AL70" i="1"/>
  <c r="AJ70" i="1"/>
  <c r="S70" i="1" s="1"/>
  <c r="AI70" i="1"/>
  <c r="AG70" i="1" s="1"/>
  <c r="Y70" i="1"/>
  <c r="X70" i="1"/>
  <c r="W70" i="1"/>
  <c r="P70" i="1"/>
  <c r="J70" i="1"/>
  <c r="I70" i="1"/>
  <c r="H70" i="1" s="1"/>
  <c r="AM69" i="1"/>
  <c r="AL69" i="1"/>
  <c r="AJ69" i="1"/>
  <c r="AK69" i="1" s="1"/>
  <c r="AI69" i="1"/>
  <c r="AG69" i="1"/>
  <c r="Y69" i="1"/>
  <c r="X69" i="1"/>
  <c r="W69" i="1"/>
  <c r="P69" i="1"/>
  <c r="AM68" i="1"/>
  <c r="AL68" i="1"/>
  <c r="AK68" i="1" s="1"/>
  <c r="AJ68" i="1"/>
  <c r="AI68" i="1"/>
  <c r="AG68" i="1"/>
  <c r="Y68" i="1"/>
  <c r="X68" i="1"/>
  <c r="W68" i="1"/>
  <c r="S68" i="1"/>
  <c r="P68" i="1"/>
  <c r="N68" i="1"/>
  <c r="K68" i="1"/>
  <c r="AM67" i="1"/>
  <c r="AL67" i="1"/>
  <c r="AK67" i="1"/>
  <c r="AJ67" i="1"/>
  <c r="S67" i="1" s="1"/>
  <c r="AI67" i="1"/>
  <c r="AG67" i="1" s="1"/>
  <c r="Y67" i="1"/>
  <c r="W67" i="1" s="1"/>
  <c r="X67" i="1"/>
  <c r="P67" i="1"/>
  <c r="K67" i="1"/>
  <c r="J67" i="1"/>
  <c r="AM66" i="1"/>
  <c r="AL66" i="1"/>
  <c r="AK66" i="1"/>
  <c r="AJ66" i="1"/>
  <c r="AI66" i="1"/>
  <c r="AG66" i="1" s="1"/>
  <c r="Y66" i="1"/>
  <c r="X66" i="1"/>
  <c r="W66" i="1"/>
  <c r="S66" i="1"/>
  <c r="P66" i="1"/>
  <c r="AM65" i="1"/>
  <c r="AL65" i="1"/>
  <c r="AJ65" i="1"/>
  <c r="AI65" i="1"/>
  <c r="AH65" i="1"/>
  <c r="AG65" i="1"/>
  <c r="J65" i="1" s="1"/>
  <c r="Y65" i="1"/>
  <c r="X65" i="1"/>
  <c r="W65" i="1" s="1"/>
  <c r="P65" i="1"/>
  <c r="I65" i="1"/>
  <c r="H65" i="1"/>
  <c r="AM64" i="1"/>
  <c r="AL64" i="1"/>
  <c r="AK64" i="1"/>
  <c r="AJ64" i="1"/>
  <c r="AI64" i="1"/>
  <c r="AG64" i="1"/>
  <c r="Y64" i="1"/>
  <c r="X64" i="1"/>
  <c r="W64" i="1"/>
  <c r="S64" i="1"/>
  <c r="P64" i="1"/>
  <c r="K64" i="1"/>
  <c r="AM63" i="1"/>
  <c r="S63" i="1" s="1"/>
  <c r="AL63" i="1"/>
  <c r="AK63" i="1" s="1"/>
  <c r="AJ63" i="1"/>
  <c r="AI63" i="1"/>
  <c r="AG63" i="1" s="1"/>
  <c r="Y63" i="1"/>
  <c r="X63" i="1"/>
  <c r="P63" i="1"/>
  <c r="K63" i="1"/>
  <c r="AM62" i="1"/>
  <c r="AL62" i="1"/>
  <c r="AJ62" i="1"/>
  <c r="AI62" i="1"/>
  <c r="AG62" i="1" s="1"/>
  <c r="AH62" i="1" s="1"/>
  <c r="Y62" i="1"/>
  <c r="X62" i="1"/>
  <c r="W62" i="1" s="1"/>
  <c r="P62" i="1"/>
  <c r="K62" i="1"/>
  <c r="J62" i="1"/>
  <c r="AM61" i="1"/>
  <c r="AL61" i="1"/>
  <c r="AJ61" i="1"/>
  <c r="AI61" i="1"/>
  <c r="AH61" i="1"/>
  <c r="AG61" i="1"/>
  <c r="Y61" i="1"/>
  <c r="X61" i="1"/>
  <c r="W61" i="1"/>
  <c r="P61" i="1"/>
  <c r="J61" i="1"/>
  <c r="I61" i="1"/>
  <c r="H61" i="1" s="1"/>
  <c r="AM60" i="1"/>
  <c r="AL60" i="1"/>
  <c r="AK60" i="1" s="1"/>
  <c r="AJ60" i="1"/>
  <c r="AI60" i="1"/>
  <c r="AH60" i="1"/>
  <c r="AG60" i="1"/>
  <c r="Y60" i="1"/>
  <c r="X60" i="1"/>
  <c r="W60" i="1" s="1"/>
  <c r="S60" i="1"/>
  <c r="P60" i="1"/>
  <c r="N60" i="1"/>
  <c r="AM59" i="1"/>
  <c r="AL59" i="1"/>
  <c r="AJ59" i="1"/>
  <c r="AI59" i="1"/>
  <c r="AG59" i="1" s="1"/>
  <c r="Y59" i="1"/>
  <c r="X59" i="1"/>
  <c r="W59" i="1" s="1"/>
  <c r="P59" i="1"/>
  <c r="N59" i="1"/>
  <c r="I59" i="1"/>
  <c r="H59" i="1" s="1"/>
  <c r="AM58" i="1"/>
  <c r="AL58" i="1"/>
  <c r="AJ58" i="1"/>
  <c r="S58" i="1" s="1"/>
  <c r="AI58" i="1"/>
  <c r="AG58" i="1" s="1"/>
  <c r="K58" i="1" s="1"/>
  <c r="Y58" i="1"/>
  <c r="X58" i="1"/>
  <c r="W58" i="1"/>
  <c r="P58" i="1"/>
  <c r="AM57" i="1"/>
  <c r="AL57" i="1"/>
  <c r="AJ57" i="1"/>
  <c r="AI57" i="1"/>
  <c r="AG57" i="1" s="1"/>
  <c r="AH57" i="1"/>
  <c r="Y57" i="1"/>
  <c r="X57" i="1"/>
  <c r="W57" i="1"/>
  <c r="P57" i="1"/>
  <c r="N57" i="1"/>
  <c r="J57" i="1"/>
  <c r="AM56" i="1"/>
  <c r="S56" i="1" s="1"/>
  <c r="AL56" i="1"/>
  <c r="AK56" i="1" s="1"/>
  <c r="AJ56" i="1"/>
  <c r="AI56" i="1"/>
  <c r="AH56" i="1"/>
  <c r="AG56" i="1"/>
  <c r="Y56" i="1"/>
  <c r="X56" i="1"/>
  <c r="W56" i="1"/>
  <c r="P56" i="1"/>
  <c r="N56" i="1"/>
  <c r="K56" i="1"/>
  <c r="AM55" i="1"/>
  <c r="AL55" i="1"/>
  <c r="AK55" i="1"/>
  <c r="AJ55" i="1"/>
  <c r="AI55" i="1"/>
  <c r="AG55" i="1" s="1"/>
  <c r="Y55" i="1"/>
  <c r="X55" i="1"/>
  <c r="W55" i="1" s="1"/>
  <c r="S55" i="1"/>
  <c r="P55" i="1"/>
  <c r="J55" i="1"/>
  <c r="AM54" i="1"/>
  <c r="AL54" i="1"/>
  <c r="AJ54" i="1"/>
  <c r="S54" i="1" s="1"/>
  <c r="AI54" i="1"/>
  <c r="AG54" i="1"/>
  <c r="Y54" i="1"/>
  <c r="X54" i="1"/>
  <c r="P54" i="1"/>
  <c r="I54" i="1"/>
  <c r="H54" i="1" s="1"/>
  <c r="AM53" i="1"/>
  <c r="AL53" i="1"/>
  <c r="AJ53" i="1"/>
  <c r="AI53" i="1"/>
  <c r="AG53" i="1" s="1"/>
  <c r="N53" i="1" s="1"/>
  <c r="Y53" i="1"/>
  <c r="X53" i="1"/>
  <c r="W53" i="1" s="1"/>
  <c r="P53" i="1"/>
  <c r="AM52" i="1"/>
  <c r="S52" i="1" s="1"/>
  <c r="AL52" i="1"/>
  <c r="AK52" i="1"/>
  <c r="AJ52" i="1"/>
  <c r="AI52" i="1"/>
  <c r="AG52" i="1"/>
  <c r="Y52" i="1"/>
  <c r="X52" i="1"/>
  <c r="W52" i="1" s="1"/>
  <c r="P52" i="1"/>
  <c r="N52" i="1"/>
  <c r="K52" i="1"/>
  <c r="AM51" i="1"/>
  <c r="AL51" i="1"/>
  <c r="AJ51" i="1"/>
  <c r="S51" i="1" s="1"/>
  <c r="AI51" i="1"/>
  <c r="AG51" i="1" s="1"/>
  <c r="AH51" i="1" s="1"/>
  <c r="Y51" i="1"/>
  <c r="X51" i="1"/>
  <c r="W51" i="1" s="1"/>
  <c r="P51" i="1"/>
  <c r="N51" i="1"/>
  <c r="K51" i="1"/>
  <c r="J51" i="1"/>
  <c r="I51" i="1"/>
  <c r="H51" i="1" s="1"/>
  <c r="AA51" i="1" s="1"/>
  <c r="AM50" i="1"/>
  <c r="AL50" i="1"/>
  <c r="AK50" i="1" s="1"/>
  <c r="AJ50" i="1"/>
  <c r="AI50" i="1"/>
  <c r="AH50" i="1"/>
  <c r="AG50" i="1"/>
  <c r="N50" i="1" s="1"/>
  <c r="AA50" i="1"/>
  <c r="Y50" i="1"/>
  <c r="W50" i="1" s="1"/>
  <c r="X50" i="1"/>
  <c r="S50" i="1"/>
  <c r="P50" i="1"/>
  <c r="J50" i="1"/>
  <c r="I50" i="1"/>
  <c r="H50" i="1" s="1"/>
  <c r="AM49" i="1"/>
  <c r="AL49" i="1"/>
  <c r="AJ49" i="1"/>
  <c r="AI49" i="1"/>
  <c r="AG49" i="1"/>
  <c r="N49" i="1" s="1"/>
  <c r="Y49" i="1"/>
  <c r="X49" i="1"/>
  <c r="P49" i="1"/>
  <c r="AM48" i="1"/>
  <c r="AL48" i="1"/>
  <c r="AK48" i="1" s="1"/>
  <c r="AJ48" i="1"/>
  <c r="AI48" i="1"/>
  <c r="AG48" i="1"/>
  <c r="Y48" i="1"/>
  <c r="X48" i="1"/>
  <c r="W48" i="1"/>
  <c r="S48" i="1"/>
  <c r="P48" i="1"/>
  <c r="AM47" i="1"/>
  <c r="S47" i="1" s="1"/>
  <c r="T47" i="1" s="1"/>
  <c r="U47" i="1" s="1"/>
  <c r="AL47" i="1"/>
  <c r="AK47" i="1" s="1"/>
  <c r="AJ47" i="1"/>
  <c r="AI47" i="1"/>
  <c r="AG47" i="1" s="1"/>
  <c r="AH47" i="1" s="1"/>
  <c r="Y47" i="1"/>
  <c r="X47" i="1"/>
  <c r="P47" i="1"/>
  <c r="K47" i="1"/>
  <c r="I47" i="1"/>
  <c r="H47" i="1" s="1"/>
  <c r="Q47" i="1" s="1"/>
  <c r="O47" i="1" s="1"/>
  <c r="R47" i="1" s="1"/>
  <c r="AM46" i="1"/>
  <c r="AL46" i="1"/>
  <c r="AJ46" i="1"/>
  <c r="AI46" i="1"/>
  <c r="AG46" i="1" s="1"/>
  <c r="Y46" i="1"/>
  <c r="X46" i="1"/>
  <c r="W46" i="1"/>
  <c r="P46" i="1"/>
  <c r="K46" i="1"/>
  <c r="AM45" i="1"/>
  <c r="AL45" i="1"/>
  <c r="AJ45" i="1"/>
  <c r="AI45" i="1"/>
  <c r="AH45" i="1"/>
  <c r="AG45" i="1"/>
  <c r="K45" i="1" s="1"/>
  <c r="Y45" i="1"/>
  <c r="W45" i="1" s="1"/>
  <c r="X45" i="1"/>
  <c r="P45" i="1"/>
  <c r="J45" i="1"/>
  <c r="I45" i="1"/>
  <c r="H45" i="1" s="1"/>
  <c r="AA45" i="1" s="1"/>
  <c r="AM44" i="1"/>
  <c r="S44" i="1" s="1"/>
  <c r="AL44" i="1"/>
  <c r="AK44" i="1" s="1"/>
  <c r="AJ44" i="1"/>
  <c r="AI44" i="1"/>
  <c r="AH44" i="1"/>
  <c r="AG44" i="1"/>
  <c r="Y44" i="1"/>
  <c r="X44" i="1"/>
  <c r="W44" i="1"/>
  <c r="P44" i="1"/>
  <c r="AM43" i="1"/>
  <c r="AL43" i="1"/>
  <c r="AJ43" i="1"/>
  <c r="AI43" i="1"/>
  <c r="AG43" i="1" s="1"/>
  <c r="J43" i="1" s="1"/>
  <c r="Y43" i="1"/>
  <c r="X43" i="1"/>
  <c r="W43" i="1" s="1"/>
  <c r="S43" i="1"/>
  <c r="P43" i="1"/>
  <c r="AM42" i="1"/>
  <c r="AL42" i="1"/>
  <c r="AJ42" i="1"/>
  <c r="AK42" i="1" s="1"/>
  <c r="AI42" i="1"/>
  <c r="AG42" i="1"/>
  <c r="Y42" i="1"/>
  <c r="X42" i="1"/>
  <c r="W42" i="1"/>
  <c r="S42" i="1"/>
  <c r="P42" i="1"/>
  <c r="K42" i="1"/>
  <c r="I42" i="1"/>
  <c r="H42" i="1"/>
  <c r="AM41" i="1"/>
  <c r="AL41" i="1"/>
  <c r="AJ41" i="1"/>
  <c r="AI41" i="1"/>
  <c r="AG41" i="1" s="1"/>
  <c r="AH41" i="1" s="1"/>
  <c r="Y41" i="1"/>
  <c r="X41" i="1"/>
  <c r="W41" i="1"/>
  <c r="P41" i="1"/>
  <c r="AM40" i="1"/>
  <c r="S40" i="1" s="1"/>
  <c r="AL40" i="1"/>
  <c r="AK40" i="1" s="1"/>
  <c r="AJ40" i="1"/>
  <c r="AI40" i="1"/>
  <c r="AH40" i="1"/>
  <c r="AG40" i="1"/>
  <c r="Y40" i="1"/>
  <c r="X40" i="1"/>
  <c r="W40" i="1"/>
  <c r="P40" i="1"/>
  <c r="N40" i="1"/>
  <c r="K40" i="1"/>
  <c r="AM39" i="1"/>
  <c r="AL39" i="1"/>
  <c r="AJ39" i="1"/>
  <c r="AK39" i="1" s="1"/>
  <c r="AI39" i="1"/>
  <c r="AG39" i="1" s="1"/>
  <c r="AH39" i="1" s="1"/>
  <c r="AA39" i="1"/>
  <c r="Y39" i="1"/>
  <c r="X39" i="1"/>
  <c r="W39" i="1" s="1"/>
  <c r="P39" i="1"/>
  <c r="N39" i="1"/>
  <c r="K39" i="1"/>
  <c r="J39" i="1"/>
  <c r="I39" i="1"/>
  <c r="H39" i="1" s="1"/>
  <c r="AM38" i="1"/>
  <c r="AL38" i="1"/>
  <c r="AK38" i="1"/>
  <c r="AJ38" i="1"/>
  <c r="AI38" i="1"/>
  <c r="AG38" i="1"/>
  <c r="I38" i="1" s="1"/>
  <c r="H38" i="1" s="1"/>
  <c r="Y38" i="1"/>
  <c r="X38" i="1"/>
  <c r="W38" i="1" s="1"/>
  <c r="S38" i="1"/>
  <c r="P38" i="1"/>
  <c r="AM37" i="1"/>
  <c r="AL37" i="1"/>
  <c r="AJ37" i="1"/>
  <c r="AI37" i="1"/>
  <c r="AG37" i="1" s="1"/>
  <c r="K37" i="1" s="1"/>
  <c r="AH37" i="1"/>
  <c r="Y37" i="1"/>
  <c r="X37" i="1"/>
  <c r="P37" i="1"/>
  <c r="N37" i="1"/>
  <c r="J37" i="1"/>
  <c r="I37" i="1"/>
  <c r="H37" i="1" s="1"/>
  <c r="AM36" i="1"/>
  <c r="AL36" i="1"/>
  <c r="AK36" i="1"/>
  <c r="AJ36" i="1"/>
  <c r="AI36" i="1"/>
  <c r="AG36" i="1"/>
  <c r="I36" i="1" s="1"/>
  <c r="AA36" i="1"/>
  <c r="Y36" i="1"/>
  <c r="X36" i="1"/>
  <c r="W36" i="1"/>
  <c r="S36" i="1"/>
  <c r="P36" i="1"/>
  <c r="H36" i="1"/>
  <c r="AM35" i="1"/>
  <c r="AL35" i="1"/>
  <c r="AJ35" i="1"/>
  <c r="AI35" i="1"/>
  <c r="AG35" i="1" s="1"/>
  <c r="K35" i="1" s="1"/>
  <c r="AH35" i="1"/>
  <c r="Y35" i="1"/>
  <c r="X35" i="1"/>
  <c r="P35" i="1"/>
  <c r="N35" i="1"/>
  <c r="J35" i="1"/>
  <c r="I35" i="1"/>
  <c r="H35" i="1" s="1"/>
  <c r="AM34" i="1"/>
  <c r="AL34" i="1"/>
  <c r="AK34" i="1"/>
  <c r="AJ34" i="1"/>
  <c r="AI34" i="1"/>
  <c r="AG34" i="1"/>
  <c r="I34" i="1" s="1"/>
  <c r="AA34" i="1"/>
  <c r="Y34" i="1"/>
  <c r="X34" i="1"/>
  <c r="W34" i="1"/>
  <c r="S34" i="1"/>
  <c r="P34" i="1"/>
  <c r="H34" i="1"/>
  <c r="AM33" i="1"/>
  <c r="AL33" i="1"/>
  <c r="AJ33" i="1"/>
  <c r="AI33" i="1"/>
  <c r="AG33" i="1" s="1"/>
  <c r="K33" i="1" s="1"/>
  <c r="AH33" i="1"/>
  <c r="Y33" i="1"/>
  <c r="X33" i="1"/>
  <c r="P33" i="1"/>
  <c r="N33" i="1"/>
  <c r="J33" i="1"/>
  <c r="I33" i="1"/>
  <c r="H33" i="1" s="1"/>
  <c r="AM32" i="1"/>
  <c r="AL32" i="1"/>
  <c r="AK32" i="1"/>
  <c r="AJ32" i="1"/>
  <c r="AI32" i="1"/>
  <c r="AG32" i="1"/>
  <c r="I32" i="1" s="1"/>
  <c r="AA32" i="1"/>
  <c r="Y32" i="1"/>
  <c r="X32" i="1"/>
  <c r="W32" i="1"/>
  <c r="S32" i="1"/>
  <c r="P32" i="1"/>
  <c r="H32" i="1"/>
  <c r="AM31" i="1"/>
  <c r="AL31" i="1"/>
  <c r="AJ31" i="1"/>
  <c r="AI31" i="1"/>
  <c r="AG31" i="1" s="1"/>
  <c r="K31" i="1" s="1"/>
  <c r="AH31" i="1"/>
  <c r="Y31" i="1"/>
  <c r="X31" i="1"/>
  <c r="P31" i="1"/>
  <c r="N31" i="1"/>
  <c r="J31" i="1"/>
  <c r="I31" i="1"/>
  <c r="H31" i="1" s="1"/>
  <c r="AM30" i="1"/>
  <c r="AL30" i="1"/>
  <c r="AK30" i="1"/>
  <c r="AJ30" i="1"/>
  <c r="AI30" i="1"/>
  <c r="AG30" i="1"/>
  <c r="I30" i="1" s="1"/>
  <c r="AA30" i="1"/>
  <c r="Y30" i="1"/>
  <c r="X30" i="1"/>
  <c r="W30" i="1"/>
  <c r="S30" i="1"/>
  <c r="P30" i="1"/>
  <c r="K30" i="1"/>
  <c r="H30" i="1"/>
  <c r="AM29" i="1"/>
  <c r="AL29" i="1"/>
  <c r="AJ29" i="1"/>
  <c r="AI29" i="1"/>
  <c r="AG29" i="1" s="1"/>
  <c r="K29" i="1" s="1"/>
  <c r="AH29" i="1"/>
  <c r="Y29" i="1"/>
  <c r="X29" i="1"/>
  <c r="P29" i="1"/>
  <c r="N29" i="1"/>
  <c r="J29" i="1"/>
  <c r="I29" i="1"/>
  <c r="H29" i="1" s="1"/>
  <c r="AM28" i="1"/>
  <c r="AL28" i="1"/>
  <c r="AK28" i="1"/>
  <c r="AJ28" i="1"/>
  <c r="AI28" i="1"/>
  <c r="AG28" i="1"/>
  <c r="I28" i="1" s="1"/>
  <c r="AA28" i="1"/>
  <c r="Y28" i="1"/>
  <c r="X28" i="1"/>
  <c r="W28" i="1"/>
  <c r="S28" i="1"/>
  <c r="P28" i="1"/>
  <c r="H28" i="1"/>
  <c r="AM27" i="1"/>
  <c r="AL27" i="1"/>
  <c r="AJ27" i="1"/>
  <c r="AI27" i="1"/>
  <c r="AG27" i="1" s="1"/>
  <c r="K27" i="1" s="1"/>
  <c r="AH27" i="1"/>
  <c r="Y27" i="1"/>
  <c r="X27" i="1"/>
  <c r="P27" i="1"/>
  <c r="N27" i="1"/>
  <c r="J27" i="1"/>
  <c r="I27" i="1"/>
  <c r="H27" i="1" s="1"/>
  <c r="AM26" i="1"/>
  <c r="AL26" i="1"/>
  <c r="AK26" i="1"/>
  <c r="AJ26" i="1"/>
  <c r="AI26" i="1"/>
  <c r="AG26" i="1"/>
  <c r="I26" i="1" s="1"/>
  <c r="AA26" i="1"/>
  <c r="Y26" i="1"/>
  <c r="X26" i="1"/>
  <c r="W26" i="1"/>
  <c r="S26" i="1"/>
  <c r="P26" i="1"/>
  <c r="K26" i="1"/>
  <c r="H26" i="1"/>
  <c r="AM25" i="1"/>
  <c r="AL25" i="1"/>
  <c r="AJ25" i="1"/>
  <c r="AI25" i="1"/>
  <c r="AG25" i="1" s="1"/>
  <c r="K25" i="1" s="1"/>
  <c r="AH25" i="1"/>
  <c r="Y25" i="1"/>
  <c r="X25" i="1"/>
  <c r="P25" i="1"/>
  <c r="N25" i="1"/>
  <c r="J25" i="1"/>
  <c r="I25" i="1"/>
  <c r="H25" i="1" s="1"/>
  <c r="AM24" i="1"/>
  <c r="AL24" i="1"/>
  <c r="AK24" i="1"/>
  <c r="AJ24" i="1"/>
  <c r="AI24" i="1"/>
  <c r="AG24" i="1"/>
  <c r="I24" i="1" s="1"/>
  <c r="AA24" i="1"/>
  <c r="Y24" i="1"/>
  <c r="X24" i="1"/>
  <c r="W24" i="1"/>
  <c r="S24" i="1"/>
  <c r="P24" i="1"/>
  <c r="H24" i="1"/>
  <c r="AM23" i="1"/>
  <c r="AL23" i="1"/>
  <c r="AJ23" i="1"/>
  <c r="AI23" i="1"/>
  <c r="AG23" i="1" s="1"/>
  <c r="K23" i="1" s="1"/>
  <c r="AH23" i="1"/>
  <c r="Y23" i="1"/>
  <c r="X23" i="1"/>
  <c r="P23" i="1"/>
  <c r="N23" i="1"/>
  <c r="J23" i="1"/>
  <c r="I23" i="1"/>
  <c r="H23" i="1" s="1"/>
  <c r="AM22" i="1"/>
  <c r="AL22" i="1"/>
  <c r="AK22" i="1"/>
  <c r="AJ22" i="1"/>
  <c r="AI22" i="1"/>
  <c r="AG22" i="1"/>
  <c r="I22" i="1" s="1"/>
  <c r="AA22" i="1"/>
  <c r="Y22" i="1"/>
  <c r="X22" i="1"/>
  <c r="W22" i="1"/>
  <c r="S22" i="1"/>
  <c r="P22" i="1"/>
  <c r="H22" i="1"/>
  <c r="AM21" i="1"/>
  <c r="AL21" i="1"/>
  <c r="AJ21" i="1"/>
  <c r="AI21" i="1"/>
  <c r="AG21" i="1" s="1"/>
  <c r="K21" i="1" s="1"/>
  <c r="AH21" i="1"/>
  <c r="Y21" i="1"/>
  <c r="X21" i="1"/>
  <c r="P21" i="1"/>
  <c r="N21" i="1"/>
  <c r="J21" i="1"/>
  <c r="I21" i="1"/>
  <c r="H21" i="1" s="1"/>
  <c r="AM20" i="1"/>
  <c r="AL20" i="1"/>
  <c r="AK20" i="1"/>
  <c r="AJ20" i="1"/>
  <c r="AI20" i="1"/>
  <c r="AG20" i="1"/>
  <c r="I20" i="1" s="1"/>
  <c r="AA20" i="1"/>
  <c r="Y20" i="1"/>
  <c r="X20" i="1"/>
  <c r="W20" i="1"/>
  <c r="S20" i="1"/>
  <c r="P20" i="1"/>
  <c r="K20" i="1"/>
  <c r="H20" i="1"/>
  <c r="AM19" i="1"/>
  <c r="AL19" i="1"/>
  <c r="AJ19" i="1"/>
  <c r="AI19" i="1"/>
  <c r="AG19" i="1" s="1"/>
  <c r="K19" i="1" s="1"/>
  <c r="AH19" i="1"/>
  <c r="Y19" i="1"/>
  <c r="X19" i="1"/>
  <c r="P19" i="1"/>
  <c r="N19" i="1"/>
  <c r="J19" i="1"/>
  <c r="I19" i="1"/>
  <c r="H19" i="1" s="1"/>
  <c r="AM18" i="1"/>
  <c r="AL18" i="1"/>
  <c r="AK18" i="1"/>
  <c r="AJ18" i="1"/>
  <c r="AI18" i="1"/>
  <c r="AG18" i="1"/>
  <c r="I18" i="1" s="1"/>
  <c r="AA18" i="1"/>
  <c r="Y18" i="1"/>
  <c r="X18" i="1"/>
  <c r="W18" i="1"/>
  <c r="S18" i="1"/>
  <c r="P18" i="1"/>
  <c r="H18" i="1"/>
  <c r="AM17" i="1"/>
  <c r="AL17" i="1"/>
  <c r="AJ17" i="1"/>
  <c r="AI17" i="1"/>
  <c r="AG17" i="1" s="1"/>
  <c r="AH17" i="1"/>
  <c r="Y17" i="1"/>
  <c r="X17" i="1"/>
  <c r="P17" i="1"/>
  <c r="N17" i="1"/>
  <c r="K17" i="1"/>
  <c r="J17" i="1"/>
  <c r="I17" i="1"/>
  <c r="H17" i="1"/>
  <c r="AA17" i="1" s="1"/>
  <c r="AB34" i="1" l="1"/>
  <c r="AB36" i="1"/>
  <c r="N66" i="1"/>
  <c r="K66" i="1"/>
  <c r="J66" i="1"/>
  <c r="I66" i="1"/>
  <c r="H66" i="1" s="1"/>
  <c r="AH66" i="1"/>
  <c r="T72" i="1"/>
  <c r="U72" i="1" s="1"/>
  <c r="T54" i="1"/>
  <c r="U54" i="1" s="1"/>
  <c r="AA19" i="1"/>
  <c r="AA21" i="1"/>
  <c r="AA23" i="1"/>
  <c r="AA25" i="1"/>
  <c r="AA27" i="1"/>
  <c r="AA29" i="1"/>
  <c r="Q38" i="1"/>
  <c r="O38" i="1" s="1"/>
  <c r="R38" i="1" s="1"/>
  <c r="AA38" i="1"/>
  <c r="T70" i="1"/>
  <c r="U70" i="1" s="1"/>
  <c r="Q70" i="1" s="1"/>
  <c r="O70" i="1" s="1"/>
  <c r="R70" i="1" s="1"/>
  <c r="L70" i="1" s="1"/>
  <c r="M70" i="1" s="1"/>
  <c r="AA31" i="1"/>
  <c r="AA33" i="1"/>
  <c r="AA35" i="1"/>
  <c r="AA37" i="1"/>
  <c r="V47" i="1"/>
  <c r="Z47" i="1" s="1"/>
  <c r="AC47" i="1"/>
  <c r="AB47" i="1"/>
  <c r="AA70" i="1"/>
  <c r="AB84" i="1"/>
  <c r="AB54" i="1"/>
  <c r="AA61" i="1"/>
  <c r="AK70" i="1"/>
  <c r="AA105" i="1"/>
  <c r="AK54" i="1"/>
  <c r="V86" i="1"/>
  <c r="Z86" i="1" s="1"/>
  <c r="AC86" i="1"/>
  <c r="AD86" i="1" s="1"/>
  <c r="AH102" i="1"/>
  <c r="N102" i="1"/>
  <c r="K102" i="1"/>
  <c r="J102" i="1"/>
  <c r="I102" i="1"/>
  <c r="H102" i="1" s="1"/>
  <c r="J103" i="1"/>
  <c r="AH103" i="1"/>
  <c r="N103" i="1"/>
  <c r="K103" i="1"/>
  <c r="I103" i="1"/>
  <c r="H103" i="1" s="1"/>
  <c r="J18" i="1"/>
  <c r="T18" i="1"/>
  <c r="U18" i="1" s="1"/>
  <c r="AB18" i="1" s="1"/>
  <c r="J20" i="1"/>
  <c r="T20" i="1"/>
  <c r="U20" i="1" s="1"/>
  <c r="J22" i="1"/>
  <c r="T22" i="1"/>
  <c r="U22" i="1" s="1"/>
  <c r="J24" i="1"/>
  <c r="T24" i="1"/>
  <c r="U24" i="1" s="1"/>
  <c r="AB24" i="1" s="1"/>
  <c r="J26" i="1"/>
  <c r="T26" i="1"/>
  <c r="U26" i="1" s="1"/>
  <c r="J28" i="1"/>
  <c r="T28" i="1"/>
  <c r="U28" i="1" s="1"/>
  <c r="AB28" i="1" s="1"/>
  <c r="J30" i="1"/>
  <c r="T30" i="1"/>
  <c r="U30" i="1" s="1"/>
  <c r="AB30" i="1" s="1"/>
  <c r="J32" i="1"/>
  <c r="T32" i="1"/>
  <c r="U32" i="1" s="1"/>
  <c r="Q32" i="1" s="1"/>
  <c r="O32" i="1" s="1"/>
  <c r="R32" i="1" s="1"/>
  <c r="L32" i="1" s="1"/>
  <c r="M32" i="1" s="1"/>
  <c r="J34" i="1"/>
  <c r="T34" i="1"/>
  <c r="U34" i="1" s="1"/>
  <c r="J36" i="1"/>
  <c r="T36" i="1"/>
  <c r="U36" i="1" s="1"/>
  <c r="J38" i="1"/>
  <c r="AA42" i="1"/>
  <c r="AK43" i="1"/>
  <c r="J44" i="1"/>
  <c r="I44" i="1"/>
  <c r="H44" i="1" s="1"/>
  <c r="T44" i="1" s="1"/>
  <c r="U44" i="1" s="1"/>
  <c r="N44" i="1"/>
  <c r="K44" i="1"/>
  <c r="AA47" i="1"/>
  <c r="AK53" i="1"/>
  <c r="S53" i="1"/>
  <c r="W54" i="1"/>
  <c r="AA59" i="1"/>
  <c r="J60" i="1"/>
  <c r="I60" i="1"/>
  <c r="H60" i="1" s="1"/>
  <c r="K60" i="1"/>
  <c r="K61" i="1"/>
  <c r="N61" i="1"/>
  <c r="S77" i="1"/>
  <c r="AK77" i="1"/>
  <c r="AK78" i="1"/>
  <c r="S78" i="1"/>
  <c r="V88" i="1"/>
  <c r="Z88" i="1" s="1"/>
  <c r="Q88" i="1"/>
  <c r="O88" i="1" s="1"/>
  <c r="R88" i="1" s="1"/>
  <c r="AC88" i="1"/>
  <c r="AA89" i="1"/>
  <c r="Q89" i="1"/>
  <c r="O89" i="1" s="1"/>
  <c r="R89" i="1" s="1"/>
  <c r="L89" i="1" s="1"/>
  <c r="M89" i="1" s="1"/>
  <c r="T90" i="1"/>
  <c r="U90" i="1" s="1"/>
  <c r="K97" i="1"/>
  <c r="J97" i="1"/>
  <c r="AH97" i="1"/>
  <c r="N97" i="1"/>
  <c r="T104" i="1"/>
  <c r="U104" i="1" s="1"/>
  <c r="AH38" i="1"/>
  <c r="Q26" i="1"/>
  <c r="O26" i="1" s="1"/>
  <c r="R26" i="1" s="1"/>
  <c r="L26" i="1" s="1"/>
  <c r="M26" i="1" s="1"/>
  <c r="AH43" i="1"/>
  <c r="N43" i="1"/>
  <c r="K43" i="1"/>
  <c r="AH77" i="1"/>
  <c r="K77" i="1"/>
  <c r="J77" i="1"/>
  <c r="N77" i="1"/>
  <c r="I77" i="1"/>
  <c r="H77" i="1" s="1"/>
  <c r="K18" i="1"/>
  <c r="AD47" i="1"/>
  <c r="AA65" i="1"/>
  <c r="T76" i="1"/>
  <c r="U76" i="1" s="1"/>
  <c r="S87" i="1"/>
  <c r="AK87" i="1"/>
  <c r="T38" i="1"/>
  <c r="U38" i="1" s="1"/>
  <c r="Q20" i="1"/>
  <c r="O20" i="1" s="1"/>
  <c r="R20" i="1" s="1"/>
  <c r="L20" i="1" s="1"/>
  <c r="M20" i="1" s="1"/>
  <c r="Q34" i="1"/>
  <c r="O34" i="1" s="1"/>
  <c r="R34" i="1" s="1"/>
  <c r="K49" i="1"/>
  <c r="AH49" i="1"/>
  <c r="J49" i="1"/>
  <c r="T66" i="1"/>
  <c r="U66" i="1" s="1"/>
  <c r="K69" i="1"/>
  <c r="J69" i="1"/>
  <c r="N69" i="1"/>
  <c r="I69" i="1"/>
  <c r="H69" i="1" s="1"/>
  <c r="AH69" i="1"/>
  <c r="K28" i="1"/>
  <c r="AK49" i="1"/>
  <c r="S49" i="1"/>
  <c r="N62" i="1"/>
  <c r="I62" i="1"/>
  <c r="H62" i="1" s="1"/>
  <c r="AH36" i="1"/>
  <c r="N38" i="1"/>
  <c r="N42" i="1"/>
  <c r="AH42" i="1"/>
  <c r="J42" i="1"/>
  <c r="N46" i="1"/>
  <c r="AH46" i="1"/>
  <c r="J46" i="1"/>
  <c r="I46" i="1"/>
  <c r="H46" i="1" s="1"/>
  <c r="T50" i="1"/>
  <c r="U50" i="1" s="1"/>
  <c r="AH55" i="1"/>
  <c r="K55" i="1"/>
  <c r="I55" i="1"/>
  <c r="H55" i="1" s="1"/>
  <c r="T55" i="1" s="1"/>
  <c r="U55" i="1" s="1"/>
  <c r="T58" i="1"/>
  <c r="U58" i="1" s="1"/>
  <c r="AH59" i="1"/>
  <c r="K59" i="1"/>
  <c r="J59" i="1"/>
  <c r="T60" i="1"/>
  <c r="U60" i="1" s="1"/>
  <c r="S62" i="1"/>
  <c r="AK62" i="1"/>
  <c r="T63" i="1"/>
  <c r="U63" i="1" s="1"/>
  <c r="AH63" i="1"/>
  <c r="J63" i="1"/>
  <c r="I63" i="1"/>
  <c r="H63" i="1" s="1"/>
  <c r="N63" i="1"/>
  <c r="T64" i="1"/>
  <c r="U64" i="1" s="1"/>
  <c r="J64" i="1"/>
  <c r="I64" i="1"/>
  <c r="H64" i="1" s="1"/>
  <c r="N64" i="1"/>
  <c r="T82" i="1"/>
  <c r="U82" i="1" s="1"/>
  <c r="I97" i="1"/>
  <c r="H97" i="1" s="1"/>
  <c r="AA101" i="1"/>
  <c r="AH106" i="1"/>
  <c r="N106" i="1"/>
  <c r="K106" i="1"/>
  <c r="J106" i="1"/>
  <c r="I106" i="1"/>
  <c r="H106" i="1" s="1"/>
  <c r="V113" i="1"/>
  <c r="Z113" i="1" s="1"/>
  <c r="AC113" i="1"/>
  <c r="AB113" i="1"/>
  <c r="T71" i="1"/>
  <c r="U71" i="1" s="1"/>
  <c r="Q28" i="1"/>
  <c r="O28" i="1" s="1"/>
  <c r="R28" i="1" s="1"/>
  <c r="L28" i="1" s="1"/>
  <c r="M28" i="1" s="1"/>
  <c r="I43" i="1"/>
  <c r="H43" i="1" s="1"/>
  <c r="K22" i="1"/>
  <c r="K24" i="1"/>
  <c r="K34" i="1"/>
  <c r="K36" i="1"/>
  <c r="K38" i="1"/>
  <c r="AH20" i="1"/>
  <c r="AH22" i="1"/>
  <c r="N18" i="1"/>
  <c r="N20" i="1"/>
  <c r="N22" i="1"/>
  <c r="N24" i="1"/>
  <c r="N26" i="1"/>
  <c r="N28" i="1"/>
  <c r="N30" i="1"/>
  <c r="N32" i="1"/>
  <c r="N34" i="1"/>
  <c r="N36" i="1"/>
  <c r="S39" i="1"/>
  <c r="AK46" i="1"/>
  <c r="AK51" i="1"/>
  <c r="AA54" i="1"/>
  <c r="N54" i="1"/>
  <c r="K54" i="1"/>
  <c r="AH54" i="1"/>
  <c r="J54" i="1"/>
  <c r="N55" i="1"/>
  <c r="K57" i="1"/>
  <c r="I57" i="1"/>
  <c r="H57" i="1" s="1"/>
  <c r="AK58" i="1"/>
  <c r="S59" i="1"/>
  <c r="AK59" i="1"/>
  <c r="AH64" i="1"/>
  <c r="AH67" i="1"/>
  <c r="N67" i="1"/>
  <c r="I67" i="1"/>
  <c r="H67" i="1" s="1"/>
  <c r="K73" i="1"/>
  <c r="J73" i="1"/>
  <c r="AH73" i="1"/>
  <c r="N73" i="1"/>
  <c r="I73" i="1"/>
  <c r="H73" i="1" s="1"/>
  <c r="AA84" i="1"/>
  <c r="T84" i="1"/>
  <c r="U84" i="1" s="1"/>
  <c r="AA90" i="1"/>
  <c r="Q90" i="1"/>
  <c r="O90" i="1" s="1"/>
  <c r="R90" i="1" s="1"/>
  <c r="L90" i="1" s="1"/>
  <c r="M90" i="1" s="1"/>
  <c r="AK92" i="1"/>
  <c r="AB91" i="1"/>
  <c r="V91" i="1"/>
  <c r="Z91" i="1" s="1"/>
  <c r="AC91" i="1"/>
  <c r="AD91" i="1" s="1"/>
  <c r="Q36" i="1"/>
  <c r="O36" i="1" s="1"/>
  <c r="R36" i="1" s="1"/>
  <c r="I49" i="1"/>
  <c r="H49" i="1" s="1"/>
  <c r="K53" i="1"/>
  <c r="AH53" i="1"/>
  <c r="J53" i="1"/>
  <c r="I53" i="1"/>
  <c r="H53" i="1" s="1"/>
  <c r="N78" i="1"/>
  <c r="AH78" i="1"/>
  <c r="J78" i="1"/>
  <c r="K78" i="1"/>
  <c r="I78" i="1"/>
  <c r="H78" i="1" s="1"/>
  <c r="K32" i="1"/>
  <c r="K41" i="1"/>
  <c r="N41" i="1"/>
  <c r="I41" i="1"/>
  <c r="H41" i="1" s="1"/>
  <c r="J48" i="1"/>
  <c r="I48" i="1"/>
  <c r="H48" i="1" s="1"/>
  <c r="T48" i="1" s="1"/>
  <c r="U48" i="1" s="1"/>
  <c r="N48" i="1"/>
  <c r="AH48" i="1"/>
  <c r="K48" i="1"/>
  <c r="N58" i="1"/>
  <c r="AH58" i="1"/>
  <c r="J58" i="1"/>
  <c r="I58" i="1"/>
  <c r="H58" i="1" s="1"/>
  <c r="AH18" i="1"/>
  <c r="AH24" i="1"/>
  <c r="AH26" i="1"/>
  <c r="AH28" i="1"/>
  <c r="AH30" i="1"/>
  <c r="AH32" i="1"/>
  <c r="AH34" i="1"/>
  <c r="W17" i="1"/>
  <c r="AK17" i="1"/>
  <c r="S17" i="1"/>
  <c r="W19" i="1"/>
  <c r="AK19" i="1"/>
  <c r="S19" i="1"/>
  <c r="W21" i="1"/>
  <c r="AK21" i="1"/>
  <c r="S21" i="1"/>
  <c r="W23" i="1"/>
  <c r="AK23" i="1"/>
  <c r="S23" i="1"/>
  <c r="W25" i="1"/>
  <c r="AK25" i="1"/>
  <c r="S25" i="1"/>
  <c r="W27" i="1"/>
  <c r="AK27" i="1"/>
  <c r="S27" i="1"/>
  <c r="W29" i="1"/>
  <c r="AK29" i="1"/>
  <c r="S29" i="1"/>
  <c r="W31" i="1"/>
  <c r="AK31" i="1"/>
  <c r="S31" i="1"/>
  <c r="W33" i="1"/>
  <c r="AK33" i="1"/>
  <c r="S33" i="1"/>
  <c r="W35" i="1"/>
  <c r="AK35" i="1"/>
  <c r="S35" i="1"/>
  <c r="W37" i="1"/>
  <c r="AK37" i="1"/>
  <c r="AB38" i="1"/>
  <c r="J41" i="1"/>
  <c r="T42" i="1"/>
  <c r="U42" i="1" s="1"/>
  <c r="Q42" i="1" s="1"/>
  <c r="O42" i="1" s="1"/>
  <c r="R42" i="1" s="1"/>
  <c r="L42" i="1" s="1"/>
  <c r="M42" i="1" s="1"/>
  <c r="W49" i="1"/>
  <c r="T51" i="1"/>
  <c r="U51" i="1" s="1"/>
  <c r="AK57" i="1"/>
  <c r="S57" i="1"/>
  <c r="K65" i="1"/>
  <c r="N65" i="1"/>
  <c r="N70" i="1"/>
  <c r="AH70" i="1"/>
  <c r="K70" i="1"/>
  <c r="V92" i="1"/>
  <c r="Z92" i="1" s="1"/>
  <c r="AC92" i="1"/>
  <c r="AD92" i="1" s="1"/>
  <c r="AK95" i="1"/>
  <c r="J40" i="1"/>
  <c r="I40" i="1"/>
  <c r="H40" i="1" s="1"/>
  <c r="S46" i="1"/>
  <c r="J47" i="1"/>
  <c r="L47" i="1" s="1"/>
  <c r="M47" i="1" s="1"/>
  <c r="AK61" i="1"/>
  <c r="S61" i="1"/>
  <c r="W63" i="1"/>
  <c r="W73" i="1"/>
  <c r="I79" i="1"/>
  <c r="H79" i="1" s="1"/>
  <c r="AH79" i="1"/>
  <c r="K80" i="1"/>
  <c r="J80" i="1"/>
  <c r="N80" i="1"/>
  <c r="J82" i="1"/>
  <c r="K93" i="1"/>
  <c r="I93" i="1"/>
  <c r="H93" i="1" s="1"/>
  <c r="J93" i="1"/>
  <c r="AH93" i="1"/>
  <c r="N93" i="1"/>
  <c r="K110" i="1"/>
  <c r="J110" i="1"/>
  <c r="I110" i="1"/>
  <c r="H110" i="1" s="1"/>
  <c r="AH110" i="1"/>
  <c r="N110" i="1"/>
  <c r="AK65" i="1"/>
  <c r="S65" i="1"/>
  <c r="J72" i="1"/>
  <c r="I72" i="1"/>
  <c r="H72" i="1" s="1"/>
  <c r="AH72" i="1"/>
  <c r="K82" i="1"/>
  <c r="AA86" i="1"/>
  <c r="Q86" i="1"/>
  <c r="O86" i="1" s="1"/>
  <c r="R86" i="1" s="1"/>
  <c r="L86" i="1" s="1"/>
  <c r="M86" i="1" s="1"/>
  <c r="N89" i="1"/>
  <c r="K89" i="1"/>
  <c r="AH89" i="1"/>
  <c r="J89" i="1"/>
  <c r="AH98" i="1"/>
  <c r="N98" i="1"/>
  <c r="J98" i="1"/>
  <c r="I98" i="1"/>
  <c r="H98" i="1" s="1"/>
  <c r="K98" i="1"/>
  <c r="J100" i="1"/>
  <c r="I100" i="1"/>
  <c r="H100" i="1" s="1"/>
  <c r="AH100" i="1"/>
  <c r="N100" i="1"/>
  <c r="K100" i="1"/>
  <c r="N111" i="1"/>
  <c r="K111" i="1"/>
  <c r="I111" i="1"/>
  <c r="H111" i="1" s="1"/>
  <c r="J111" i="1"/>
  <c r="AH111" i="1"/>
  <c r="AB70" i="1"/>
  <c r="J74" i="1"/>
  <c r="K75" i="1"/>
  <c r="AH75" i="1"/>
  <c r="N75" i="1"/>
  <c r="N82" i="1"/>
  <c r="I82" i="1"/>
  <c r="H82" i="1" s="1"/>
  <c r="AA85" i="1"/>
  <c r="AK93" i="1"/>
  <c r="S93" i="1"/>
  <c r="T99" i="1"/>
  <c r="U99" i="1" s="1"/>
  <c r="Q99" i="1" s="1"/>
  <c r="O99" i="1" s="1"/>
  <c r="R99" i="1" s="1"/>
  <c r="L99" i="1" s="1"/>
  <c r="M99" i="1" s="1"/>
  <c r="N115" i="1"/>
  <c r="K115" i="1"/>
  <c r="AH115" i="1"/>
  <c r="J115" i="1"/>
  <c r="I115" i="1"/>
  <c r="H115" i="1" s="1"/>
  <c r="AK41" i="1"/>
  <c r="S41" i="1"/>
  <c r="K50" i="1"/>
  <c r="J52" i="1"/>
  <c r="I52" i="1"/>
  <c r="H52" i="1" s="1"/>
  <c r="J68" i="1"/>
  <c r="I68" i="1"/>
  <c r="H68" i="1" s="1"/>
  <c r="AH68" i="1"/>
  <c r="AH71" i="1"/>
  <c r="N71" i="1"/>
  <c r="N72" i="1"/>
  <c r="AK75" i="1"/>
  <c r="S75" i="1"/>
  <c r="N85" i="1"/>
  <c r="K85" i="1"/>
  <c r="T108" i="1"/>
  <c r="U108" i="1" s="1"/>
  <c r="AH120" i="1"/>
  <c r="N120" i="1"/>
  <c r="J120" i="1"/>
  <c r="K120" i="1"/>
  <c r="I120" i="1"/>
  <c r="H120" i="1" s="1"/>
  <c r="S37" i="1"/>
  <c r="N45" i="1"/>
  <c r="AK45" i="1"/>
  <c r="S45" i="1"/>
  <c r="N47" i="1"/>
  <c r="W47" i="1"/>
  <c r="AH52" i="1"/>
  <c r="J56" i="1"/>
  <c r="I56" i="1"/>
  <c r="H56" i="1" s="1"/>
  <c r="K71" i="1"/>
  <c r="I75" i="1"/>
  <c r="H75" i="1" s="1"/>
  <c r="J76" i="1"/>
  <c r="I76" i="1"/>
  <c r="H76" i="1" s="1"/>
  <c r="AH76" i="1"/>
  <c r="I81" i="1"/>
  <c r="H81" i="1" s="1"/>
  <c r="N81" i="1"/>
  <c r="AH85" i="1"/>
  <c r="AB86" i="1"/>
  <c r="AB88" i="1"/>
  <c r="N101" i="1"/>
  <c r="K101" i="1"/>
  <c r="J101" i="1"/>
  <c r="AK119" i="1"/>
  <c r="S119" i="1"/>
  <c r="N123" i="1"/>
  <c r="K123" i="1"/>
  <c r="AH123" i="1"/>
  <c r="J123" i="1"/>
  <c r="I123" i="1"/>
  <c r="H123" i="1" s="1"/>
  <c r="I74" i="1"/>
  <c r="H74" i="1" s="1"/>
  <c r="N74" i="1"/>
  <c r="W75" i="1"/>
  <c r="T83" i="1"/>
  <c r="U83" i="1" s="1"/>
  <c r="K84" i="1"/>
  <c r="J84" i="1"/>
  <c r="N84" i="1"/>
  <c r="AH84" i="1"/>
  <c r="T85" i="1"/>
  <c r="U85" i="1" s="1"/>
  <c r="Q85" i="1" s="1"/>
  <c r="O85" i="1" s="1"/>
  <c r="R85" i="1" s="1"/>
  <c r="L85" i="1" s="1"/>
  <c r="M85" i="1" s="1"/>
  <c r="AK86" i="1"/>
  <c r="T89" i="1"/>
  <c r="U89" i="1" s="1"/>
  <c r="AB92" i="1"/>
  <c r="K95" i="1"/>
  <c r="J95" i="1"/>
  <c r="I95" i="1"/>
  <c r="H95" i="1" s="1"/>
  <c r="T95" i="1" s="1"/>
  <c r="U95" i="1" s="1"/>
  <c r="AH95" i="1"/>
  <c r="J107" i="1"/>
  <c r="AH107" i="1"/>
  <c r="N107" i="1"/>
  <c r="I107" i="1"/>
  <c r="H107" i="1" s="1"/>
  <c r="K107" i="1"/>
  <c r="I83" i="1"/>
  <c r="H83" i="1" s="1"/>
  <c r="AH83" i="1"/>
  <c r="K88" i="1"/>
  <c r="J88" i="1"/>
  <c r="J104" i="1"/>
  <c r="I104" i="1"/>
  <c r="H104" i="1" s="1"/>
  <c r="AH104" i="1"/>
  <c r="K104" i="1"/>
  <c r="N105" i="1"/>
  <c r="K105" i="1"/>
  <c r="J105" i="1"/>
  <c r="AH105" i="1"/>
  <c r="AH116" i="1"/>
  <c r="N116" i="1"/>
  <c r="J116" i="1"/>
  <c r="I116" i="1"/>
  <c r="H116" i="1" s="1"/>
  <c r="S139" i="1"/>
  <c r="AK139" i="1"/>
  <c r="S69" i="1"/>
  <c r="S73" i="1"/>
  <c r="AK80" i="1"/>
  <c r="I87" i="1"/>
  <c r="H87" i="1" s="1"/>
  <c r="AH87" i="1"/>
  <c r="AH88" i="1"/>
  <c r="Q91" i="1"/>
  <c r="O91" i="1" s="1"/>
  <c r="R91" i="1" s="1"/>
  <c r="L91" i="1" s="1"/>
  <c r="M91" i="1" s="1"/>
  <c r="S102" i="1"/>
  <c r="S106" i="1"/>
  <c r="K118" i="1"/>
  <c r="J118" i="1"/>
  <c r="I118" i="1"/>
  <c r="H118" i="1" s="1"/>
  <c r="N118" i="1"/>
  <c r="AH118" i="1"/>
  <c r="AK84" i="1"/>
  <c r="W90" i="1"/>
  <c r="N91" i="1"/>
  <c r="I94" i="1"/>
  <c r="H94" i="1" s="1"/>
  <c r="S98" i="1"/>
  <c r="W107" i="1"/>
  <c r="AK112" i="1"/>
  <c r="N127" i="1"/>
  <c r="K127" i="1"/>
  <c r="AH127" i="1"/>
  <c r="J127" i="1"/>
  <c r="AA134" i="1"/>
  <c r="AH124" i="1"/>
  <c r="N124" i="1"/>
  <c r="J124" i="1"/>
  <c r="I124" i="1"/>
  <c r="H124" i="1" s="1"/>
  <c r="T124" i="1" s="1"/>
  <c r="U124" i="1" s="1"/>
  <c r="T125" i="1"/>
  <c r="U125" i="1" s="1"/>
  <c r="J96" i="1"/>
  <c r="I96" i="1"/>
  <c r="H96" i="1" s="1"/>
  <c r="K96" i="1"/>
  <c r="K124" i="1"/>
  <c r="AA127" i="1"/>
  <c r="Q92" i="1"/>
  <c r="O92" i="1" s="1"/>
  <c r="R92" i="1" s="1"/>
  <c r="L92" i="1" s="1"/>
  <c r="M92" i="1" s="1"/>
  <c r="W95" i="1"/>
  <c r="T96" i="1"/>
  <c r="U96" i="1" s="1"/>
  <c r="AH96" i="1"/>
  <c r="AA99" i="1"/>
  <c r="N119" i="1"/>
  <c r="K119" i="1"/>
  <c r="AH119" i="1"/>
  <c r="J119" i="1"/>
  <c r="I119" i="1"/>
  <c r="H119" i="1" s="1"/>
  <c r="V128" i="1"/>
  <c r="Z128" i="1" s="1"/>
  <c r="AC128" i="1"/>
  <c r="AD128" i="1" s="1"/>
  <c r="J108" i="1"/>
  <c r="I108" i="1"/>
  <c r="H108" i="1" s="1"/>
  <c r="AH108" i="1"/>
  <c r="T112" i="1"/>
  <c r="U112" i="1" s="1"/>
  <c r="Q129" i="1"/>
  <c r="O129" i="1" s="1"/>
  <c r="R129" i="1" s="1"/>
  <c r="L129" i="1" s="1"/>
  <c r="M129" i="1" s="1"/>
  <c r="AA129" i="1"/>
  <c r="T129" i="1"/>
  <c r="U129" i="1" s="1"/>
  <c r="AA130" i="1"/>
  <c r="Q112" i="1"/>
  <c r="O112" i="1" s="1"/>
  <c r="R112" i="1" s="1"/>
  <c r="L112" i="1" s="1"/>
  <c r="M112" i="1" s="1"/>
  <c r="AK115" i="1"/>
  <c r="S115" i="1"/>
  <c r="K126" i="1"/>
  <c r="J126" i="1"/>
  <c r="I126" i="1"/>
  <c r="H126" i="1" s="1"/>
  <c r="N126" i="1"/>
  <c r="T135" i="1"/>
  <c r="U135" i="1" s="1"/>
  <c r="V143" i="1"/>
  <c r="Z143" i="1" s="1"/>
  <c r="Q143" i="1"/>
  <c r="O143" i="1" s="1"/>
  <c r="R143" i="1" s="1"/>
  <c r="L143" i="1" s="1"/>
  <c r="M143" i="1" s="1"/>
  <c r="S80" i="1"/>
  <c r="J99" i="1"/>
  <c r="AH99" i="1"/>
  <c r="N99" i="1"/>
  <c r="AK123" i="1"/>
  <c r="S123" i="1"/>
  <c r="T131" i="1"/>
  <c r="U131" i="1" s="1"/>
  <c r="Q131" i="1" s="1"/>
  <c r="O131" i="1" s="1"/>
  <c r="R131" i="1" s="1"/>
  <c r="L131" i="1" s="1"/>
  <c r="M131" i="1" s="1"/>
  <c r="J133" i="1"/>
  <c r="I133" i="1"/>
  <c r="H133" i="1" s="1"/>
  <c r="N133" i="1"/>
  <c r="AH133" i="1"/>
  <c r="AK134" i="1"/>
  <c r="S134" i="1"/>
  <c r="AA112" i="1"/>
  <c r="Q113" i="1"/>
  <c r="O113" i="1" s="1"/>
  <c r="R113" i="1" s="1"/>
  <c r="L113" i="1" s="1"/>
  <c r="M113" i="1" s="1"/>
  <c r="K136" i="1"/>
  <c r="AH136" i="1"/>
  <c r="N136" i="1"/>
  <c r="I136" i="1"/>
  <c r="H136" i="1" s="1"/>
  <c r="AH138" i="1"/>
  <c r="N138" i="1"/>
  <c r="K138" i="1"/>
  <c r="J138" i="1"/>
  <c r="AC142" i="1"/>
  <c r="AD142" i="1" s="1"/>
  <c r="V142" i="1"/>
  <c r="Z142" i="1" s="1"/>
  <c r="S97" i="1"/>
  <c r="S101" i="1"/>
  <c r="S105" i="1"/>
  <c r="T109" i="1"/>
  <c r="U109" i="1" s="1"/>
  <c r="AK111" i="1"/>
  <c r="S111" i="1"/>
  <c r="AK127" i="1"/>
  <c r="S127" i="1"/>
  <c r="Q128" i="1"/>
  <c r="O128" i="1" s="1"/>
  <c r="R128" i="1" s="1"/>
  <c r="L128" i="1" s="1"/>
  <c r="M128" i="1" s="1"/>
  <c r="I135" i="1"/>
  <c r="H135" i="1" s="1"/>
  <c r="N135" i="1"/>
  <c r="K135" i="1"/>
  <c r="J135" i="1"/>
  <c r="AK136" i="1"/>
  <c r="S136" i="1"/>
  <c r="Q138" i="1"/>
  <c r="O138" i="1" s="1"/>
  <c r="R138" i="1" s="1"/>
  <c r="AA138" i="1"/>
  <c r="AD143" i="1"/>
  <c r="AH112" i="1"/>
  <c r="N112" i="1"/>
  <c r="K114" i="1"/>
  <c r="J114" i="1"/>
  <c r="I114" i="1"/>
  <c r="H114" i="1" s="1"/>
  <c r="T122" i="1"/>
  <c r="U122" i="1" s="1"/>
  <c r="AB122" i="1" s="1"/>
  <c r="AH135" i="1"/>
  <c r="AA145" i="1"/>
  <c r="AH163" i="1"/>
  <c r="K163" i="1"/>
  <c r="J163" i="1"/>
  <c r="N163" i="1"/>
  <c r="I163" i="1"/>
  <c r="H163" i="1" s="1"/>
  <c r="T155" i="1"/>
  <c r="U155" i="1" s="1"/>
  <c r="S156" i="1"/>
  <c r="AK156" i="1"/>
  <c r="K122" i="1"/>
  <c r="J122" i="1"/>
  <c r="I122" i="1"/>
  <c r="H122" i="1" s="1"/>
  <c r="N122" i="1"/>
  <c r="T126" i="1"/>
  <c r="U126" i="1" s="1"/>
  <c r="AA131" i="1"/>
  <c r="AD138" i="1"/>
  <c r="K153" i="1"/>
  <c r="AH153" i="1"/>
  <c r="N153" i="1"/>
  <c r="I153" i="1"/>
  <c r="H153" i="1" s="1"/>
  <c r="J153" i="1"/>
  <c r="AC154" i="1"/>
  <c r="AD154" i="1" s="1"/>
  <c r="V154" i="1"/>
  <c r="Z154" i="1" s="1"/>
  <c r="AA157" i="1"/>
  <c r="S160" i="1"/>
  <c r="AC138" i="1"/>
  <c r="V138" i="1"/>
  <c r="Z138" i="1" s="1"/>
  <c r="AB138" i="1"/>
  <c r="K141" i="1"/>
  <c r="J141" i="1"/>
  <c r="I141" i="1"/>
  <c r="H141" i="1" s="1"/>
  <c r="J150" i="1"/>
  <c r="N150" i="1"/>
  <c r="I150" i="1"/>
  <c r="H150" i="1" s="1"/>
  <c r="T150" i="1" s="1"/>
  <c r="U150" i="1" s="1"/>
  <c r="K150" i="1"/>
  <c r="AH150" i="1"/>
  <c r="T152" i="1"/>
  <c r="U152" i="1" s="1"/>
  <c r="AC162" i="1"/>
  <c r="V162" i="1"/>
  <c r="Z162" i="1" s="1"/>
  <c r="AB162" i="1"/>
  <c r="AD162" i="1" s="1"/>
  <c r="Q162" i="1"/>
  <c r="O162" i="1" s="1"/>
  <c r="R162" i="1" s="1"/>
  <c r="L162" i="1" s="1"/>
  <c r="M162" i="1" s="1"/>
  <c r="W134" i="1"/>
  <c r="AK138" i="1"/>
  <c r="AH139" i="1"/>
  <c r="J139" i="1"/>
  <c r="I139" i="1"/>
  <c r="H139" i="1" s="1"/>
  <c r="AB154" i="1"/>
  <c r="J158" i="1"/>
  <c r="AH158" i="1"/>
  <c r="K158" i="1"/>
  <c r="I158" i="1"/>
  <c r="H158" i="1" s="1"/>
  <c r="T159" i="1"/>
  <c r="U159" i="1" s="1"/>
  <c r="N147" i="1"/>
  <c r="AH147" i="1"/>
  <c r="J147" i="1"/>
  <c r="I147" i="1"/>
  <c r="H147" i="1" s="1"/>
  <c r="T151" i="1"/>
  <c r="U151" i="1" s="1"/>
  <c r="AK153" i="1"/>
  <c r="S153" i="1"/>
  <c r="W154" i="1"/>
  <c r="K165" i="1"/>
  <c r="J165" i="1"/>
  <c r="AH165" i="1"/>
  <c r="N165" i="1"/>
  <c r="I165" i="1"/>
  <c r="H165" i="1" s="1"/>
  <c r="AH113" i="1"/>
  <c r="AH117" i="1"/>
  <c r="AH121" i="1"/>
  <c r="AH125" i="1"/>
  <c r="N128" i="1"/>
  <c r="AH129" i="1"/>
  <c r="J130" i="1"/>
  <c r="AH130" i="1"/>
  <c r="AH131" i="1"/>
  <c r="K132" i="1"/>
  <c r="AH132" i="1"/>
  <c r="J137" i="1"/>
  <c r="I137" i="1"/>
  <c r="H137" i="1" s="1"/>
  <c r="T137" i="1" s="1"/>
  <c r="U137" i="1" s="1"/>
  <c r="K139" i="1"/>
  <c r="AK141" i="1"/>
  <c r="S141" i="1"/>
  <c r="AA142" i="1"/>
  <c r="Q142" i="1"/>
  <c r="O142" i="1" s="1"/>
  <c r="R142" i="1" s="1"/>
  <c r="L142" i="1" s="1"/>
  <c r="M142" i="1" s="1"/>
  <c r="K145" i="1"/>
  <c r="AH145" i="1"/>
  <c r="N145" i="1"/>
  <c r="J145" i="1"/>
  <c r="J146" i="1"/>
  <c r="N146" i="1"/>
  <c r="AH146" i="1"/>
  <c r="K146" i="1"/>
  <c r="I146" i="1"/>
  <c r="H146" i="1" s="1"/>
  <c r="T146" i="1" s="1"/>
  <c r="U146" i="1" s="1"/>
  <c r="AA155" i="1"/>
  <c r="K157" i="1"/>
  <c r="AH157" i="1"/>
  <c r="J157" i="1"/>
  <c r="S110" i="1"/>
  <c r="S114" i="1"/>
  <c r="I117" i="1"/>
  <c r="H117" i="1" s="1"/>
  <c r="I121" i="1"/>
  <c r="H121" i="1" s="1"/>
  <c r="I125" i="1"/>
  <c r="H125" i="1" s="1"/>
  <c r="N129" i="1"/>
  <c r="N131" i="1"/>
  <c r="AK132" i="1"/>
  <c r="S132" i="1"/>
  <c r="AH137" i="1"/>
  <c r="I152" i="1"/>
  <c r="H152" i="1" s="1"/>
  <c r="N152" i="1"/>
  <c r="AH152" i="1"/>
  <c r="J152" i="1"/>
  <c r="AK157" i="1"/>
  <c r="S157" i="1"/>
  <c r="AA159" i="1"/>
  <c r="K161" i="1"/>
  <c r="AH161" i="1"/>
  <c r="J161" i="1"/>
  <c r="I161" i="1"/>
  <c r="H161" i="1" s="1"/>
  <c r="AK128" i="1"/>
  <c r="W130" i="1"/>
  <c r="AK130" i="1"/>
  <c r="S130" i="1"/>
  <c r="W132" i="1"/>
  <c r="K137" i="1"/>
  <c r="N139" i="1"/>
  <c r="I140" i="1"/>
  <c r="H140" i="1" s="1"/>
  <c r="T140" i="1" s="1"/>
  <c r="U140" i="1" s="1"/>
  <c r="K140" i="1"/>
  <c r="AH140" i="1"/>
  <c r="Q154" i="1"/>
  <c r="O154" i="1" s="1"/>
  <c r="R154" i="1" s="1"/>
  <c r="J154" i="1"/>
  <c r="N154" i="1"/>
  <c r="AH154" i="1"/>
  <c r="K154" i="1"/>
  <c r="I144" i="1"/>
  <c r="H144" i="1" s="1"/>
  <c r="N144" i="1"/>
  <c r="S147" i="1"/>
  <c r="I149" i="1"/>
  <c r="H149" i="1" s="1"/>
  <c r="AB159" i="1"/>
  <c r="AK161" i="1"/>
  <c r="S161" i="1"/>
  <c r="K164" i="1"/>
  <c r="J164" i="1"/>
  <c r="I164" i="1"/>
  <c r="H164" i="1" s="1"/>
  <c r="AH164" i="1"/>
  <c r="N164" i="1"/>
  <c r="AK137" i="1"/>
  <c r="W143" i="1"/>
  <c r="AH144" i="1"/>
  <c r="I148" i="1"/>
  <c r="H148" i="1" s="1"/>
  <c r="T148" i="1" s="1"/>
  <c r="U148" i="1" s="1"/>
  <c r="N148" i="1"/>
  <c r="I151" i="1"/>
  <c r="H151" i="1" s="1"/>
  <c r="K149" i="1"/>
  <c r="AH149" i="1"/>
  <c r="I156" i="1"/>
  <c r="H156" i="1" s="1"/>
  <c r="N156" i="1"/>
  <c r="AK145" i="1"/>
  <c r="S145" i="1"/>
  <c r="N149" i="1"/>
  <c r="W151" i="1"/>
  <c r="AH156" i="1"/>
  <c r="J159" i="1"/>
  <c r="I160" i="1"/>
  <c r="H160" i="1" s="1"/>
  <c r="N160" i="1"/>
  <c r="J162" i="1"/>
  <c r="AH162" i="1"/>
  <c r="AK149" i="1"/>
  <c r="S149" i="1"/>
  <c r="W155" i="1"/>
  <c r="S163" i="1"/>
  <c r="S165" i="1"/>
  <c r="S164" i="1"/>
  <c r="AC137" i="1" l="1"/>
  <c r="AD137" i="1" s="1"/>
  <c r="V137" i="1"/>
  <c r="Z137" i="1" s="1"/>
  <c r="AB137" i="1"/>
  <c r="V140" i="1"/>
  <c r="Z140" i="1" s="1"/>
  <c r="AC140" i="1"/>
  <c r="AB140" i="1"/>
  <c r="AC146" i="1"/>
  <c r="V146" i="1"/>
  <c r="Z146" i="1" s="1"/>
  <c r="AB146" i="1"/>
  <c r="AC48" i="1"/>
  <c r="V48" i="1"/>
  <c r="Z48" i="1" s="1"/>
  <c r="AB48" i="1"/>
  <c r="V44" i="1"/>
  <c r="Z44" i="1" s="1"/>
  <c r="AC44" i="1"/>
  <c r="AD44" i="1" s="1"/>
  <c r="AB44" i="1"/>
  <c r="V148" i="1"/>
  <c r="Z148" i="1" s="1"/>
  <c r="AC148" i="1"/>
  <c r="AB148" i="1"/>
  <c r="V124" i="1"/>
  <c r="Z124" i="1" s="1"/>
  <c r="AC124" i="1"/>
  <c r="AB124" i="1"/>
  <c r="AC95" i="1"/>
  <c r="V95" i="1"/>
  <c r="Z95" i="1" s="1"/>
  <c r="AB95" i="1"/>
  <c r="AC150" i="1"/>
  <c r="V150" i="1"/>
  <c r="Z150" i="1" s="1"/>
  <c r="AB150" i="1"/>
  <c r="AC55" i="1"/>
  <c r="AB55" i="1"/>
  <c r="V55" i="1"/>
  <c r="Z55" i="1" s="1"/>
  <c r="AB125" i="1"/>
  <c r="V125" i="1"/>
  <c r="Z125" i="1" s="1"/>
  <c r="AC125" i="1"/>
  <c r="AD125" i="1" s="1"/>
  <c r="T69" i="1"/>
  <c r="U69" i="1" s="1"/>
  <c r="T45" i="1"/>
  <c r="U45" i="1" s="1"/>
  <c r="V66" i="1"/>
  <c r="Z66" i="1" s="1"/>
  <c r="AC66" i="1"/>
  <c r="AA103" i="1"/>
  <c r="Q103" i="1"/>
  <c r="O103" i="1" s="1"/>
  <c r="R103" i="1" s="1"/>
  <c r="L103" i="1" s="1"/>
  <c r="M103" i="1" s="1"/>
  <c r="Q125" i="1"/>
  <c r="O125" i="1" s="1"/>
  <c r="R125" i="1" s="1"/>
  <c r="L125" i="1" s="1"/>
  <c r="M125" i="1" s="1"/>
  <c r="AA125" i="1"/>
  <c r="AA74" i="1"/>
  <c r="V71" i="1"/>
  <c r="Z71" i="1" s="1"/>
  <c r="AC71" i="1"/>
  <c r="AB71" i="1"/>
  <c r="T87" i="1"/>
  <c r="U87" i="1" s="1"/>
  <c r="V104" i="1"/>
  <c r="Z104" i="1" s="1"/>
  <c r="AC104" i="1"/>
  <c r="T77" i="1"/>
  <c r="U77" i="1" s="1"/>
  <c r="L38" i="1"/>
  <c r="M38" i="1" s="1"/>
  <c r="Q156" i="1"/>
  <c r="O156" i="1" s="1"/>
  <c r="R156" i="1" s="1"/>
  <c r="L156" i="1" s="1"/>
  <c r="M156" i="1" s="1"/>
  <c r="AA156" i="1"/>
  <c r="V155" i="1"/>
  <c r="Z155" i="1" s="1"/>
  <c r="AC155" i="1"/>
  <c r="V135" i="1"/>
  <c r="Z135" i="1" s="1"/>
  <c r="AC135" i="1"/>
  <c r="AC85" i="1"/>
  <c r="V85" i="1"/>
  <c r="Z85" i="1" s="1"/>
  <c r="Q52" i="1"/>
  <c r="O52" i="1" s="1"/>
  <c r="R52" i="1" s="1"/>
  <c r="L52" i="1" s="1"/>
  <c r="M52" i="1" s="1"/>
  <c r="AA52" i="1"/>
  <c r="AA78" i="1"/>
  <c r="T49" i="1"/>
  <c r="U49" i="1" s="1"/>
  <c r="Q158" i="1"/>
  <c r="O158" i="1" s="1"/>
  <c r="R158" i="1" s="1"/>
  <c r="L158" i="1" s="1"/>
  <c r="M158" i="1" s="1"/>
  <c r="AA158" i="1"/>
  <c r="T33" i="1"/>
  <c r="U33" i="1" s="1"/>
  <c r="AA49" i="1"/>
  <c r="Q49" i="1"/>
  <c r="O49" i="1" s="1"/>
  <c r="R49" i="1" s="1"/>
  <c r="L49" i="1" s="1"/>
  <c r="M49" i="1" s="1"/>
  <c r="AC108" i="1"/>
  <c r="V108" i="1"/>
  <c r="Z108" i="1" s="1"/>
  <c r="T27" i="1"/>
  <c r="U27" i="1" s="1"/>
  <c r="T39" i="1"/>
  <c r="U39" i="1" s="1"/>
  <c r="V58" i="1"/>
  <c r="Z58" i="1" s="1"/>
  <c r="AC58" i="1"/>
  <c r="AB58" i="1"/>
  <c r="AC76" i="1"/>
  <c r="V76" i="1"/>
  <c r="Z76" i="1" s="1"/>
  <c r="AB76" i="1"/>
  <c r="AB66" i="1"/>
  <c r="AC22" i="1"/>
  <c r="AD22" i="1" s="1"/>
  <c r="V22" i="1"/>
  <c r="Z22" i="1" s="1"/>
  <c r="V54" i="1"/>
  <c r="Z54" i="1" s="1"/>
  <c r="AC54" i="1"/>
  <c r="AD54" i="1" s="1"/>
  <c r="AA66" i="1"/>
  <c r="Q66" i="1"/>
  <c r="O66" i="1" s="1"/>
  <c r="R66" i="1" s="1"/>
  <c r="L66" i="1" s="1"/>
  <c r="M66" i="1" s="1"/>
  <c r="AB32" i="1"/>
  <c r="AA151" i="1"/>
  <c r="Q151" i="1"/>
  <c r="O151" i="1" s="1"/>
  <c r="R151" i="1" s="1"/>
  <c r="L151" i="1" s="1"/>
  <c r="M151" i="1" s="1"/>
  <c r="AA164" i="1"/>
  <c r="Q164" i="1"/>
  <c r="O164" i="1" s="1"/>
  <c r="R164" i="1" s="1"/>
  <c r="L164" i="1" s="1"/>
  <c r="M164" i="1" s="1"/>
  <c r="T147" i="1"/>
  <c r="U147" i="1" s="1"/>
  <c r="Q117" i="1"/>
  <c r="O117" i="1" s="1"/>
  <c r="R117" i="1" s="1"/>
  <c r="L117" i="1" s="1"/>
  <c r="M117" i="1" s="1"/>
  <c r="T117" i="1"/>
  <c r="U117" i="1" s="1"/>
  <c r="AA117" i="1"/>
  <c r="AA153" i="1"/>
  <c r="Q135" i="1"/>
  <c r="O135" i="1" s="1"/>
  <c r="R135" i="1" s="1"/>
  <c r="L135" i="1" s="1"/>
  <c r="M135" i="1" s="1"/>
  <c r="AA135" i="1"/>
  <c r="T105" i="1"/>
  <c r="U105" i="1" s="1"/>
  <c r="T134" i="1"/>
  <c r="U134" i="1" s="1"/>
  <c r="AB108" i="1"/>
  <c r="V112" i="1"/>
  <c r="Z112" i="1" s="1"/>
  <c r="AC112" i="1"/>
  <c r="AD112" i="1" s="1"/>
  <c r="AB112" i="1"/>
  <c r="AA119" i="1"/>
  <c r="Q119" i="1"/>
  <c r="O119" i="1" s="1"/>
  <c r="R119" i="1" s="1"/>
  <c r="L119" i="1" s="1"/>
  <c r="M119" i="1" s="1"/>
  <c r="T139" i="1"/>
  <c r="U139" i="1" s="1"/>
  <c r="AA123" i="1"/>
  <c r="Q56" i="1"/>
  <c r="O56" i="1" s="1"/>
  <c r="R56" i="1" s="1"/>
  <c r="L56" i="1" s="1"/>
  <c r="M56" i="1" s="1"/>
  <c r="AA56" i="1"/>
  <c r="T56" i="1"/>
  <c r="U56" i="1" s="1"/>
  <c r="T37" i="1"/>
  <c r="U37" i="1" s="1"/>
  <c r="T41" i="1"/>
  <c r="U41" i="1" s="1"/>
  <c r="AA111" i="1"/>
  <c r="AA93" i="1"/>
  <c r="T21" i="1"/>
  <c r="U21" i="1" s="1"/>
  <c r="AA58" i="1"/>
  <c r="Q58" i="1"/>
  <c r="O58" i="1" s="1"/>
  <c r="R58" i="1" s="1"/>
  <c r="L58" i="1" s="1"/>
  <c r="M58" i="1" s="1"/>
  <c r="Q64" i="1"/>
  <c r="O64" i="1" s="1"/>
  <c r="R64" i="1" s="1"/>
  <c r="L64" i="1" s="1"/>
  <c r="M64" i="1" s="1"/>
  <c r="AA64" i="1"/>
  <c r="T74" i="1"/>
  <c r="U74" i="1" s="1"/>
  <c r="AD88" i="1"/>
  <c r="Q95" i="1"/>
  <c r="O95" i="1" s="1"/>
  <c r="R95" i="1" s="1"/>
  <c r="L95" i="1" s="1"/>
  <c r="M95" i="1" s="1"/>
  <c r="AA95" i="1"/>
  <c r="V50" i="1"/>
  <c r="Z50" i="1" s="1"/>
  <c r="AC50" i="1"/>
  <c r="Q50" i="1"/>
  <c r="O50" i="1" s="1"/>
  <c r="R50" i="1" s="1"/>
  <c r="L50" i="1" s="1"/>
  <c r="M50" i="1" s="1"/>
  <c r="AC24" i="1"/>
  <c r="AD24" i="1" s="1"/>
  <c r="V24" i="1"/>
  <c r="Z24" i="1" s="1"/>
  <c r="V151" i="1"/>
  <c r="Z151" i="1" s="1"/>
  <c r="AC151" i="1"/>
  <c r="T17" i="1"/>
  <c r="U17" i="1" s="1"/>
  <c r="V82" i="1"/>
  <c r="Z82" i="1" s="1"/>
  <c r="AC82" i="1"/>
  <c r="AB82" i="1"/>
  <c r="AA149" i="1"/>
  <c r="Q147" i="1"/>
  <c r="O147" i="1" s="1"/>
  <c r="R147" i="1" s="1"/>
  <c r="L147" i="1" s="1"/>
  <c r="M147" i="1" s="1"/>
  <c r="AA147" i="1"/>
  <c r="AC109" i="1"/>
  <c r="AD109" i="1" s="1"/>
  <c r="AB109" i="1"/>
  <c r="V109" i="1"/>
  <c r="Z109" i="1" s="1"/>
  <c r="L36" i="1"/>
  <c r="M36" i="1" s="1"/>
  <c r="AB63" i="1"/>
  <c r="V63" i="1"/>
  <c r="Z63" i="1" s="1"/>
  <c r="AC63" i="1"/>
  <c r="T145" i="1"/>
  <c r="U145" i="1" s="1"/>
  <c r="Q146" i="1"/>
  <c r="O146" i="1" s="1"/>
  <c r="R146" i="1" s="1"/>
  <c r="L146" i="1" s="1"/>
  <c r="M146" i="1" s="1"/>
  <c r="AA146" i="1"/>
  <c r="V126" i="1"/>
  <c r="Z126" i="1" s="1"/>
  <c r="AC126" i="1"/>
  <c r="T101" i="1"/>
  <c r="U101" i="1" s="1"/>
  <c r="T123" i="1"/>
  <c r="U123" i="1" s="1"/>
  <c r="T80" i="1"/>
  <c r="U80" i="1" s="1"/>
  <c r="AA126" i="1"/>
  <c r="Q126" i="1"/>
  <c r="O126" i="1" s="1"/>
  <c r="R126" i="1" s="1"/>
  <c r="L126" i="1" s="1"/>
  <c r="M126" i="1" s="1"/>
  <c r="AB131" i="1"/>
  <c r="AA116" i="1"/>
  <c r="AC89" i="1"/>
  <c r="AD89" i="1" s="1"/>
  <c r="V89" i="1"/>
  <c r="Z89" i="1" s="1"/>
  <c r="AA81" i="1"/>
  <c r="AA120" i="1"/>
  <c r="T120" i="1"/>
  <c r="U120" i="1" s="1"/>
  <c r="V99" i="1"/>
  <c r="Z99" i="1" s="1"/>
  <c r="AC99" i="1"/>
  <c r="AD99" i="1" s="1"/>
  <c r="AB99" i="1"/>
  <c r="AA98" i="1"/>
  <c r="T65" i="1"/>
  <c r="U65" i="1" s="1"/>
  <c r="Q79" i="1"/>
  <c r="O79" i="1" s="1"/>
  <c r="R79" i="1" s="1"/>
  <c r="L79" i="1" s="1"/>
  <c r="M79" i="1" s="1"/>
  <c r="AA79" i="1"/>
  <c r="T46" i="1"/>
  <c r="U46" i="1" s="1"/>
  <c r="Q46" i="1" s="1"/>
  <c r="O46" i="1" s="1"/>
  <c r="R46" i="1" s="1"/>
  <c r="L46" i="1" s="1"/>
  <c r="M46" i="1" s="1"/>
  <c r="T52" i="1"/>
  <c r="U52" i="1" s="1"/>
  <c r="T31" i="1"/>
  <c r="U31" i="1" s="1"/>
  <c r="AA41" i="1"/>
  <c r="Q41" i="1"/>
  <c r="O41" i="1" s="1"/>
  <c r="R41" i="1" s="1"/>
  <c r="L41" i="1" s="1"/>
  <c r="M41" i="1" s="1"/>
  <c r="Q24" i="1"/>
  <c r="O24" i="1" s="1"/>
  <c r="R24" i="1" s="1"/>
  <c r="L24" i="1" s="1"/>
  <c r="M24" i="1" s="1"/>
  <c r="T59" i="1"/>
  <c r="U59" i="1" s="1"/>
  <c r="T62" i="1"/>
  <c r="U62" i="1" s="1"/>
  <c r="Q62" i="1" s="1"/>
  <c r="O62" i="1" s="1"/>
  <c r="R62" i="1" s="1"/>
  <c r="L62" i="1" s="1"/>
  <c r="M62" i="1" s="1"/>
  <c r="AA55" i="1"/>
  <c r="Q55" i="1"/>
  <c r="O55" i="1" s="1"/>
  <c r="R55" i="1" s="1"/>
  <c r="L55" i="1" s="1"/>
  <c r="M55" i="1" s="1"/>
  <c r="AA46" i="1"/>
  <c r="AA69" i="1"/>
  <c r="Q69" i="1"/>
  <c r="O69" i="1" s="1"/>
  <c r="R69" i="1" s="1"/>
  <c r="L69" i="1" s="1"/>
  <c r="M69" i="1" s="1"/>
  <c r="L34" i="1"/>
  <c r="M34" i="1" s="1"/>
  <c r="AA77" i="1"/>
  <c r="Q77" i="1"/>
  <c r="O77" i="1" s="1"/>
  <c r="R77" i="1" s="1"/>
  <c r="L77" i="1" s="1"/>
  <c r="M77" i="1" s="1"/>
  <c r="L88" i="1"/>
  <c r="M88" i="1" s="1"/>
  <c r="AC36" i="1"/>
  <c r="AD36" i="1" s="1"/>
  <c r="V36" i="1"/>
  <c r="Z36" i="1" s="1"/>
  <c r="AC28" i="1"/>
  <c r="AD28" i="1" s="1"/>
  <c r="V28" i="1"/>
  <c r="Z28" i="1" s="1"/>
  <c r="AC20" i="1"/>
  <c r="V20" i="1"/>
  <c r="Z20" i="1" s="1"/>
  <c r="T79" i="1"/>
  <c r="U79" i="1" s="1"/>
  <c r="AB22" i="1"/>
  <c r="V159" i="1"/>
  <c r="Z159" i="1" s="1"/>
  <c r="AC159" i="1"/>
  <c r="AD159" i="1" s="1"/>
  <c r="AA75" i="1"/>
  <c r="Q75" i="1"/>
  <c r="O75" i="1" s="1"/>
  <c r="R75" i="1" s="1"/>
  <c r="L75" i="1" s="1"/>
  <c r="M75" i="1" s="1"/>
  <c r="T130" i="1"/>
  <c r="U130" i="1" s="1"/>
  <c r="AA100" i="1"/>
  <c r="AA121" i="1"/>
  <c r="AB151" i="1"/>
  <c r="AA107" i="1"/>
  <c r="Q107" i="1"/>
  <c r="O107" i="1" s="1"/>
  <c r="R107" i="1" s="1"/>
  <c r="L107" i="1" s="1"/>
  <c r="M107" i="1" s="1"/>
  <c r="AB85" i="1"/>
  <c r="AA110" i="1"/>
  <c r="AA73" i="1"/>
  <c r="AC30" i="1"/>
  <c r="AD30" i="1" s="1"/>
  <c r="V30" i="1"/>
  <c r="Z30" i="1" s="1"/>
  <c r="T157" i="1"/>
  <c r="U157" i="1" s="1"/>
  <c r="T114" i="1"/>
  <c r="U114" i="1" s="1"/>
  <c r="T164" i="1"/>
  <c r="U164" i="1" s="1"/>
  <c r="Q148" i="1"/>
  <c r="O148" i="1" s="1"/>
  <c r="R148" i="1" s="1"/>
  <c r="L148" i="1" s="1"/>
  <c r="M148" i="1" s="1"/>
  <c r="AA148" i="1"/>
  <c r="AA144" i="1"/>
  <c r="T144" i="1"/>
  <c r="U144" i="1" s="1"/>
  <c r="T132" i="1"/>
  <c r="U132" i="1" s="1"/>
  <c r="T160" i="1"/>
  <c r="U160" i="1" s="1"/>
  <c r="T97" i="1"/>
  <c r="U97" i="1" s="1"/>
  <c r="Q97" i="1" s="1"/>
  <c r="O97" i="1" s="1"/>
  <c r="R97" i="1" s="1"/>
  <c r="L97" i="1" s="1"/>
  <c r="M97" i="1" s="1"/>
  <c r="Q96" i="1"/>
  <c r="O96" i="1" s="1"/>
  <c r="R96" i="1" s="1"/>
  <c r="L96" i="1" s="1"/>
  <c r="M96" i="1" s="1"/>
  <c r="AA96" i="1"/>
  <c r="Q87" i="1"/>
  <c r="O87" i="1" s="1"/>
  <c r="R87" i="1" s="1"/>
  <c r="L87" i="1" s="1"/>
  <c r="M87" i="1" s="1"/>
  <c r="AA87" i="1"/>
  <c r="AB83" i="1"/>
  <c r="AC83" i="1"/>
  <c r="AD83" i="1" s="1"/>
  <c r="V83" i="1"/>
  <c r="Z83" i="1" s="1"/>
  <c r="T68" i="1"/>
  <c r="U68" i="1" s="1"/>
  <c r="AA68" i="1"/>
  <c r="T107" i="1"/>
  <c r="U107" i="1" s="1"/>
  <c r="AA40" i="1"/>
  <c r="V51" i="1"/>
  <c r="Z51" i="1" s="1"/>
  <c r="AB51" i="1"/>
  <c r="Q51" i="1"/>
  <c r="O51" i="1" s="1"/>
  <c r="R51" i="1" s="1"/>
  <c r="L51" i="1" s="1"/>
  <c r="M51" i="1" s="1"/>
  <c r="AC51" i="1"/>
  <c r="T25" i="1"/>
  <c r="U25" i="1" s="1"/>
  <c r="AA53" i="1"/>
  <c r="Q22" i="1"/>
  <c r="O22" i="1" s="1"/>
  <c r="R22" i="1" s="1"/>
  <c r="L22" i="1" s="1"/>
  <c r="M22" i="1" s="1"/>
  <c r="Q54" i="1"/>
  <c r="O54" i="1" s="1"/>
  <c r="R54" i="1" s="1"/>
  <c r="L54" i="1" s="1"/>
  <c r="M54" i="1" s="1"/>
  <c r="AC64" i="1"/>
  <c r="V64" i="1"/>
  <c r="Z64" i="1" s="1"/>
  <c r="AC60" i="1"/>
  <c r="V60" i="1"/>
  <c r="Z60" i="1" s="1"/>
  <c r="AB60" i="1"/>
  <c r="AA102" i="1"/>
  <c r="AB50" i="1"/>
  <c r="V70" i="1"/>
  <c r="Z70" i="1" s="1"/>
  <c r="AC70" i="1"/>
  <c r="AD70" i="1" s="1"/>
  <c r="AB20" i="1"/>
  <c r="V152" i="1"/>
  <c r="Z152" i="1" s="1"/>
  <c r="AC152" i="1"/>
  <c r="T102" i="1"/>
  <c r="U102" i="1" s="1"/>
  <c r="Q102" i="1" s="1"/>
  <c r="O102" i="1" s="1"/>
  <c r="R102" i="1" s="1"/>
  <c r="L102" i="1" s="1"/>
  <c r="M102" i="1" s="1"/>
  <c r="T119" i="1"/>
  <c r="U119" i="1" s="1"/>
  <c r="T61" i="1"/>
  <c r="U61" i="1" s="1"/>
  <c r="T23" i="1"/>
  <c r="U23" i="1" s="1"/>
  <c r="V72" i="1"/>
  <c r="Z72" i="1" s="1"/>
  <c r="AC72" i="1"/>
  <c r="AB72" i="1"/>
  <c r="T149" i="1"/>
  <c r="U149" i="1" s="1"/>
  <c r="Q149" i="1" s="1"/>
  <c r="O149" i="1" s="1"/>
  <c r="R149" i="1" s="1"/>
  <c r="L149" i="1" s="1"/>
  <c r="M149" i="1" s="1"/>
  <c r="L154" i="1"/>
  <c r="M154" i="1" s="1"/>
  <c r="Q159" i="1"/>
  <c r="O159" i="1" s="1"/>
  <c r="R159" i="1" s="1"/>
  <c r="L159" i="1" s="1"/>
  <c r="M159" i="1" s="1"/>
  <c r="Q155" i="1"/>
  <c r="O155" i="1" s="1"/>
  <c r="R155" i="1" s="1"/>
  <c r="L155" i="1" s="1"/>
  <c r="M155" i="1" s="1"/>
  <c r="AA114" i="1"/>
  <c r="Q114" i="1"/>
  <c r="O114" i="1" s="1"/>
  <c r="R114" i="1" s="1"/>
  <c r="L114" i="1" s="1"/>
  <c r="M114" i="1" s="1"/>
  <c r="AC96" i="1"/>
  <c r="AD96" i="1" s="1"/>
  <c r="V96" i="1"/>
  <c r="Z96" i="1" s="1"/>
  <c r="AB96" i="1"/>
  <c r="Q82" i="1"/>
  <c r="O82" i="1" s="1"/>
  <c r="R82" i="1" s="1"/>
  <c r="L82" i="1" s="1"/>
  <c r="M82" i="1" s="1"/>
  <c r="AA82" i="1"/>
  <c r="AB155" i="1"/>
  <c r="AA163" i="1"/>
  <c r="Q163" i="1"/>
  <c r="O163" i="1" s="1"/>
  <c r="R163" i="1" s="1"/>
  <c r="L163" i="1" s="1"/>
  <c r="M163" i="1" s="1"/>
  <c r="T127" i="1"/>
  <c r="U127" i="1" s="1"/>
  <c r="AB126" i="1"/>
  <c r="T158" i="1"/>
  <c r="U158" i="1" s="1"/>
  <c r="T136" i="1"/>
  <c r="U136" i="1" s="1"/>
  <c r="Q108" i="1"/>
  <c r="O108" i="1" s="1"/>
  <c r="R108" i="1" s="1"/>
  <c r="L108" i="1" s="1"/>
  <c r="M108" i="1" s="1"/>
  <c r="AA108" i="1"/>
  <c r="T81" i="1"/>
  <c r="U81" i="1" s="1"/>
  <c r="Q81" i="1" s="1"/>
  <c r="O81" i="1" s="1"/>
  <c r="R81" i="1" s="1"/>
  <c r="L81" i="1" s="1"/>
  <c r="M81" i="1" s="1"/>
  <c r="T106" i="1"/>
  <c r="U106" i="1" s="1"/>
  <c r="Q106" i="1" s="1"/>
  <c r="O106" i="1" s="1"/>
  <c r="R106" i="1" s="1"/>
  <c r="L106" i="1" s="1"/>
  <c r="M106" i="1" s="1"/>
  <c r="T100" i="1"/>
  <c r="U100" i="1" s="1"/>
  <c r="Q76" i="1"/>
  <c r="O76" i="1" s="1"/>
  <c r="R76" i="1" s="1"/>
  <c r="L76" i="1" s="1"/>
  <c r="M76" i="1" s="1"/>
  <c r="AA76" i="1"/>
  <c r="T93" i="1"/>
  <c r="U93" i="1" s="1"/>
  <c r="Q93" i="1" s="1"/>
  <c r="O93" i="1" s="1"/>
  <c r="R93" i="1" s="1"/>
  <c r="L93" i="1" s="1"/>
  <c r="M93" i="1" s="1"/>
  <c r="Q71" i="1"/>
  <c r="O71" i="1" s="1"/>
  <c r="R71" i="1" s="1"/>
  <c r="L71" i="1" s="1"/>
  <c r="M71" i="1" s="1"/>
  <c r="T35" i="1"/>
  <c r="U35" i="1" s="1"/>
  <c r="T19" i="1"/>
  <c r="U19" i="1" s="1"/>
  <c r="AC84" i="1"/>
  <c r="AD84" i="1" s="1"/>
  <c r="V84" i="1"/>
  <c r="Z84" i="1" s="1"/>
  <c r="AA57" i="1"/>
  <c r="Q57" i="1"/>
  <c r="O57" i="1" s="1"/>
  <c r="R57" i="1" s="1"/>
  <c r="L57" i="1" s="1"/>
  <c r="M57" i="1" s="1"/>
  <c r="AA43" i="1"/>
  <c r="AD113" i="1"/>
  <c r="AA62" i="1"/>
  <c r="AC38" i="1"/>
  <c r="AD38" i="1" s="1"/>
  <c r="V38" i="1"/>
  <c r="Z38" i="1" s="1"/>
  <c r="T43" i="1"/>
  <c r="U43" i="1" s="1"/>
  <c r="T78" i="1"/>
  <c r="U78" i="1" s="1"/>
  <c r="Q78" i="1" s="1"/>
  <c r="O78" i="1" s="1"/>
  <c r="R78" i="1" s="1"/>
  <c r="L78" i="1" s="1"/>
  <c r="M78" i="1" s="1"/>
  <c r="Q60" i="1"/>
  <c r="O60" i="1" s="1"/>
  <c r="R60" i="1" s="1"/>
  <c r="L60" i="1" s="1"/>
  <c r="M60" i="1" s="1"/>
  <c r="AA60" i="1"/>
  <c r="AC34" i="1"/>
  <c r="AD34" i="1" s="1"/>
  <c r="V34" i="1"/>
  <c r="Z34" i="1" s="1"/>
  <c r="AC26" i="1"/>
  <c r="AD26" i="1" s="1"/>
  <c r="V26" i="1"/>
  <c r="Z26" i="1" s="1"/>
  <c r="AC18" i="1"/>
  <c r="AD18" i="1" s="1"/>
  <c r="V18" i="1"/>
  <c r="Z18" i="1" s="1"/>
  <c r="Q18" i="1"/>
  <c r="O18" i="1" s="1"/>
  <c r="R18" i="1" s="1"/>
  <c r="L18" i="1" s="1"/>
  <c r="M18" i="1" s="1"/>
  <c r="AB26" i="1"/>
  <c r="T40" i="1"/>
  <c r="U40" i="1" s="1"/>
  <c r="Q40" i="1" s="1"/>
  <c r="O40" i="1" s="1"/>
  <c r="R40" i="1" s="1"/>
  <c r="L40" i="1" s="1"/>
  <c r="M40" i="1" s="1"/>
  <c r="T111" i="1"/>
  <c r="U111" i="1" s="1"/>
  <c r="AA94" i="1"/>
  <c r="T94" i="1"/>
  <c r="U94" i="1" s="1"/>
  <c r="AA106" i="1"/>
  <c r="AC32" i="1"/>
  <c r="AD32" i="1" s="1"/>
  <c r="V32" i="1"/>
  <c r="Z32" i="1" s="1"/>
  <c r="Q152" i="1"/>
  <c r="O152" i="1" s="1"/>
  <c r="R152" i="1" s="1"/>
  <c r="L152" i="1" s="1"/>
  <c r="M152" i="1" s="1"/>
  <c r="AA152" i="1"/>
  <c r="V122" i="1"/>
  <c r="Z122" i="1" s="1"/>
  <c r="AC122" i="1"/>
  <c r="AD122" i="1" s="1"/>
  <c r="AC131" i="1"/>
  <c r="AD131" i="1" s="1"/>
  <c r="V131" i="1"/>
  <c r="Z131" i="1" s="1"/>
  <c r="Q124" i="1"/>
  <c r="O124" i="1" s="1"/>
  <c r="R124" i="1" s="1"/>
  <c r="L124" i="1" s="1"/>
  <c r="M124" i="1" s="1"/>
  <c r="AA124" i="1"/>
  <c r="AB152" i="1"/>
  <c r="Q137" i="1"/>
  <c r="O137" i="1" s="1"/>
  <c r="R137" i="1" s="1"/>
  <c r="L137" i="1" s="1"/>
  <c r="M137" i="1" s="1"/>
  <c r="AA137" i="1"/>
  <c r="T121" i="1"/>
  <c r="U121" i="1" s="1"/>
  <c r="Q121" i="1" s="1"/>
  <c r="O121" i="1" s="1"/>
  <c r="R121" i="1" s="1"/>
  <c r="L121" i="1" s="1"/>
  <c r="M121" i="1" s="1"/>
  <c r="Q109" i="1"/>
  <c r="O109" i="1" s="1"/>
  <c r="R109" i="1" s="1"/>
  <c r="L109" i="1" s="1"/>
  <c r="M109" i="1" s="1"/>
  <c r="AA118" i="1"/>
  <c r="Q118" i="1"/>
  <c r="O118" i="1" s="1"/>
  <c r="R118" i="1" s="1"/>
  <c r="L118" i="1" s="1"/>
  <c r="M118" i="1" s="1"/>
  <c r="AB104" i="1"/>
  <c r="Q72" i="1"/>
  <c r="O72" i="1" s="1"/>
  <c r="R72" i="1" s="1"/>
  <c r="L72" i="1" s="1"/>
  <c r="M72" i="1" s="1"/>
  <c r="AA72" i="1"/>
  <c r="T57" i="1"/>
  <c r="U57" i="1" s="1"/>
  <c r="Q48" i="1"/>
  <c r="O48" i="1" s="1"/>
  <c r="R48" i="1" s="1"/>
  <c r="L48" i="1" s="1"/>
  <c r="M48" i="1" s="1"/>
  <c r="AA48" i="1"/>
  <c r="T53" i="1"/>
  <c r="U53" i="1" s="1"/>
  <c r="Q53" i="1" s="1"/>
  <c r="O53" i="1" s="1"/>
  <c r="R53" i="1" s="1"/>
  <c r="L53" i="1" s="1"/>
  <c r="M53" i="1" s="1"/>
  <c r="AA150" i="1"/>
  <c r="Q150" i="1"/>
  <c r="O150" i="1" s="1"/>
  <c r="R150" i="1" s="1"/>
  <c r="L150" i="1" s="1"/>
  <c r="M150" i="1" s="1"/>
  <c r="Q140" i="1"/>
  <c r="O140" i="1" s="1"/>
  <c r="R140" i="1" s="1"/>
  <c r="L140" i="1" s="1"/>
  <c r="M140" i="1" s="1"/>
  <c r="AA140" i="1"/>
  <c r="T110" i="1"/>
  <c r="U110" i="1" s="1"/>
  <c r="Q110" i="1" s="1"/>
  <c r="O110" i="1" s="1"/>
  <c r="R110" i="1" s="1"/>
  <c r="L110" i="1" s="1"/>
  <c r="M110" i="1" s="1"/>
  <c r="L138" i="1"/>
  <c r="M138" i="1" s="1"/>
  <c r="T165" i="1"/>
  <c r="U165" i="1" s="1"/>
  <c r="T161" i="1"/>
  <c r="U161" i="1" s="1"/>
  <c r="AA161" i="1"/>
  <c r="Q161" i="1"/>
  <c r="O161" i="1" s="1"/>
  <c r="R161" i="1" s="1"/>
  <c r="L161" i="1" s="1"/>
  <c r="M161" i="1" s="1"/>
  <c r="T153" i="1"/>
  <c r="U153" i="1" s="1"/>
  <c r="AA122" i="1"/>
  <c r="Q122" i="1"/>
  <c r="O122" i="1" s="1"/>
  <c r="R122" i="1" s="1"/>
  <c r="L122" i="1" s="1"/>
  <c r="M122" i="1" s="1"/>
  <c r="T156" i="1"/>
  <c r="U156" i="1" s="1"/>
  <c r="AB135" i="1"/>
  <c r="T163" i="1"/>
  <c r="U163" i="1" s="1"/>
  <c r="Q160" i="1"/>
  <c r="O160" i="1" s="1"/>
  <c r="R160" i="1" s="1"/>
  <c r="L160" i="1" s="1"/>
  <c r="M160" i="1" s="1"/>
  <c r="AA160" i="1"/>
  <c r="T141" i="1"/>
  <c r="U141" i="1" s="1"/>
  <c r="Q141" i="1" s="1"/>
  <c r="O141" i="1" s="1"/>
  <c r="R141" i="1" s="1"/>
  <c r="L141" i="1" s="1"/>
  <c r="M141" i="1" s="1"/>
  <c r="AA165" i="1"/>
  <c r="Q165" i="1"/>
  <c r="O165" i="1" s="1"/>
  <c r="R165" i="1" s="1"/>
  <c r="L165" i="1" s="1"/>
  <c r="M165" i="1" s="1"/>
  <c r="AA139" i="1"/>
  <c r="Q139" i="1"/>
  <c r="O139" i="1" s="1"/>
  <c r="R139" i="1" s="1"/>
  <c r="L139" i="1" s="1"/>
  <c r="M139" i="1" s="1"/>
  <c r="AA141" i="1"/>
  <c r="T116" i="1"/>
  <c r="U116" i="1" s="1"/>
  <c r="AA136" i="1"/>
  <c r="T118" i="1"/>
  <c r="U118" i="1" s="1"/>
  <c r="AA133" i="1"/>
  <c r="T133" i="1"/>
  <c r="U133" i="1" s="1"/>
  <c r="T115" i="1"/>
  <c r="U115" i="1" s="1"/>
  <c r="AC129" i="1"/>
  <c r="AD129" i="1" s="1"/>
  <c r="V129" i="1"/>
  <c r="Z129" i="1" s="1"/>
  <c r="AB129" i="1"/>
  <c r="AB89" i="1"/>
  <c r="T98" i="1"/>
  <c r="U98" i="1" s="1"/>
  <c r="T103" i="1"/>
  <c r="U103" i="1" s="1"/>
  <c r="T73" i="1"/>
  <c r="U73" i="1" s="1"/>
  <c r="Q104" i="1"/>
  <c r="O104" i="1" s="1"/>
  <c r="R104" i="1" s="1"/>
  <c r="L104" i="1" s="1"/>
  <c r="M104" i="1" s="1"/>
  <c r="AA104" i="1"/>
  <c r="Q83" i="1"/>
  <c r="O83" i="1" s="1"/>
  <c r="R83" i="1" s="1"/>
  <c r="L83" i="1" s="1"/>
  <c r="M83" i="1" s="1"/>
  <c r="AA83" i="1"/>
  <c r="T75" i="1"/>
  <c r="U75" i="1" s="1"/>
  <c r="AA115" i="1"/>
  <c r="Q115" i="1"/>
  <c r="O115" i="1" s="1"/>
  <c r="R115" i="1" s="1"/>
  <c r="L115" i="1" s="1"/>
  <c r="M115" i="1" s="1"/>
  <c r="V42" i="1"/>
  <c r="Z42" i="1" s="1"/>
  <c r="AC42" i="1"/>
  <c r="AD42" i="1" s="1"/>
  <c r="AB42" i="1"/>
  <c r="T29" i="1"/>
  <c r="U29" i="1" s="1"/>
  <c r="Q84" i="1"/>
  <c r="O84" i="1" s="1"/>
  <c r="R84" i="1" s="1"/>
  <c r="L84" i="1" s="1"/>
  <c r="M84" i="1" s="1"/>
  <c r="AA67" i="1"/>
  <c r="Q67" i="1"/>
  <c r="O67" i="1" s="1"/>
  <c r="R67" i="1" s="1"/>
  <c r="L67" i="1" s="1"/>
  <c r="M67" i="1" s="1"/>
  <c r="T67" i="1"/>
  <c r="U67" i="1" s="1"/>
  <c r="Q30" i="1"/>
  <c r="O30" i="1" s="1"/>
  <c r="R30" i="1" s="1"/>
  <c r="L30" i="1" s="1"/>
  <c r="M30" i="1" s="1"/>
  <c r="AA97" i="1"/>
  <c r="AA63" i="1"/>
  <c r="Q63" i="1"/>
  <c r="O63" i="1" s="1"/>
  <c r="R63" i="1" s="1"/>
  <c r="L63" i="1" s="1"/>
  <c r="M63" i="1" s="1"/>
  <c r="AB64" i="1"/>
  <c r="V90" i="1"/>
  <c r="Z90" i="1" s="1"/>
  <c r="AC90" i="1"/>
  <c r="AB90" i="1"/>
  <c r="Q44" i="1"/>
  <c r="O44" i="1" s="1"/>
  <c r="R44" i="1" s="1"/>
  <c r="L44" i="1" s="1"/>
  <c r="M44" i="1" s="1"/>
  <c r="AA44" i="1"/>
  <c r="AC73" i="1" l="1"/>
  <c r="V73" i="1"/>
  <c r="Z73" i="1" s="1"/>
  <c r="AB73" i="1"/>
  <c r="V116" i="1"/>
  <c r="Z116" i="1" s="1"/>
  <c r="AC116" i="1"/>
  <c r="AB116" i="1"/>
  <c r="V160" i="1"/>
  <c r="Z160" i="1" s="1"/>
  <c r="AC160" i="1"/>
  <c r="AD160" i="1" s="1"/>
  <c r="AB160" i="1"/>
  <c r="AC59" i="1"/>
  <c r="AD59" i="1" s="1"/>
  <c r="AB59" i="1"/>
  <c r="V59" i="1"/>
  <c r="Z59" i="1" s="1"/>
  <c r="Q59" i="1"/>
  <c r="O59" i="1" s="1"/>
  <c r="R59" i="1" s="1"/>
  <c r="L59" i="1" s="1"/>
  <c r="M59" i="1" s="1"/>
  <c r="V123" i="1"/>
  <c r="Z123" i="1" s="1"/>
  <c r="AC123" i="1"/>
  <c r="AB123" i="1"/>
  <c r="AC145" i="1"/>
  <c r="AB145" i="1"/>
  <c r="V145" i="1"/>
  <c r="Z145" i="1" s="1"/>
  <c r="Q145" i="1"/>
  <c r="O145" i="1" s="1"/>
  <c r="R145" i="1" s="1"/>
  <c r="L145" i="1" s="1"/>
  <c r="M145" i="1" s="1"/>
  <c r="V17" i="1"/>
  <c r="Z17" i="1" s="1"/>
  <c r="AC17" i="1"/>
  <c r="Q17" i="1"/>
  <c r="O17" i="1" s="1"/>
  <c r="R17" i="1" s="1"/>
  <c r="L17" i="1" s="1"/>
  <c r="M17" i="1" s="1"/>
  <c r="AB17" i="1"/>
  <c r="V41" i="1"/>
  <c r="Z41" i="1" s="1"/>
  <c r="AC41" i="1"/>
  <c r="AD41" i="1" s="1"/>
  <c r="AB41" i="1"/>
  <c r="V33" i="1"/>
  <c r="Z33" i="1" s="1"/>
  <c r="AC33" i="1"/>
  <c r="Q33" i="1"/>
  <c r="O33" i="1" s="1"/>
  <c r="R33" i="1" s="1"/>
  <c r="L33" i="1" s="1"/>
  <c r="M33" i="1" s="1"/>
  <c r="AB33" i="1"/>
  <c r="V75" i="1"/>
  <c r="Z75" i="1" s="1"/>
  <c r="AC75" i="1"/>
  <c r="AB75" i="1"/>
  <c r="V103" i="1"/>
  <c r="Z103" i="1" s="1"/>
  <c r="AC103" i="1"/>
  <c r="AB103" i="1"/>
  <c r="AC165" i="1"/>
  <c r="V165" i="1"/>
  <c r="Z165" i="1" s="1"/>
  <c r="AB165" i="1"/>
  <c r="V164" i="1"/>
  <c r="Z164" i="1" s="1"/>
  <c r="AC164" i="1"/>
  <c r="AD164" i="1" s="1"/>
  <c r="AB164" i="1"/>
  <c r="Q73" i="1"/>
  <c r="O73" i="1" s="1"/>
  <c r="R73" i="1" s="1"/>
  <c r="L73" i="1" s="1"/>
  <c r="M73" i="1" s="1"/>
  <c r="Q116" i="1"/>
  <c r="O116" i="1" s="1"/>
  <c r="R116" i="1" s="1"/>
  <c r="L116" i="1" s="1"/>
  <c r="M116" i="1" s="1"/>
  <c r="V139" i="1"/>
  <c r="Z139" i="1" s="1"/>
  <c r="AC139" i="1"/>
  <c r="AB139" i="1"/>
  <c r="AC134" i="1"/>
  <c r="V134" i="1"/>
  <c r="Z134" i="1" s="1"/>
  <c r="Q134" i="1"/>
  <c r="O134" i="1" s="1"/>
  <c r="R134" i="1" s="1"/>
  <c r="L134" i="1" s="1"/>
  <c r="M134" i="1" s="1"/>
  <c r="AB134" i="1"/>
  <c r="V117" i="1"/>
  <c r="Z117" i="1" s="1"/>
  <c r="AC117" i="1"/>
  <c r="AB117" i="1"/>
  <c r="V27" i="1"/>
  <c r="Z27" i="1" s="1"/>
  <c r="AC27" i="1"/>
  <c r="AB27" i="1"/>
  <c r="Q27" i="1"/>
  <c r="O27" i="1" s="1"/>
  <c r="R27" i="1" s="1"/>
  <c r="L27" i="1" s="1"/>
  <c r="M27" i="1" s="1"/>
  <c r="AD71" i="1"/>
  <c r="AD66" i="1"/>
  <c r="AD146" i="1"/>
  <c r="AD72" i="1"/>
  <c r="AC133" i="1"/>
  <c r="AD133" i="1" s="1"/>
  <c r="V133" i="1"/>
  <c r="Z133" i="1" s="1"/>
  <c r="AB133" i="1"/>
  <c r="AB136" i="1"/>
  <c r="V136" i="1"/>
  <c r="Z136" i="1" s="1"/>
  <c r="AC136" i="1"/>
  <c r="AD136" i="1" s="1"/>
  <c r="V23" i="1"/>
  <c r="Z23" i="1" s="1"/>
  <c r="AC23" i="1"/>
  <c r="AD23" i="1" s="1"/>
  <c r="Q23" i="1"/>
  <c r="O23" i="1" s="1"/>
  <c r="R23" i="1" s="1"/>
  <c r="L23" i="1" s="1"/>
  <c r="M23" i="1" s="1"/>
  <c r="AB23" i="1"/>
  <c r="V120" i="1"/>
  <c r="Z120" i="1" s="1"/>
  <c r="AC120" i="1"/>
  <c r="AB120" i="1"/>
  <c r="V101" i="1"/>
  <c r="Z101" i="1" s="1"/>
  <c r="AC101" i="1"/>
  <c r="AB101" i="1"/>
  <c r="Q101" i="1"/>
  <c r="O101" i="1" s="1"/>
  <c r="R101" i="1" s="1"/>
  <c r="L101" i="1" s="1"/>
  <c r="M101" i="1" s="1"/>
  <c r="AD63" i="1"/>
  <c r="V21" i="1"/>
  <c r="Z21" i="1" s="1"/>
  <c r="AC21" i="1"/>
  <c r="AB21" i="1"/>
  <c r="Q21" i="1"/>
  <c r="O21" i="1" s="1"/>
  <c r="R21" i="1" s="1"/>
  <c r="L21" i="1" s="1"/>
  <c r="M21" i="1" s="1"/>
  <c r="V37" i="1"/>
  <c r="Z37" i="1" s="1"/>
  <c r="AC37" i="1"/>
  <c r="AB37" i="1"/>
  <c r="Q37" i="1"/>
  <c r="O37" i="1" s="1"/>
  <c r="R37" i="1" s="1"/>
  <c r="L37" i="1" s="1"/>
  <c r="M37" i="1" s="1"/>
  <c r="V105" i="1"/>
  <c r="Z105" i="1" s="1"/>
  <c r="AC105" i="1"/>
  <c r="AB105" i="1"/>
  <c r="Q105" i="1"/>
  <c r="O105" i="1" s="1"/>
  <c r="R105" i="1" s="1"/>
  <c r="L105" i="1" s="1"/>
  <c r="M105" i="1" s="1"/>
  <c r="AD85" i="1"/>
  <c r="AD95" i="1"/>
  <c r="V19" i="1"/>
  <c r="Z19" i="1" s="1"/>
  <c r="AC19" i="1"/>
  <c r="AD19" i="1" s="1"/>
  <c r="AB19" i="1"/>
  <c r="Q19" i="1"/>
  <c r="O19" i="1" s="1"/>
  <c r="R19" i="1" s="1"/>
  <c r="L19" i="1" s="1"/>
  <c r="M19" i="1" s="1"/>
  <c r="V107" i="1"/>
  <c r="Z107" i="1" s="1"/>
  <c r="AC107" i="1"/>
  <c r="AD107" i="1" s="1"/>
  <c r="AB107" i="1"/>
  <c r="V56" i="1"/>
  <c r="Z56" i="1" s="1"/>
  <c r="AB56" i="1"/>
  <c r="AC56" i="1"/>
  <c r="AD76" i="1"/>
  <c r="AD135" i="1"/>
  <c r="AC77" i="1"/>
  <c r="V77" i="1"/>
  <c r="Z77" i="1" s="1"/>
  <c r="AB77" i="1"/>
  <c r="AD140" i="1"/>
  <c r="V111" i="1"/>
  <c r="Z111" i="1" s="1"/>
  <c r="AC111" i="1"/>
  <c r="AD111" i="1" s="1"/>
  <c r="AB111" i="1"/>
  <c r="V40" i="1"/>
  <c r="Z40" i="1" s="1"/>
  <c r="AC40" i="1"/>
  <c r="AB40" i="1"/>
  <c r="AD152" i="1"/>
  <c r="V132" i="1"/>
  <c r="Z132" i="1" s="1"/>
  <c r="AC132" i="1"/>
  <c r="AD132" i="1" s="1"/>
  <c r="AB132" i="1"/>
  <c r="Q132" i="1"/>
  <c r="O132" i="1" s="1"/>
  <c r="R132" i="1" s="1"/>
  <c r="L132" i="1" s="1"/>
  <c r="M132" i="1" s="1"/>
  <c r="AD151" i="1"/>
  <c r="Q133" i="1"/>
  <c r="O133" i="1" s="1"/>
  <c r="R133" i="1" s="1"/>
  <c r="L133" i="1" s="1"/>
  <c r="M133" i="1" s="1"/>
  <c r="AC163" i="1"/>
  <c r="V163" i="1"/>
  <c r="Z163" i="1" s="1"/>
  <c r="AB163" i="1"/>
  <c r="V110" i="1"/>
  <c r="Z110" i="1" s="1"/>
  <c r="AC110" i="1"/>
  <c r="AD110" i="1" s="1"/>
  <c r="AB110" i="1"/>
  <c r="AC100" i="1"/>
  <c r="V100" i="1"/>
  <c r="Z100" i="1" s="1"/>
  <c r="AB100" i="1"/>
  <c r="AC158" i="1"/>
  <c r="V158" i="1"/>
  <c r="Z158" i="1" s="1"/>
  <c r="AB158" i="1"/>
  <c r="AD60" i="1"/>
  <c r="V25" i="1"/>
  <c r="Z25" i="1" s="1"/>
  <c r="AC25" i="1"/>
  <c r="AD25" i="1" s="1"/>
  <c r="AB25" i="1"/>
  <c r="Q25" i="1"/>
  <c r="O25" i="1" s="1"/>
  <c r="R25" i="1" s="1"/>
  <c r="L25" i="1" s="1"/>
  <c r="M25" i="1" s="1"/>
  <c r="V144" i="1"/>
  <c r="Z144" i="1" s="1"/>
  <c r="AC144" i="1"/>
  <c r="AB144" i="1"/>
  <c r="V114" i="1"/>
  <c r="Z114" i="1" s="1"/>
  <c r="AC114" i="1"/>
  <c r="AB114" i="1"/>
  <c r="Q100" i="1"/>
  <c r="O100" i="1" s="1"/>
  <c r="R100" i="1" s="1"/>
  <c r="L100" i="1" s="1"/>
  <c r="M100" i="1" s="1"/>
  <c r="AC79" i="1"/>
  <c r="V79" i="1"/>
  <c r="Z79" i="1" s="1"/>
  <c r="AB79" i="1"/>
  <c r="V31" i="1"/>
  <c r="Z31" i="1" s="1"/>
  <c r="AC31" i="1"/>
  <c r="Q31" i="1"/>
  <c r="O31" i="1" s="1"/>
  <c r="R31" i="1" s="1"/>
  <c r="L31" i="1" s="1"/>
  <c r="M31" i="1" s="1"/>
  <c r="AB31" i="1"/>
  <c r="AC65" i="1"/>
  <c r="AD65" i="1" s="1"/>
  <c r="V65" i="1"/>
  <c r="Z65" i="1" s="1"/>
  <c r="AB65" i="1"/>
  <c r="Q65" i="1"/>
  <c r="O65" i="1" s="1"/>
  <c r="R65" i="1" s="1"/>
  <c r="L65" i="1" s="1"/>
  <c r="M65" i="1" s="1"/>
  <c r="Q120" i="1"/>
  <c r="O120" i="1" s="1"/>
  <c r="R120" i="1" s="1"/>
  <c r="L120" i="1" s="1"/>
  <c r="M120" i="1" s="1"/>
  <c r="AD126" i="1"/>
  <c r="V74" i="1"/>
  <c r="Z74" i="1" s="1"/>
  <c r="AC74" i="1"/>
  <c r="AB74" i="1"/>
  <c r="V147" i="1"/>
  <c r="Z147" i="1" s="1"/>
  <c r="AC147" i="1"/>
  <c r="AB147" i="1"/>
  <c r="AD108" i="1"/>
  <c r="V49" i="1"/>
  <c r="Z49" i="1" s="1"/>
  <c r="AC49" i="1"/>
  <c r="AB49" i="1"/>
  <c r="AD104" i="1"/>
  <c r="Q74" i="1"/>
  <c r="O74" i="1" s="1"/>
  <c r="R74" i="1" s="1"/>
  <c r="L74" i="1" s="1"/>
  <c r="M74" i="1" s="1"/>
  <c r="V45" i="1"/>
  <c r="Z45" i="1" s="1"/>
  <c r="AC45" i="1"/>
  <c r="AD45" i="1" s="1"/>
  <c r="Q45" i="1"/>
  <c r="O45" i="1" s="1"/>
  <c r="R45" i="1" s="1"/>
  <c r="L45" i="1" s="1"/>
  <c r="M45" i="1" s="1"/>
  <c r="AB45" i="1"/>
  <c r="AD55" i="1"/>
  <c r="AD124" i="1"/>
  <c r="V115" i="1"/>
  <c r="Z115" i="1" s="1"/>
  <c r="AC115" i="1"/>
  <c r="AD115" i="1" s="1"/>
  <c r="AB115" i="1"/>
  <c r="V98" i="1"/>
  <c r="Z98" i="1" s="1"/>
  <c r="AC98" i="1"/>
  <c r="AD98" i="1" s="1"/>
  <c r="AB98" i="1"/>
  <c r="V118" i="1"/>
  <c r="Z118" i="1" s="1"/>
  <c r="AC118" i="1"/>
  <c r="AB118" i="1"/>
  <c r="V106" i="1"/>
  <c r="Z106" i="1" s="1"/>
  <c r="AC106" i="1"/>
  <c r="AB106" i="1"/>
  <c r="AC61" i="1"/>
  <c r="AD61" i="1" s="1"/>
  <c r="V61" i="1"/>
  <c r="Z61" i="1" s="1"/>
  <c r="Q61" i="1"/>
  <c r="O61" i="1" s="1"/>
  <c r="R61" i="1" s="1"/>
  <c r="L61" i="1" s="1"/>
  <c r="M61" i="1" s="1"/>
  <c r="AB61" i="1"/>
  <c r="AD51" i="1"/>
  <c r="V68" i="1"/>
  <c r="Z68" i="1" s="1"/>
  <c r="AC68" i="1"/>
  <c r="AB68" i="1"/>
  <c r="V157" i="1"/>
  <c r="Z157" i="1" s="1"/>
  <c r="AC157" i="1"/>
  <c r="AB157" i="1"/>
  <c r="Q157" i="1"/>
  <c r="O157" i="1" s="1"/>
  <c r="R157" i="1" s="1"/>
  <c r="L157" i="1" s="1"/>
  <c r="M157" i="1" s="1"/>
  <c r="AD155" i="1"/>
  <c r="AC141" i="1"/>
  <c r="V141" i="1"/>
  <c r="Z141" i="1" s="1"/>
  <c r="AB141" i="1"/>
  <c r="AC43" i="1"/>
  <c r="AD43" i="1" s="1"/>
  <c r="V43" i="1"/>
  <c r="Z43" i="1" s="1"/>
  <c r="AB43" i="1"/>
  <c r="V93" i="1"/>
  <c r="Z93" i="1" s="1"/>
  <c r="AC93" i="1"/>
  <c r="AB93" i="1"/>
  <c r="V102" i="1"/>
  <c r="Z102" i="1" s="1"/>
  <c r="AC102" i="1"/>
  <c r="AB102" i="1"/>
  <c r="V29" i="1"/>
  <c r="Z29" i="1" s="1"/>
  <c r="AC29" i="1"/>
  <c r="AB29" i="1"/>
  <c r="Q29" i="1"/>
  <c r="O29" i="1" s="1"/>
  <c r="R29" i="1" s="1"/>
  <c r="L29" i="1" s="1"/>
  <c r="M29" i="1" s="1"/>
  <c r="V153" i="1"/>
  <c r="Z153" i="1" s="1"/>
  <c r="AB153" i="1"/>
  <c r="AC153" i="1"/>
  <c r="AD153" i="1" s="1"/>
  <c r="V53" i="1"/>
  <c r="Z53" i="1" s="1"/>
  <c r="AC53" i="1"/>
  <c r="AB53" i="1"/>
  <c r="AB121" i="1"/>
  <c r="AC121" i="1"/>
  <c r="AD121" i="1" s="1"/>
  <c r="V121" i="1"/>
  <c r="Z121" i="1" s="1"/>
  <c r="AC94" i="1"/>
  <c r="V94" i="1"/>
  <c r="Z94" i="1" s="1"/>
  <c r="AB94" i="1"/>
  <c r="V78" i="1"/>
  <c r="Z78" i="1" s="1"/>
  <c r="AC78" i="1"/>
  <c r="AB78" i="1"/>
  <c r="Q43" i="1"/>
  <c r="O43" i="1" s="1"/>
  <c r="R43" i="1" s="1"/>
  <c r="L43" i="1" s="1"/>
  <c r="M43" i="1" s="1"/>
  <c r="V130" i="1"/>
  <c r="Z130" i="1" s="1"/>
  <c r="AC130" i="1"/>
  <c r="AB130" i="1"/>
  <c r="Q130" i="1"/>
  <c r="O130" i="1" s="1"/>
  <c r="R130" i="1" s="1"/>
  <c r="L130" i="1" s="1"/>
  <c r="M130" i="1" s="1"/>
  <c r="V62" i="1"/>
  <c r="Z62" i="1" s="1"/>
  <c r="AC62" i="1"/>
  <c r="AB62" i="1"/>
  <c r="Q111" i="1"/>
  <c r="O111" i="1" s="1"/>
  <c r="R111" i="1" s="1"/>
  <c r="L111" i="1" s="1"/>
  <c r="M111" i="1" s="1"/>
  <c r="AD58" i="1"/>
  <c r="AD90" i="1"/>
  <c r="V67" i="1"/>
  <c r="Z67" i="1" s="1"/>
  <c r="AC67" i="1"/>
  <c r="AD67" i="1" s="1"/>
  <c r="AB67" i="1"/>
  <c r="Q136" i="1"/>
  <c r="O136" i="1" s="1"/>
  <c r="R136" i="1" s="1"/>
  <c r="L136" i="1" s="1"/>
  <c r="M136" i="1" s="1"/>
  <c r="V156" i="1"/>
  <c r="Z156" i="1" s="1"/>
  <c r="AC156" i="1"/>
  <c r="AB156" i="1"/>
  <c r="AC161" i="1"/>
  <c r="AB161" i="1"/>
  <c r="V161" i="1"/>
  <c r="Z161" i="1" s="1"/>
  <c r="AC57" i="1"/>
  <c r="V57" i="1"/>
  <c r="Z57" i="1" s="1"/>
  <c r="AB57" i="1"/>
  <c r="Q94" i="1"/>
  <c r="O94" i="1" s="1"/>
  <c r="R94" i="1" s="1"/>
  <c r="L94" i="1" s="1"/>
  <c r="M94" i="1" s="1"/>
  <c r="V35" i="1"/>
  <c r="Z35" i="1" s="1"/>
  <c r="AC35" i="1"/>
  <c r="Q35" i="1"/>
  <c r="O35" i="1" s="1"/>
  <c r="R35" i="1" s="1"/>
  <c r="L35" i="1" s="1"/>
  <c r="M35" i="1" s="1"/>
  <c r="AB35" i="1"/>
  <c r="V127" i="1"/>
  <c r="Z127" i="1" s="1"/>
  <c r="AC127" i="1"/>
  <c r="Q127" i="1"/>
  <c r="O127" i="1" s="1"/>
  <c r="R127" i="1" s="1"/>
  <c r="L127" i="1" s="1"/>
  <c r="M127" i="1" s="1"/>
  <c r="AB127" i="1"/>
  <c r="V149" i="1"/>
  <c r="Z149" i="1" s="1"/>
  <c r="AC149" i="1"/>
  <c r="AB149" i="1"/>
  <c r="V119" i="1"/>
  <c r="Z119" i="1" s="1"/>
  <c r="AC119" i="1"/>
  <c r="AB119" i="1"/>
  <c r="AD64" i="1"/>
  <c r="Q68" i="1"/>
  <c r="O68" i="1" s="1"/>
  <c r="R68" i="1" s="1"/>
  <c r="L68" i="1" s="1"/>
  <c r="M68" i="1" s="1"/>
  <c r="Q144" i="1"/>
  <c r="O144" i="1" s="1"/>
  <c r="R144" i="1" s="1"/>
  <c r="L144" i="1" s="1"/>
  <c r="M144" i="1" s="1"/>
  <c r="AD20" i="1"/>
  <c r="V52" i="1"/>
  <c r="Z52" i="1" s="1"/>
  <c r="AC52" i="1"/>
  <c r="AD52" i="1" s="1"/>
  <c r="AB52" i="1"/>
  <c r="Q98" i="1"/>
  <c r="O98" i="1" s="1"/>
  <c r="R98" i="1" s="1"/>
  <c r="L98" i="1" s="1"/>
  <c r="M98" i="1" s="1"/>
  <c r="V80" i="1"/>
  <c r="Z80" i="1" s="1"/>
  <c r="AC80" i="1"/>
  <c r="AB80" i="1"/>
  <c r="Q80" i="1"/>
  <c r="O80" i="1" s="1"/>
  <c r="R80" i="1" s="1"/>
  <c r="L80" i="1" s="1"/>
  <c r="M80" i="1" s="1"/>
  <c r="AD82" i="1"/>
  <c r="Q123" i="1"/>
  <c r="O123" i="1" s="1"/>
  <c r="R123" i="1" s="1"/>
  <c r="L123" i="1" s="1"/>
  <c r="M123" i="1" s="1"/>
  <c r="Q153" i="1"/>
  <c r="O153" i="1" s="1"/>
  <c r="R153" i="1" s="1"/>
  <c r="L153" i="1" s="1"/>
  <c r="M153" i="1" s="1"/>
  <c r="V87" i="1"/>
  <c r="Z87" i="1" s="1"/>
  <c r="AC87" i="1"/>
  <c r="AB87" i="1"/>
  <c r="V69" i="1"/>
  <c r="Z69" i="1" s="1"/>
  <c r="AC69" i="1"/>
  <c r="AB69" i="1"/>
  <c r="AD48" i="1"/>
  <c r="AC81" i="1"/>
  <c r="V81" i="1"/>
  <c r="Z81" i="1" s="1"/>
  <c r="AB81" i="1"/>
  <c r="AC97" i="1"/>
  <c r="AD97" i="1" s="1"/>
  <c r="V97" i="1"/>
  <c r="Z97" i="1" s="1"/>
  <c r="AB97" i="1"/>
  <c r="V46" i="1"/>
  <c r="Z46" i="1" s="1"/>
  <c r="AC46" i="1"/>
  <c r="AD46" i="1" s="1"/>
  <c r="AB46" i="1"/>
  <c r="AD50" i="1"/>
  <c r="AC39" i="1"/>
  <c r="V39" i="1"/>
  <c r="Z39" i="1" s="1"/>
  <c r="AB39" i="1"/>
  <c r="Q39" i="1"/>
  <c r="O39" i="1" s="1"/>
  <c r="R39" i="1" s="1"/>
  <c r="L39" i="1" s="1"/>
  <c r="M39" i="1" s="1"/>
  <c r="AD150" i="1"/>
  <c r="AD148" i="1"/>
  <c r="AD102" i="1" l="1"/>
  <c r="AD144" i="1"/>
  <c r="AD37" i="1"/>
  <c r="AD139" i="1"/>
  <c r="AD123" i="1"/>
  <c r="AD69" i="1"/>
  <c r="AD149" i="1"/>
  <c r="AD35" i="1"/>
  <c r="AD161" i="1"/>
  <c r="AD130" i="1"/>
  <c r="AD94" i="1"/>
  <c r="AD68" i="1"/>
  <c r="AD106" i="1"/>
  <c r="AD147" i="1"/>
  <c r="AD158" i="1"/>
  <c r="AD101" i="1"/>
  <c r="AD117" i="1"/>
  <c r="AD165" i="1"/>
  <c r="AD17" i="1"/>
  <c r="AD79" i="1"/>
  <c r="AD163" i="1"/>
  <c r="AD33" i="1"/>
  <c r="AD116" i="1"/>
  <c r="AD93" i="1"/>
  <c r="AD40" i="1"/>
  <c r="AD77" i="1"/>
  <c r="AD103" i="1"/>
  <c r="AD141" i="1"/>
  <c r="AD156" i="1"/>
  <c r="AD87" i="1"/>
  <c r="AD118" i="1"/>
  <c r="AD74" i="1"/>
  <c r="AD100" i="1"/>
  <c r="AD105" i="1"/>
  <c r="AD21" i="1"/>
  <c r="AD120" i="1"/>
  <c r="AD80" i="1"/>
  <c r="AD39" i="1"/>
  <c r="AD62" i="1"/>
  <c r="AD78" i="1"/>
  <c r="AD29" i="1"/>
  <c r="AD49" i="1"/>
  <c r="AD114" i="1"/>
  <c r="AD127" i="1"/>
  <c r="AD81" i="1"/>
  <c r="AD119" i="1"/>
  <c r="AD57" i="1"/>
  <c r="AD53" i="1"/>
  <c r="AD157" i="1"/>
  <c r="AD31" i="1"/>
  <c r="AD56" i="1"/>
  <c r="AD27" i="1"/>
  <c r="AD134" i="1"/>
  <c r="AD75" i="1"/>
  <c r="AD145" i="1"/>
  <c r="AD73" i="1"/>
</calcChain>
</file>

<file path=xl/sharedStrings.xml><?xml version="1.0" encoding="utf-8"?>
<sst xmlns="http://schemas.openxmlformats.org/spreadsheetml/2006/main" count="2286" uniqueCount="781">
  <si>
    <t>File opened</t>
  </si>
  <si>
    <t>2026-04-07 02:17:43</t>
  </si>
  <si>
    <t>Console s/n</t>
  </si>
  <si>
    <t>68C-373388</t>
  </si>
  <si>
    <t>Console ver</t>
  </si>
  <si>
    <t>Bluestem v.2.1.13</t>
  </si>
  <si>
    <t>Scripts ver</t>
  </si>
  <si>
    <t>2024.01  2.1.13, Apr 2024</t>
  </si>
  <si>
    <t>Head s/n</t>
  </si>
  <si>
    <t>68H-413376</t>
  </si>
  <si>
    <t>Head ver</t>
  </si>
  <si>
    <t>1.4.23</t>
  </si>
  <si>
    <t>Head cal</t>
  </si>
  <si>
    <t>{"oxygen": "20", "co2azero": "1.06539", "co2aspan1": "1.00014", "co2aspan2": "-0.028185", "co2aspan2a": "0.309472", "co2aspan2b": "0.306816", "co2aspanconc1": "2492", "co2aspanconc2": "285.6", "co2bzero": "1.01236", "co2bspan1": "0.999964", "co2bspan2": "-0.0275681", "co2bspan2a": "0.309881", "co2bspan2b": "0.307222", "co2bspanconc1": "2492", "co2bspanconc2": "285.6", "h2oazero": "1.36093", "h2oaspan1": "0.999718", "h2oaspan2": "0", "h2oaspan2a": "0.067854", "h2oaspan2b": "0.0678349", "h2oaspanconc1": "12.33", "h2oaspanconc2": "0", "h2obzero": "1.38818", "h2obspan1": "1.00595", "h2obspan2": "0", "h2obspan2a": "0.0676005", "h2obspan2b": "0.0680027", "h2obspanconc1": "12.33", "h2obspanconc2": "0", "tazero": "0.374474", "tbzero": "0.565647", "flowmeterzero": "2.48912", "flowazero": "0.306", "flowbzero": "0.29676", "chamberpressurezero": "2.60812", "ssa_ref": "31166.2", "ssb_ref": "30724"}</t>
  </si>
  <si>
    <t>Factory cal date</t>
  </si>
  <si>
    <t>22 Sep 2025</t>
  </si>
  <si>
    <t>CO2 rangematch</t>
  </si>
  <si>
    <t>Mon Apr  6 09:12</t>
  </si>
  <si>
    <t>H2O rangematch</t>
  </si>
  <si>
    <t>Tue Mar 31 10:54</t>
  </si>
  <si>
    <t>Chamber type</t>
  </si>
  <si>
    <t>6800-12A</t>
  </si>
  <si>
    <t>Chamber s/n</t>
  </si>
  <si>
    <t>CHM-11636</t>
  </si>
  <si>
    <t>Chamber rev</t>
  </si>
  <si>
    <t>0</t>
  </si>
  <si>
    <t>Chamber cal</t>
  </si>
  <si>
    <t>8</t>
  </si>
  <si>
    <t>HeadLS type</t>
  </si>
  <si>
    <t>6800-02</t>
  </si>
  <si>
    <t>HeadLS s/n</t>
  </si>
  <si>
    <t>751854</t>
  </si>
  <si>
    <t>HeadLS f</t>
  </si>
  <si>
    <t>0.0483 0.0757</t>
  </si>
  <si>
    <t>HeadLS u0</t>
  </si>
  <si>
    <t>530 1285</t>
  </si>
  <si>
    <t>02:17:43</t>
  </si>
  <si>
    <t>Stability Definition:	Flow (Meas): Per=30	CO2_r (Meas): Per=30</t>
  </si>
  <si>
    <t>SysConst</t>
  </si>
  <si>
    <t>AvgTime</t>
  </si>
  <si>
    <t>5</t>
  </si>
  <si>
    <t>Oxygen</t>
  </si>
  <si>
    <t>20</t>
  </si>
  <si>
    <t>ChambConst</t>
  </si>
  <si>
    <t>Chamber</t>
  </si>
  <si>
    <t>Aperture</t>
  </si>
  <si>
    <t>1x3 FB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</si>
  <si>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</si>
  <si>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</si>
  <si>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</si>
  <si>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</si>
  <si>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</si>
  <si>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</si>
  <si>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</si>
  <si>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</si>
  <si>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</si>
  <si>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</si>
  <si>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</si>
  <si>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</si>
  <si>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</si>
  <si>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</si>
  <si>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</si>
  <si>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</si>
  <si>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</si>
  <si>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</si>
  <si>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</si>
  <si>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</si>
  <si>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</si>
  <si>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</si>
  <si>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</si>
  <si>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</si>
  <si>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</si>
  <si>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</si>
  <si>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</si>
  <si>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</si>
  <si>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</si>
  <si>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</si>
  <si>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</si>
  <si>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</si>
  <si>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</si>
  <si>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</si>
  <si>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</si>
  <si>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</si>
  <si>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</si>
  <si>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</si>
  <si>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</si>
  <si>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</si>
  <si>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</si>
  <si>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</si>
  <si>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</si>
  <si>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</si>
  <si>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4.02522 183.792 385.01 627.907 856.524 1063.12 1226.53 1366.19</t>
  </si>
  <si>
    <t>Fs_true</t>
  </si>
  <si>
    <t>0.748862 192.321 388.559 599.92 801.584 1000.8 1200.46 1400.86</t>
  </si>
  <si>
    <t>leak_wt</t>
  </si>
  <si>
    <t>SysObs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</si>
  <si>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</si>
  <si>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</si>
  <si>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</si>
  <si>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</si>
  <si>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</si>
  <si>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</si>
  <si>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</si>
  <si>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</si>
  <si>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</si>
  <si>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</si>
  <si>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</si>
  <si>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</si>
  <si>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</si>
  <si>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</si>
  <si>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</si>
  <si>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</si>
  <si>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</si>
  <si>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</si>
  <si>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</si>
  <si>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</si>
  <si>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</si>
  <si>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</si>
  <si>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</si>
  <si>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</si>
  <si>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</si>
  <si>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</si>
  <si>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</si>
  <si>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</si>
  <si>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</si>
  <si>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</si>
  <si>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</si>
  <si>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</si>
  <si>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</si>
  <si>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</si>
  <si>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</si>
  <si>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</si>
  <si>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</si>
  <si>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</si>
  <si>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</si>
  <si>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</si>
  <si>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</si>
  <si>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</si>
  <si>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</si>
  <si>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</si>
  <si>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</si>
  <si>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</si>
  <si>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</si>
  <si>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</si>
  <si>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</si>
  <si>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</si>
  <si>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</si>
  <si>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</si>
  <si>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</si>
  <si>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</si>
  <si>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</si>
  <si>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</si>
  <si>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</si>
  <si>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</si>
  <si>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</si>
  <si>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</si>
  <si>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</si>
  <si>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</si>
  <si>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</si>
  <si>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</si>
  <si>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</si>
  <si>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</si>
  <si>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</si>
  <si>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</si>
  <si>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</si>
  <si>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</si>
  <si>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</si>
  <si>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</si>
  <si>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</si>
  <si>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</si>
  <si>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</si>
  <si>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</si>
  <si>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</si>
  <si>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</si>
  <si>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</si>
  <si>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</si>
  <si>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</si>
  <si>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</si>
  <si>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</si>
  <si>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</si>
  <si>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</si>
  <si>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</si>
  <si>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</si>
  <si>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</si>
  <si>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</si>
  <si>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</si>
  <si>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</si>
  <si>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</si>
  <si>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</si>
  <si>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</si>
  <si>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</si>
  <si>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</si>
  <si>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</si>
  <si>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</si>
  <si>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</si>
  <si>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</si>
  <si>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CO2_r:MN</t>
  </si>
  <si>
    <t>CO2_r:SLP</t>
  </si>
  <si>
    <t>CO2_r:SD</t>
  </si>
  <si>
    <t>CO2_r:OK</t>
  </si>
  <si>
    <t>Flow:MN</t>
  </si>
  <si>
    <t>Flow:SLP</t>
  </si>
  <si>
    <t>Flow:SD</t>
  </si>
  <si>
    <t>Flow:OK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</si>
  <si>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</si>
  <si>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</si>
  <si>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</si>
  <si>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</si>
  <si>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</si>
  <si>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</si>
  <si>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</si>
  <si>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</si>
  <si>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</si>
  <si>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</si>
  <si>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</si>
  <si>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</si>
  <si>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</si>
  <si>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</si>
  <si>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</si>
  <si>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</si>
  <si>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</si>
  <si>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</si>
  <si>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</si>
  <si>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</si>
  <si>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</si>
  <si>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</si>
  <si>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</si>
  <si>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</si>
  <si>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</si>
  <si>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</si>
  <si>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</si>
  <si>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</si>
  <si>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</si>
  <si>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</si>
  <si>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</si>
  <si>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</si>
  <si>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</si>
  <si>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</si>
  <si>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</si>
  <si>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</si>
  <si>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</si>
  <si>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</si>
  <si>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</si>
  <si>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</si>
  <si>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</si>
  <si>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</si>
  <si>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</si>
  <si>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</si>
  <si>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</si>
  <si>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</si>
  <si>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</si>
  <si>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</si>
  <si>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</si>
  <si>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</si>
  <si>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</si>
  <si>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</si>
  <si>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</si>
  <si>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</si>
  <si>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</si>
  <si>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</si>
  <si>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</si>
  <si>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</si>
  <si>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</si>
  <si>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</si>
  <si>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</si>
  <si>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</si>
  <si>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</si>
  <si>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</si>
  <si>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</si>
  <si>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</si>
  <si>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</si>
  <si>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</si>
  <si>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</si>
  <si>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</si>
  <si>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</si>
  <si>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</si>
  <si>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</si>
  <si>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</si>
  <si>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</si>
  <si>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</si>
  <si>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</si>
  <si>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</si>
  <si>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</si>
  <si>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</si>
  <si>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</si>
  <si>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</si>
  <si>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</si>
  <si>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</si>
  <si>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</si>
  <si>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</si>
  <si>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</si>
  <si>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</si>
  <si>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</si>
  <si>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</si>
  <si>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</si>
  <si>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</si>
  <si>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</si>
  <si>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</si>
  <si>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</si>
  <si>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</si>
  <si>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</si>
  <si>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</si>
  <si>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</si>
  <si>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</si>
  <si>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</si>
  <si>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</si>
  <si>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</si>
  <si>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</si>
  <si>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</si>
  <si>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</si>
  <si>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</si>
  <si>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</si>
  <si>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</si>
  <si>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</si>
  <si>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</si>
  <si>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J/µmol</t>
  </si>
  <si>
    <t>cm²</t>
  </si>
  <si>
    <t>mmol mol⁻¹</t>
  </si>
  <si>
    <t>rpm</t>
  </si>
  <si>
    <t>secs</t>
  </si>
  <si>
    <t>µmol/mol</t>
  </si>
  <si>
    <t>mmol/mol</t>
  </si>
  <si>
    <t>µmol mol⁻¹ min⁻¹</t>
  </si>
  <si>
    <t>µmol s⁻¹ min⁻¹</t>
  </si>
  <si>
    <t>V</t>
  </si>
  <si>
    <t>mV</t>
  </si>
  <si>
    <t>mg</t>
  </si>
  <si>
    <t>hrs</t>
  </si>
  <si>
    <t>min</t>
  </si>
  <si>
    <t>20260407 02:26:31</t>
  </si>
  <si>
    <t>02:26:31</t>
  </si>
  <si>
    <t>0: Broadleaf</t>
  </si>
  <si>
    <t>02:27:05</t>
  </si>
  <si>
    <t>0/0</t>
  </si>
  <si>
    <t>11111111</t>
  </si>
  <si>
    <t>oooooooo</t>
  </si>
  <si>
    <t>on</t>
  </si>
  <si>
    <t>20260407 02:27:31</t>
  </si>
  <si>
    <t>02:27:31</t>
  </si>
  <si>
    <t>02:28:02</t>
  </si>
  <si>
    <t>20260407 02:28:31</t>
  </si>
  <si>
    <t>02:28:31</t>
  </si>
  <si>
    <t>02:29:03</t>
  </si>
  <si>
    <t>20260407 02:29:31</t>
  </si>
  <si>
    <t>02:29:31</t>
  </si>
  <si>
    <t>02:29:58</t>
  </si>
  <si>
    <t>20260407 02:30:31</t>
  </si>
  <si>
    <t>02:30:31</t>
  </si>
  <si>
    <t>02:30:51</t>
  </si>
  <si>
    <t>20260407 02:31:31</t>
  </si>
  <si>
    <t>02:31:31</t>
  </si>
  <si>
    <t>02:31:51</t>
  </si>
  <si>
    <t>20260407 02:32:31</t>
  </si>
  <si>
    <t>02:32:31</t>
  </si>
  <si>
    <t>02:32:56</t>
  </si>
  <si>
    <t>20260407 02:33:31</t>
  </si>
  <si>
    <t>02:33:31</t>
  </si>
  <si>
    <t>02:33:51</t>
  </si>
  <si>
    <t>20260407 02:34:31</t>
  </si>
  <si>
    <t>02:34:31</t>
  </si>
  <si>
    <t>02:34:52</t>
  </si>
  <si>
    <t>20260407 02:35:31</t>
  </si>
  <si>
    <t>02:35:31</t>
  </si>
  <si>
    <t>02:35:53</t>
  </si>
  <si>
    <t>20260407 02:36:31</t>
  </si>
  <si>
    <t>02:36:31</t>
  </si>
  <si>
    <t>02:36:51</t>
  </si>
  <si>
    <t>20260407 02:37:31</t>
  </si>
  <si>
    <t>02:37:31</t>
  </si>
  <si>
    <t>02:37:52</t>
  </si>
  <si>
    <t>20260407 02:38:31</t>
  </si>
  <si>
    <t>02:38:31</t>
  </si>
  <si>
    <t>02:38:52</t>
  </si>
  <si>
    <t>20260407 02:39:31</t>
  </si>
  <si>
    <t>02:39:31</t>
  </si>
  <si>
    <t>02:39:51</t>
  </si>
  <si>
    <t>20260407 02:40:31</t>
  </si>
  <si>
    <t>02:40:31</t>
  </si>
  <si>
    <t>02:40:51</t>
  </si>
  <si>
    <t>20260407 02:41:31</t>
  </si>
  <si>
    <t>02:41:31</t>
  </si>
  <si>
    <t>02:41:50</t>
  </si>
  <si>
    <t>20260407 02:42:31</t>
  </si>
  <si>
    <t>02:42:31</t>
  </si>
  <si>
    <t>02:42:51</t>
  </si>
  <si>
    <t>20260407 02:43:31</t>
  </si>
  <si>
    <t>02:43:31</t>
  </si>
  <si>
    <t>02:43:55</t>
  </si>
  <si>
    <t>20260407 02:44:31</t>
  </si>
  <si>
    <t>02:44:31</t>
  </si>
  <si>
    <t>02:44:51</t>
  </si>
  <si>
    <t>20260407 02:45:31</t>
  </si>
  <si>
    <t>02:45:31</t>
  </si>
  <si>
    <t>02:45:50</t>
  </si>
  <si>
    <t>20260407 02:46:31</t>
  </si>
  <si>
    <t>02:46:31</t>
  </si>
  <si>
    <t>02:46:52</t>
  </si>
  <si>
    <t>20260407 02:47:31</t>
  </si>
  <si>
    <t>02:47:31</t>
  </si>
  <si>
    <t>02:47:51</t>
  </si>
  <si>
    <t>20260407 02:48:31</t>
  </si>
  <si>
    <t>02:48:31</t>
  </si>
  <si>
    <t>02:48:51</t>
  </si>
  <si>
    <t>20260407 02:49:31</t>
  </si>
  <si>
    <t>02:49:31</t>
  </si>
  <si>
    <t>02:49:50</t>
  </si>
  <si>
    <t>20260407 02:50:31</t>
  </si>
  <si>
    <t>02:50:31</t>
  </si>
  <si>
    <t>02:50:51</t>
  </si>
  <si>
    <t>20260407 02:51:31</t>
  </si>
  <si>
    <t>02:51:31</t>
  </si>
  <si>
    <t>02:51:52</t>
  </si>
  <si>
    <t>20260407 02:52:31</t>
  </si>
  <si>
    <t>02:52:31</t>
  </si>
  <si>
    <t>02:52:56</t>
  </si>
  <si>
    <t>20260407 02:53:31</t>
  </si>
  <si>
    <t>02:53:31</t>
  </si>
  <si>
    <t>02:53:51</t>
  </si>
  <si>
    <t>20260407 02:54:31</t>
  </si>
  <si>
    <t>02:54:31</t>
  </si>
  <si>
    <t>02:54:50</t>
  </si>
  <si>
    <t>20260407 02:55:31</t>
  </si>
  <si>
    <t>02:55:31</t>
  </si>
  <si>
    <t>02:55:50</t>
  </si>
  <si>
    <t>20260407 02:56:31</t>
  </si>
  <si>
    <t>02:56:31</t>
  </si>
  <si>
    <t>02:56:52</t>
  </si>
  <si>
    <t>20260407 02:57:31</t>
  </si>
  <si>
    <t>02:57:31</t>
  </si>
  <si>
    <t>02:57:52</t>
  </si>
  <si>
    <t>20260407 02:58:31</t>
  </si>
  <si>
    <t>02:58:31</t>
  </si>
  <si>
    <t>02:58:52</t>
  </si>
  <si>
    <t>20260407 02:59:31</t>
  </si>
  <si>
    <t>02:59:31</t>
  </si>
  <si>
    <t>02:59:50</t>
  </si>
  <si>
    <t>20260407 03:00:31</t>
  </si>
  <si>
    <t>03:00:31</t>
  </si>
  <si>
    <t>03:00:55</t>
  </si>
  <si>
    <t>20260407 03:01:31</t>
  </si>
  <si>
    <t>03:01:31</t>
  </si>
  <si>
    <t>03:01:54</t>
  </si>
  <si>
    <t>20260407 03:02:31</t>
  </si>
  <si>
    <t>03:02:31</t>
  </si>
  <si>
    <t>03:02:51</t>
  </si>
  <si>
    <t>20260407 03:03:31</t>
  </si>
  <si>
    <t>03:03:31</t>
  </si>
  <si>
    <t>03:03:51</t>
  </si>
  <si>
    <t>20260407 03:04:31</t>
  </si>
  <si>
    <t>03:04:31</t>
  </si>
  <si>
    <t>03:04:52</t>
  </si>
  <si>
    <t>20260407 03:05:31</t>
  </si>
  <si>
    <t>03:05:31</t>
  </si>
  <si>
    <t>03:05:52</t>
  </si>
  <si>
    <t>20260407 03:06:31</t>
  </si>
  <si>
    <t>03:06:31</t>
  </si>
  <si>
    <t>03:06:51</t>
  </si>
  <si>
    <t>20260407 03:07:31</t>
  </si>
  <si>
    <t>03:07:31</t>
  </si>
  <si>
    <t>03:07:52</t>
  </si>
  <si>
    <t>20260407 03:08:31</t>
  </si>
  <si>
    <t>03:08:31</t>
  </si>
  <si>
    <t>03:08:53</t>
  </si>
  <si>
    <t>20260407 03:09:31</t>
  </si>
  <si>
    <t>03:09:31</t>
  </si>
  <si>
    <t>03:09:54</t>
  </si>
  <si>
    <t>20260407 03:10:31</t>
  </si>
  <si>
    <t>03:10:31</t>
  </si>
  <si>
    <t>03:10:52</t>
  </si>
  <si>
    <t>20260407 03:11:31</t>
  </si>
  <si>
    <t>03:11:31</t>
  </si>
  <si>
    <t>03:11:52</t>
  </si>
  <si>
    <t>20260407 03:12:31</t>
  </si>
  <si>
    <t>03:12:31</t>
  </si>
  <si>
    <t>03:12:52</t>
  </si>
  <si>
    <t>20260407 03:13:31</t>
  </si>
  <si>
    <t>03:13:31</t>
  </si>
  <si>
    <t>03:13:53</t>
  </si>
  <si>
    <t>20260407 03:14:31</t>
  </si>
  <si>
    <t>03:14:31</t>
  </si>
  <si>
    <t>03:14:53</t>
  </si>
  <si>
    <t>20260407 03:15:31</t>
  </si>
  <si>
    <t>03:15:31</t>
  </si>
  <si>
    <t>03:15:55</t>
  </si>
  <si>
    <t>20260407 03:16:31</t>
  </si>
  <si>
    <t>03:16:31</t>
  </si>
  <si>
    <t>03:16:51</t>
  </si>
  <si>
    <t>20260407 03:17:31</t>
  </si>
  <si>
    <t>03:17:31</t>
  </si>
  <si>
    <t>03:17:51</t>
  </si>
  <si>
    <t>20260407 03:18:31</t>
  </si>
  <si>
    <t>03:18:31</t>
  </si>
  <si>
    <t>03:18:51</t>
  </si>
  <si>
    <t>20260407 03:19:31</t>
  </si>
  <si>
    <t>03:19:31</t>
  </si>
  <si>
    <t>03:19:57</t>
  </si>
  <si>
    <t>20260407 03:20:31</t>
  </si>
  <si>
    <t>03:20:31</t>
  </si>
  <si>
    <t>03:20:52</t>
  </si>
  <si>
    <t>20260407 03:21:31</t>
  </si>
  <si>
    <t>03:21:31</t>
  </si>
  <si>
    <t>03:21:52</t>
  </si>
  <si>
    <t>20260407 03:22:31</t>
  </si>
  <si>
    <t>03:22:31</t>
  </si>
  <si>
    <t>03:22:51</t>
  </si>
  <si>
    <t>20260407 03:23:31</t>
  </si>
  <si>
    <t>03:23:31</t>
  </si>
  <si>
    <t>03:23:52</t>
  </si>
  <si>
    <t>20260407 03:24:31</t>
  </si>
  <si>
    <t>03:24:31</t>
  </si>
  <si>
    <t>03:24:51</t>
  </si>
  <si>
    <t>20260407 03:25:31</t>
  </si>
  <si>
    <t>03:25:31</t>
  </si>
  <si>
    <t>03:25:51</t>
  </si>
  <si>
    <t>20260407 03:26:31</t>
  </si>
  <si>
    <t>03:26:31</t>
  </si>
  <si>
    <t>03:26:55</t>
  </si>
  <si>
    <t>20260407 03:27:31</t>
  </si>
  <si>
    <t>03:27:31</t>
  </si>
  <si>
    <t>03:27:53</t>
  </si>
  <si>
    <t>20260407 03:28:31</t>
  </si>
  <si>
    <t>03:28:31</t>
  </si>
  <si>
    <t>03:28:52</t>
  </si>
  <si>
    <t>20260407 03:29:31</t>
  </si>
  <si>
    <t>03:29:31</t>
  </si>
  <si>
    <t>03:29:52</t>
  </si>
  <si>
    <t>20260407 03:30:31</t>
  </si>
  <si>
    <t>03:30:31</t>
  </si>
  <si>
    <t>03:30:51</t>
  </si>
  <si>
    <t>20260407 03:31:31</t>
  </si>
  <si>
    <t>03:31:31</t>
  </si>
  <si>
    <t>03:31:53</t>
  </si>
  <si>
    <t>20260407 03:32:31</t>
  </si>
  <si>
    <t>03:32:31</t>
  </si>
  <si>
    <t>03:32:53</t>
  </si>
  <si>
    <t>20260407 03:33:31</t>
  </si>
  <si>
    <t>03:33:31</t>
  </si>
  <si>
    <t>03:33:50</t>
  </si>
  <si>
    <t>20260407 03:34:31</t>
  </si>
  <si>
    <t>03:34:31</t>
  </si>
  <si>
    <t>03:34:50</t>
  </si>
  <si>
    <t>20260407 03:35:31</t>
  </si>
  <si>
    <t>03:35:31</t>
  </si>
  <si>
    <t>03:35:51</t>
  </si>
  <si>
    <t>20260407 03:36:31</t>
  </si>
  <si>
    <t>03:36:31</t>
  </si>
  <si>
    <t>03:36:51</t>
  </si>
  <si>
    <t>20260407 03:37:31</t>
  </si>
  <si>
    <t>03:37:31</t>
  </si>
  <si>
    <t>03:37:50</t>
  </si>
  <si>
    <t>20260407 03:38:31</t>
  </si>
  <si>
    <t>03:38:31</t>
  </si>
  <si>
    <t>03:38:52</t>
  </si>
  <si>
    <t>20260407 03:39:31</t>
  </si>
  <si>
    <t>03:39:31</t>
  </si>
  <si>
    <t>03:39:50</t>
  </si>
  <si>
    <t>20260407 03:40:31</t>
  </si>
  <si>
    <t>03:40:31</t>
  </si>
  <si>
    <t>03:40:51</t>
  </si>
  <si>
    <t>20260407 03:41:31</t>
  </si>
  <si>
    <t>03:41:31</t>
  </si>
  <si>
    <t>03:41:50</t>
  </si>
  <si>
    <t>20260407 03:42:31</t>
  </si>
  <si>
    <t>03:42:31</t>
  </si>
  <si>
    <t>03:42:51</t>
  </si>
  <si>
    <t>20260407 03:43:31</t>
  </si>
  <si>
    <t>03:43:31</t>
  </si>
  <si>
    <t>03:43:52</t>
  </si>
  <si>
    <t>20260407 03:44:31</t>
  </si>
  <si>
    <t>03:44:31</t>
  </si>
  <si>
    <t>03:44:52</t>
  </si>
  <si>
    <t>20260407 03:45:31</t>
  </si>
  <si>
    <t>03:45:31</t>
  </si>
  <si>
    <t>03:45:54</t>
  </si>
  <si>
    <t>20260407 03:46:31</t>
  </si>
  <si>
    <t>03:46:31</t>
  </si>
  <si>
    <t>03:46:52</t>
  </si>
  <si>
    <t>20260407 03:47:31</t>
  </si>
  <si>
    <t>03:47:31</t>
  </si>
  <si>
    <t>03:47:52</t>
  </si>
  <si>
    <t>20260407 03:48:31</t>
  </si>
  <si>
    <t>03:48:31</t>
  </si>
  <si>
    <t>03:48:53</t>
  </si>
  <si>
    <t>20260407 03:49:31</t>
  </si>
  <si>
    <t>03:49:31</t>
  </si>
  <si>
    <t>03:49:51</t>
  </si>
  <si>
    <t>20260407 03:50:31</t>
  </si>
  <si>
    <t>03:50:31</t>
  </si>
  <si>
    <t>03:50:53</t>
  </si>
  <si>
    <t>20260407 03:51:31</t>
  </si>
  <si>
    <t>03:51:31</t>
  </si>
  <si>
    <t>03:51:50</t>
  </si>
  <si>
    <t>20260407 03:52:31</t>
  </si>
  <si>
    <t>03:52:31</t>
  </si>
  <si>
    <t>03:52:51</t>
  </si>
  <si>
    <t>20260407 03:53:31</t>
  </si>
  <si>
    <t>03:53:31</t>
  </si>
  <si>
    <t>03:53:52</t>
  </si>
  <si>
    <t>20260407 03:54:31</t>
  </si>
  <si>
    <t>03:54:31</t>
  </si>
  <si>
    <t>03:54:52</t>
  </si>
  <si>
    <t>20260407 03:55:31</t>
  </si>
  <si>
    <t>03:55:31</t>
  </si>
  <si>
    <t>03:55:51</t>
  </si>
  <si>
    <t>20260407 03:56:31</t>
  </si>
  <si>
    <t>03:56:31</t>
  </si>
  <si>
    <t>03:56:51</t>
  </si>
  <si>
    <t>20260407 03:57:31</t>
  </si>
  <si>
    <t>03:57:31</t>
  </si>
  <si>
    <t>03:57:50</t>
  </si>
  <si>
    <t>20260407 03:58:31</t>
  </si>
  <si>
    <t>03:58:31</t>
  </si>
  <si>
    <t>03:58:51</t>
  </si>
  <si>
    <t>20260407 03:59:31</t>
  </si>
  <si>
    <t>03:59:31</t>
  </si>
  <si>
    <t>03:59:51</t>
  </si>
  <si>
    <t>20260407 04:00:32</t>
  </si>
  <si>
    <t>04:00:32</t>
  </si>
  <si>
    <t>04:00:52</t>
  </si>
  <si>
    <t>20260407 04:01:32</t>
  </si>
  <si>
    <t>04:01:32</t>
  </si>
  <si>
    <t>04:01:52</t>
  </si>
  <si>
    <t>20260407 04:02:32</t>
  </si>
  <si>
    <t>04:02:32</t>
  </si>
  <si>
    <t>04:02:52</t>
  </si>
  <si>
    <t>20260407 04:03:32</t>
  </si>
  <si>
    <t>04:03:32</t>
  </si>
  <si>
    <t>04:03:51</t>
  </si>
  <si>
    <t>20260407 04:04:32</t>
  </si>
  <si>
    <t>04:04:32</t>
  </si>
  <si>
    <t>04:04:52</t>
  </si>
  <si>
    <t>20260407 04:05:32</t>
  </si>
  <si>
    <t>04:05:32</t>
  </si>
  <si>
    <t>04:05:52</t>
  </si>
  <si>
    <t>20260407 04:06:32</t>
  </si>
  <si>
    <t>04:06:32</t>
  </si>
  <si>
    <t>04:06:53</t>
  </si>
  <si>
    <t>20260407 04:07:32</t>
  </si>
  <si>
    <t>04:07:32</t>
  </si>
  <si>
    <t>04:07:52</t>
  </si>
  <si>
    <t>20260407 04:08:32</t>
  </si>
  <si>
    <t>04:08:32</t>
  </si>
  <si>
    <t>04:08:52</t>
  </si>
  <si>
    <t>20260407 04:09:32</t>
  </si>
  <si>
    <t>04:09:32</t>
  </si>
  <si>
    <t>04:09:52</t>
  </si>
  <si>
    <t>20260407 04:10:32</t>
  </si>
  <si>
    <t>04:10:32</t>
  </si>
  <si>
    <t>04:10:53</t>
  </si>
  <si>
    <t>20260407 04:11:32</t>
  </si>
  <si>
    <t>04:11:32</t>
  </si>
  <si>
    <t>04:11:52</t>
  </si>
  <si>
    <t>20260407 04:12:32</t>
  </si>
  <si>
    <t>04:12:32</t>
  </si>
  <si>
    <t>04:12:53</t>
  </si>
  <si>
    <t>20260407 04:13:32</t>
  </si>
  <si>
    <t>04:13:32</t>
  </si>
  <si>
    <t>04:13:51</t>
  </si>
  <si>
    <t>20260407 04:14:32</t>
  </si>
  <si>
    <t>04:14:32</t>
  </si>
  <si>
    <t>04:14:54</t>
  </si>
  <si>
    <t>20260407 04:15:32</t>
  </si>
  <si>
    <t>04:15:32</t>
  </si>
  <si>
    <t>04:15:52</t>
  </si>
  <si>
    <t>20260407 04:16:32</t>
  </si>
  <si>
    <t>04:16:32</t>
  </si>
  <si>
    <t>04:16:52</t>
  </si>
  <si>
    <t>20260407 04:17:32</t>
  </si>
  <si>
    <t>04:17:32</t>
  </si>
  <si>
    <t>04:17:52</t>
  </si>
  <si>
    <t>20260407 04:18:32</t>
  </si>
  <si>
    <t>04:18:32</t>
  </si>
  <si>
    <t>04:18:52</t>
  </si>
  <si>
    <t>20260407 04:19:32</t>
  </si>
  <si>
    <t>04:19:32</t>
  </si>
  <si>
    <t>04:19:53</t>
  </si>
  <si>
    <t>20260407 04:20:32</t>
  </si>
  <si>
    <t>04:20:32</t>
  </si>
  <si>
    <t>04:20:53</t>
  </si>
  <si>
    <t>20260407 04:21:32</t>
  </si>
  <si>
    <t>04:21:32</t>
  </si>
  <si>
    <t>04:21:53</t>
  </si>
  <si>
    <t>20260407 04:22:32</t>
  </si>
  <si>
    <t>04:22:32</t>
  </si>
  <si>
    <t>04:22:52</t>
  </si>
  <si>
    <t>20260407 04:23:32</t>
  </si>
  <si>
    <t>04:23:32</t>
  </si>
  <si>
    <t>04:23:52</t>
  </si>
  <si>
    <t>20260407 04:24:32</t>
  </si>
  <si>
    <t>04:24:32</t>
  </si>
  <si>
    <t>04:24:53</t>
  </si>
  <si>
    <t>20260407 04:25:32</t>
  </si>
  <si>
    <t>04:25:32</t>
  </si>
  <si>
    <t>04:25:52</t>
  </si>
  <si>
    <t>20260407 04:26:32</t>
  </si>
  <si>
    <t>04:26:32</t>
  </si>
  <si>
    <t>04:26:52</t>
  </si>
  <si>
    <t>20260407 04:27:32</t>
  </si>
  <si>
    <t>04:27:32</t>
  </si>
  <si>
    <t>04:27:54</t>
  </si>
  <si>
    <t>20260407 04:28:32</t>
  </si>
  <si>
    <t>04:28:32</t>
  </si>
  <si>
    <t>04:28:51</t>
  </si>
  <si>
    <t>20260407 04:29:32</t>
  </si>
  <si>
    <t>04:29:32</t>
  </si>
  <si>
    <t>04:29:53</t>
  </si>
  <si>
    <t>20260407 04:30:32</t>
  </si>
  <si>
    <t>04:30:32</t>
  </si>
  <si>
    <t>04:31:11</t>
  </si>
  <si>
    <t>20260407 04:31:32</t>
  </si>
  <si>
    <t>04:31:32</t>
  </si>
  <si>
    <t>04:31:52</t>
  </si>
  <si>
    <t>20260407 04:32:32</t>
  </si>
  <si>
    <t>04:32:32</t>
  </si>
  <si>
    <t>04:32:52</t>
  </si>
  <si>
    <t>20260407 04:33:32</t>
  </si>
  <si>
    <t>04:33:32</t>
  </si>
  <si>
    <t>04:33:53</t>
  </si>
  <si>
    <t>20260407 04:34:32</t>
  </si>
  <si>
    <t>04:34:32</t>
  </si>
  <si>
    <t>04:34:54</t>
  </si>
  <si>
    <t>20260407 04:35:32</t>
  </si>
  <si>
    <t>04:35:32</t>
  </si>
  <si>
    <t>04:35:54</t>
  </si>
  <si>
    <t>20260407 04:36:32</t>
  </si>
  <si>
    <t>04:36:32</t>
  </si>
  <si>
    <t>04:36:53</t>
  </si>
  <si>
    <t>20260407 04:37:32</t>
  </si>
  <si>
    <t>04:37:32</t>
  </si>
  <si>
    <t>04:37:53</t>
  </si>
  <si>
    <t>20260407 04:38:32</t>
  </si>
  <si>
    <t>04:38:32</t>
  </si>
  <si>
    <t>04:38:53</t>
  </si>
  <si>
    <t>20260407 04:39:32</t>
  </si>
  <si>
    <t>04:39:32</t>
  </si>
  <si>
    <t>04:39:51</t>
  </si>
  <si>
    <t>20260407 04:40:32</t>
  </si>
  <si>
    <t>04:40:32</t>
  </si>
  <si>
    <t>04:40:53</t>
  </si>
  <si>
    <t>20260407 04:41:32</t>
  </si>
  <si>
    <t>04:41:32</t>
  </si>
  <si>
    <t>04:41:53</t>
  </si>
  <si>
    <t>20260407 04:42:32</t>
  </si>
  <si>
    <t>04:42:32</t>
  </si>
  <si>
    <t>04:42:54</t>
  </si>
  <si>
    <t>20260407 04:43:32</t>
  </si>
  <si>
    <t>04:43:32</t>
  </si>
  <si>
    <t>04:43:52</t>
  </si>
  <si>
    <t>20260407 04:44:32</t>
  </si>
  <si>
    <t>04:44:32</t>
  </si>
  <si>
    <t>04:44:57</t>
  </si>
  <si>
    <t>20260407 04:45:32</t>
  </si>
  <si>
    <t>04:45:32</t>
  </si>
  <si>
    <t>04:45:54</t>
  </si>
  <si>
    <t>20260407 04:46:32</t>
  </si>
  <si>
    <t>04:46:32</t>
  </si>
  <si>
    <t>04:46:54</t>
  </si>
  <si>
    <t>20260407 04:47:32</t>
  </si>
  <si>
    <t>04:47:32</t>
  </si>
  <si>
    <t>04:47:54</t>
  </si>
  <si>
    <t>20260407 04:48:32</t>
  </si>
  <si>
    <t>04:48:32</t>
  </si>
  <si>
    <t>04:48:51</t>
  </si>
  <si>
    <t>20260407 04:49:32</t>
  </si>
  <si>
    <t>04:49:32</t>
  </si>
  <si>
    <t>04:49:52</t>
  </si>
  <si>
    <t>20260407 04:50:32</t>
  </si>
  <si>
    <t>04:50:32</t>
  </si>
  <si>
    <t>04:50:52</t>
  </si>
  <si>
    <t>20260407 04:51:32</t>
  </si>
  <si>
    <t>04:51:32</t>
  </si>
  <si>
    <t>04:52:00</t>
  </si>
  <si>
    <t>20260407 04:52:32</t>
  </si>
  <si>
    <t>04:52:32</t>
  </si>
  <si>
    <t>04:52:52</t>
  </si>
  <si>
    <t>20260407 04:53:32</t>
  </si>
  <si>
    <t>04:53:32</t>
  </si>
  <si>
    <t>04:53:51</t>
  </si>
  <si>
    <t>20260407 04:54:32</t>
  </si>
  <si>
    <t>04:54:32</t>
  </si>
  <si>
    <t>04:54:52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</si>
</sst>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P169"/>
  <sheetViews>
    <sheetView tabSelected="1" topLeftCell="A152" workbookViewId="0">
      <selection activeCell="O169" sqref="O169"/>
    </sheetView>
  </sheetViews>
  <sheetFormatPr defaultRowHeight="14.5" x14ac:dyDescent="0.35"/>
  <sheetData>
    <row r="2" spans="1:198" x14ac:dyDescent="0.35">
      <c r="A2" t="s">
        <v>38</v>
      </c>
      <c r="B2" t="s">
        <v>39</v>
      </c>
      <c r="C2" t="s">
        <v>41</v>
      </c>
    </row>
    <row r="3" spans="1:198" x14ac:dyDescent="0.35">
      <c r="B3" t="s">
        <v>40</v>
      </c>
      <c r="C3" t="s">
        <v>42</v>
      </c>
    </row>
    <row r="4" spans="1:198" x14ac:dyDescent="0.35">
      <c r="A4" t="s">
        <v>43</v>
      </c>
      <c r="B4" t="s">
        <v>44</v>
      </c>
      <c r="C4" t="s">
        <v>45</v>
      </c>
      <c r="D4" t="s">
        <v>47</v>
      </c>
      <c r="E4" t="s">
        <v>48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</row>
    <row r="5" spans="1:198" x14ac:dyDescent="0.35">
      <c r="B5" t="s">
        <v>21</v>
      </c>
      <c r="C5" t="s">
        <v>46</v>
      </c>
      <c r="D5">
        <v>0.188</v>
      </c>
      <c r="E5">
        <v>0.57954090000000003</v>
      </c>
      <c r="F5">
        <v>-1.15295E-2</v>
      </c>
      <c r="G5">
        <v>0</v>
      </c>
      <c r="H5">
        <v>-9.7259000000000009E-3</v>
      </c>
      <c r="I5">
        <v>1</v>
      </c>
      <c r="J5">
        <v>3</v>
      </c>
      <c r="K5">
        <v>96.7</v>
      </c>
    </row>
    <row r="6" spans="1:198" x14ac:dyDescent="0.35">
      <c r="A6" t="s">
        <v>55</v>
      </c>
      <c r="B6" t="s">
        <v>56</v>
      </c>
      <c r="C6" t="s">
        <v>57</v>
      </c>
      <c r="D6" t="s">
        <v>58</v>
      </c>
      <c r="E6" t="s">
        <v>59</v>
      </c>
    </row>
    <row r="7" spans="1:198" x14ac:dyDescent="0.35">
      <c r="B7">
        <v>0</v>
      </c>
      <c r="C7">
        <v>1</v>
      </c>
      <c r="D7">
        <v>0</v>
      </c>
      <c r="E7">
        <v>0</v>
      </c>
    </row>
    <row r="8" spans="1:198" x14ac:dyDescent="0.35">
      <c r="A8" t="s">
        <v>60</v>
      </c>
      <c r="B8" t="s">
        <v>61</v>
      </c>
      <c r="C8" t="s">
        <v>63</v>
      </c>
      <c r="D8" t="s">
        <v>65</v>
      </c>
      <c r="E8" t="s">
        <v>66</v>
      </c>
      <c r="F8" t="s">
        <v>67</v>
      </c>
      <c r="G8" t="s">
        <v>68</v>
      </c>
      <c r="H8" t="s">
        <v>69</v>
      </c>
      <c r="I8" t="s">
        <v>70</v>
      </c>
      <c r="J8" t="s">
        <v>71</v>
      </c>
      <c r="K8" t="s">
        <v>72</v>
      </c>
      <c r="L8" t="s">
        <v>73</v>
      </c>
      <c r="M8" t="s">
        <v>74</v>
      </c>
      <c r="N8" t="s">
        <v>75</v>
      </c>
      <c r="O8" t="s">
        <v>76</v>
      </c>
      <c r="P8" t="s">
        <v>77</v>
      </c>
      <c r="Q8" t="s">
        <v>78</v>
      </c>
    </row>
    <row r="9" spans="1:198" x14ac:dyDescent="0.35">
      <c r="B9" t="s">
        <v>62</v>
      </c>
      <c r="C9" t="s">
        <v>64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198" x14ac:dyDescent="0.35">
      <c r="A10" t="s">
        <v>79</v>
      </c>
      <c r="B10" t="s">
        <v>80</v>
      </c>
      <c r="C10" t="s">
        <v>81</v>
      </c>
      <c r="D10" t="s">
        <v>82</v>
      </c>
      <c r="E10" t="s">
        <v>83</v>
      </c>
      <c r="F10" t="s">
        <v>84</v>
      </c>
    </row>
    <row r="11" spans="1:198" x14ac:dyDescent="0.35">
      <c r="B11">
        <v>0</v>
      </c>
      <c r="C11">
        <v>0</v>
      </c>
      <c r="D11">
        <v>1</v>
      </c>
      <c r="E11">
        <v>0</v>
      </c>
      <c r="F11">
        <v>0</v>
      </c>
    </row>
    <row r="12" spans="1:198" x14ac:dyDescent="0.35">
      <c r="A12" t="s">
        <v>85</v>
      </c>
      <c r="B12" t="s">
        <v>86</v>
      </c>
      <c r="C12" t="s">
        <v>87</v>
      </c>
      <c r="D12" t="s">
        <v>88</v>
      </c>
      <c r="E12" t="s">
        <v>89</v>
      </c>
      <c r="F12" t="s">
        <v>90</v>
      </c>
      <c r="G12" t="s">
        <v>92</v>
      </c>
      <c r="H12" t="s">
        <v>94</v>
      </c>
    </row>
    <row r="13" spans="1:198" x14ac:dyDescent="0.35">
      <c r="B13">
        <v>-6276</v>
      </c>
      <c r="C13">
        <v>6.6</v>
      </c>
      <c r="D13">
        <v>1.7090000000000001E-5</v>
      </c>
      <c r="E13">
        <v>3.11</v>
      </c>
      <c r="F13" t="s">
        <v>91</v>
      </c>
      <c r="G13" t="s">
        <v>93</v>
      </c>
      <c r="H13">
        <v>0</v>
      </c>
    </row>
    <row r="14" spans="1:198" x14ac:dyDescent="0.35">
      <c r="A14" t="s">
        <v>95</v>
      </c>
      <c r="B14" t="s">
        <v>95</v>
      </c>
      <c r="C14" t="s">
        <v>95</v>
      </c>
      <c r="D14" t="s">
        <v>95</v>
      </c>
      <c r="E14" t="s">
        <v>95</v>
      </c>
      <c r="F14" t="s">
        <v>95</v>
      </c>
      <c r="G14" t="s">
        <v>96</v>
      </c>
      <c r="H14" t="s">
        <v>96</v>
      </c>
      <c r="I14" t="s">
        <v>96</v>
      </c>
      <c r="J14" t="s">
        <v>96</v>
      </c>
      <c r="K14" t="s">
        <v>96</v>
      </c>
      <c r="L14" t="s">
        <v>96</v>
      </c>
      <c r="M14" t="s">
        <v>96</v>
      </c>
      <c r="N14" t="s">
        <v>96</v>
      </c>
      <c r="O14" t="s">
        <v>96</v>
      </c>
      <c r="P14" t="s">
        <v>96</v>
      </c>
      <c r="Q14" t="s">
        <v>96</v>
      </c>
      <c r="R14" t="s">
        <v>96</v>
      </c>
      <c r="S14" t="s">
        <v>96</v>
      </c>
      <c r="T14" t="s">
        <v>96</v>
      </c>
      <c r="U14" t="s">
        <v>96</v>
      </c>
      <c r="V14" t="s">
        <v>96</v>
      </c>
      <c r="W14" t="s">
        <v>96</v>
      </c>
      <c r="X14" t="s">
        <v>96</v>
      </c>
      <c r="Y14" t="s">
        <v>96</v>
      </c>
      <c r="Z14" t="s">
        <v>96</v>
      </c>
      <c r="AA14" t="s">
        <v>96</v>
      </c>
      <c r="AB14" t="s">
        <v>96</v>
      </c>
      <c r="AC14" t="s">
        <v>96</v>
      </c>
      <c r="AD14" t="s">
        <v>96</v>
      </c>
      <c r="AE14" t="s">
        <v>97</v>
      </c>
      <c r="AF14" t="s">
        <v>97</v>
      </c>
      <c r="AG14" t="s">
        <v>97</v>
      </c>
      <c r="AH14" t="s">
        <v>97</v>
      </c>
      <c r="AI14" t="s">
        <v>97</v>
      </c>
      <c r="AJ14" t="s">
        <v>98</v>
      </c>
      <c r="AK14" t="s">
        <v>98</v>
      </c>
      <c r="AL14" t="s">
        <v>98</v>
      </c>
      <c r="AM14" t="s">
        <v>98</v>
      </c>
      <c r="AN14" t="s">
        <v>99</v>
      </c>
      <c r="AO14" t="s">
        <v>99</v>
      </c>
      <c r="AP14" t="s">
        <v>99</v>
      </c>
      <c r="AQ14" t="s">
        <v>99</v>
      </c>
      <c r="AR14" t="s">
        <v>100</v>
      </c>
      <c r="AS14" t="s">
        <v>100</v>
      </c>
      <c r="AT14" t="s">
        <v>100</v>
      </c>
      <c r="AU14" t="s">
        <v>100</v>
      </c>
      <c r="AV14" t="s">
        <v>100</v>
      </c>
      <c r="AW14" t="s">
        <v>100</v>
      </c>
      <c r="AX14" t="s">
        <v>100</v>
      </c>
      <c r="AY14" t="s">
        <v>100</v>
      </c>
      <c r="AZ14" t="s">
        <v>100</v>
      </c>
      <c r="BA14" t="s">
        <v>100</v>
      </c>
      <c r="BB14" t="s">
        <v>100</v>
      </c>
      <c r="BC14" t="s">
        <v>100</v>
      </c>
      <c r="BD14" t="s">
        <v>100</v>
      </c>
      <c r="BE14" t="s">
        <v>100</v>
      </c>
      <c r="BF14" t="s">
        <v>100</v>
      </c>
      <c r="BG14" t="s">
        <v>100</v>
      </c>
      <c r="BH14" t="s">
        <v>100</v>
      </c>
      <c r="BI14" t="s">
        <v>100</v>
      </c>
      <c r="BJ14" t="s">
        <v>101</v>
      </c>
      <c r="BK14" t="s">
        <v>101</v>
      </c>
      <c r="BL14" t="s">
        <v>101</v>
      </c>
      <c r="BM14" t="s">
        <v>101</v>
      </c>
      <c r="BN14" t="s">
        <v>101</v>
      </c>
      <c r="BO14" t="s">
        <v>101</v>
      </c>
      <c r="BP14" t="s">
        <v>101</v>
      </c>
      <c r="BQ14" t="s">
        <v>101</v>
      </c>
      <c r="BR14" t="s">
        <v>101</v>
      </c>
      <c r="BS14" t="s">
        <v>101</v>
      </c>
      <c r="BT14" t="s">
        <v>102</v>
      </c>
      <c r="BU14" t="s">
        <v>102</v>
      </c>
      <c r="BV14" t="s">
        <v>102</v>
      </c>
      <c r="BW14" t="s">
        <v>102</v>
      </c>
      <c r="BX14" t="s">
        <v>102</v>
      </c>
      <c r="BY14" t="s">
        <v>103</v>
      </c>
      <c r="BZ14" t="s">
        <v>103</v>
      </c>
      <c r="CA14" t="s">
        <v>103</v>
      </c>
      <c r="CB14" t="s">
        <v>103</v>
      </c>
      <c r="CC14" t="s">
        <v>103</v>
      </c>
      <c r="CD14" t="s">
        <v>103</v>
      </c>
      <c r="CE14" t="s">
        <v>103</v>
      </c>
      <c r="CF14" t="s">
        <v>103</v>
      </c>
      <c r="CG14" t="s">
        <v>103</v>
      </c>
      <c r="CH14" t="s">
        <v>103</v>
      </c>
      <c r="CI14" t="s">
        <v>103</v>
      </c>
      <c r="CJ14" t="s">
        <v>103</v>
      </c>
      <c r="CK14" t="s">
        <v>103</v>
      </c>
      <c r="CL14" t="s">
        <v>104</v>
      </c>
      <c r="CM14" t="s">
        <v>104</v>
      </c>
      <c r="CN14" t="s">
        <v>104</v>
      </c>
      <c r="CO14" t="s">
        <v>104</v>
      </c>
      <c r="CP14" t="s">
        <v>104</v>
      </c>
      <c r="CQ14" t="s">
        <v>104</v>
      </c>
      <c r="CR14" t="s">
        <v>104</v>
      </c>
      <c r="CS14" t="s">
        <v>104</v>
      </c>
      <c r="CT14" t="s">
        <v>104</v>
      </c>
      <c r="CU14" t="s">
        <v>104</v>
      </c>
      <c r="CV14" t="s">
        <v>104</v>
      </c>
      <c r="CW14" t="s">
        <v>105</v>
      </c>
      <c r="CX14" t="s">
        <v>105</v>
      </c>
      <c r="CY14" t="s">
        <v>105</v>
      </c>
      <c r="CZ14" t="s">
        <v>105</v>
      </c>
      <c r="DA14" t="s">
        <v>105</v>
      </c>
      <c r="DB14" t="s">
        <v>105</v>
      </c>
      <c r="DC14" t="s">
        <v>105</v>
      </c>
      <c r="DD14" t="s">
        <v>105</v>
      </c>
      <c r="DE14" t="s">
        <v>105</v>
      </c>
      <c r="DF14" t="s">
        <v>105</v>
      </c>
      <c r="DG14" t="s">
        <v>105</v>
      </c>
      <c r="DH14" t="s">
        <v>105</v>
      </c>
      <c r="DI14" t="s">
        <v>105</v>
      </c>
      <c r="DJ14" t="s">
        <v>105</v>
      </c>
      <c r="DK14" t="s">
        <v>105</v>
      </c>
      <c r="DL14" t="s">
        <v>105</v>
      </c>
      <c r="DM14" t="s">
        <v>105</v>
      </c>
      <c r="DN14" t="s">
        <v>105</v>
      </c>
      <c r="DO14" t="s">
        <v>106</v>
      </c>
      <c r="DP14" t="s">
        <v>106</v>
      </c>
      <c r="DQ14" t="s">
        <v>106</v>
      </c>
      <c r="DR14" t="s">
        <v>106</v>
      </c>
      <c r="DS14" t="s">
        <v>106</v>
      </c>
      <c r="DT14" t="s">
        <v>106</v>
      </c>
      <c r="DU14" t="s">
        <v>106</v>
      </c>
      <c r="DV14" t="s">
        <v>106</v>
      </c>
      <c r="DW14" t="s">
        <v>106</v>
      </c>
      <c r="DX14" t="s">
        <v>106</v>
      </c>
      <c r="DY14" t="s">
        <v>106</v>
      </c>
      <c r="DZ14" t="s">
        <v>106</v>
      </c>
      <c r="EA14" t="s">
        <v>106</v>
      </c>
      <c r="EB14" t="s">
        <v>106</v>
      </c>
      <c r="EC14" t="s">
        <v>106</v>
      </c>
      <c r="ED14" t="s">
        <v>106</v>
      </c>
      <c r="EE14" t="s">
        <v>106</v>
      </c>
      <c r="EF14" t="s">
        <v>106</v>
      </c>
      <c r="EG14" t="s">
        <v>106</v>
      </c>
      <c r="EH14" t="s">
        <v>107</v>
      </c>
      <c r="EI14" t="s">
        <v>107</v>
      </c>
      <c r="EJ14" t="s">
        <v>107</v>
      </c>
      <c r="EK14" t="s">
        <v>107</v>
      </c>
      <c r="EL14" t="s">
        <v>107</v>
      </c>
      <c r="EM14" t="s">
        <v>107</v>
      </c>
      <c r="EN14" t="s">
        <v>107</v>
      </c>
      <c r="EO14" t="s">
        <v>107</v>
      </c>
      <c r="EP14" t="s">
        <v>107</v>
      </c>
      <c r="EQ14" t="s">
        <v>107</v>
      </c>
      <c r="ER14" t="s">
        <v>107</v>
      </c>
      <c r="ES14" t="s">
        <v>107</v>
      </c>
      <c r="ET14" t="s">
        <v>107</v>
      </c>
      <c r="EU14" t="s">
        <v>107</v>
      </c>
      <c r="EV14" t="s">
        <v>107</v>
      </c>
      <c r="EW14" t="s">
        <v>107</v>
      </c>
      <c r="EX14" t="s">
        <v>107</v>
      </c>
      <c r="EY14" t="s">
        <v>107</v>
      </c>
      <c r="EZ14" t="s">
        <v>107</v>
      </c>
      <c r="FA14" t="s">
        <v>108</v>
      </c>
      <c r="FB14" t="s">
        <v>108</v>
      </c>
      <c r="FC14" t="s">
        <v>108</v>
      </c>
      <c r="FD14" t="s">
        <v>108</v>
      </c>
      <c r="FE14" t="s">
        <v>108</v>
      </c>
      <c r="FF14" t="s">
        <v>108</v>
      </c>
      <c r="FG14" t="s">
        <v>108</v>
      </c>
      <c r="FH14" t="s">
        <v>108</v>
      </c>
      <c r="FI14" t="s">
        <v>108</v>
      </c>
      <c r="FJ14" t="s">
        <v>108</v>
      </c>
      <c r="FK14" t="s">
        <v>108</v>
      </c>
      <c r="FL14" t="s">
        <v>108</v>
      </c>
      <c r="FM14" t="s">
        <v>108</v>
      </c>
      <c r="FN14" t="s">
        <v>108</v>
      </c>
      <c r="FO14" t="s">
        <v>108</v>
      </c>
      <c r="FP14" t="s">
        <v>108</v>
      </c>
      <c r="FQ14" t="s">
        <v>108</v>
      </c>
      <c r="FR14" t="s">
        <v>108</v>
      </c>
      <c r="FS14" t="s">
        <v>109</v>
      </c>
      <c r="FT14" t="s">
        <v>109</v>
      </c>
      <c r="FU14" t="s">
        <v>109</v>
      </c>
      <c r="FV14" t="s">
        <v>109</v>
      </c>
      <c r="FW14" t="s">
        <v>109</v>
      </c>
      <c r="FX14" t="s">
        <v>109</v>
      </c>
      <c r="FY14" t="s">
        <v>109</v>
      </c>
      <c r="FZ14" t="s">
        <v>109</v>
      </c>
      <c r="GA14" t="s">
        <v>110</v>
      </c>
      <c r="GB14" t="s">
        <v>110</v>
      </c>
      <c r="GC14" t="s">
        <v>110</v>
      </c>
      <c r="GD14" t="s">
        <v>110</v>
      </c>
      <c r="GE14" t="s">
        <v>110</v>
      </c>
      <c r="GF14" t="s">
        <v>110</v>
      </c>
      <c r="GG14" t="s">
        <v>110</v>
      </c>
      <c r="GH14" t="s">
        <v>110</v>
      </c>
      <c r="GI14" t="s">
        <v>110</v>
      </c>
      <c r="GJ14" t="s">
        <v>110</v>
      </c>
      <c r="GK14" t="s">
        <v>110</v>
      </c>
      <c r="GL14" t="s">
        <v>110</v>
      </c>
      <c r="GM14" t="s">
        <v>110</v>
      </c>
      <c r="GN14" t="s">
        <v>110</v>
      </c>
      <c r="GO14" t="s">
        <v>110</v>
      </c>
      <c r="GP14" t="s">
        <v>110</v>
      </c>
    </row>
    <row r="15" spans="1:198" x14ac:dyDescent="0.35">
      <c r="A15" t="s">
        <v>111</v>
      </c>
      <c r="B15" t="s">
        <v>112</v>
      </c>
      <c r="C15" t="s">
        <v>113</v>
      </c>
      <c r="D15" t="s">
        <v>114</v>
      </c>
      <c r="E15" t="s">
        <v>115</v>
      </c>
      <c r="F15" t="s">
        <v>116</v>
      </c>
      <c r="G15" t="s">
        <v>117</v>
      </c>
      <c r="H15" t="s">
        <v>118</v>
      </c>
      <c r="I15" t="s">
        <v>119</v>
      </c>
      <c r="J15" t="s">
        <v>120</v>
      </c>
      <c r="K15" t="s">
        <v>121</v>
      </c>
      <c r="L15" t="s">
        <v>122</v>
      </c>
      <c r="M15" t="s">
        <v>123</v>
      </c>
      <c r="N15" t="s">
        <v>124</v>
      </c>
      <c r="O15" t="s">
        <v>125</v>
      </c>
      <c r="P15" t="s">
        <v>126</v>
      </c>
      <c r="Q15" t="s">
        <v>127</v>
      </c>
      <c r="R15" t="s">
        <v>128</v>
      </c>
      <c r="S15" t="s">
        <v>129</v>
      </c>
      <c r="T15" t="s">
        <v>130</v>
      </c>
      <c r="U15" t="s">
        <v>131</v>
      </c>
      <c r="V15" t="s">
        <v>132</v>
      </c>
      <c r="W15" t="s">
        <v>133</v>
      </c>
      <c r="X15" t="s">
        <v>134</v>
      </c>
      <c r="Y15" t="s">
        <v>135</v>
      </c>
      <c r="Z15" t="s">
        <v>136</v>
      </c>
      <c r="AA15" t="s">
        <v>137</v>
      </c>
      <c r="AB15" t="s">
        <v>138</v>
      </c>
      <c r="AC15" t="s">
        <v>139</v>
      </c>
      <c r="AD15" t="s">
        <v>140</v>
      </c>
      <c r="AE15" t="s">
        <v>97</v>
      </c>
      <c r="AF15" t="s">
        <v>141</v>
      </c>
      <c r="AG15" t="s">
        <v>142</v>
      </c>
      <c r="AH15" t="s">
        <v>143</v>
      </c>
      <c r="AI15" t="s">
        <v>144</v>
      </c>
      <c r="AJ15" t="s">
        <v>145</v>
      </c>
      <c r="AK15" t="s">
        <v>146</v>
      </c>
      <c r="AL15" t="s">
        <v>147</v>
      </c>
      <c r="AM15" t="s">
        <v>148</v>
      </c>
      <c r="AN15" t="s">
        <v>149</v>
      </c>
      <c r="AO15" t="s">
        <v>150</v>
      </c>
      <c r="AP15" t="s">
        <v>151</v>
      </c>
      <c r="AQ15" t="s">
        <v>152</v>
      </c>
      <c r="AR15" t="s">
        <v>117</v>
      </c>
      <c r="AS15" t="s">
        <v>153</v>
      </c>
      <c r="AT15" t="s">
        <v>154</v>
      </c>
      <c r="AU15" t="s">
        <v>155</v>
      </c>
      <c r="AV15" t="s">
        <v>156</v>
      </c>
      <c r="AW15" t="s">
        <v>157</v>
      </c>
      <c r="AX15" t="s">
        <v>158</v>
      </c>
      <c r="AY15" t="s">
        <v>159</v>
      </c>
      <c r="AZ15" t="s">
        <v>160</v>
      </c>
      <c r="BA15" t="s">
        <v>161</v>
      </c>
      <c r="BB15" t="s">
        <v>162</v>
      </c>
      <c r="BC15" t="s">
        <v>163</v>
      </c>
      <c r="BD15" t="s">
        <v>164</v>
      </c>
      <c r="BE15" t="s">
        <v>165</v>
      </c>
      <c r="BF15" t="s">
        <v>166</v>
      </c>
      <c r="BG15" t="s">
        <v>167</v>
      </c>
      <c r="BH15" t="s">
        <v>168</v>
      </c>
      <c r="BI15" t="s">
        <v>169</v>
      </c>
      <c r="BJ15" t="s">
        <v>170</v>
      </c>
      <c r="BK15" t="s">
        <v>171</v>
      </c>
      <c r="BL15" t="s">
        <v>172</v>
      </c>
      <c r="BM15" t="s">
        <v>173</v>
      </c>
      <c r="BN15" t="s">
        <v>174</v>
      </c>
      <c r="BO15" t="s">
        <v>175</v>
      </c>
      <c r="BP15" t="s">
        <v>176</v>
      </c>
      <c r="BQ15" t="s">
        <v>177</v>
      </c>
      <c r="BR15" t="s">
        <v>178</v>
      </c>
      <c r="BS15" t="s">
        <v>179</v>
      </c>
      <c r="BT15" t="s">
        <v>180</v>
      </c>
      <c r="BU15" t="s">
        <v>181</v>
      </c>
      <c r="BV15" t="s">
        <v>182</v>
      </c>
      <c r="BW15" t="s">
        <v>183</v>
      </c>
      <c r="BX15" t="s">
        <v>184</v>
      </c>
      <c r="BY15" t="s">
        <v>112</v>
      </c>
      <c r="BZ15" t="s">
        <v>115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205</v>
      </c>
      <c r="CV15" t="s">
        <v>206</v>
      </c>
      <c r="CW15" t="s">
        <v>207</v>
      </c>
      <c r="CX15" t="s">
        <v>208</v>
      </c>
      <c r="CY15" t="s">
        <v>209</v>
      </c>
      <c r="CZ15" t="s">
        <v>210</v>
      </c>
      <c r="DA15" t="s">
        <v>211</v>
      </c>
      <c r="DB15" t="s">
        <v>212</v>
      </c>
      <c r="DC15" t="s">
        <v>213</v>
      </c>
      <c r="DD15" t="s">
        <v>214</v>
      </c>
      <c r="DE15" t="s">
        <v>215</v>
      </c>
      <c r="DF15" t="s">
        <v>216</v>
      </c>
      <c r="DG15" t="s">
        <v>217</v>
      </c>
      <c r="DH15" t="s">
        <v>218</v>
      </c>
      <c r="DI15" t="s">
        <v>219</v>
      </c>
      <c r="DJ15" t="s">
        <v>220</v>
      </c>
      <c r="DK15" t="s">
        <v>221</v>
      </c>
      <c r="DL15" t="s">
        <v>222</v>
      </c>
      <c r="DM15" t="s">
        <v>223</v>
      </c>
      <c r="DN15" t="s">
        <v>224</v>
      </c>
      <c r="DO15" t="s">
        <v>225</v>
      </c>
      <c r="DP15" t="s">
        <v>226</v>
      </c>
      <c r="DQ15" t="s">
        <v>227</v>
      </c>
      <c r="DR15" t="s">
        <v>228</v>
      </c>
      <c r="DS15" t="s">
        <v>229</v>
      </c>
      <c r="DT15" t="s">
        <v>230</v>
      </c>
      <c r="DU15" t="s">
        <v>231</v>
      </c>
      <c r="DV15" t="s">
        <v>232</v>
      </c>
      <c r="DW15" t="s">
        <v>233</v>
      </c>
      <c r="DX15" t="s">
        <v>234</v>
      </c>
      <c r="DY15" t="s">
        <v>235</v>
      </c>
      <c r="DZ15" t="s">
        <v>236</v>
      </c>
      <c r="EA15" t="s">
        <v>237</v>
      </c>
      <c r="EB15" t="s">
        <v>238</v>
      </c>
      <c r="EC15" t="s">
        <v>239</v>
      </c>
      <c r="ED15" t="s">
        <v>240</v>
      </c>
      <c r="EE15" t="s">
        <v>241</v>
      </c>
      <c r="EF15" t="s">
        <v>242</v>
      </c>
      <c r="EG15" t="s">
        <v>243</v>
      </c>
      <c r="EH15" t="s">
        <v>244</v>
      </c>
      <c r="EI15" t="s">
        <v>245</v>
      </c>
      <c r="EJ15" t="s">
        <v>246</v>
      </c>
      <c r="EK15" t="s">
        <v>247</v>
      </c>
      <c r="EL15" t="s">
        <v>248</v>
      </c>
      <c r="EM15" t="s">
        <v>249</v>
      </c>
      <c r="EN15" t="s">
        <v>250</v>
      </c>
      <c r="EO15" t="s">
        <v>251</v>
      </c>
      <c r="EP15" t="s">
        <v>252</v>
      </c>
      <c r="EQ15" t="s">
        <v>253</v>
      </c>
      <c r="ER15" t="s">
        <v>254</v>
      </c>
      <c r="ES15" t="s">
        <v>255</v>
      </c>
      <c r="ET15" t="s">
        <v>256</v>
      </c>
      <c r="EU15" t="s">
        <v>257</v>
      </c>
      <c r="EV15" t="s">
        <v>258</v>
      </c>
      <c r="EW15" t="s">
        <v>259</v>
      </c>
      <c r="EX15" t="s">
        <v>260</v>
      </c>
      <c r="EY15" t="s">
        <v>261</v>
      </c>
      <c r="EZ15" t="s">
        <v>262</v>
      </c>
      <c r="FA15" t="s">
        <v>263</v>
      </c>
      <c r="FB15" t="s">
        <v>264</v>
      </c>
      <c r="FC15" t="s">
        <v>265</v>
      </c>
      <c r="FD15" t="s">
        <v>266</v>
      </c>
      <c r="FE15" t="s">
        <v>267</v>
      </c>
      <c r="FF15" t="s">
        <v>268</v>
      </c>
      <c r="FG15" t="s">
        <v>269</v>
      </c>
      <c r="FH15" t="s">
        <v>270</v>
      </c>
      <c r="FI15" t="s">
        <v>271</v>
      </c>
      <c r="FJ15" t="s">
        <v>272</v>
      </c>
      <c r="FK15" t="s">
        <v>273</v>
      </c>
      <c r="FL15" t="s">
        <v>274</v>
      </c>
      <c r="FM15" t="s">
        <v>275</v>
      </c>
      <c r="FN15" t="s">
        <v>276</v>
      </c>
      <c r="FO15" t="s">
        <v>277</v>
      </c>
      <c r="FP15" t="s">
        <v>278</v>
      </c>
      <c r="FQ15" t="s">
        <v>279</v>
      </c>
      <c r="FR15" t="s">
        <v>280</v>
      </c>
      <c r="FS15" t="s">
        <v>281</v>
      </c>
      <c r="FT15" t="s">
        <v>282</v>
      </c>
      <c r="FU15" t="s">
        <v>283</v>
      </c>
      <c r="FV15" t="s">
        <v>284</v>
      </c>
      <c r="FW15" t="s">
        <v>285</v>
      </c>
      <c r="FX15" t="s">
        <v>286</v>
      </c>
      <c r="FY15" t="s">
        <v>287</v>
      </c>
      <c r="FZ15" t="s">
        <v>288</v>
      </c>
      <c r="GA15" t="s">
        <v>289</v>
      </c>
      <c r="GB15" t="s">
        <v>290</v>
      </c>
      <c r="GC15" t="s">
        <v>291</v>
      </c>
      <c r="GD15" t="s">
        <v>292</v>
      </c>
      <c r="GE15" t="s">
        <v>293</v>
      </c>
      <c r="GF15" t="s">
        <v>294</v>
      </c>
      <c r="GG15" t="s">
        <v>295</v>
      </c>
      <c r="GH15" t="s">
        <v>296</v>
      </c>
      <c r="GI15" t="s">
        <v>297</v>
      </c>
      <c r="GJ15" t="s">
        <v>298</v>
      </c>
      <c r="GK15" t="s">
        <v>299</v>
      </c>
      <c r="GL15" t="s">
        <v>300</v>
      </c>
      <c r="GM15" t="s">
        <v>301</v>
      </c>
      <c r="GN15" t="s">
        <v>302</v>
      </c>
      <c r="GO15" t="s">
        <v>303</v>
      </c>
      <c r="GP15" t="s">
        <v>304</v>
      </c>
    </row>
    <row r="16" spans="1:198" x14ac:dyDescent="0.35">
      <c r="B16" t="s">
        <v>305</v>
      </c>
      <c r="C16" t="s">
        <v>305</v>
      </c>
      <c r="F16" t="s">
        <v>305</v>
      </c>
      <c r="G16" t="s">
        <v>305</v>
      </c>
      <c r="H16" t="s">
        <v>306</v>
      </c>
      <c r="I16" t="s">
        <v>307</v>
      </c>
      <c r="J16" t="s">
        <v>308</v>
      </c>
      <c r="K16" t="s">
        <v>309</v>
      </c>
      <c r="L16" t="s">
        <v>309</v>
      </c>
      <c r="M16" t="s">
        <v>160</v>
      </c>
      <c r="N16" t="s">
        <v>160</v>
      </c>
      <c r="O16" t="s">
        <v>306</v>
      </c>
      <c r="P16" t="s">
        <v>306</v>
      </c>
      <c r="Q16" t="s">
        <v>306</v>
      </c>
      <c r="R16" t="s">
        <v>306</v>
      </c>
      <c r="S16" t="s">
        <v>310</v>
      </c>
      <c r="T16" t="s">
        <v>311</v>
      </c>
      <c r="U16" t="s">
        <v>311</v>
      </c>
      <c r="V16" t="s">
        <v>312</v>
      </c>
      <c r="W16" t="s">
        <v>313</v>
      </c>
      <c r="X16" t="s">
        <v>312</v>
      </c>
      <c r="Y16" t="s">
        <v>312</v>
      </c>
      <c r="Z16" t="s">
        <v>312</v>
      </c>
      <c r="AA16" t="s">
        <v>310</v>
      </c>
      <c r="AB16" t="s">
        <v>310</v>
      </c>
      <c r="AC16" t="s">
        <v>310</v>
      </c>
      <c r="AD16" t="s">
        <v>310</v>
      </c>
      <c r="AE16" t="s">
        <v>314</v>
      </c>
      <c r="AF16" t="s">
        <v>313</v>
      </c>
      <c r="AH16" t="s">
        <v>313</v>
      </c>
      <c r="AI16" t="s">
        <v>314</v>
      </c>
      <c r="AJ16" t="s">
        <v>308</v>
      </c>
      <c r="AK16" t="s">
        <v>308</v>
      </c>
      <c r="AM16" t="s">
        <v>315</v>
      </c>
      <c r="AN16" t="s">
        <v>316</v>
      </c>
      <c r="AQ16" t="s">
        <v>306</v>
      </c>
      <c r="AR16" t="s">
        <v>305</v>
      </c>
      <c r="AS16" t="s">
        <v>309</v>
      </c>
      <c r="AT16" t="s">
        <v>309</v>
      </c>
      <c r="AU16" t="s">
        <v>317</v>
      </c>
      <c r="AV16" t="s">
        <v>317</v>
      </c>
      <c r="AW16" t="s">
        <v>309</v>
      </c>
      <c r="AX16" t="s">
        <v>317</v>
      </c>
      <c r="AY16" t="s">
        <v>314</v>
      </c>
      <c r="AZ16" t="s">
        <v>312</v>
      </c>
      <c r="BA16" t="s">
        <v>312</v>
      </c>
      <c r="BB16" t="s">
        <v>311</v>
      </c>
      <c r="BC16" t="s">
        <v>311</v>
      </c>
      <c r="BD16" t="s">
        <v>311</v>
      </c>
      <c r="BE16" t="s">
        <v>311</v>
      </c>
      <c r="BF16" t="s">
        <v>311</v>
      </c>
      <c r="BG16" t="s">
        <v>318</v>
      </c>
      <c r="BH16" t="s">
        <v>308</v>
      </c>
      <c r="BI16" t="s">
        <v>308</v>
      </c>
      <c r="BJ16" t="s">
        <v>309</v>
      </c>
      <c r="BK16" t="s">
        <v>309</v>
      </c>
      <c r="BL16" t="s">
        <v>309</v>
      </c>
      <c r="BM16" t="s">
        <v>317</v>
      </c>
      <c r="BN16" t="s">
        <v>309</v>
      </c>
      <c r="BO16" t="s">
        <v>317</v>
      </c>
      <c r="BP16" t="s">
        <v>312</v>
      </c>
      <c r="BQ16" t="s">
        <v>312</v>
      </c>
      <c r="BR16" t="s">
        <v>311</v>
      </c>
      <c r="BS16" t="s">
        <v>311</v>
      </c>
      <c r="BT16" t="s">
        <v>308</v>
      </c>
      <c r="BW16" t="s">
        <v>311</v>
      </c>
      <c r="BY16" t="s">
        <v>319</v>
      </c>
      <c r="CA16" t="s">
        <v>305</v>
      </c>
      <c r="CB16" t="s">
        <v>305</v>
      </c>
      <c r="CD16" t="s">
        <v>320</v>
      </c>
      <c r="CE16" t="s">
        <v>321</v>
      </c>
      <c r="CF16" t="s">
        <v>320</v>
      </c>
      <c r="CG16" t="s">
        <v>321</v>
      </c>
      <c r="CH16" t="s">
        <v>320</v>
      </c>
      <c r="CI16" t="s">
        <v>321</v>
      </c>
      <c r="CJ16" t="s">
        <v>313</v>
      </c>
      <c r="CK16" t="s">
        <v>313</v>
      </c>
      <c r="CL16" t="s">
        <v>309</v>
      </c>
      <c r="CM16" t="s">
        <v>322</v>
      </c>
      <c r="CN16" t="s">
        <v>309</v>
      </c>
      <c r="CP16" t="s">
        <v>314</v>
      </c>
      <c r="CQ16" t="s">
        <v>323</v>
      </c>
      <c r="CR16" t="s">
        <v>314</v>
      </c>
      <c r="CW16" t="s">
        <v>324</v>
      </c>
      <c r="CX16" t="s">
        <v>324</v>
      </c>
      <c r="DK16" t="s">
        <v>324</v>
      </c>
      <c r="DL16" t="s">
        <v>324</v>
      </c>
      <c r="DM16" t="s">
        <v>325</v>
      </c>
      <c r="DN16" t="s">
        <v>325</v>
      </c>
      <c r="DO16" t="s">
        <v>311</v>
      </c>
      <c r="DP16" t="s">
        <v>311</v>
      </c>
      <c r="DQ16" t="s">
        <v>313</v>
      </c>
      <c r="DR16" t="s">
        <v>311</v>
      </c>
      <c r="DS16" t="s">
        <v>317</v>
      </c>
      <c r="DT16" t="s">
        <v>313</v>
      </c>
      <c r="DU16" t="s">
        <v>313</v>
      </c>
      <c r="DW16" t="s">
        <v>324</v>
      </c>
      <c r="DX16" t="s">
        <v>324</v>
      </c>
      <c r="DY16" t="s">
        <v>324</v>
      </c>
      <c r="DZ16" t="s">
        <v>324</v>
      </c>
      <c r="EA16" t="s">
        <v>324</v>
      </c>
      <c r="EB16" t="s">
        <v>324</v>
      </c>
      <c r="EC16" t="s">
        <v>324</v>
      </c>
      <c r="ED16" t="s">
        <v>326</v>
      </c>
      <c r="EE16" t="s">
        <v>326</v>
      </c>
      <c r="EF16" t="s">
        <v>326</v>
      </c>
      <c r="EG16" t="s">
        <v>327</v>
      </c>
      <c r="EH16" t="s">
        <v>324</v>
      </c>
      <c r="EI16" t="s">
        <v>324</v>
      </c>
      <c r="EJ16" t="s">
        <v>324</v>
      </c>
      <c r="EK16" t="s">
        <v>324</v>
      </c>
      <c r="EL16" t="s">
        <v>324</v>
      </c>
      <c r="EM16" t="s">
        <v>324</v>
      </c>
      <c r="EN16" t="s">
        <v>324</v>
      </c>
      <c r="EO16" t="s">
        <v>324</v>
      </c>
      <c r="EP16" t="s">
        <v>324</v>
      </c>
      <c r="EQ16" t="s">
        <v>324</v>
      </c>
      <c r="ER16" t="s">
        <v>324</v>
      </c>
      <c r="ES16" t="s">
        <v>324</v>
      </c>
      <c r="EZ16" t="s">
        <v>324</v>
      </c>
      <c r="FA16" t="s">
        <v>313</v>
      </c>
      <c r="FB16" t="s">
        <v>313</v>
      </c>
      <c r="FC16" t="s">
        <v>320</v>
      </c>
      <c r="FD16" t="s">
        <v>321</v>
      </c>
      <c r="FE16" t="s">
        <v>320</v>
      </c>
      <c r="FI16" t="s">
        <v>321</v>
      </c>
      <c r="FM16" t="s">
        <v>309</v>
      </c>
      <c r="FN16" t="s">
        <v>309</v>
      </c>
      <c r="FO16" t="s">
        <v>317</v>
      </c>
      <c r="FP16" t="s">
        <v>317</v>
      </c>
      <c r="FQ16" t="s">
        <v>328</v>
      </c>
      <c r="FR16" t="s">
        <v>328</v>
      </c>
      <c r="FS16" t="s">
        <v>324</v>
      </c>
      <c r="FT16" t="s">
        <v>324</v>
      </c>
      <c r="FU16" t="s">
        <v>324</v>
      </c>
      <c r="FV16" t="s">
        <v>324</v>
      </c>
      <c r="FW16" t="s">
        <v>324</v>
      </c>
      <c r="FX16" t="s">
        <v>324</v>
      </c>
      <c r="FY16" t="s">
        <v>311</v>
      </c>
      <c r="FZ16" t="s">
        <v>324</v>
      </c>
      <c r="GB16" t="s">
        <v>314</v>
      </c>
      <c r="GC16" t="s">
        <v>314</v>
      </c>
      <c r="GD16" t="s">
        <v>311</v>
      </c>
      <c r="GE16" t="s">
        <v>311</v>
      </c>
      <c r="GF16" t="s">
        <v>311</v>
      </c>
      <c r="GG16" t="s">
        <v>311</v>
      </c>
      <c r="GH16" t="s">
        <v>311</v>
      </c>
      <c r="GI16" t="s">
        <v>313</v>
      </c>
      <c r="GJ16" t="s">
        <v>313</v>
      </c>
      <c r="GK16" t="s">
        <v>313</v>
      </c>
      <c r="GL16" t="s">
        <v>311</v>
      </c>
      <c r="GM16" t="s">
        <v>309</v>
      </c>
      <c r="GN16" t="s">
        <v>317</v>
      </c>
      <c r="GO16" t="s">
        <v>313</v>
      </c>
      <c r="GP16" t="s">
        <v>313</v>
      </c>
    </row>
    <row r="17" spans="1:198" x14ac:dyDescent="0.35">
      <c r="A17">
        <v>1</v>
      </c>
      <c r="B17">
        <v>1775503591</v>
      </c>
      <c r="C17">
        <v>0</v>
      </c>
      <c r="D17" t="s">
        <v>329</v>
      </c>
      <c r="E17" t="s">
        <v>330</v>
      </c>
      <c r="F17">
        <v>60</v>
      </c>
      <c r="G17">
        <v>1775503583.25</v>
      </c>
      <c r="H17">
        <f t="shared" ref="H17:H48" si="0">(I17)/1000</f>
        <v>1.5033404800862506E-3</v>
      </c>
      <c r="I17">
        <f t="shared" ref="I17:I48" si="1">1000*AY17*AG17*(AU17-AV17)/(100*AN17*(1000-AG17*AU17))</f>
        <v>1.5033404800862507</v>
      </c>
      <c r="J17">
        <f t="shared" ref="J17:J48" si="2">AY17*AG17*(AT17-AS17*(1000-AG17*AV17)/(1000-AG17*AU17))/(100*AN17)</f>
        <v>-1.2819921764540316</v>
      </c>
      <c r="K17">
        <f t="shared" ref="K17:K48" si="3">AS17 - IF(AG17&gt;1, J17*AN17*100/(AI17), 0)</f>
        <v>50.391436666666657</v>
      </c>
      <c r="L17">
        <f t="shared" ref="L17:L48" si="4">((R17-H17/2)*K17-J17)/(R17+H17/2)</f>
        <v>93.691446009931781</v>
      </c>
      <c r="M17">
        <f t="shared" ref="M17:M48" si="5">L17*(AZ17+BA17)/1000</f>
        <v>9.3871498917319531</v>
      </c>
      <c r="N17">
        <f t="shared" ref="N17:N48" si="6">(AS17 - IF(AG17&gt;1, J17*AN17*100/(AI17), 0))*(AZ17+BA17)/1000</f>
        <v>5.048827714747552</v>
      </c>
      <c r="O17">
        <f t="shared" ref="O17:O48" si="7">2/((1/Q17-1/P17)+SIGN(Q17)*SQRT((1/Q17-1/P17)*(1/Q17-1/P17) + 4*AO17/((AO17+1)*(AO17+1))*(2*1/Q17*1/P17-1/P17*1/P17)))</f>
        <v>4.3746540309848266E-2</v>
      </c>
      <c r="P17">
        <f t="shared" ref="P17:P48" si="8">IF(LEFT(AP17,1)&lt;&gt;"0",IF(LEFT(AP17,1)="1",3,AQ17),$D$5+$E$5*(BG17*AZ17/($K$5*1000))+$F$5*(BG17*AZ17/($K$5*1000))*MAX(MIN(AN17,$J$5),$I$5)*MAX(MIN(AN17,$J$5),$I$5)+$G$5*MAX(MIN(AN17,$J$5),$I$5)*(BG17*AZ17/($K$5*1000))+$H$5*(BG17*AZ17/($K$5*1000))*(BG17*AZ17/($K$5*1000)))</f>
        <v>2.3925151908799829</v>
      </c>
      <c r="Q17">
        <f t="shared" ref="Q17:Q48" si="9">H17*(1000-(1000*0.61365*EXP(17.502*U17/(240.97+U17))/(AZ17+BA17)+AU17)/2)/(1000*0.61365*EXP(17.502*U17/(240.97+U17))/(AZ17+BA17)-AU17)</f>
        <v>4.3306974284719059E-2</v>
      </c>
      <c r="R17">
        <f t="shared" ref="R17:R48" si="10">1/((AO17+1)/(O17/1.6)+1/(P17/1.37)) + AO17/((AO17+1)/(O17/1.6) + AO17/(P17/1.37))</f>
        <v>2.7105984022817838E-2</v>
      </c>
      <c r="S17">
        <f t="shared" ref="S17:S48" si="11">(AJ17*AM17)</f>
        <v>0</v>
      </c>
      <c r="T17">
        <f t="shared" ref="T17:T48" si="12">(BB17+(S17+2*0.95*0.0000000567*(((BB17+$B$7)+273)^4-(BB17+273)^4)-44100*H17)/(1.84*29.3*P17+8*0.95*0.0000000567*(BB17+273)^3))</f>
        <v>24.822080166589867</v>
      </c>
      <c r="U17">
        <f t="shared" ref="U17:U48" si="13">($C$7*BC17+$D$7*BD17+$E$7*T17)</f>
        <v>25.40235333333333</v>
      </c>
      <c r="V17">
        <f t="shared" ref="V17:V48" si="14">0.61365*EXP(17.502*U17/(240.97+U17))</f>
        <v>3.2567556852543</v>
      </c>
      <c r="W17">
        <f t="shared" ref="W17:W48" si="15">(X17/Y17*100)</f>
        <v>-5.1812018147078289</v>
      </c>
      <c r="X17">
        <f t="shared" ref="X17:X48" si="16">AU17*(AZ17+BA17)/1000</f>
        <v>-0.16765744681711489</v>
      </c>
      <c r="Y17">
        <f t="shared" ref="Y17:Y48" si="17">0.61365*EXP(17.502*BB17/(240.97+BB17))</f>
        <v>3.2358794892178735</v>
      </c>
      <c r="Z17">
        <f t="shared" ref="Z17:Z48" si="18">(V17-AU17*(AZ17+BA17)/1000)</f>
        <v>3.4244131320714151</v>
      </c>
      <c r="AA17">
        <f t="shared" ref="AA17:AA48" si="19">(-H17*44100)</f>
        <v>-66.297315171803646</v>
      </c>
      <c r="AB17">
        <f t="shared" ref="AB17:AB48" si="20">2*29.3*P17*0.92*(BB17-U17)</f>
        <v>-13.949327969752693</v>
      </c>
      <c r="AC17">
        <f t="shared" ref="AC17:AC48" si="21">2*0.95*0.0000000567*(((BB17+$B$7)+273)^4-(U17+273)^4)</f>
        <v>-1.2376003365459938</v>
      </c>
      <c r="AD17">
        <f t="shared" ref="AD17:AD48" si="22">S17+AC17+AA17+AB17</f>
        <v>-81.484243478102329</v>
      </c>
      <c r="AE17">
        <v>23</v>
      </c>
      <c r="AF17">
        <v>5</v>
      </c>
      <c r="AG17">
        <f t="shared" ref="AG17:AG48" si="23">IF(AE17*$H$13&gt;=AI17,1,(AI17/(AI17-AE17*$H$13)))</f>
        <v>1</v>
      </c>
      <c r="AH17">
        <f t="shared" ref="AH17:AH48" si="24">(AG17-1)*100</f>
        <v>0</v>
      </c>
      <c r="AI17">
        <f t="shared" ref="AI17:AI48" si="25">MAX(0,($B$13+$C$13*BG17)/(1+$D$13*BG17)*AZ17/(BB17+273)*$E$13)</f>
        <v>25731.231346787194</v>
      </c>
      <c r="AJ17">
        <f t="shared" ref="AJ17:AJ48" si="26">$B$11*BH17+$C$11*BI17+$D$11*BT17</f>
        <v>0</v>
      </c>
      <c r="AK17">
        <f t="shared" ref="AK17:AK48" si="27">AJ17*AL17</f>
        <v>0</v>
      </c>
      <c r="AL17">
        <f t="shared" ref="AL17:AL48" si="28">($B$11*$D$9+$C$11*$D$9+$D$11*(BU17*$E$9+BV17*$G$9))/($B$11+$C$11+$D$11)</f>
        <v>0</v>
      </c>
      <c r="AM17">
        <f t="shared" ref="AM17:AM48" si="29">($B$11*$K$9+$C$11*$K$9+$D$11*(BU17*$L$9+BV17*$N$9))/($B$11+$C$11+$D$11)</f>
        <v>0</v>
      </c>
      <c r="AN17">
        <v>3</v>
      </c>
      <c r="AO17">
        <v>0.5</v>
      </c>
      <c r="AP17" t="s">
        <v>331</v>
      </c>
      <c r="AQ17">
        <v>2</v>
      </c>
      <c r="AR17">
        <v>1775503583.25</v>
      </c>
      <c r="AS17">
        <v>50.391436666666657</v>
      </c>
      <c r="AT17">
        <v>49.66770666666666</v>
      </c>
      <c r="AU17">
        <v>-1.6733586666666671</v>
      </c>
      <c r="AV17">
        <v>-2.5768573333333329</v>
      </c>
      <c r="AW17">
        <v>41.741436666666672</v>
      </c>
      <c r="AX17">
        <v>-0.67035866666666666</v>
      </c>
      <c r="AY17">
        <v>500.00829999999991</v>
      </c>
      <c r="AZ17">
        <v>100.15600000000001</v>
      </c>
      <c r="BA17">
        <v>3.6176463333333332E-2</v>
      </c>
      <c r="BB17">
        <v>25.294206666666671</v>
      </c>
      <c r="BC17">
        <v>25.40235333333333</v>
      </c>
      <c r="BD17">
        <v>999.9000000000002</v>
      </c>
      <c r="BE17">
        <v>0</v>
      </c>
      <c r="BF17">
        <v>0</v>
      </c>
      <c r="BG17">
        <v>5003.75</v>
      </c>
      <c r="BH17">
        <v>0.38646943333333328</v>
      </c>
      <c r="BI17">
        <v>0.22961599999999999</v>
      </c>
      <c r="BJ17">
        <v>1.3173478666666669</v>
      </c>
      <c r="BK17">
        <v>50.900426666666682</v>
      </c>
      <c r="BL17">
        <v>49.540063333333343</v>
      </c>
      <c r="BM17">
        <v>0.91428163333333334</v>
      </c>
      <c r="BN17">
        <v>49.66770666666666</v>
      </c>
      <c r="BO17">
        <v>-2.5768573333333329</v>
      </c>
      <c r="BP17">
        <v>-0.16651706666666671</v>
      </c>
      <c r="BQ17">
        <v>-0.25808793333333341</v>
      </c>
      <c r="BR17">
        <v>-99.900000000000034</v>
      </c>
      <c r="BS17">
        <v>-99.900000000000034</v>
      </c>
      <c r="BT17">
        <v>0</v>
      </c>
      <c r="BU17">
        <v>0</v>
      </c>
      <c r="BV17">
        <v>0</v>
      </c>
      <c r="BW17">
        <v>24</v>
      </c>
      <c r="BX17">
        <v>-1</v>
      </c>
      <c r="BY17">
        <v>1775503625.5</v>
      </c>
      <c r="BZ17" t="s">
        <v>332</v>
      </c>
      <c r="CA17">
        <v>1775503611</v>
      </c>
      <c r="CB17">
        <v>1775503625.5</v>
      </c>
      <c r="CC17">
        <v>4</v>
      </c>
      <c r="CD17">
        <v>-0.59399999999999997</v>
      </c>
      <c r="CE17">
        <v>-1.0999999999999999E-2</v>
      </c>
      <c r="CF17">
        <v>8.65</v>
      </c>
      <c r="CG17">
        <v>-1.0029999999999999</v>
      </c>
      <c r="CH17">
        <v>54</v>
      </c>
      <c r="CI17">
        <v>-3</v>
      </c>
      <c r="CJ17">
        <v>0.17</v>
      </c>
      <c r="CK17">
        <v>0.11</v>
      </c>
      <c r="CL17">
        <v>50.655441666666668</v>
      </c>
      <c r="CM17">
        <v>-5.6058108363433643</v>
      </c>
      <c r="CN17">
        <v>1.1620182041447931</v>
      </c>
      <c r="CO17">
        <v>-1</v>
      </c>
      <c r="CP17">
        <v>500.00166666666672</v>
      </c>
      <c r="CQ17">
        <v>-5.6629063628741483E-2</v>
      </c>
      <c r="CR17">
        <v>6.9672487795078841E-2</v>
      </c>
      <c r="CS17">
        <v>-1</v>
      </c>
      <c r="CT17">
        <v>0</v>
      </c>
      <c r="CU17">
        <v>0</v>
      </c>
      <c r="CV17" t="s">
        <v>333</v>
      </c>
      <c r="CW17">
        <v>3.16736</v>
      </c>
      <c r="CX17">
        <v>2.65713</v>
      </c>
      <c r="CY17">
        <v>1.2307500000000001E-2</v>
      </c>
      <c r="CZ17">
        <v>1.54089E-2</v>
      </c>
      <c r="DA17">
        <v>-5.6421800000000001E-3</v>
      </c>
      <c r="DB17">
        <v>-2.5511099999999998E-2</v>
      </c>
      <c r="DC17">
        <v>21463.5</v>
      </c>
      <c r="DD17">
        <v>21621.3</v>
      </c>
      <c r="DE17">
        <v>23257.5</v>
      </c>
      <c r="DF17">
        <v>22304.3</v>
      </c>
      <c r="DG17">
        <v>30137.7</v>
      </c>
      <c r="DH17">
        <v>27296.9</v>
      </c>
      <c r="DI17">
        <v>40838.800000000003</v>
      </c>
      <c r="DJ17">
        <v>36995.1</v>
      </c>
      <c r="DK17">
        <v>2.1160199999999998</v>
      </c>
      <c r="DL17">
        <v>1.8951</v>
      </c>
      <c r="DM17">
        <v>2.7352600000000001E-2</v>
      </c>
      <c r="DN17">
        <v>0</v>
      </c>
      <c r="DO17">
        <v>24.9818</v>
      </c>
      <c r="DP17">
        <v>999.9</v>
      </c>
      <c r="DQ17">
        <v>84.9</v>
      </c>
      <c r="DR17">
        <v>25.9</v>
      </c>
      <c r="DS17">
        <v>28.433199999999999</v>
      </c>
      <c r="DT17">
        <v>31.05</v>
      </c>
      <c r="DU17">
        <v>8.4415099999999992</v>
      </c>
      <c r="DV17">
        <v>1</v>
      </c>
      <c r="DW17">
        <v>-3.4254100000000003E-2</v>
      </c>
      <c r="DX17">
        <v>1.19286</v>
      </c>
      <c r="DY17">
        <v>20.348199999999999</v>
      </c>
      <c r="DZ17">
        <v>5.2114200000000004</v>
      </c>
      <c r="EA17">
        <v>11.8482</v>
      </c>
      <c r="EB17">
        <v>4.9690000000000003</v>
      </c>
      <c r="EC17">
        <v>3.2919999999999998</v>
      </c>
      <c r="ED17">
        <v>894.7</v>
      </c>
      <c r="EE17">
        <v>0</v>
      </c>
      <c r="EF17">
        <v>9999</v>
      </c>
      <c r="EG17">
        <v>113</v>
      </c>
      <c r="EH17">
        <v>4.9716399999999998</v>
      </c>
      <c r="EI17">
        <v>1.8716600000000001</v>
      </c>
      <c r="EJ17">
        <v>1.8687400000000001</v>
      </c>
      <c r="EK17">
        <v>1.8712</v>
      </c>
      <c r="EL17">
        <v>1.8689</v>
      </c>
      <c r="EM17">
        <v>1.8679600000000001</v>
      </c>
      <c r="EN17">
        <v>1.8697900000000001</v>
      </c>
      <c r="EO17">
        <v>1.8716299999999999</v>
      </c>
      <c r="EP17">
        <v>0</v>
      </c>
      <c r="EQ17">
        <v>0</v>
      </c>
      <c r="ER17">
        <v>0</v>
      </c>
      <c r="ES17">
        <v>0</v>
      </c>
      <c r="ET17" t="s">
        <v>334</v>
      </c>
      <c r="EU17" t="s">
        <v>335</v>
      </c>
      <c r="EV17" t="s">
        <v>336</v>
      </c>
      <c r="EW17" t="s">
        <v>336</v>
      </c>
      <c r="EX17" t="s">
        <v>336</v>
      </c>
      <c r="EY17" t="s">
        <v>336</v>
      </c>
      <c r="EZ17">
        <v>0</v>
      </c>
      <c r="FA17">
        <v>100</v>
      </c>
      <c r="FB17">
        <v>100</v>
      </c>
      <c r="FC17">
        <v>8.65</v>
      </c>
      <c r="FD17">
        <v>-1.0029999999999999</v>
      </c>
      <c r="FE17">
        <v>9.2436238095238252</v>
      </c>
      <c r="FF17">
        <v>0</v>
      </c>
      <c r="FG17">
        <v>0</v>
      </c>
      <c r="FH17">
        <v>0</v>
      </c>
      <c r="FI17">
        <v>-0.99221714285714224</v>
      </c>
      <c r="FJ17">
        <v>0</v>
      </c>
      <c r="FK17">
        <v>0</v>
      </c>
      <c r="FL17">
        <v>0</v>
      </c>
      <c r="FM17">
        <v>-1</v>
      </c>
      <c r="FN17">
        <v>-1</v>
      </c>
      <c r="FO17">
        <v>-1</v>
      </c>
      <c r="FP17">
        <v>-1</v>
      </c>
      <c r="FQ17">
        <v>1.4</v>
      </c>
      <c r="FR17">
        <v>1.7</v>
      </c>
      <c r="FS17">
        <v>0.144043</v>
      </c>
      <c r="FT17">
        <v>4.99756</v>
      </c>
      <c r="FU17">
        <v>1.5979000000000001</v>
      </c>
      <c r="FV17">
        <v>2.1777299999999999</v>
      </c>
      <c r="FW17">
        <v>1.5478499999999999</v>
      </c>
      <c r="FX17">
        <v>2.3718300000000001</v>
      </c>
      <c r="FY17">
        <v>29.4314</v>
      </c>
      <c r="FZ17">
        <v>16.259699999999999</v>
      </c>
      <c r="GA17">
        <v>3</v>
      </c>
      <c r="GB17">
        <v>486.53699999999998</v>
      </c>
      <c r="GC17">
        <v>435.40600000000001</v>
      </c>
      <c r="GD17">
        <v>26.3521</v>
      </c>
      <c r="GE17">
        <v>26.760999999999999</v>
      </c>
      <c r="GF17">
        <v>30.002300000000002</v>
      </c>
      <c r="GG17">
        <v>26.603400000000001</v>
      </c>
      <c r="GH17">
        <v>26.5351</v>
      </c>
      <c r="GI17">
        <v>-1</v>
      </c>
      <c r="GJ17">
        <v>0</v>
      </c>
      <c r="GK17">
        <v>100</v>
      </c>
      <c r="GL17">
        <v>25.6752</v>
      </c>
      <c r="GM17">
        <v>432.1</v>
      </c>
      <c r="GN17">
        <v>63.216500000000003</v>
      </c>
      <c r="GO17">
        <v>102.83</v>
      </c>
      <c r="GP17">
        <v>96.503299999999996</v>
      </c>
    </row>
    <row r="18" spans="1:198" x14ac:dyDescent="0.35">
      <c r="A18">
        <v>2</v>
      </c>
      <c r="B18">
        <v>1775503651</v>
      </c>
      <c r="C18">
        <v>60</v>
      </c>
      <c r="D18" t="s">
        <v>337</v>
      </c>
      <c r="E18" t="s">
        <v>338</v>
      </c>
      <c r="F18">
        <v>60</v>
      </c>
      <c r="G18">
        <v>1775503643.25</v>
      </c>
      <c r="H18">
        <f t="shared" si="0"/>
        <v>1.7639885480733974E-3</v>
      </c>
      <c r="I18">
        <f t="shared" si="1"/>
        <v>1.7639885480733974</v>
      </c>
      <c r="J18">
        <f t="shared" si="2"/>
        <v>-0.13354682154184438</v>
      </c>
      <c r="K18">
        <f t="shared" si="3"/>
        <v>51.752090000000003</v>
      </c>
      <c r="L18">
        <f t="shared" si="4"/>
        <v>53.035755561528944</v>
      </c>
      <c r="M18">
        <f t="shared" si="5"/>
        <v>5.3140753273619872</v>
      </c>
      <c r="N18">
        <f t="shared" si="6"/>
        <v>5.1854546370959405</v>
      </c>
      <c r="O18">
        <f t="shared" si="7"/>
        <v>5.1785877415148833E-2</v>
      </c>
      <c r="P18">
        <f t="shared" si="8"/>
        <v>2.3941448464151822</v>
      </c>
      <c r="Q18">
        <f t="shared" si="9"/>
        <v>5.117154530368407E-2</v>
      </c>
      <c r="R18">
        <f t="shared" si="10"/>
        <v>3.2036803822135286E-2</v>
      </c>
      <c r="S18">
        <f t="shared" si="11"/>
        <v>0</v>
      </c>
      <c r="T18">
        <f t="shared" si="12"/>
        <v>24.701655319389296</v>
      </c>
      <c r="U18">
        <f t="shared" si="13"/>
        <v>25.35708</v>
      </c>
      <c r="V18">
        <f t="shared" si="14"/>
        <v>3.2480020283547493</v>
      </c>
      <c r="W18">
        <f t="shared" si="15"/>
        <v>-4.7291982132229089</v>
      </c>
      <c r="X18">
        <f t="shared" si="16"/>
        <v>-0.15267741973383497</v>
      </c>
      <c r="Y18">
        <f t="shared" si="17"/>
        <v>3.2283996747471191</v>
      </c>
      <c r="Z18">
        <f t="shared" si="18"/>
        <v>3.4006794480885842</v>
      </c>
      <c r="AA18">
        <f t="shared" si="19"/>
        <v>-77.791894970036822</v>
      </c>
      <c r="AB18">
        <f t="shared" si="20"/>
        <v>-13.135773148412405</v>
      </c>
      <c r="AC18">
        <f t="shared" si="21"/>
        <v>-1.1641347571602201</v>
      </c>
      <c r="AD18">
        <f t="shared" si="22"/>
        <v>-92.09180287560946</v>
      </c>
      <c r="AE18">
        <v>23</v>
      </c>
      <c r="AF18">
        <v>5</v>
      </c>
      <c r="AG18">
        <f t="shared" si="23"/>
        <v>1</v>
      </c>
      <c r="AH18">
        <f t="shared" si="24"/>
        <v>0</v>
      </c>
      <c r="AI18">
        <f t="shared" si="25"/>
        <v>25759.30886385938</v>
      </c>
      <c r="AJ18">
        <f t="shared" si="26"/>
        <v>0</v>
      </c>
      <c r="AK18">
        <f t="shared" si="27"/>
        <v>0</v>
      </c>
      <c r="AL18">
        <f t="shared" si="28"/>
        <v>0</v>
      </c>
      <c r="AM18">
        <f t="shared" si="29"/>
        <v>0</v>
      </c>
      <c r="AN18">
        <v>3</v>
      </c>
      <c r="AO18">
        <v>0.5</v>
      </c>
      <c r="AP18" t="s">
        <v>331</v>
      </c>
      <c r="AQ18">
        <v>2</v>
      </c>
      <c r="AR18">
        <v>1775503643.25</v>
      </c>
      <c r="AS18">
        <v>51.752090000000003</v>
      </c>
      <c r="AT18">
        <v>51.726736666666667</v>
      </c>
      <c r="AU18">
        <v>-1.5237575333333331</v>
      </c>
      <c r="AV18">
        <v>-2.5837340000000002</v>
      </c>
      <c r="AW18">
        <v>43.240090000000002</v>
      </c>
      <c r="AX18">
        <v>-0.51975753333333341</v>
      </c>
      <c r="AY18">
        <v>500.01386666666662</v>
      </c>
      <c r="AZ18">
        <v>100.16160000000001</v>
      </c>
      <c r="BA18">
        <v>3.6375329999999997E-2</v>
      </c>
      <c r="BB18">
        <v>25.255310000000001</v>
      </c>
      <c r="BC18">
        <v>25.35708</v>
      </c>
      <c r="BD18">
        <v>999.9000000000002</v>
      </c>
      <c r="BE18">
        <v>0</v>
      </c>
      <c r="BF18">
        <v>0</v>
      </c>
      <c r="BG18">
        <v>5007.666666666667</v>
      </c>
      <c r="BH18">
        <v>0.38739380000000001</v>
      </c>
      <c r="BI18">
        <v>0.22961599999999999</v>
      </c>
      <c r="BJ18">
        <v>0.1630392733333334</v>
      </c>
      <c r="BK18">
        <v>51.810873333333333</v>
      </c>
      <c r="BL18">
        <v>51.593439999999987</v>
      </c>
      <c r="BM18">
        <v>1.0608610000000001</v>
      </c>
      <c r="BN18">
        <v>51.726736666666667</v>
      </c>
      <c r="BO18">
        <v>-2.5837340000000002</v>
      </c>
      <c r="BP18">
        <v>-0.15253359999999999</v>
      </c>
      <c r="BQ18">
        <v>-0.25879096666666668</v>
      </c>
      <c r="BR18">
        <v>-99.900000000000034</v>
      </c>
      <c r="BS18">
        <v>-99.900000000000034</v>
      </c>
      <c r="BT18">
        <v>0</v>
      </c>
      <c r="BU18">
        <v>0</v>
      </c>
      <c r="BV18">
        <v>0</v>
      </c>
      <c r="BW18">
        <v>24</v>
      </c>
      <c r="BX18">
        <v>-1</v>
      </c>
      <c r="BY18">
        <v>1775503682</v>
      </c>
      <c r="BZ18" t="s">
        <v>339</v>
      </c>
      <c r="CA18">
        <v>1775503674.5</v>
      </c>
      <c r="CB18">
        <v>1775503682</v>
      </c>
      <c r="CC18">
        <v>5</v>
      </c>
      <c r="CD18">
        <v>-0.13800000000000001</v>
      </c>
      <c r="CE18">
        <v>-1E-3</v>
      </c>
      <c r="CF18">
        <v>8.5120000000000005</v>
      </c>
      <c r="CG18">
        <v>-1.004</v>
      </c>
      <c r="CH18">
        <v>52</v>
      </c>
      <c r="CI18">
        <v>-3</v>
      </c>
      <c r="CJ18">
        <v>0.23</v>
      </c>
      <c r="CK18">
        <v>0.08</v>
      </c>
      <c r="CL18">
        <v>52.650698333333338</v>
      </c>
      <c r="CM18">
        <v>-6.2254696304528707</v>
      </c>
      <c r="CN18">
        <v>1.0119505945601079</v>
      </c>
      <c r="CO18">
        <v>-1</v>
      </c>
      <c r="CP18">
        <v>500.69164999999998</v>
      </c>
      <c r="CQ18">
        <v>-2.2860183384279549</v>
      </c>
      <c r="CR18">
        <v>1.3846900835566089</v>
      </c>
      <c r="CS18">
        <v>-1</v>
      </c>
      <c r="CT18">
        <v>0</v>
      </c>
      <c r="CU18">
        <v>0</v>
      </c>
      <c r="CV18" t="s">
        <v>333</v>
      </c>
      <c r="CW18">
        <v>3.16723</v>
      </c>
      <c r="CX18">
        <v>2.6579600000000001</v>
      </c>
      <c r="CY18">
        <v>1.2867999999999999E-2</v>
      </c>
      <c r="CZ18">
        <v>1.5723600000000001E-2</v>
      </c>
      <c r="DA18">
        <v>-4.28306E-3</v>
      </c>
      <c r="DB18">
        <v>-2.5541999999999999E-2</v>
      </c>
      <c r="DC18">
        <v>21439.7</v>
      </c>
      <c r="DD18">
        <v>21615</v>
      </c>
      <c r="DE18">
        <v>23245.5</v>
      </c>
      <c r="DF18">
        <v>22305.3</v>
      </c>
      <c r="DG18">
        <v>30081.7</v>
      </c>
      <c r="DH18">
        <v>27296.400000000001</v>
      </c>
      <c r="DI18">
        <v>40818.1</v>
      </c>
      <c r="DJ18">
        <v>36993.199999999997</v>
      </c>
      <c r="DK18">
        <v>2.1127600000000002</v>
      </c>
      <c r="DL18">
        <v>1.8903399999999999</v>
      </c>
      <c r="DM18">
        <v>2.0521899999999999E-2</v>
      </c>
      <c r="DN18">
        <v>0</v>
      </c>
      <c r="DO18">
        <v>25.025700000000001</v>
      </c>
      <c r="DP18">
        <v>999.9</v>
      </c>
      <c r="DQ18">
        <v>85.2</v>
      </c>
      <c r="DR18">
        <v>25.9</v>
      </c>
      <c r="DS18">
        <v>28.5336</v>
      </c>
      <c r="DT18">
        <v>30.9</v>
      </c>
      <c r="DU18">
        <v>8.6137800000000002</v>
      </c>
      <c r="DV18">
        <v>1</v>
      </c>
      <c r="DW18">
        <v>-2.0372000000000001E-2</v>
      </c>
      <c r="DX18">
        <v>-8.9816999999999994E-2</v>
      </c>
      <c r="DY18">
        <v>20.367899999999999</v>
      </c>
      <c r="DZ18">
        <v>5.21286</v>
      </c>
      <c r="EA18">
        <v>11.8482</v>
      </c>
      <c r="EB18">
        <v>4.9688400000000001</v>
      </c>
      <c r="EC18">
        <v>3.2919999999999998</v>
      </c>
      <c r="ED18">
        <v>894.7</v>
      </c>
      <c r="EE18">
        <v>0</v>
      </c>
      <c r="EF18">
        <v>9999</v>
      </c>
      <c r="EG18">
        <v>113</v>
      </c>
      <c r="EH18">
        <v>4.9716399999999998</v>
      </c>
      <c r="EI18">
        <v>1.87168</v>
      </c>
      <c r="EJ18">
        <v>1.8687499999999999</v>
      </c>
      <c r="EK18">
        <v>1.87121</v>
      </c>
      <c r="EL18">
        <v>1.86893</v>
      </c>
      <c r="EM18">
        <v>1.86798</v>
      </c>
      <c r="EN18">
        <v>1.86981</v>
      </c>
      <c r="EO18">
        <v>1.87164</v>
      </c>
      <c r="EP18">
        <v>0</v>
      </c>
      <c r="EQ18">
        <v>0</v>
      </c>
      <c r="ER18">
        <v>0</v>
      </c>
      <c r="ES18">
        <v>0</v>
      </c>
      <c r="ET18" t="s">
        <v>334</v>
      </c>
      <c r="EU18" t="s">
        <v>335</v>
      </c>
      <c r="EV18" t="s">
        <v>336</v>
      </c>
      <c r="EW18" t="s">
        <v>336</v>
      </c>
      <c r="EX18" t="s">
        <v>336</v>
      </c>
      <c r="EY18" t="s">
        <v>336</v>
      </c>
      <c r="EZ18">
        <v>0</v>
      </c>
      <c r="FA18">
        <v>100</v>
      </c>
      <c r="FB18">
        <v>100</v>
      </c>
      <c r="FC18">
        <v>8.5120000000000005</v>
      </c>
      <c r="FD18">
        <v>-1.004</v>
      </c>
      <c r="FE18">
        <v>8.6496899999999997</v>
      </c>
      <c r="FF18">
        <v>0</v>
      </c>
      <c r="FG18">
        <v>0</v>
      </c>
      <c r="FH18">
        <v>0</v>
      </c>
      <c r="FI18">
        <v>-1.003117142857143</v>
      </c>
      <c r="FJ18">
        <v>0</v>
      </c>
      <c r="FK18">
        <v>0</v>
      </c>
      <c r="FL18">
        <v>0</v>
      </c>
      <c r="FM18">
        <v>-1</v>
      </c>
      <c r="FN18">
        <v>-1</v>
      </c>
      <c r="FO18">
        <v>-1</v>
      </c>
      <c r="FP18">
        <v>-1</v>
      </c>
      <c r="FQ18">
        <v>0.7</v>
      </c>
      <c r="FR18">
        <v>0.4</v>
      </c>
      <c r="FS18">
        <v>0.144043</v>
      </c>
      <c r="FT18">
        <v>4.99756</v>
      </c>
      <c r="FU18">
        <v>1.5979000000000001</v>
      </c>
      <c r="FV18">
        <v>2.1752899999999999</v>
      </c>
      <c r="FW18">
        <v>1.5478499999999999</v>
      </c>
      <c r="FX18">
        <v>2.4206500000000002</v>
      </c>
      <c r="FY18">
        <v>29.644300000000001</v>
      </c>
      <c r="FZ18">
        <v>16.294699999999999</v>
      </c>
      <c r="GA18">
        <v>3</v>
      </c>
      <c r="GB18">
        <v>486.59800000000001</v>
      </c>
      <c r="GC18">
        <v>434.17200000000003</v>
      </c>
      <c r="GD18">
        <v>25.871300000000002</v>
      </c>
      <c r="GE18">
        <v>26.927700000000002</v>
      </c>
      <c r="GF18">
        <v>30.001200000000001</v>
      </c>
      <c r="GG18">
        <v>26.838899999999999</v>
      </c>
      <c r="GH18">
        <v>26.744700000000002</v>
      </c>
      <c r="GI18">
        <v>-1</v>
      </c>
      <c r="GJ18">
        <v>0</v>
      </c>
      <c r="GK18">
        <v>100</v>
      </c>
      <c r="GL18">
        <v>25.893999999999998</v>
      </c>
      <c r="GM18">
        <v>432.1</v>
      </c>
      <c r="GN18">
        <v>63.216500000000003</v>
      </c>
      <c r="GO18">
        <v>102.777</v>
      </c>
      <c r="GP18">
        <v>96.501999999999995</v>
      </c>
    </row>
    <row r="19" spans="1:198" x14ac:dyDescent="0.35">
      <c r="A19">
        <v>3</v>
      </c>
      <c r="B19">
        <v>1775503711.0999999</v>
      </c>
      <c r="C19">
        <v>120.0999999046326</v>
      </c>
      <c r="D19" t="s">
        <v>340</v>
      </c>
      <c r="E19" t="s">
        <v>341</v>
      </c>
      <c r="F19">
        <v>60</v>
      </c>
      <c r="G19">
        <v>1775503703.099999</v>
      </c>
      <c r="H19">
        <f t="shared" si="0"/>
        <v>2.0179785741557882E-3</v>
      </c>
      <c r="I19">
        <f t="shared" si="1"/>
        <v>2.0179785741557881</v>
      </c>
      <c r="J19">
        <f t="shared" si="2"/>
        <v>1.361471574318184</v>
      </c>
      <c r="K19">
        <f t="shared" si="3"/>
        <v>52.160287096774191</v>
      </c>
      <c r="L19">
        <f t="shared" si="4"/>
        <v>13.250969373069269</v>
      </c>
      <c r="M19">
        <f t="shared" si="5"/>
        <v>1.3277099345136483</v>
      </c>
      <c r="N19">
        <f t="shared" si="6"/>
        <v>5.2263143484596384</v>
      </c>
      <c r="O19">
        <f t="shared" si="7"/>
        <v>5.9392794993934565E-2</v>
      </c>
      <c r="P19">
        <f t="shared" si="8"/>
        <v>2.3894788252696224</v>
      </c>
      <c r="Q19">
        <f t="shared" si="9"/>
        <v>5.8584690677092245E-2</v>
      </c>
      <c r="R19">
        <f t="shared" si="10"/>
        <v>3.6687120588621759E-2</v>
      </c>
      <c r="S19">
        <f t="shared" si="11"/>
        <v>0</v>
      </c>
      <c r="T19">
        <f t="shared" si="12"/>
        <v>24.663945384445107</v>
      </c>
      <c r="U19">
        <f t="shared" si="13"/>
        <v>25.407393548387091</v>
      </c>
      <c r="V19">
        <f t="shared" si="14"/>
        <v>3.2577314911689697</v>
      </c>
      <c r="W19">
        <f t="shared" si="15"/>
        <v>-4.3227100279118913</v>
      </c>
      <c r="X19">
        <f t="shared" si="16"/>
        <v>-0.13991285201708317</v>
      </c>
      <c r="Y19">
        <f t="shared" si="17"/>
        <v>3.2366929799514876</v>
      </c>
      <c r="Z19">
        <f t="shared" si="18"/>
        <v>3.397644343186053</v>
      </c>
      <c r="AA19">
        <f t="shared" si="19"/>
        <v>-88.992855120270264</v>
      </c>
      <c r="AB19">
        <f t="shared" si="20"/>
        <v>-14.036565842744846</v>
      </c>
      <c r="AC19">
        <f t="shared" si="21"/>
        <v>-1.2469807528676828</v>
      </c>
      <c r="AD19">
        <f t="shared" si="22"/>
        <v>-104.2764017158828</v>
      </c>
      <c r="AE19">
        <v>22</v>
      </c>
      <c r="AF19">
        <v>4</v>
      </c>
      <c r="AG19">
        <f t="shared" si="23"/>
        <v>1</v>
      </c>
      <c r="AH19">
        <f t="shared" si="24"/>
        <v>0</v>
      </c>
      <c r="AI19">
        <f t="shared" si="25"/>
        <v>25684.220946622059</v>
      </c>
      <c r="AJ19">
        <f t="shared" si="26"/>
        <v>0</v>
      </c>
      <c r="AK19">
        <f t="shared" si="27"/>
        <v>0</v>
      </c>
      <c r="AL19">
        <f t="shared" si="28"/>
        <v>0</v>
      </c>
      <c r="AM19">
        <f t="shared" si="29"/>
        <v>0</v>
      </c>
      <c r="AN19">
        <v>3</v>
      </c>
      <c r="AO19">
        <v>0.5</v>
      </c>
      <c r="AP19" t="s">
        <v>331</v>
      </c>
      <c r="AQ19">
        <v>2</v>
      </c>
      <c r="AR19">
        <v>1775503703.099999</v>
      </c>
      <c r="AS19">
        <v>52.160287096774191</v>
      </c>
      <c r="AT19">
        <v>53.040383870967737</v>
      </c>
      <c r="AU19">
        <v>-1.396374967741935</v>
      </c>
      <c r="AV19">
        <v>-2.6089338709677419</v>
      </c>
      <c r="AW19">
        <v>43.717287096774193</v>
      </c>
      <c r="AX19">
        <v>-0.39437496774193548</v>
      </c>
      <c r="AY19">
        <v>499.96658064516129</v>
      </c>
      <c r="AZ19">
        <v>100.1604838709677</v>
      </c>
      <c r="BA19">
        <v>3.670903870967742E-2</v>
      </c>
      <c r="BB19">
        <v>25.298432258064508</v>
      </c>
      <c r="BC19">
        <v>25.407393548387091</v>
      </c>
      <c r="BD19">
        <v>999.90000000000032</v>
      </c>
      <c r="BE19">
        <v>0</v>
      </c>
      <c r="BF19">
        <v>0</v>
      </c>
      <c r="BG19">
        <v>4995.7096774193551</v>
      </c>
      <c r="BH19">
        <v>0.40589906451612889</v>
      </c>
      <c r="BI19">
        <v>0.22961599999999999</v>
      </c>
      <c r="BJ19">
        <v>-0.81098916129032272</v>
      </c>
      <c r="BK19">
        <v>52.156451612903233</v>
      </c>
      <c r="BL19">
        <v>52.902361290322567</v>
      </c>
      <c r="BM19">
        <v>1.210327419354839</v>
      </c>
      <c r="BN19">
        <v>53.040383870967737</v>
      </c>
      <c r="BO19">
        <v>-2.6089338709677419</v>
      </c>
      <c r="BP19">
        <v>-0.14008522580645161</v>
      </c>
      <c r="BQ19">
        <v>-0.26131216129032259</v>
      </c>
      <c r="BR19">
        <v>-99.900000000000034</v>
      </c>
      <c r="BS19">
        <v>-99.900000000000034</v>
      </c>
      <c r="BT19">
        <v>0</v>
      </c>
      <c r="BU19">
        <v>0</v>
      </c>
      <c r="BV19">
        <v>0</v>
      </c>
      <c r="BW19">
        <v>24</v>
      </c>
      <c r="BX19">
        <v>-1</v>
      </c>
      <c r="BY19">
        <v>1775503743.0999999</v>
      </c>
      <c r="BZ19" t="s">
        <v>342</v>
      </c>
      <c r="CA19">
        <v>1775503728.0999999</v>
      </c>
      <c r="CB19">
        <v>1775503743.0999999</v>
      </c>
      <c r="CC19">
        <v>6</v>
      </c>
      <c r="CD19">
        <v>-6.9000000000000006E-2</v>
      </c>
      <c r="CE19">
        <v>2E-3</v>
      </c>
      <c r="CF19">
        <v>8.4429999999999996</v>
      </c>
      <c r="CG19">
        <v>-1.002</v>
      </c>
      <c r="CH19">
        <v>54</v>
      </c>
      <c r="CI19">
        <v>-3</v>
      </c>
      <c r="CJ19">
        <v>0.34</v>
      </c>
      <c r="CK19">
        <v>7.0000000000000007E-2</v>
      </c>
      <c r="CL19">
        <v>52.910063934426233</v>
      </c>
      <c r="CM19">
        <v>1.020067384844898</v>
      </c>
      <c r="CN19">
        <v>0.15261362016520749</v>
      </c>
      <c r="CO19">
        <v>-1</v>
      </c>
      <c r="CP19">
        <v>500.70281967213111</v>
      </c>
      <c r="CQ19">
        <v>-5.4078099834822648</v>
      </c>
      <c r="CR19">
        <v>1.426495895981601</v>
      </c>
      <c r="CS19">
        <v>-1</v>
      </c>
      <c r="CT19">
        <v>0</v>
      </c>
      <c r="CU19">
        <v>0</v>
      </c>
      <c r="CV19" t="s">
        <v>333</v>
      </c>
      <c r="CW19">
        <v>3.1672099999999999</v>
      </c>
      <c r="CX19">
        <v>2.6582499999999998</v>
      </c>
      <c r="CY19">
        <v>1.31623E-2</v>
      </c>
      <c r="CZ19">
        <v>1.5910400000000002E-2</v>
      </c>
      <c r="DA19">
        <v>-3.2437299999999998E-3</v>
      </c>
      <c r="DB19">
        <v>-2.59092E-2</v>
      </c>
      <c r="DC19">
        <v>21424.1</v>
      </c>
      <c r="DD19">
        <v>21613.4</v>
      </c>
      <c r="DE19">
        <v>23236</v>
      </c>
      <c r="DF19">
        <v>22308.3</v>
      </c>
      <c r="DG19">
        <v>30038.9</v>
      </c>
      <c r="DH19">
        <v>27307</v>
      </c>
      <c r="DI19">
        <v>40802.199999999997</v>
      </c>
      <c r="DJ19">
        <v>36994.400000000001</v>
      </c>
      <c r="DK19">
        <v>2.1119400000000002</v>
      </c>
      <c r="DL19">
        <v>1.88778</v>
      </c>
      <c r="DM19">
        <v>1.9967599999999999E-2</v>
      </c>
      <c r="DN19">
        <v>0</v>
      </c>
      <c r="DO19">
        <v>25.062000000000001</v>
      </c>
      <c r="DP19">
        <v>999.9</v>
      </c>
      <c r="DQ19">
        <v>85.3</v>
      </c>
      <c r="DR19">
        <v>26</v>
      </c>
      <c r="DS19">
        <v>28.734200000000001</v>
      </c>
      <c r="DT19">
        <v>30.9682</v>
      </c>
      <c r="DU19">
        <v>8.5656999999999996</v>
      </c>
      <c r="DV19">
        <v>1</v>
      </c>
      <c r="DW19">
        <v>-8.6971500000000007E-3</v>
      </c>
      <c r="DX19">
        <v>5.36231E-2</v>
      </c>
      <c r="DY19">
        <v>20.368200000000002</v>
      </c>
      <c r="DZ19">
        <v>5.2129799999999999</v>
      </c>
      <c r="EA19">
        <v>11.8482</v>
      </c>
      <c r="EB19">
        <v>4.9695600000000004</v>
      </c>
      <c r="EC19">
        <v>3.2919999999999998</v>
      </c>
      <c r="ED19">
        <v>894.7</v>
      </c>
      <c r="EE19">
        <v>0</v>
      </c>
      <c r="EF19">
        <v>9999</v>
      </c>
      <c r="EG19">
        <v>113</v>
      </c>
      <c r="EH19">
        <v>4.97166</v>
      </c>
      <c r="EI19">
        <v>1.87168</v>
      </c>
      <c r="EJ19">
        <v>1.86877</v>
      </c>
      <c r="EK19">
        <v>1.8712200000000001</v>
      </c>
      <c r="EL19">
        <v>1.86896</v>
      </c>
      <c r="EM19">
        <v>1.86798</v>
      </c>
      <c r="EN19">
        <v>1.86981</v>
      </c>
      <c r="EO19">
        <v>1.87164</v>
      </c>
      <c r="EP19">
        <v>0</v>
      </c>
      <c r="EQ19">
        <v>0</v>
      </c>
      <c r="ER19">
        <v>0</v>
      </c>
      <c r="ES19">
        <v>0</v>
      </c>
      <c r="ET19" t="s">
        <v>334</v>
      </c>
      <c r="EU19" t="s">
        <v>335</v>
      </c>
      <c r="EV19" t="s">
        <v>336</v>
      </c>
      <c r="EW19" t="s">
        <v>336</v>
      </c>
      <c r="EX19" t="s">
        <v>336</v>
      </c>
      <c r="EY19" t="s">
        <v>336</v>
      </c>
      <c r="EZ19">
        <v>0</v>
      </c>
      <c r="FA19">
        <v>100</v>
      </c>
      <c r="FB19">
        <v>100</v>
      </c>
      <c r="FC19">
        <v>8.4429999999999996</v>
      </c>
      <c r="FD19">
        <v>-1.002</v>
      </c>
      <c r="FE19">
        <v>8.5121095238095279</v>
      </c>
      <c r="FF19">
        <v>0</v>
      </c>
      <c r="FG19">
        <v>0</v>
      </c>
      <c r="FH19">
        <v>0</v>
      </c>
      <c r="FI19">
        <v>-1.0042314999999999</v>
      </c>
      <c r="FJ19">
        <v>0</v>
      </c>
      <c r="FK19">
        <v>0</v>
      </c>
      <c r="FL19">
        <v>0</v>
      </c>
      <c r="FM19">
        <v>-1</v>
      </c>
      <c r="FN19">
        <v>-1</v>
      </c>
      <c r="FO19">
        <v>-1</v>
      </c>
      <c r="FP19">
        <v>-1</v>
      </c>
      <c r="FQ19">
        <v>0.6</v>
      </c>
      <c r="FR19">
        <v>0.5</v>
      </c>
      <c r="FS19">
        <v>0.144043</v>
      </c>
      <c r="FT19">
        <v>4.99756</v>
      </c>
      <c r="FU19">
        <v>1.5979000000000001</v>
      </c>
      <c r="FV19">
        <v>2.17896</v>
      </c>
      <c r="FW19">
        <v>1.5478499999999999</v>
      </c>
      <c r="FX19">
        <v>2.3913600000000002</v>
      </c>
      <c r="FY19">
        <v>29.836400000000001</v>
      </c>
      <c r="FZ19">
        <v>16.277200000000001</v>
      </c>
      <c r="GA19">
        <v>3</v>
      </c>
      <c r="GB19">
        <v>487.47699999999998</v>
      </c>
      <c r="GC19">
        <v>434.02699999999999</v>
      </c>
      <c r="GD19">
        <v>25.756599999999999</v>
      </c>
      <c r="GE19">
        <v>27.060500000000001</v>
      </c>
      <c r="GF19">
        <v>30.000299999999999</v>
      </c>
      <c r="GG19">
        <v>27.006699999999999</v>
      </c>
      <c r="GH19">
        <v>26.926600000000001</v>
      </c>
      <c r="GI19">
        <v>-1</v>
      </c>
      <c r="GJ19">
        <v>0</v>
      </c>
      <c r="GK19">
        <v>100</v>
      </c>
      <c r="GL19">
        <v>25.7728</v>
      </c>
      <c r="GM19">
        <v>432.1</v>
      </c>
      <c r="GN19">
        <v>63.216500000000003</v>
      </c>
      <c r="GO19">
        <v>102.73699999999999</v>
      </c>
      <c r="GP19">
        <v>96.508799999999994</v>
      </c>
    </row>
    <row r="20" spans="1:198" x14ac:dyDescent="0.35">
      <c r="A20">
        <v>4</v>
      </c>
      <c r="B20">
        <v>1775503771.0999999</v>
      </c>
      <c r="C20">
        <v>180.0999999046326</v>
      </c>
      <c r="D20" t="s">
        <v>343</v>
      </c>
      <c r="E20" t="s">
        <v>344</v>
      </c>
      <c r="F20">
        <v>60</v>
      </c>
      <c r="G20">
        <v>1775503763.099999</v>
      </c>
      <c r="H20">
        <f t="shared" si="0"/>
        <v>2.053007257783201E-3</v>
      </c>
      <c r="I20">
        <f t="shared" si="1"/>
        <v>2.053007257783201</v>
      </c>
      <c r="J20">
        <f t="shared" si="2"/>
        <v>1.0131148318867047</v>
      </c>
      <c r="K20">
        <f t="shared" si="3"/>
        <v>53.151293548387102</v>
      </c>
      <c r="L20">
        <f t="shared" si="4"/>
        <v>23.908507943264539</v>
      </c>
      <c r="M20">
        <f t="shared" si="5"/>
        <v>2.3954056696531869</v>
      </c>
      <c r="N20">
        <f t="shared" si="6"/>
        <v>5.3252553533385756</v>
      </c>
      <c r="O20">
        <f t="shared" si="7"/>
        <v>6.0478583246045561E-2</v>
      </c>
      <c r="P20">
        <f t="shared" si="8"/>
        <v>2.3900875983204584</v>
      </c>
      <c r="Q20">
        <f t="shared" si="9"/>
        <v>5.9641097052638384E-2</v>
      </c>
      <c r="R20">
        <f t="shared" si="10"/>
        <v>3.7349964278650123E-2</v>
      </c>
      <c r="S20">
        <f t="shared" si="11"/>
        <v>0</v>
      </c>
      <c r="T20">
        <f t="shared" si="12"/>
        <v>24.636364259177988</v>
      </c>
      <c r="U20">
        <f t="shared" si="13"/>
        <v>25.388632258064511</v>
      </c>
      <c r="V20">
        <f t="shared" si="14"/>
        <v>3.2541005236174732</v>
      </c>
      <c r="W20">
        <f t="shared" si="15"/>
        <v>-4.3652321822301152</v>
      </c>
      <c r="X20">
        <f t="shared" si="16"/>
        <v>-0.14114878541248901</v>
      </c>
      <c r="Y20">
        <f t="shared" si="17"/>
        <v>3.2334771558560891</v>
      </c>
      <c r="Z20">
        <f t="shared" si="18"/>
        <v>3.3952493090299622</v>
      </c>
      <c r="AA20">
        <f t="shared" si="19"/>
        <v>-90.537620068239164</v>
      </c>
      <c r="AB20">
        <f t="shared" si="20"/>
        <v>-13.775782616099145</v>
      </c>
      <c r="AC20">
        <f t="shared" si="21"/>
        <v>-1.2232833919631347</v>
      </c>
      <c r="AD20">
        <f t="shared" si="22"/>
        <v>-105.53668607630145</v>
      </c>
      <c r="AE20">
        <v>22</v>
      </c>
      <c r="AF20">
        <v>4</v>
      </c>
      <c r="AG20">
        <f t="shared" si="23"/>
        <v>1</v>
      </c>
      <c r="AH20">
        <f t="shared" si="24"/>
        <v>0</v>
      </c>
      <c r="AI20">
        <f t="shared" si="25"/>
        <v>25695.25916180306</v>
      </c>
      <c r="AJ20">
        <f t="shared" si="26"/>
        <v>0</v>
      </c>
      <c r="AK20">
        <f t="shared" si="27"/>
        <v>0</v>
      </c>
      <c r="AL20">
        <f t="shared" si="28"/>
        <v>0</v>
      </c>
      <c r="AM20">
        <f t="shared" si="29"/>
        <v>0</v>
      </c>
      <c r="AN20">
        <v>3</v>
      </c>
      <c r="AO20">
        <v>0.5</v>
      </c>
      <c r="AP20" t="s">
        <v>331</v>
      </c>
      <c r="AQ20">
        <v>2</v>
      </c>
      <c r="AR20">
        <v>1775503763.099999</v>
      </c>
      <c r="AS20">
        <v>53.151293548387102</v>
      </c>
      <c r="AT20">
        <v>53.82467419354839</v>
      </c>
      <c r="AU20">
        <v>-1.408803903225806</v>
      </c>
      <c r="AV20">
        <v>-2.6424164516129038</v>
      </c>
      <c r="AW20">
        <v>44.8592935483871</v>
      </c>
      <c r="AX20">
        <v>-0.40880390322580651</v>
      </c>
      <c r="AY20">
        <v>499.97048387096783</v>
      </c>
      <c r="AZ20">
        <v>100.1534193548387</v>
      </c>
      <c r="BA20">
        <v>3.7093383870967743E-2</v>
      </c>
      <c r="BB20">
        <v>25.281722580645159</v>
      </c>
      <c r="BC20">
        <v>25.388632258064511</v>
      </c>
      <c r="BD20">
        <v>999.90000000000032</v>
      </c>
      <c r="BE20">
        <v>0</v>
      </c>
      <c r="BF20">
        <v>0</v>
      </c>
      <c r="BG20">
        <v>4997.6290322580644</v>
      </c>
      <c r="BH20">
        <v>0.4130202903225807</v>
      </c>
      <c r="BI20">
        <v>0.229690064516129</v>
      </c>
      <c r="BJ20">
        <v>-0.52213409677419365</v>
      </c>
      <c r="BK20">
        <v>53.227416129032257</v>
      </c>
      <c r="BL20">
        <v>53.682819354838713</v>
      </c>
      <c r="BM20">
        <v>1.231193225806452</v>
      </c>
      <c r="BN20">
        <v>53.82467419354839</v>
      </c>
      <c r="BO20">
        <v>-2.6424164516129038</v>
      </c>
      <c r="BP20">
        <v>-0.14133903225806449</v>
      </c>
      <c r="BQ20">
        <v>-0.26464754838709681</v>
      </c>
      <c r="BR20">
        <v>-99.900000000000034</v>
      </c>
      <c r="BS20">
        <v>-99.900000000000034</v>
      </c>
      <c r="BT20">
        <v>0</v>
      </c>
      <c r="BU20">
        <v>0</v>
      </c>
      <c r="BV20">
        <v>0</v>
      </c>
      <c r="BW20">
        <v>24</v>
      </c>
      <c r="BX20">
        <v>-1</v>
      </c>
      <c r="BY20">
        <v>1775503798.5999999</v>
      </c>
      <c r="BZ20" t="s">
        <v>345</v>
      </c>
      <c r="CA20">
        <v>1775503789.5999999</v>
      </c>
      <c r="CB20">
        <v>1775503798.5999999</v>
      </c>
      <c r="CC20">
        <v>7</v>
      </c>
      <c r="CD20">
        <v>-0.152</v>
      </c>
      <c r="CE20">
        <v>2E-3</v>
      </c>
      <c r="CF20">
        <v>8.2919999999999998</v>
      </c>
      <c r="CG20">
        <v>-1</v>
      </c>
      <c r="CH20">
        <v>54</v>
      </c>
      <c r="CI20">
        <v>-3</v>
      </c>
      <c r="CJ20">
        <v>0.24</v>
      </c>
      <c r="CK20">
        <v>7.0000000000000007E-2</v>
      </c>
      <c r="CL20">
        <v>53.875432786885249</v>
      </c>
      <c r="CM20">
        <v>-0.75827117927022325</v>
      </c>
      <c r="CN20">
        <v>0.18758356627075901</v>
      </c>
      <c r="CO20">
        <v>-1</v>
      </c>
      <c r="CP20">
        <v>500.72424590163928</v>
      </c>
      <c r="CQ20">
        <v>-4.0285161290312743</v>
      </c>
      <c r="CR20">
        <v>1.4214645374878869</v>
      </c>
      <c r="CS20">
        <v>-1</v>
      </c>
      <c r="CT20">
        <v>0</v>
      </c>
      <c r="CU20">
        <v>0</v>
      </c>
      <c r="CV20" t="s">
        <v>333</v>
      </c>
      <c r="CW20">
        <v>3.1673300000000002</v>
      </c>
      <c r="CX20">
        <v>2.6584300000000001</v>
      </c>
      <c r="CY20">
        <v>1.3471E-2</v>
      </c>
      <c r="CZ20">
        <v>1.6070600000000001E-2</v>
      </c>
      <c r="DA20">
        <v>-4.40296E-3</v>
      </c>
      <c r="DB20">
        <v>-2.62849E-2</v>
      </c>
      <c r="DC20">
        <v>21418.2</v>
      </c>
      <c r="DD20">
        <v>21613.5</v>
      </c>
      <c r="DE20">
        <v>23237.3</v>
      </c>
      <c r="DF20">
        <v>22312.2</v>
      </c>
      <c r="DG20">
        <v>30078.7</v>
      </c>
      <c r="DH20">
        <v>27319.3</v>
      </c>
      <c r="DI20">
        <v>40809.599999999999</v>
      </c>
      <c r="DJ20">
        <v>36997.699999999997</v>
      </c>
      <c r="DK20">
        <v>2.11084</v>
      </c>
      <c r="DL20">
        <v>1.8852199999999999</v>
      </c>
      <c r="DM20">
        <v>1.9267200000000002E-2</v>
      </c>
      <c r="DN20">
        <v>0</v>
      </c>
      <c r="DO20">
        <v>25.0688</v>
      </c>
      <c r="DP20">
        <v>999.9</v>
      </c>
      <c r="DQ20">
        <v>85.4</v>
      </c>
      <c r="DR20">
        <v>26</v>
      </c>
      <c r="DS20">
        <v>28.771799999999999</v>
      </c>
      <c r="DT20">
        <v>30.728200000000001</v>
      </c>
      <c r="DU20">
        <v>8.5777199999999993</v>
      </c>
      <c r="DV20">
        <v>1</v>
      </c>
      <c r="DW20">
        <v>6.2804899999999999E-4</v>
      </c>
      <c r="DX20">
        <v>-0.163161</v>
      </c>
      <c r="DY20">
        <v>20.367899999999999</v>
      </c>
      <c r="DZ20">
        <v>5.2110599999999998</v>
      </c>
      <c r="EA20">
        <v>11.8482</v>
      </c>
      <c r="EB20">
        <v>4.9690799999999999</v>
      </c>
      <c r="EC20">
        <v>3.2920199999999999</v>
      </c>
      <c r="ED20">
        <v>894.7</v>
      </c>
      <c r="EE20">
        <v>0</v>
      </c>
      <c r="EF20">
        <v>9999</v>
      </c>
      <c r="EG20">
        <v>113</v>
      </c>
      <c r="EH20">
        <v>4.9716199999999997</v>
      </c>
      <c r="EI20">
        <v>1.87164</v>
      </c>
      <c r="EJ20">
        <v>1.86876</v>
      </c>
      <c r="EK20">
        <v>1.8712299999999999</v>
      </c>
      <c r="EL20">
        <v>1.869</v>
      </c>
      <c r="EM20">
        <v>1.86798</v>
      </c>
      <c r="EN20">
        <v>1.8697999999999999</v>
      </c>
      <c r="EO20">
        <v>1.87164</v>
      </c>
      <c r="EP20">
        <v>0</v>
      </c>
      <c r="EQ20">
        <v>0</v>
      </c>
      <c r="ER20">
        <v>0</v>
      </c>
      <c r="ES20">
        <v>0</v>
      </c>
      <c r="ET20" t="s">
        <v>334</v>
      </c>
      <c r="EU20" t="s">
        <v>335</v>
      </c>
      <c r="EV20" t="s">
        <v>336</v>
      </c>
      <c r="EW20" t="s">
        <v>336</v>
      </c>
      <c r="EX20" t="s">
        <v>336</v>
      </c>
      <c r="EY20" t="s">
        <v>336</v>
      </c>
      <c r="EZ20">
        <v>0</v>
      </c>
      <c r="FA20">
        <v>100</v>
      </c>
      <c r="FB20">
        <v>100</v>
      </c>
      <c r="FC20">
        <v>8.2919999999999998</v>
      </c>
      <c r="FD20">
        <v>-1</v>
      </c>
      <c r="FE20">
        <v>8.4432500000000132</v>
      </c>
      <c r="FF20">
        <v>0</v>
      </c>
      <c r="FG20">
        <v>0</v>
      </c>
      <c r="FH20">
        <v>0</v>
      </c>
      <c r="FI20">
        <v>-1.0024195</v>
      </c>
      <c r="FJ20">
        <v>0</v>
      </c>
      <c r="FK20">
        <v>0</v>
      </c>
      <c r="FL20">
        <v>0</v>
      </c>
      <c r="FM20">
        <v>-1</v>
      </c>
      <c r="FN20">
        <v>-1</v>
      </c>
      <c r="FO20">
        <v>-1</v>
      </c>
      <c r="FP20">
        <v>-1</v>
      </c>
      <c r="FQ20">
        <v>0.7</v>
      </c>
      <c r="FR20">
        <v>0.5</v>
      </c>
      <c r="FS20">
        <v>0.144043</v>
      </c>
      <c r="FT20">
        <v>4.99756</v>
      </c>
      <c r="FU20">
        <v>1.5979000000000001</v>
      </c>
      <c r="FV20">
        <v>2.1752899999999999</v>
      </c>
      <c r="FW20">
        <v>1.5478499999999999</v>
      </c>
      <c r="FX20">
        <v>2.3962400000000001</v>
      </c>
      <c r="FY20">
        <v>29.9861</v>
      </c>
      <c r="FZ20">
        <v>16.277200000000001</v>
      </c>
      <c r="GA20">
        <v>3</v>
      </c>
      <c r="GB20">
        <v>487.67599999999999</v>
      </c>
      <c r="GC20">
        <v>433.678</v>
      </c>
      <c r="GD20">
        <v>25.9255</v>
      </c>
      <c r="GE20">
        <v>27.1691</v>
      </c>
      <c r="GF20">
        <v>30.000800000000002</v>
      </c>
      <c r="GG20">
        <v>27.108899999999998</v>
      </c>
      <c r="GH20">
        <v>27.0823</v>
      </c>
      <c r="GI20">
        <v>-1</v>
      </c>
      <c r="GJ20">
        <v>0</v>
      </c>
      <c r="GK20">
        <v>100</v>
      </c>
      <c r="GL20">
        <v>25.934200000000001</v>
      </c>
      <c r="GM20">
        <v>432.1</v>
      </c>
      <c r="GN20">
        <v>63.216500000000003</v>
      </c>
      <c r="GO20">
        <v>102.751</v>
      </c>
      <c r="GP20">
        <v>96.520499999999998</v>
      </c>
    </row>
    <row r="21" spans="1:198" x14ac:dyDescent="0.35">
      <c r="A21">
        <v>5</v>
      </c>
      <c r="B21">
        <v>1775503831.0999999</v>
      </c>
      <c r="C21">
        <v>240.0999999046326</v>
      </c>
      <c r="D21" t="s">
        <v>346</v>
      </c>
      <c r="E21" t="s">
        <v>347</v>
      </c>
      <c r="F21">
        <v>60</v>
      </c>
      <c r="G21">
        <v>1775503823.349999</v>
      </c>
      <c r="H21">
        <f t="shared" si="0"/>
        <v>1.1007184869904338E-3</v>
      </c>
      <c r="I21">
        <f t="shared" si="1"/>
        <v>1.1007184869904338</v>
      </c>
      <c r="J21">
        <f t="shared" si="2"/>
        <v>0.26546123838484459</v>
      </c>
      <c r="K21">
        <f t="shared" si="3"/>
        <v>53.166863333333318</v>
      </c>
      <c r="L21">
        <f t="shared" si="4"/>
        <v>37.148469815541709</v>
      </c>
      <c r="M21">
        <f t="shared" si="5"/>
        <v>3.7218482411004437</v>
      </c>
      <c r="N21">
        <f t="shared" si="6"/>
        <v>5.3267065309701715</v>
      </c>
      <c r="O21">
        <f t="shared" si="7"/>
        <v>3.1678824813655283E-2</v>
      </c>
      <c r="P21">
        <f t="shared" si="8"/>
        <v>2.3910678685062767</v>
      </c>
      <c r="Q21">
        <f t="shared" si="9"/>
        <v>3.1447492463671602E-2</v>
      </c>
      <c r="R21">
        <f t="shared" si="10"/>
        <v>1.9675326146946153E-2</v>
      </c>
      <c r="S21">
        <f t="shared" si="11"/>
        <v>0</v>
      </c>
      <c r="T21">
        <f t="shared" si="12"/>
        <v>24.941770202166317</v>
      </c>
      <c r="U21">
        <f t="shared" si="13"/>
        <v>25.386193333333331</v>
      </c>
      <c r="V21">
        <f t="shared" si="14"/>
        <v>3.2536287659566079</v>
      </c>
      <c r="W21">
        <f t="shared" si="15"/>
        <v>-6.1738472065145888</v>
      </c>
      <c r="X21">
        <f t="shared" si="16"/>
        <v>-0.19970030778870265</v>
      </c>
      <c r="Y21">
        <f t="shared" si="17"/>
        <v>3.2346169431919316</v>
      </c>
      <c r="Z21">
        <f t="shared" si="18"/>
        <v>3.4533290737453104</v>
      </c>
      <c r="AA21">
        <f t="shared" si="19"/>
        <v>-48.54168527627813</v>
      </c>
      <c r="AB21">
        <f t="shared" si="20"/>
        <v>-12.703379888011158</v>
      </c>
      <c r="AC21">
        <f t="shared" si="21"/>
        <v>-1.1276117880019796</v>
      </c>
      <c r="AD21">
        <f t="shared" si="22"/>
        <v>-62.372676952291265</v>
      </c>
      <c r="AE21">
        <v>22</v>
      </c>
      <c r="AF21">
        <v>4</v>
      </c>
      <c r="AG21">
        <f t="shared" si="23"/>
        <v>1</v>
      </c>
      <c r="AH21">
        <f t="shared" si="24"/>
        <v>0</v>
      </c>
      <c r="AI21">
        <f t="shared" si="25"/>
        <v>25709.828466375693</v>
      </c>
      <c r="AJ21">
        <f t="shared" si="26"/>
        <v>0</v>
      </c>
      <c r="AK21">
        <f t="shared" si="27"/>
        <v>0</v>
      </c>
      <c r="AL21">
        <f t="shared" si="28"/>
        <v>0</v>
      </c>
      <c r="AM21">
        <f t="shared" si="29"/>
        <v>0</v>
      </c>
      <c r="AN21">
        <v>3</v>
      </c>
      <c r="AO21">
        <v>0.5</v>
      </c>
      <c r="AP21" t="s">
        <v>331</v>
      </c>
      <c r="AQ21">
        <v>2</v>
      </c>
      <c r="AR21">
        <v>1775503823.349999</v>
      </c>
      <c r="AS21">
        <v>53.166863333333318</v>
      </c>
      <c r="AT21">
        <v>53.361253333333337</v>
      </c>
      <c r="AU21">
        <v>-1.9932464666666669</v>
      </c>
      <c r="AV21">
        <v>-2.6549946666666671</v>
      </c>
      <c r="AW21">
        <v>45.006863333333321</v>
      </c>
      <c r="AX21">
        <v>-0.99324646666666661</v>
      </c>
      <c r="AY21">
        <v>499.99946666666659</v>
      </c>
      <c r="AZ21">
        <v>100.15146666666671</v>
      </c>
      <c r="BA21">
        <v>3.7000303333333352E-2</v>
      </c>
      <c r="BB21">
        <v>25.28764666666666</v>
      </c>
      <c r="BC21">
        <v>25.386193333333331</v>
      </c>
      <c r="BD21">
        <v>999.9000000000002</v>
      </c>
      <c r="BE21">
        <v>0</v>
      </c>
      <c r="BF21">
        <v>0</v>
      </c>
      <c r="BG21">
        <v>5000.25</v>
      </c>
      <c r="BH21">
        <v>0.39643706666666673</v>
      </c>
      <c r="BI21">
        <v>0.22961599999999999</v>
      </c>
      <c r="BJ21">
        <v>-6.2669390199999994E-2</v>
      </c>
      <c r="BK21">
        <v>53.192536666666669</v>
      </c>
      <c r="BL21">
        <v>53.21996</v>
      </c>
      <c r="BM21">
        <v>0.66140170000000009</v>
      </c>
      <c r="BN21">
        <v>53.361253333333337</v>
      </c>
      <c r="BO21">
        <v>-2.6549946666666671</v>
      </c>
      <c r="BP21">
        <v>-0.1996613333333333</v>
      </c>
      <c r="BQ21">
        <v>-0.26590160000000002</v>
      </c>
      <c r="BR21">
        <v>-99.900000000000034</v>
      </c>
      <c r="BS21">
        <v>-99.900000000000034</v>
      </c>
      <c r="BT21">
        <v>0</v>
      </c>
      <c r="BU21">
        <v>0</v>
      </c>
      <c r="BV21">
        <v>0</v>
      </c>
      <c r="BW21">
        <v>24</v>
      </c>
      <c r="BX21">
        <v>-0.99777780000000005</v>
      </c>
      <c r="BY21">
        <v>1775503851.0999999</v>
      </c>
      <c r="BZ21" t="s">
        <v>348</v>
      </c>
      <c r="CA21">
        <v>1775503847.5999999</v>
      </c>
      <c r="CB21">
        <v>1775503851.0999999</v>
      </c>
      <c r="CC21">
        <v>8</v>
      </c>
      <c r="CD21">
        <v>-0.13200000000000001</v>
      </c>
      <c r="CE21">
        <v>1E-3</v>
      </c>
      <c r="CF21">
        <v>8.16</v>
      </c>
      <c r="CG21">
        <v>-1</v>
      </c>
      <c r="CH21">
        <v>53</v>
      </c>
      <c r="CI21">
        <v>-3</v>
      </c>
      <c r="CJ21">
        <v>0.35</v>
      </c>
      <c r="CK21">
        <v>0.12</v>
      </c>
      <c r="CL21">
        <v>53.452181666666661</v>
      </c>
      <c r="CM21">
        <v>-0.38773203667678557</v>
      </c>
      <c r="CN21">
        <v>0.14509580224994639</v>
      </c>
      <c r="CO21">
        <v>-1</v>
      </c>
      <c r="CP21">
        <v>500.69</v>
      </c>
      <c r="CQ21">
        <v>-6.7210402889686094</v>
      </c>
      <c r="CR21">
        <v>1.4093228279330929</v>
      </c>
      <c r="CS21">
        <v>-1</v>
      </c>
      <c r="CT21">
        <v>0</v>
      </c>
      <c r="CU21">
        <v>0</v>
      </c>
      <c r="CV21" t="s">
        <v>333</v>
      </c>
      <c r="CW21">
        <v>3.1672600000000002</v>
      </c>
      <c r="CX21">
        <v>2.6582300000000001</v>
      </c>
      <c r="CY21">
        <v>1.3487799999999999E-2</v>
      </c>
      <c r="CZ21">
        <v>1.60029E-2</v>
      </c>
      <c r="DA21">
        <v>-8.8933099999999998E-3</v>
      </c>
      <c r="DB21">
        <v>-2.6377500000000002E-2</v>
      </c>
      <c r="DC21">
        <v>21419.9</v>
      </c>
      <c r="DD21">
        <v>21617</v>
      </c>
      <c r="DE21">
        <v>23239.9</v>
      </c>
      <c r="DF21">
        <v>22314.6</v>
      </c>
      <c r="DG21">
        <v>30220.1</v>
      </c>
      <c r="DH21">
        <v>27322.799999999999</v>
      </c>
      <c r="DI21">
        <v>40820.1</v>
      </c>
      <c r="DJ21">
        <v>36999.1</v>
      </c>
      <c r="DK21">
        <v>2.1085799999999999</v>
      </c>
      <c r="DL21">
        <v>1.88354</v>
      </c>
      <c r="DM21">
        <v>2.0056999999999998E-2</v>
      </c>
      <c r="DN21">
        <v>0</v>
      </c>
      <c r="DO21">
        <v>25.060099999999998</v>
      </c>
      <c r="DP21">
        <v>999.9</v>
      </c>
      <c r="DQ21">
        <v>85.5</v>
      </c>
      <c r="DR21">
        <v>26.1</v>
      </c>
      <c r="DS21">
        <v>28.978000000000002</v>
      </c>
      <c r="DT21">
        <v>30.938199999999998</v>
      </c>
      <c r="DU21">
        <v>8.6698699999999995</v>
      </c>
      <c r="DV21">
        <v>1</v>
      </c>
      <c r="DW21">
        <v>7.5813E-3</v>
      </c>
      <c r="DX21">
        <v>-0.26637300000000003</v>
      </c>
      <c r="DY21">
        <v>20.3672</v>
      </c>
      <c r="DZ21">
        <v>5.2085400000000002</v>
      </c>
      <c r="EA21">
        <v>11.8482</v>
      </c>
      <c r="EB21">
        <v>4.9673600000000002</v>
      </c>
      <c r="EC21">
        <v>3.2913800000000002</v>
      </c>
      <c r="ED21">
        <v>894.7</v>
      </c>
      <c r="EE21">
        <v>0</v>
      </c>
      <c r="EF21">
        <v>9999</v>
      </c>
      <c r="EG21">
        <v>113.1</v>
      </c>
      <c r="EH21">
        <v>4.9716399999999998</v>
      </c>
      <c r="EI21">
        <v>1.8716699999999999</v>
      </c>
      <c r="EJ21">
        <v>1.8688</v>
      </c>
      <c r="EK21">
        <v>1.8712800000000001</v>
      </c>
      <c r="EL21">
        <v>1.8689899999999999</v>
      </c>
      <c r="EM21">
        <v>1.86798</v>
      </c>
      <c r="EN21">
        <v>1.86981</v>
      </c>
      <c r="EO21">
        <v>1.87164</v>
      </c>
      <c r="EP21">
        <v>0</v>
      </c>
      <c r="EQ21">
        <v>0</v>
      </c>
      <c r="ER21">
        <v>0</v>
      </c>
      <c r="ES21">
        <v>0</v>
      </c>
      <c r="ET21" t="s">
        <v>334</v>
      </c>
      <c r="EU21" t="s">
        <v>335</v>
      </c>
      <c r="EV21" t="s">
        <v>336</v>
      </c>
      <c r="EW21" t="s">
        <v>336</v>
      </c>
      <c r="EX21" t="s">
        <v>336</v>
      </c>
      <c r="EY21" t="s">
        <v>336</v>
      </c>
      <c r="EZ21">
        <v>0</v>
      </c>
      <c r="FA21">
        <v>100</v>
      </c>
      <c r="FB21">
        <v>100</v>
      </c>
      <c r="FC21">
        <v>8.16</v>
      </c>
      <c r="FD21">
        <v>-1</v>
      </c>
      <c r="FE21">
        <v>8.2917238095238019</v>
      </c>
      <c r="FF21">
        <v>0</v>
      </c>
      <c r="FG21">
        <v>0</v>
      </c>
      <c r="FH21">
        <v>0</v>
      </c>
      <c r="FI21">
        <v>-1.0003466666666669</v>
      </c>
      <c r="FJ21">
        <v>0</v>
      </c>
      <c r="FK21">
        <v>0</v>
      </c>
      <c r="FL21">
        <v>0</v>
      </c>
      <c r="FM21">
        <v>-1</v>
      </c>
      <c r="FN21">
        <v>-1</v>
      </c>
      <c r="FO21">
        <v>-1</v>
      </c>
      <c r="FP21">
        <v>-1</v>
      </c>
      <c r="FQ21">
        <v>0.7</v>
      </c>
      <c r="FR21">
        <v>0.5</v>
      </c>
      <c r="FS21">
        <v>0.144043</v>
      </c>
      <c r="FT21">
        <v>4.99756</v>
      </c>
      <c r="FU21">
        <v>1.5979000000000001</v>
      </c>
      <c r="FV21">
        <v>2.1740699999999999</v>
      </c>
      <c r="FW21">
        <v>1.5478499999999999</v>
      </c>
      <c r="FX21">
        <v>2.3718300000000001</v>
      </c>
      <c r="FY21">
        <v>30.136099999999999</v>
      </c>
      <c r="FZ21">
        <v>16.2685</v>
      </c>
      <c r="GA21">
        <v>3</v>
      </c>
      <c r="GB21">
        <v>487.54899999999998</v>
      </c>
      <c r="GC21">
        <v>433.79199999999997</v>
      </c>
      <c r="GD21">
        <v>26.0579</v>
      </c>
      <c r="GE21">
        <v>27.257200000000001</v>
      </c>
      <c r="GF21">
        <v>30.000599999999999</v>
      </c>
      <c r="GG21">
        <v>27.253299999999999</v>
      </c>
      <c r="GH21">
        <v>27.230499999999999</v>
      </c>
      <c r="GI21">
        <v>-1</v>
      </c>
      <c r="GJ21">
        <v>0</v>
      </c>
      <c r="GK21">
        <v>100</v>
      </c>
      <c r="GL21">
        <v>26.0626</v>
      </c>
      <c r="GM21">
        <v>432.1</v>
      </c>
      <c r="GN21">
        <v>63.216500000000003</v>
      </c>
      <c r="GO21">
        <v>102.77200000000001</v>
      </c>
      <c r="GP21">
        <v>96.526499999999999</v>
      </c>
    </row>
    <row r="22" spans="1:198" x14ac:dyDescent="0.35">
      <c r="A22">
        <v>6</v>
      </c>
      <c r="B22">
        <v>1775503891.0999999</v>
      </c>
      <c r="C22">
        <v>300.09999990463263</v>
      </c>
      <c r="D22" t="s">
        <v>349</v>
      </c>
      <c r="E22" t="s">
        <v>350</v>
      </c>
      <c r="F22">
        <v>60</v>
      </c>
      <c r="G22">
        <v>1775503883.099999</v>
      </c>
      <c r="H22">
        <f t="shared" si="0"/>
        <v>9.6507744849675314E-4</v>
      </c>
      <c r="I22">
        <f t="shared" si="1"/>
        <v>0.96507744849675314</v>
      </c>
      <c r="J22">
        <f t="shared" si="2"/>
        <v>0.29991287721282861</v>
      </c>
      <c r="K22">
        <f t="shared" si="3"/>
        <v>52.882587096774188</v>
      </c>
      <c r="L22">
        <f t="shared" si="4"/>
        <v>33.055070382027004</v>
      </c>
      <c r="M22">
        <f t="shared" si="5"/>
        <v>3.3117059524774386</v>
      </c>
      <c r="N22">
        <f t="shared" si="6"/>
        <v>5.2981759363010701</v>
      </c>
      <c r="O22">
        <f t="shared" si="7"/>
        <v>2.769982684006481E-2</v>
      </c>
      <c r="P22">
        <f t="shared" si="8"/>
        <v>2.3908627414875157</v>
      </c>
      <c r="Q22">
        <f t="shared" si="9"/>
        <v>2.7522767246105716E-2</v>
      </c>
      <c r="R22">
        <f t="shared" si="10"/>
        <v>1.7217543161299316E-2</v>
      </c>
      <c r="S22">
        <f t="shared" si="11"/>
        <v>0</v>
      </c>
      <c r="T22">
        <f t="shared" si="12"/>
        <v>24.99159460083353</v>
      </c>
      <c r="U22">
        <f t="shared" si="13"/>
        <v>25.37942903225807</v>
      </c>
      <c r="V22">
        <f t="shared" si="14"/>
        <v>3.252320669710949</v>
      </c>
      <c r="W22">
        <f t="shared" si="15"/>
        <v>-6.4072466032479163</v>
      </c>
      <c r="X22">
        <f t="shared" si="16"/>
        <v>-0.20733897200440132</v>
      </c>
      <c r="Y22">
        <f t="shared" si="17"/>
        <v>3.2360073654617652</v>
      </c>
      <c r="Z22">
        <f t="shared" si="18"/>
        <v>3.4596596417153505</v>
      </c>
      <c r="AA22">
        <f t="shared" si="19"/>
        <v>-42.559915478706813</v>
      </c>
      <c r="AB22">
        <f t="shared" si="20"/>
        <v>-10.899212529089674</v>
      </c>
      <c r="AC22">
        <f t="shared" si="21"/>
        <v>-0.96755063750842285</v>
      </c>
      <c r="AD22">
        <f t="shared" si="22"/>
        <v>-54.426678645304911</v>
      </c>
      <c r="AE22">
        <v>21</v>
      </c>
      <c r="AF22">
        <v>4</v>
      </c>
      <c r="AG22">
        <f t="shared" si="23"/>
        <v>1</v>
      </c>
      <c r="AH22">
        <f t="shared" si="24"/>
        <v>0</v>
      </c>
      <c r="AI22">
        <f t="shared" si="25"/>
        <v>25706.108677761473</v>
      </c>
      <c r="AJ22">
        <f t="shared" si="26"/>
        <v>0</v>
      </c>
      <c r="AK22">
        <f t="shared" si="27"/>
        <v>0</v>
      </c>
      <c r="AL22">
        <f t="shared" si="28"/>
        <v>0</v>
      </c>
      <c r="AM22">
        <f t="shared" si="29"/>
        <v>0</v>
      </c>
      <c r="AN22">
        <v>3</v>
      </c>
      <c r="AO22">
        <v>0.5</v>
      </c>
      <c r="AP22" t="s">
        <v>331</v>
      </c>
      <c r="AQ22">
        <v>2</v>
      </c>
      <c r="AR22">
        <v>1775503883.099999</v>
      </c>
      <c r="AS22">
        <v>52.882587096774188</v>
      </c>
      <c r="AT22">
        <v>53.093158064516132</v>
      </c>
      <c r="AU22">
        <v>-2.069508709677419</v>
      </c>
      <c r="AV22">
        <v>-2.6497583870967749</v>
      </c>
      <c r="AW22">
        <v>44.794587096774187</v>
      </c>
      <c r="AX22">
        <v>-1.067508709677419</v>
      </c>
      <c r="AY22">
        <v>499.99580645161291</v>
      </c>
      <c r="AZ22">
        <v>100.1504193548387</v>
      </c>
      <c r="BA22">
        <v>3.711357741935483E-2</v>
      </c>
      <c r="BB22">
        <v>25.294870967741929</v>
      </c>
      <c r="BC22">
        <v>25.37942903225807</v>
      </c>
      <c r="BD22">
        <v>999.90000000000032</v>
      </c>
      <c r="BE22">
        <v>0</v>
      </c>
      <c r="BF22">
        <v>0</v>
      </c>
      <c r="BG22">
        <v>4999.7741935483873</v>
      </c>
      <c r="BH22">
        <v>0.41829077419354838</v>
      </c>
      <c r="BI22">
        <v>0.23331922580645159</v>
      </c>
      <c r="BJ22">
        <v>-0.1390506029032258</v>
      </c>
      <c r="BK22">
        <v>52.844854838709679</v>
      </c>
      <c r="BL22">
        <v>52.952841935483868</v>
      </c>
      <c r="BM22">
        <v>0.58250787096774193</v>
      </c>
      <c r="BN22">
        <v>53.093158064516132</v>
      </c>
      <c r="BO22">
        <v>-2.6497583870967749</v>
      </c>
      <c r="BP22">
        <v>-0.20703587096774201</v>
      </c>
      <c r="BQ22">
        <v>-0.26537419354838709</v>
      </c>
      <c r="BR22">
        <v>-99.900000000000034</v>
      </c>
      <c r="BS22">
        <v>-99.900000000000034</v>
      </c>
      <c r="BT22">
        <v>0</v>
      </c>
      <c r="BU22">
        <v>0</v>
      </c>
      <c r="BV22">
        <v>0</v>
      </c>
      <c r="BW22">
        <v>24</v>
      </c>
      <c r="BX22">
        <v>-1</v>
      </c>
      <c r="BY22">
        <v>1775503911.0999999</v>
      </c>
      <c r="BZ22" t="s">
        <v>351</v>
      </c>
      <c r="CA22">
        <v>1775503910.5999999</v>
      </c>
      <c r="CB22">
        <v>1775503911.0999999</v>
      </c>
      <c r="CC22">
        <v>9</v>
      </c>
      <c r="CD22">
        <v>-7.1999999999999995E-2</v>
      </c>
      <c r="CE22">
        <v>-2E-3</v>
      </c>
      <c r="CF22">
        <v>8.0879999999999992</v>
      </c>
      <c r="CG22">
        <v>-1.002</v>
      </c>
      <c r="CH22">
        <v>53</v>
      </c>
      <c r="CI22">
        <v>-3</v>
      </c>
      <c r="CJ22">
        <v>0.28000000000000003</v>
      </c>
      <c r="CK22">
        <v>0.12</v>
      </c>
      <c r="CL22">
        <v>53.063098333333343</v>
      </c>
      <c r="CM22">
        <v>0.2116037788275516</v>
      </c>
      <c r="CN22">
        <v>5.6146731848098312E-2</v>
      </c>
      <c r="CO22">
        <v>-1</v>
      </c>
      <c r="CP22">
        <v>500.0053333333334</v>
      </c>
      <c r="CQ22">
        <v>-0.11277132536790541</v>
      </c>
      <c r="CR22">
        <v>6.1020670450448677E-2</v>
      </c>
      <c r="CS22">
        <v>-1</v>
      </c>
      <c r="CT22">
        <v>0</v>
      </c>
      <c r="CU22">
        <v>0</v>
      </c>
      <c r="CV22" t="s">
        <v>333</v>
      </c>
      <c r="CW22">
        <v>3.1673</v>
      </c>
      <c r="CX22">
        <v>2.6582599999999998</v>
      </c>
      <c r="CY22">
        <v>1.34161E-2</v>
      </c>
      <c r="CZ22">
        <v>1.5831000000000001E-2</v>
      </c>
      <c r="DA22">
        <v>-9.5368899999999993E-3</v>
      </c>
      <c r="DB22">
        <v>-2.6292699999999999E-2</v>
      </c>
      <c r="DC22">
        <v>21417.7</v>
      </c>
      <c r="DD22">
        <v>21623.1</v>
      </c>
      <c r="DE22">
        <v>23236.2</v>
      </c>
      <c r="DF22">
        <v>22317.200000000001</v>
      </c>
      <c r="DG22">
        <v>30235.599999999999</v>
      </c>
      <c r="DH22">
        <v>27322.3</v>
      </c>
      <c r="DI22">
        <v>40815.300000000003</v>
      </c>
      <c r="DJ22">
        <v>37001.300000000003</v>
      </c>
      <c r="DK22">
        <v>2.1083799999999999</v>
      </c>
      <c r="DL22">
        <v>1.88228</v>
      </c>
      <c r="DM22">
        <v>2.0205999999999998E-2</v>
      </c>
      <c r="DN22">
        <v>0</v>
      </c>
      <c r="DO22">
        <v>25.0488</v>
      </c>
      <c r="DP22">
        <v>999.9</v>
      </c>
      <c r="DQ22">
        <v>85.5</v>
      </c>
      <c r="DR22">
        <v>26.1</v>
      </c>
      <c r="DS22">
        <v>28.977499999999999</v>
      </c>
      <c r="DT22">
        <v>30.4282</v>
      </c>
      <c r="DU22">
        <v>8.7139399999999991</v>
      </c>
      <c r="DV22">
        <v>1</v>
      </c>
      <c r="DW22">
        <v>1.3239799999999999E-2</v>
      </c>
      <c r="DX22">
        <v>-0.15199099999999999</v>
      </c>
      <c r="DY22">
        <v>20.367999999999999</v>
      </c>
      <c r="DZ22">
        <v>5.2130999999999998</v>
      </c>
      <c r="EA22">
        <v>11.8482</v>
      </c>
      <c r="EB22">
        <v>4.9686399999999997</v>
      </c>
      <c r="EC22">
        <v>3.2920199999999999</v>
      </c>
      <c r="ED22">
        <v>894.7</v>
      </c>
      <c r="EE22">
        <v>0</v>
      </c>
      <c r="EF22">
        <v>9999</v>
      </c>
      <c r="EG22">
        <v>113.1</v>
      </c>
      <c r="EH22">
        <v>4.9716500000000003</v>
      </c>
      <c r="EI22">
        <v>1.87178</v>
      </c>
      <c r="EJ22">
        <v>1.86879</v>
      </c>
      <c r="EK22">
        <v>1.8712800000000001</v>
      </c>
      <c r="EL22">
        <v>1.86903</v>
      </c>
      <c r="EM22">
        <v>1.86798</v>
      </c>
      <c r="EN22">
        <v>1.86981</v>
      </c>
      <c r="EO22">
        <v>1.87164</v>
      </c>
      <c r="EP22">
        <v>0</v>
      </c>
      <c r="EQ22">
        <v>0</v>
      </c>
      <c r="ER22">
        <v>0</v>
      </c>
      <c r="ES22">
        <v>0</v>
      </c>
      <c r="ET22" t="s">
        <v>334</v>
      </c>
      <c r="EU22" t="s">
        <v>335</v>
      </c>
      <c r="EV22" t="s">
        <v>336</v>
      </c>
      <c r="EW22" t="s">
        <v>336</v>
      </c>
      <c r="EX22" t="s">
        <v>336</v>
      </c>
      <c r="EY22" t="s">
        <v>336</v>
      </c>
      <c r="EZ22">
        <v>0</v>
      </c>
      <c r="FA22">
        <v>100</v>
      </c>
      <c r="FB22">
        <v>100</v>
      </c>
      <c r="FC22">
        <v>8.0879999999999992</v>
      </c>
      <c r="FD22">
        <v>-1.002</v>
      </c>
      <c r="FE22">
        <v>8.1595190476190496</v>
      </c>
      <c r="FF22">
        <v>0</v>
      </c>
      <c r="FG22">
        <v>0</v>
      </c>
      <c r="FH22">
        <v>0</v>
      </c>
      <c r="FI22">
        <v>-0.99974150000000028</v>
      </c>
      <c r="FJ22">
        <v>0</v>
      </c>
      <c r="FK22">
        <v>0</v>
      </c>
      <c r="FL22">
        <v>0</v>
      </c>
      <c r="FM22">
        <v>-1</v>
      </c>
      <c r="FN22">
        <v>-1</v>
      </c>
      <c r="FO22">
        <v>-1</v>
      </c>
      <c r="FP22">
        <v>-1</v>
      </c>
      <c r="FQ22">
        <v>0.7</v>
      </c>
      <c r="FR22">
        <v>0.7</v>
      </c>
      <c r="FS22">
        <v>0.144043</v>
      </c>
      <c r="FT22">
        <v>4.99756</v>
      </c>
      <c r="FU22">
        <v>1.5979000000000001</v>
      </c>
      <c r="FV22">
        <v>2.1740699999999999</v>
      </c>
      <c r="FW22">
        <v>1.5478499999999999</v>
      </c>
      <c r="FX22">
        <v>2.3571800000000001</v>
      </c>
      <c r="FY22">
        <v>30.264900000000001</v>
      </c>
      <c r="FZ22">
        <v>16.259699999999999</v>
      </c>
      <c r="GA22">
        <v>3</v>
      </c>
      <c r="GB22">
        <v>488.39499999999998</v>
      </c>
      <c r="GC22">
        <v>434.02199999999999</v>
      </c>
      <c r="GD22">
        <v>25.9239</v>
      </c>
      <c r="GE22">
        <v>27.332599999999999</v>
      </c>
      <c r="GF22">
        <v>30.000499999999999</v>
      </c>
      <c r="GG22">
        <v>27.374099999999999</v>
      </c>
      <c r="GH22">
        <v>27.361499999999999</v>
      </c>
      <c r="GI22">
        <v>-1</v>
      </c>
      <c r="GJ22">
        <v>0</v>
      </c>
      <c r="GK22">
        <v>100</v>
      </c>
      <c r="GL22">
        <v>25.9267</v>
      </c>
      <c r="GM22">
        <v>432.1</v>
      </c>
      <c r="GN22">
        <v>63.216500000000003</v>
      </c>
      <c r="GO22">
        <v>102.758</v>
      </c>
      <c r="GP22">
        <v>96.534400000000005</v>
      </c>
    </row>
    <row r="23" spans="1:198" x14ac:dyDescent="0.35">
      <c r="A23">
        <v>7</v>
      </c>
      <c r="B23">
        <v>1775503951.0999999</v>
      </c>
      <c r="C23">
        <v>360.09999990463263</v>
      </c>
      <c r="D23" t="s">
        <v>352</v>
      </c>
      <c r="E23" t="s">
        <v>353</v>
      </c>
      <c r="F23">
        <v>60</v>
      </c>
      <c r="G23">
        <v>1775503943.099999</v>
      </c>
      <c r="H23">
        <f t="shared" si="0"/>
        <v>8.8821263676015967E-4</v>
      </c>
      <c r="I23">
        <f t="shared" si="1"/>
        <v>0.88821263676015971</v>
      </c>
      <c r="J23">
        <f t="shared" si="2"/>
        <v>0.41700863000016902</v>
      </c>
      <c r="K23">
        <f t="shared" si="3"/>
        <v>53.826974193548388</v>
      </c>
      <c r="L23">
        <f t="shared" si="4"/>
        <v>25.283339335542266</v>
      </c>
      <c r="M23">
        <f t="shared" si="5"/>
        <v>2.5330491330408633</v>
      </c>
      <c r="N23">
        <f t="shared" si="6"/>
        <v>5.3927358449645384</v>
      </c>
      <c r="O23">
        <f t="shared" si="7"/>
        <v>2.5472986102515385E-2</v>
      </c>
      <c r="P23">
        <f t="shared" si="8"/>
        <v>2.3912593307702288</v>
      </c>
      <c r="Q23">
        <f t="shared" si="9"/>
        <v>2.5323192098061255E-2</v>
      </c>
      <c r="R23">
        <f t="shared" si="10"/>
        <v>1.5840379907349024E-2</v>
      </c>
      <c r="S23">
        <f t="shared" si="11"/>
        <v>0</v>
      </c>
      <c r="T23">
        <f t="shared" si="12"/>
        <v>25.021222223778874</v>
      </c>
      <c r="U23">
        <f t="shared" si="13"/>
        <v>25.377361290322579</v>
      </c>
      <c r="V23">
        <f t="shared" si="14"/>
        <v>3.2519208966822437</v>
      </c>
      <c r="W23">
        <f t="shared" si="15"/>
        <v>-6.4489972890156118</v>
      </c>
      <c r="X23">
        <f t="shared" si="16"/>
        <v>-0.20875743478406297</v>
      </c>
      <c r="Y23">
        <f t="shared" si="17"/>
        <v>3.2370526056761317</v>
      </c>
      <c r="Z23">
        <f t="shared" si="18"/>
        <v>3.4606783314663065</v>
      </c>
      <c r="AA23">
        <f t="shared" si="19"/>
        <v>-39.170177281123038</v>
      </c>
      <c r="AB23">
        <f t="shared" si="20"/>
        <v>-9.934554523756427</v>
      </c>
      <c r="AC23">
        <f t="shared" si="21"/>
        <v>-0.88178414257774762</v>
      </c>
      <c r="AD23">
        <f t="shared" si="22"/>
        <v>-49.986515947457214</v>
      </c>
      <c r="AE23">
        <v>21</v>
      </c>
      <c r="AF23">
        <v>4</v>
      </c>
      <c r="AG23">
        <f t="shared" si="23"/>
        <v>1</v>
      </c>
      <c r="AH23">
        <f t="shared" si="24"/>
        <v>0</v>
      </c>
      <c r="AI23">
        <f t="shared" si="25"/>
        <v>25711.744732508509</v>
      </c>
      <c r="AJ23">
        <f t="shared" si="26"/>
        <v>0</v>
      </c>
      <c r="AK23">
        <f t="shared" si="27"/>
        <v>0</v>
      </c>
      <c r="AL23">
        <f t="shared" si="28"/>
        <v>0</v>
      </c>
      <c r="AM23">
        <f t="shared" si="29"/>
        <v>0</v>
      </c>
      <c r="AN23">
        <v>3</v>
      </c>
      <c r="AO23">
        <v>0.5</v>
      </c>
      <c r="AP23" t="s">
        <v>331</v>
      </c>
      <c r="AQ23">
        <v>2</v>
      </c>
      <c r="AR23">
        <v>1775503943.099999</v>
      </c>
      <c r="AS23">
        <v>53.826974193548388</v>
      </c>
      <c r="AT23">
        <v>54.105874193548402</v>
      </c>
      <c r="AU23">
        <v>-2.0836883870967742</v>
      </c>
      <c r="AV23">
        <v>-2.617743548387097</v>
      </c>
      <c r="AW23">
        <v>45.784974193548393</v>
      </c>
      <c r="AX23">
        <v>-1.0806883870967741</v>
      </c>
      <c r="AY23">
        <v>499.98396774193537</v>
      </c>
      <c r="AZ23">
        <v>100.1495483870968</v>
      </c>
      <c r="BA23">
        <v>3.6945945161290322E-2</v>
      </c>
      <c r="BB23">
        <v>25.300299999999989</v>
      </c>
      <c r="BC23">
        <v>25.377361290322579</v>
      </c>
      <c r="BD23">
        <v>999.90000000000032</v>
      </c>
      <c r="BE23">
        <v>0</v>
      </c>
      <c r="BF23">
        <v>0</v>
      </c>
      <c r="BG23">
        <v>5000.8387096774204</v>
      </c>
      <c r="BH23">
        <v>0.35904603225806447</v>
      </c>
      <c r="BI23">
        <v>0.22961599999999999</v>
      </c>
      <c r="BJ23">
        <v>-0.23328622580645161</v>
      </c>
      <c r="BK23">
        <v>53.76063870967743</v>
      </c>
      <c r="BL23">
        <v>53.964609677419347</v>
      </c>
      <c r="BM23">
        <v>0.53535425806451609</v>
      </c>
      <c r="BN23">
        <v>54.105874193548402</v>
      </c>
      <c r="BO23">
        <v>-2.617743548387097</v>
      </c>
      <c r="BP23">
        <v>-0.2085505806451613</v>
      </c>
      <c r="BQ23">
        <v>-0.26216609677419361</v>
      </c>
      <c r="BR23">
        <v>-99.900000000000034</v>
      </c>
      <c r="BS23">
        <v>-99.900000000000034</v>
      </c>
      <c r="BT23">
        <v>0</v>
      </c>
      <c r="BU23">
        <v>0</v>
      </c>
      <c r="BV23">
        <v>0</v>
      </c>
      <c r="BW23">
        <v>24</v>
      </c>
      <c r="BX23">
        <v>-1</v>
      </c>
      <c r="BY23">
        <v>1775503976.0999999</v>
      </c>
      <c r="BZ23" t="s">
        <v>354</v>
      </c>
      <c r="CA23">
        <v>1775503967.0999999</v>
      </c>
      <c r="CB23">
        <v>1775503976.0999999</v>
      </c>
      <c r="CC23">
        <v>10</v>
      </c>
      <c r="CD23">
        <v>-4.4999999999999998E-2</v>
      </c>
      <c r="CE23">
        <v>-1E-3</v>
      </c>
      <c r="CF23">
        <v>8.0419999999999998</v>
      </c>
      <c r="CG23">
        <v>-1.0029999999999999</v>
      </c>
      <c r="CH23">
        <v>54</v>
      </c>
      <c r="CI23">
        <v>-3</v>
      </c>
      <c r="CJ23">
        <v>0.22</v>
      </c>
      <c r="CK23">
        <v>0.14000000000000001</v>
      </c>
      <c r="CL23">
        <v>53.995874999999991</v>
      </c>
      <c r="CM23">
        <v>0.89977560433456638</v>
      </c>
      <c r="CN23">
        <v>0.14032193179138661</v>
      </c>
      <c r="CO23">
        <v>-1</v>
      </c>
      <c r="CP23">
        <v>499.99111666666681</v>
      </c>
      <c r="CQ23">
        <v>-4.0741317031627533E-2</v>
      </c>
      <c r="CR23">
        <v>5.1937491810402123E-2</v>
      </c>
      <c r="CS23">
        <v>-1</v>
      </c>
      <c r="CT23">
        <v>0</v>
      </c>
      <c r="CU23">
        <v>0</v>
      </c>
      <c r="CV23" t="s">
        <v>333</v>
      </c>
      <c r="CW23">
        <v>3.1672799999999999</v>
      </c>
      <c r="CX23">
        <v>2.6582300000000001</v>
      </c>
      <c r="CY23">
        <v>1.3742300000000001E-2</v>
      </c>
      <c r="CZ23">
        <v>1.6191299999999999E-2</v>
      </c>
      <c r="DA23">
        <v>-9.6541400000000003E-3</v>
      </c>
      <c r="DB23">
        <v>-2.5947899999999999E-2</v>
      </c>
      <c r="DC23">
        <v>21407.200000000001</v>
      </c>
      <c r="DD23">
        <v>21616</v>
      </c>
      <c r="DE23">
        <v>23232.7</v>
      </c>
      <c r="DF23">
        <v>22318.2</v>
      </c>
      <c r="DG23">
        <v>30235.200000000001</v>
      </c>
      <c r="DH23">
        <v>27313.599999999999</v>
      </c>
      <c r="DI23">
        <v>40810.1</v>
      </c>
      <c r="DJ23">
        <v>37001.699999999997</v>
      </c>
      <c r="DK23">
        <v>2.1076199999999998</v>
      </c>
      <c r="DL23">
        <v>1.8808800000000001</v>
      </c>
      <c r="DM23">
        <v>1.9669499999999999E-2</v>
      </c>
      <c r="DN23">
        <v>0</v>
      </c>
      <c r="DO23">
        <v>25.050899999999999</v>
      </c>
      <c r="DP23">
        <v>999.9</v>
      </c>
      <c r="DQ23">
        <v>85.5</v>
      </c>
      <c r="DR23">
        <v>26.1</v>
      </c>
      <c r="DS23">
        <v>28.980599999999999</v>
      </c>
      <c r="DT23">
        <v>30.998200000000001</v>
      </c>
      <c r="DU23">
        <v>8.3533600000000003</v>
      </c>
      <c r="DV23">
        <v>1</v>
      </c>
      <c r="DW23">
        <v>1.83252E-2</v>
      </c>
      <c r="DX23">
        <v>-0.14135900000000001</v>
      </c>
      <c r="DY23">
        <v>20.367999999999999</v>
      </c>
      <c r="DZ23">
        <v>5.2138200000000001</v>
      </c>
      <c r="EA23">
        <v>11.8482</v>
      </c>
      <c r="EB23">
        <v>4.9692400000000001</v>
      </c>
      <c r="EC23">
        <v>3.2919999999999998</v>
      </c>
      <c r="ED23">
        <v>894.7</v>
      </c>
      <c r="EE23">
        <v>0</v>
      </c>
      <c r="EF23">
        <v>9999</v>
      </c>
      <c r="EG23">
        <v>113.1</v>
      </c>
      <c r="EH23">
        <v>4.9716500000000003</v>
      </c>
      <c r="EI23">
        <v>1.87175</v>
      </c>
      <c r="EJ23">
        <v>1.8688100000000001</v>
      </c>
      <c r="EK23">
        <v>1.8713200000000001</v>
      </c>
      <c r="EL23">
        <v>1.869</v>
      </c>
      <c r="EM23">
        <v>1.86798</v>
      </c>
      <c r="EN23">
        <v>1.86981</v>
      </c>
      <c r="EO23">
        <v>1.87164</v>
      </c>
      <c r="EP23">
        <v>0</v>
      </c>
      <c r="EQ23">
        <v>0</v>
      </c>
      <c r="ER23">
        <v>0</v>
      </c>
      <c r="ES23">
        <v>0</v>
      </c>
      <c r="ET23" t="s">
        <v>334</v>
      </c>
      <c r="EU23" t="s">
        <v>335</v>
      </c>
      <c r="EV23" t="s">
        <v>336</v>
      </c>
      <c r="EW23" t="s">
        <v>336</v>
      </c>
      <c r="EX23" t="s">
        <v>336</v>
      </c>
      <c r="EY23" t="s">
        <v>336</v>
      </c>
      <c r="EZ23">
        <v>0</v>
      </c>
      <c r="FA23">
        <v>100</v>
      </c>
      <c r="FB23">
        <v>100</v>
      </c>
      <c r="FC23">
        <v>8.0419999999999998</v>
      </c>
      <c r="FD23">
        <v>-1.0029999999999999</v>
      </c>
      <c r="FE23">
        <v>8.0876238095238122</v>
      </c>
      <c r="FF23">
        <v>0</v>
      </c>
      <c r="FG23">
        <v>0</v>
      </c>
      <c r="FH23">
        <v>0</v>
      </c>
      <c r="FI23">
        <v>-1.001701</v>
      </c>
      <c r="FJ23">
        <v>0</v>
      </c>
      <c r="FK23">
        <v>0</v>
      </c>
      <c r="FL23">
        <v>0</v>
      </c>
      <c r="FM23">
        <v>-1</v>
      </c>
      <c r="FN23">
        <v>-1</v>
      </c>
      <c r="FO23">
        <v>-1</v>
      </c>
      <c r="FP23">
        <v>-1</v>
      </c>
      <c r="FQ23">
        <v>0.7</v>
      </c>
      <c r="FR23">
        <v>0.7</v>
      </c>
      <c r="FS23">
        <v>0.144043</v>
      </c>
      <c r="FT23">
        <v>4.99756</v>
      </c>
      <c r="FU23">
        <v>1.5979000000000001</v>
      </c>
      <c r="FV23">
        <v>2.1728499999999999</v>
      </c>
      <c r="FW23">
        <v>1.5478499999999999</v>
      </c>
      <c r="FX23">
        <v>2.3864700000000001</v>
      </c>
      <c r="FY23">
        <v>30.372399999999999</v>
      </c>
      <c r="FZ23">
        <v>16.259699999999999</v>
      </c>
      <c r="GA23">
        <v>3</v>
      </c>
      <c r="GB23">
        <v>488.83300000000003</v>
      </c>
      <c r="GC23">
        <v>434.07</v>
      </c>
      <c r="GD23">
        <v>25.924800000000001</v>
      </c>
      <c r="GE23">
        <v>27.403400000000001</v>
      </c>
      <c r="GF23">
        <v>30.000599999999999</v>
      </c>
      <c r="GG23">
        <v>27.4834</v>
      </c>
      <c r="GH23">
        <v>27.479600000000001</v>
      </c>
      <c r="GI23">
        <v>-1</v>
      </c>
      <c r="GJ23">
        <v>0</v>
      </c>
      <c r="GK23">
        <v>100</v>
      </c>
      <c r="GL23">
        <v>25.926600000000001</v>
      </c>
      <c r="GM23">
        <v>432.1</v>
      </c>
      <c r="GN23">
        <v>63.216500000000003</v>
      </c>
      <c r="GO23">
        <v>102.744</v>
      </c>
      <c r="GP23">
        <v>96.536799999999999</v>
      </c>
    </row>
    <row r="24" spans="1:198" x14ac:dyDescent="0.35">
      <c r="A24">
        <v>8</v>
      </c>
      <c r="B24">
        <v>1775504011.0999999</v>
      </c>
      <c r="C24">
        <v>420.09999990463263</v>
      </c>
      <c r="D24" t="s">
        <v>355</v>
      </c>
      <c r="E24" t="s">
        <v>356</v>
      </c>
      <c r="F24">
        <v>60</v>
      </c>
      <c r="G24">
        <v>1775504003.099999</v>
      </c>
      <c r="H24">
        <f t="shared" si="0"/>
        <v>9.1490362616385417E-4</v>
      </c>
      <c r="I24">
        <f t="shared" si="1"/>
        <v>0.91490362616385412</v>
      </c>
      <c r="J24">
        <f t="shared" si="2"/>
        <v>-1.8643461720523105</v>
      </c>
      <c r="K24">
        <f t="shared" si="3"/>
        <v>52.668767741935497</v>
      </c>
      <c r="L24">
        <f t="shared" si="4"/>
        <v>160.97872957021173</v>
      </c>
      <c r="M24">
        <f t="shared" si="5"/>
        <v>16.127755945414648</v>
      </c>
      <c r="N24">
        <f t="shared" si="6"/>
        <v>5.2766538433711547</v>
      </c>
      <c r="O24">
        <f t="shared" si="7"/>
        <v>2.623319645233262E-2</v>
      </c>
      <c r="P24">
        <f t="shared" si="8"/>
        <v>2.3926368080124298</v>
      </c>
      <c r="Q24">
        <f t="shared" si="9"/>
        <v>2.6074449127852464E-2</v>
      </c>
      <c r="R24">
        <f t="shared" si="10"/>
        <v>1.6310713319679586E-2</v>
      </c>
      <c r="S24">
        <f t="shared" si="11"/>
        <v>0</v>
      </c>
      <c r="T24">
        <f t="shared" si="12"/>
        <v>25.010587326501607</v>
      </c>
      <c r="U24">
        <f t="shared" si="13"/>
        <v>25.372403225806451</v>
      </c>
      <c r="V24">
        <f t="shared" si="14"/>
        <v>3.250962489443189</v>
      </c>
      <c r="W24">
        <f t="shared" si="15"/>
        <v>-6.5201682691627072</v>
      </c>
      <c r="X24">
        <f t="shared" si="16"/>
        <v>-0.21103114693554728</v>
      </c>
      <c r="Y24">
        <f t="shared" si="17"/>
        <v>3.236590502328355</v>
      </c>
      <c r="Z24">
        <f t="shared" si="18"/>
        <v>3.4619936363787365</v>
      </c>
      <c r="AA24">
        <f t="shared" si="19"/>
        <v>-40.347249913825969</v>
      </c>
      <c r="AB24">
        <f t="shared" si="20"/>
        <v>-9.6103078544148968</v>
      </c>
      <c r="AC24">
        <f t="shared" si="21"/>
        <v>-0.85248160709864718</v>
      </c>
      <c r="AD24">
        <f t="shared" si="22"/>
        <v>-50.810039375339514</v>
      </c>
      <c r="AE24">
        <v>21</v>
      </c>
      <c r="AF24">
        <v>4</v>
      </c>
      <c r="AG24">
        <f t="shared" si="23"/>
        <v>1</v>
      </c>
      <c r="AH24">
        <f t="shared" si="24"/>
        <v>0</v>
      </c>
      <c r="AI24">
        <f t="shared" si="25"/>
        <v>25733.072381256465</v>
      </c>
      <c r="AJ24">
        <f t="shared" si="26"/>
        <v>0</v>
      </c>
      <c r="AK24">
        <f t="shared" si="27"/>
        <v>0</v>
      </c>
      <c r="AL24">
        <f t="shared" si="28"/>
        <v>0</v>
      </c>
      <c r="AM24">
        <f t="shared" si="29"/>
        <v>0</v>
      </c>
      <c r="AN24">
        <v>3</v>
      </c>
      <c r="AO24">
        <v>0.5</v>
      </c>
      <c r="AP24" t="s">
        <v>331</v>
      </c>
      <c r="AQ24">
        <v>2</v>
      </c>
      <c r="AR24">
        <v>1775504003.099999</v>
      </c>
      <c r="AS24">
        <v>52.668767741935497</v>
      </c>
      <c r="AT24">
        <v>51.579077419354832</v>
      </c>
      <c r="AU24">
        <v>-2.1064012903225802</v>
      </c>
      <c r="AV24">
        <v>-2.6564970967741939</v>
      </c>
      <c r="AW24">
        <v>44.714767741935503</v>
      </c>
      <c r="AX24">
        <v>-1.1034012903225801</v>
      </c>
      <c r="AY24">
        <v>500.00241935483871</v>
      </c>
      <c r="AZ24">
        <v>100.1485483870968</v>
      </c>
      <c r="BA24">
        <v>3.7084761290322579E-2</v>
      </c>
      <c r="BB24">
        <v>25.297900000000009</v>
      </c>
      <c r="BC24">
        <v>25.372403225806451</v>
      </c>
      <c r="BD24">
        <v>999.90000000000032</v>
      </c>
      <c r="BE24">
        <v>0</v>
      </c>
      <c r="BF24">
        <v>0</v>
      </c>
      <c r="BG24">
        <v>5004.4354838709678</v>
      </c>
      <c r="BH24">
        <v>0.39874954838709681</v>
      </c>
      <c r="BI24">
        <v>0.22961599999999999</v>
      </c>
      <c r="BJ24">
        <v>1.177932645161291</v>
      </c>
      <c r="BK24">
        <v>52.646132258064512</v>
      </c>
      <c r="BL24">
        <v>51.442425806451617</v>
      </c>
      <c r="BM24">
        <v>0.55037658064516115</v>
      </c>
      <c r="BN24">
        <v>51.579077419354832</v>
      </c>
      <c r="BO24">
        <v>-2.6564970967741939</v>
      </c>
      <c r="BP24">
        <v>-0.210925064516129</v>
      </c>
      <c r="BQ24">
        <v>-0.26604448387096769</v>
      </c>
      <c r="BR24">
        <v>-99.900000000000034</v>
      </c>
      <c r="BS24">
        <v>-99.900000000000034</v>
      </c>
      <c r="BT24">
        <v>0</v>
      </c>
      <c r="BU24">
        <v>0</v>
      </c>
      <c r="BV24">
        <v>0</v>
      </c>
      <c r="BW24">
        <v>24</v>
      </c>
      <c r="BX24">
        <v>-1</v>
      </c>
      <c r="BY24">
        <v>1775504031.5999999</v>
      </c>
      <c r="BZ24" t="s">
        <v>357</v>
      </c>
      <c r="CA24">
        <v>1775504031.5999999</v>
      </c>
      <c r="CB24">
        <v>1775504031.0999999</v>
      </c>
      <c r="CC24">
        <v>11</v>
      </c>
      <c r="CD24">
        <v>-8.8999999999999996E-2</v>
      </c>
      <c r="CE24">
        <v>-1E-3</v>
      </c>
      <c r="CF24">
        <v>7.9539999999999997</v>
      </c>
      <c r="CG24">
        <v>-1.0029999999999999</v>
      </c>
      <c r="CH24">
        <v>52</v>
      </c>
      <c r="CI24">
        <v>-3</v>
      </c>
      <c r="CJ24">
        <v>0.24</v>
      </c>
      <c r="CK24">
        <v>0.12</v>
      </c>
      <c r="CL24">
        <v>52.820193333333329</v>
      </c>
      <c r="CM24">
        <v>-8.5715869963878433</v>
      </c>
      <c r="CN24">
        <v>1.295487608311592</v>
      </c>
      <c r="CO24">
        <v>-1</v>
      </c>
      <c r="CP24">
        <v>500.41553333333343</v>
      </c>
      <c r="CQ24">
        <v>-4.4793909419282283</v>
      </c>
      <c r="CR24">
        <v>1.156324312446795</v>
      </c>
      <c r="CS24">
        <v>-1</v>
      </c>
      <c r="CT24">
        <v>0</v>
      </c>
      <c r="CU24">
        <v>0</v>
      </c>
      <c r="CV24" t="s">
        <v>333</v>
      </c>
      <c r="CW24">
        <v>3.1673100000000001</v>
      </c>
      <c r="CX24">
        <v>2.6582599999999998</v>
      </c>
      <c r="CY24">
        <v>1.30861E-2</v>
      </c>
      <c r="CZ24">
        <v>1.53048E-2</v>
      </c>
      <c r="DA24">
        <v>-9.8359799999999994E-3</v>
      </c>
      <c r="DB24">
        <v>-2.6347200000000001E-2</v>
      </c>
      <c r="DC24">
        <v>21417.4</v>
      </c>
      <c r="DD24">
        <v>21638.5</v>
      </c>
      <c r="DE24">
        <v>23228.6</v>
      </c>
      <c r="DF24">
        <v>22321.5</v>
      </c>
      <c r="DG24">
        <v>30235.8</v>
      </c>
      <c r="DH24">
        <v>27326.7</v>
      </c>
      <c r="DI24">
        <v>40803.800000000003</v>
      </c>
      <c r="DJ24">
        <v>37005.199999999997</v>
      </c>
      <c r="DK24">
        <v>2.1067200000000001</v>
      </c>
      <c r="DL24">
        <v>1.87886</v>
      </c>
      <c r="DM24">
        <v>1.9833400000000001E-2</v>
      </c>
      <c r="DN24">
        <v>0</v>
      </c>
      <c r="DO24">
        <v>25.045300000000001</v>
      </c>
      <c r="DP24">
        <v>999.9</v>
      </c>
      <c r="DQ24">
        <v>85.5</v>
      </c>
      <c r="DR24">
        <v>26.2</v>
      </c>
      <c r="DS24">
        <v>29.1477</v>
      </c>
      <c r="DT24">
        <v>30.8782</v>
      </c>
      <c r="DU24">
        <v>8.5737199999999998</v>
      </c>
      <c r="DV24">
        <v>1</v>
      </c>
      <c r="DW24">
        <v>2.3298800000000001E-2</v>
      </c>
      <c r="DX24">
        <v>-0.16037000000000001</v>
      </c>
      <c r="DY24">
        <v>20.3674</v>
      </c>
      <c r="DZ24">
        <v>5.2079500000000003</v>
      </c>
      <c r="EA24">
        <v>11.8482</v>
      </c>
      <c r="EB24">
        <v>4.9683999999999999</v>
      </c>
      <c r="EC24">
        <v>3.2913999999999999</v>
      </c>
      <c r="ED24">
        <v>894.7</v>
      </c>
      <c r="EE24">
        <v>0</v>
      </c>
      <c r="EF24">
        <v>9999</v>
      </c>
      <c r="EG24">
        <v>113.1</v>
      </c>
      <c r="EH24">
        <v>4.9716699999999996</v>
      </c>
      <c r="EI24">
        <v>1.87175</v>
      </c>
      <c r="EJ24">
        <v>1.8688400000000001</v>
      </c>
      <c r="EK24">
        <v>1.87131</v>
      </c>
      <c r="EL24">
        <v>1.869</v>
      </c>
      <c r="EM24">
        <v>1.86798</v>
      </c>
      <c r="EN24">
        <v>1.86981</v>
      </c>
      <c r="EO24">
        <v>1.87164</v>
      </c>
      <c r="EP24">
        <v>0</v>
      </c>
      <c r="EQ24">
        <v>0</v>
      </c>
      <c r="ER24">
        <v>0</v>
      </c>
      <c r="ES24">
        <v>0</v>
      </c>
      <c r="ET24" t="s">
        <v>334</v>
      </c>
      <c r="EU24" t="s">
        <v>335</v>
      </c>
      <c r="EV24" t="s">
        <v>336</v>
      </c>
      <c r="EW24" t="s">
        <v>336</v>
      </c>
      <c r="EX24" t="s">
        <v>336</v>
      </c>
      <c r="EY24" t="s">
        <v>336</v>
      </c>
      <c r="EZ24">
        <v>0</v>
      </c>
      <c r="FA24">
        <v>100</v>
      </c>
      <c r="FB24">
        <v>100</v>
      </c>
      <c r="FC24">
        <v>7.9539999999999997</v>
      </c>
      <c r="FD24">
        <v>-1.0029999999999999</v>
      </c>
      <c r="FE24">
        <v>8.042244999999987</v>
      </c>
      <c r="FF24">
        <v>0</v>
      </c>
      <c r="FG24">
        <v>0</v>
      </c>
      <c r="FH24">
        <v>0</v>
      </c>
      <c r="FI24">
        <v>-1.0027189999999999</v>
      </c>
      <c r="FJ24">
        <v>0</v>
      </c>
      <c r="FK24">
        <v>0</v>
      </c>
      <c r="FL24">
        <v>0</v>
      </c>
      <c r="FM24">
        <v>-1</v>
      </c>
      <c r="FN24">
        <v>-1</v>
      </c>
      <c r="FO24">
        <v>-1</v>
      </c>
      <c r="FP24">
        <v>-1</v>
      </c>
      <c r="FQ24">
        <v>0.7</v>
      </c>
      <c r="FR24">
        <v>0.6</v>
      </c>
      <c r="FS24">
        <v>0.144043</v>
      </c>
      <c r="FT24">
        <v>4.99756</v>
      </c>
      <c r="FU24">
        <v>1.5979000000000001</v>
      </c>
      <c r="FV24">
        <v>2.1740699999999999</v>
      </c>
      <c r="FW24">
        <v>1.5478499999999999</v>
      </c>
      <c r="FX24">
        <v>2.2875999999999999</v>
      </c>
      <c r="FY24">
        <v>30.458400000000001</v>
      </c>
      <c r="FZ24">
        <v>16.251000000000001</v>
      </c>
      <c r="GA24">
        <v>3</v>
      </c>
      <c r="GB24">
        <v>489.11200000000002</v>
      </c>
      <c r="GC24">
        <v>433.65499999999997</v>
      </c>
      <c r="GD24">
        <v>25.938600000000001</v>
      </c>
      <c r="GE24">
        <v>27.472100000000001</v>
      </c>
      <c r="GF24">
        <v>30.000399999999999</v>
      </c>
      <c r="GG24">
        <v>27.582699999999999</v>
      </c>
      <c r="GH24">
        <v>27.5855</v>
      </c>
      <c r="GI24">
        <v>-1</v>
      </c>
      <c r="GJ24">
        <v>0</v>
      </c>
      <c r="GK24">
        <v>100</v>
      </c>
      <c r="GL24">
        <v>25.939699999999998</v>
      </c>
      <c r="GM24">
        <v>432.1</v>
      </c>
      <c r="GN24">
        <v>63.216500000000003</v>
      </c>
      <c r="GO24">
        <v>102.727</v>
      </c>
      <c r="GP24">
        <v>96.547799999999995</v>
      </c>
    </row>
    <row r="25" spans="1:198" x14ac:dyDescent="0.35">
      <c r="A25">
        <v>9</v>
      </c>
      <c r="B25">
        <v>1775504071.0999999</v>
      </c>
      <c r="C25">
        <v>480.09999990463263</v>
      </c>
      <c r="D25" t="s">
        <v>358</v>
      </c>
      <c r="E25" t="s">
        <v>359</v>
      </c>
      <c r="F25">
        <v>60</v>
      </c>
      <c r="G25">
        <v>1775504063.349999</v>
      </c>
      <c r="H25">
        <f t="shared" si="0"/>
        <v>9.1748974194699284E-4</v>
      </c>
      <c r="I25">
        <f t="shared" si="1"/>
        <v>0.91748974194699284</v>
      </c>
      <c r="J25">
        <f t="shared" si="2"/>
        <v>0.62257242963765558</v>
      </c>
      <c r="K25">
        <f t="shared" si="3"/>
        <v>52.660186666666661</v>
      </c>
      <c r="L25">
        <f t="shared" si="4"/>
        <v>12.766915454415035</v>
      </c>
      <c r="M25">
        <f t="shared" si="5"/>
        <v>1.2790779081696759</v>
      </c>
      <c r="N25">
        <f t="shared" si="6"/>
        <v>5.2758617886931765</v>
      </c>
      <c r="O25">
        <f t="shared" si="7"/>
        <v>2.6310199409140572E-2</v>
      </c>
      <c r="P25">
        <f t="shared" si="8"/>
        <v>2.3919444058194577</v>
      </c>
      <c r="Q25">
        <f t="shared" si="9"/>
        <v>2.6150475908729692E-2</v>
      </c>
      <c r="R25">
        <f t="shared" si="10"/>
        <v>1.6358317012567895E-2</v>
      </c>
      <c r="S25">
        <f t="shared" si="11"/>
        <v>0</v>
      </c>
      <c r="T25">
        <f t="shared" si="12"/>
        <v>25.007431381951022</v>
      </c>
      <c r="U25">
        <f t="shared" si="13"/>
        <v>25.36371333333334</v>
      </c>
      <c r="V25">
        <f t="shared" si="14"/>
        <v>3.2492833051042864</v>
      </c>
      <c r="W25">
        <f t="shared" si="15"/>
        <v>-6.5665320640877489</v>
      </c>
      <c r="X25">
        <f t="shared" si="16"/>
        <v>-0.21250309821632879</v>
      </c>
      <c r="Y25">
        <f t="shared" si="17"/>
        <v>3.2361541243132668</v>
      </c>
      <c r="Z25">
        <f t="shared" si="18"/>
        <v>3.4617864033206152</v>
      </c>
      <c r="AA25">
        <f t="shared" si="19"/>
        <v>-40.461297619862385</v>
      </c>
      <c r="AB25">
        <f t="shared" si="20"/>
        <v>-8.7792228233903113</v>
      </c>
      <c r="AC25">
        <f t="shared" si="21"/>
        <v>-0.77894278970670738</v>
      </c>
      <c r="AD25">
        <f t="shared" si="22"/>
        <v>-50.019463232959403</v>
      </c>
      <c r="AE25">
        <v>20</v>
      </c>
      <c r="AF25">
        <v>4</v>
      </c>
      <c r="AG25">
        <f t="shared" si="23"/>
        <v>1</v>
      </c>
      <c r="AH25">
        <f t="shared" si="24"/>
        <v>0</v>
      </c>
      <c r="AI25">
        <f t="shared" si="25"/>
        <v>25722.642440198644</v>
      </c>
      <c r="AJ25">
        <f t="shared" si="26"/>
        <v>0</v>
      </c>
      <c r="AK25">
        <f t="shared" si="27"/>
        <v>0</v>
      </c>
      <c r="AL25">
        <f t="shared" si="28"/>
        <v>0</v>
      </c>
      <c r="AM25">
        <f t="shared" si="29"/>
        <v>0</v>
      </c>
      <c r="AN25">
        <v>3</v>
      </c>
      <c r="AO25">
        <v>0.5</v>
      </c>
      <c r="AP25" t="s">
        <v>331</v>
      </c>
      <c r="AQ25">
        <v>2</v>
      </c>
      <c r="AR25">
        <v>1775504063.349999</v>
      </c>
      <c r="AS25">
        <v>52.660186666666661</v>
      </c>
      <c r="AT25">
        <v>53.062726666666663</v>
      </c>
      <c r="AU25">
        <v>-2.1210663333333328</v>
      </c>
      <c r="AV25">
        <v>-2.6727379999999998</v>
      </c>
      <c r="AW25">
        <v>44.753186666666657</v>
      </c>
      <c r="AX25">
        <v>-1.1200663333333329</v>
      </c>
      <c r="AY25">
        <v>499.99076666666662</v>
      </c>
      <c r="AZ25">
        <v>100.1492666666667</v>
      </c>
      <c r="BA25">
        <v>3.7651053333333337E-2</v>
      </c>
      <c r="BB25">
        <v>25.295633333333331</v>
      </c>
      <c r="BC25">
        <v>25.36371333333334</v>
      </c>
      <c r="BD25">
        <v>999.9000000000002</v>
      </c>
      <c r="BE25">
        <v>0</v>
      </c>
      <c r="BF25">
        <v>0</v>
      </c>
      <c r="BG25">
        <v>5002.6166666666668</v>
      </c>
      <c r="BH25">
        <v>0.38347389999999998</v>
      </c>
      <c r="BI25">
        <v>0.22961599999999999</v>
      </c>
      <c r="BJ25">
        <v>-0.3558609333333333</v>
      </c>
      <c r="BK25">
        <v>52.595186666666663</v>
      </c>
      <c r="BL25">
        <v>52.921273333333339</v>
      </c>
      <c r="BM25">
        <v>0.54932353333333339</v>
      </c>
      <c r="BN25">
        <v>53.062726666666663</v>
      </c>
      <c r="BO25">
        <v>-2.6727379999999998</v>
      </c>
      <c r="BP25">
        <v>-0.21265833333333331</v>
      </c>
      <c r="BQ25">
        <v>-0.26767276666666662</v>
      </c>
      <c r="BR25">
        <v>-99.900000000000034</v>
      </c>
      <c r="BS25">
        <v>-99.900000000000034</v>
      </c>
      <c r="BT25">
        <v>0</v>
      </c>
      <c r="BU25">
        <v>0</v>
      </c>
      <c r="BV25">
        <v>0</v>
      </c>
      <c r="BW25">
        <v>24</v>
      </c>
      <c r="BX25">
        <v>-1</v>
      </c>
      <c r="BY25">
        <v>1775504092.0999999</v>
      </c>
      <c r="BZ25" t="s">
        <v>360</v>
      </c>
      <c r="CA25">
        <v>1775504088.0999999</v>
      </c>
      <c r="CB25">
        <v>1775504092.0999999</v>
      </c>
      <c r="CC25">
        <v>12</v>
      </c>
      <c r="CD25">
        <v>-4.7E-2</v>
      </c>
      <c r="CE25">
        <v>3.0000000000000001E-3</v>
      </c>
      <c r="CF25">
        <v>7.907</v>
      </c>
      <c r="CG25">
        <v>-1.0009999999999999</v>
      </c>
      <c r="CH25">
        <v>53</v>
      </c>
      <c r="CI25">
        <v>-3</v>
      </c>
      <c r="CJ25">
        <v>0.26</v>
      </c>
      <c r="CK25">
        <v>0.13</v>
      </c>
      <c r="CL25">
        <v>52.870396721311472</v>
      </c>
      <c r="CM25">
        <v>1.4015866737175899</v>
      </c>
      <c r="CN25">
        <v>0.21468281976908199</v>
      </c>
      <c r="CO25">
        <v>-1</v>
      </c>
      <c r="CP25">
        <v>500.00485245901649</v>
      </c>
      <c r="CQ25">
        <v>-0.10567741935485959</v>
      </c>
      <c r="CR25">
        <v>5.9761228745453442E-2</v>
      </c>
      <c r="CS25">
        <v>-1</v>
      </c>
      <c r="CT25">
        <v>0</v>
      </c>
      <c r="CU25">
        <v>0</v>
      </c>
      <c r="CV25" t="s">
        <v>333</v>
      </c>
      <c r="CW25">
        <v>3.16736</v>
      </c>
      <c r="CX25">
        <v>2.6587499999999999</v>
      </c>
      <c r="CY25">
        <v>1.3458599999999999E-2</v>
      </c>
      <c r="CZ25">
        <v>1.5895599999999999E-2</v>
      </c>
      <c r="DA25">
        <v>-9.9963199999999995E-3</v>
      </c>
      <c r="DB25">
        <v>-2.6577199999999999E-2</v>
      </c>
      <c r="DC25">
        <v>21406.400000000001</v>
      </c>
      <c r="DD25">
        <v>21628.2</v>
      </c>
      <c r="DE25">
        <v>23225.7</v>
      </c>
      <c r="DF25">
        <v>22324.5</v>
      </c>
      <c r="DG25">
        <v>30237.599999999999</v>
      </c>
      <c r="DH25">
        <v>27334.799999999999</v>
      </c>
      <c r="DI25">
        <v>40799.699999999997</v>
      </c>
      <c r="DJ25">
        <v>37007.9</v>
      </c>
      <c r="DK25">
        <v>2.1064600000000002</v>
      </c>
      <c r="DL25">
        <v>1.8772800000000001</v>
      </c>
      <c r="DM25">
        <v>2.0593400000000001E-2</v>
      </c>
      <c r="DN25">
        <v>0</v>
      </c>
      <c r="DO25">
        <v>25.034400000000002</v>
      </c>
      <c r="DP25">
        <v>999.9</v>
      </c>
      <c r="DQ25">
        <v>85.5</v>
      </c>
      <c r="DR25">
        <v>26.2</v>
      </c>
      <c r="DS25">
        <v>29.150600000000001</v>
      </c>
      <c r="DT25">
        <v>30.668199999999999</v>
      </c>
      <c r="DU25">
        <v>8.5897400000000008</v>
      </c>
      <c r="DV25">
        <v>1</v>
      </c>
      <c r="DW25">
        <v>2.7345499999999998E-2</v>
      </c>
      <c r="DX25">
        <v>-0.19536400000000001</v>
      </c>
      <c r="DY25">
        <v>20.367899999999999</v>
      </c>
      <c r="DZ25">
        <v>5.2120199999999999</v>
      </c>
      <c r="EA25">
        <v>11.8482</v>
      </c>
      <c r="EB25">
        <v>4.9677600000000002</v>
      </c>
      <c r="EC25">
        <v>3.2919999999999998</v>
      </c>
      <c r="ED25">
        <v>894.7</v>
      </c>
      <c r="EE25">
        <v>0</v>
      </c>
      <c r="EF25">
        <v>9999</v>
      </c>
      <c r="EG25">
        <v>113.1</v>
      </c>
      <c r="EH25">
        <v>4.9716300000000002</v>
      </c>
      <c r="EI25">
        <v>1.8717600000000001</v>
      </c>
      <c r="EJ25">
        <v>1.86886</v>
      </c>
      <c r="EK25">
        <v>1.8713200000000001</v>
      </c>
      <c r="EL25">
        <v>1.86903</v>
      </c>
      <c r="EM25">
        <v>1.86798</v>
      </c>
      <c r="EN25">
        <v>1.86981</v>
      </c>
      <c r="EO25">
        <v>1.87164</v>
      </c>
      <c r="EP25">
        <v>0</v>
      </c>
      <c r="EQ25">
        <v>0</v>
      </c>
      <c r="ER25">
        <v>0</v>
      </c>
      <c r="ES25">
        <v>0</v>
      </c>
      <c r="ET25" t="s">
        <v>334</v>
      </c>
      <c r="EU25" t="s">
        <v>335</v>
      </c>
      <c r="EV25" t="s">
        <v>336</v>
      </c>
      <c r="EW25" t="s">
        <v>336</v>
      </c>
      <c r="EX25" t="s">
        <v>336</v>
      </c>
      <c r="EY25" t="s">
        <v>336</v>
      </c>
      <c r="EZ25">
        <v>0</v>
      </c>
      <c r="FA25">
        <v>100</v>
      </c>
      <c r="FB25">
        <v>100</v>
      </c>
      <c r="FC25">
        <v>7.907</v>
      </c>
      <c r="FD25">
        <v>-1.0009999999999999</v>
      </c>
      <c r="FE25">
        <v>7.9536666666666633</v>
      </c>
      <c r="FF25">
        <v>0</v>
      </c>
      <c r="FG25">
        <v>0</v>
      </c>
      <c r="FH25">
        <v>0</v>
      </c>
      <c r="FI25">
        <v>-1.003349</v>
      </c>
      <c r="FJ25">
        <v>0</v>
      </c>
      <c r="FK25">
        <v>0</v>
      </c>
      <c r="FL25">
        <v>0</v>
      </c>
      <c r="FM25">
        <v>-1</v>
      </c>
      <c r="FN25">
        <v>-1</v>
      </c>
      <c r="FO25">
        <v>-1</v>
      </c>
      <c r="FP25">
        <v>-1</v>
      </c>
      <c r="FQ25">
        <v>0.7</v>
      </c>
      <c r="FR25">
        <v>0.7</v>
      </c>
      <c r="FS25">
        <v>0.144043</v>
      </c>
      <c r="FT25">
        <v>4.99756</v>
      </c>
      <c r="FU25">
        <v>1.5979000000000001</v>
      </c>
      <c r="FV25">
        <v>2.1728499999999999</v>
      </c>
      <c r="FW25">
        <v>1.5478499999999999</v>
      </c>
      <c r="FX25">
        <v>2.4023400000000001</v>
      </c>
      <c r="FY25">
        <v>30.544599999999999</v>
      </c>
      <c r="FZ25">
        <v>16.2422</v>
      </c>
      <c r="GA25">
        <v>3</v>
      </c>
      <c r="GB25">
        <v>489.64699999999999</v>
      </c>
      <c r="GC25">
        <v>433.40499999999997</v>
      </c>
      <c r="GD25">
        <v>25.9697</v>
      </c>
      <c r="GE25">
        <v>27.532</v>
      </c>
      <c r="GF25">
        <v>30.000399999999999</v>
      </c>
      <c r="GG25">
        <v>27.668900000000001</v>
      </c>
      <c r="GH25">
        <v>27.6784</v>
      </c>
      <c r="GI25">
        <v>-1</v>
      </c>
      <c r="GJ25">
        <v>0</v>
      </c>
      <c r="GK25">
        <v>100</v>
      </c>
      <c r="GL25">
        <v>25.972000000000001</v>
      </c>
      <c r="GM25">
        <v>432.1</v>
      </c>
      <c r="GN25">
        <v>63.216500000000003</v>
      </c>
      <c r="GO25">
        <v>102.71599999999999</v>
      </c>
      <c r="GP25">
        <v>96.557000000000002</v>
      </c>
    </row>
    <row r="26" spans="1:198" x14ac:dyDescent="0.35">
      <c r="A26">
        <v>10</v>
      </c>
      <c r="B26">
        <v>1775504131.0999999</v>
      </c>
      <c r="C26">
        <v>540.09999990463257</v>
      </c>
      <c r="D26" t="s">
        <v>361</v>
      </c>
      <c r="E26" t="s">
        <v>362</v>
      </c>
      <c r="F26">
        <v>60</v>
      </c>
      <c r="G26">
        <v>1775504123.099999</v>
      </c>
      <c r="H26">
        <f t="shared" si="0"/>
        <v>9.320253088747544E-4</v>
      </c>
      <c r="I26">
        <f t="shared" si="1"/>
        <v>0.93202530887475443</v>
      </c>
      <c r="J26">
        <f t="shared" si="2"/>
        <v>0.46301489289793496</v>
      </c>
      <c r="K26">
        <f t="shared" si="3"/>
        <v>53.715232258064511</v>
      </c>
      <c r="L26">
        <f t="shared" si="4"/>
        <v>23.673849273709415</v>
      </c>
      <c r="M26">
        <f t="shared" si="5"/>
        <v>2.3718212245125625</v>
      </c>
      <c r="N26">
        <f t="shared" si="6"/>
        <v>5.3815890468975986</v>
      </c>
      <c r="O26">
        <f t="shared" si="7"/>
        <v>2.6722122241231928E-2</v>
      </c>
      <c r="P26">
        <f t="shared" si="8"/>
        <v>2.3913908713934444</v>
      </c>
      <c r="Q26">
        <f t="shared" si="9"/>
        <v>2.6557337221204774E-2</v>
      </c>
      <c r="R26">
        <f t="shared" si="10"/>
        <v>1.6613056212057123E-2</v>
      </c>
      <c r="S26">
        <f t="shared" si="11"/>
        <v>0</v>
      </c>
      <c r="T26">
        <f t="shared" si="12"/>
        <v>25.008138912499504</v>
      </c>
      <c r="U26">
        <f t="shared" si="13"/>
        <v>25.3631064516129</v>
      </c>
      <c r="V26">
        <f t="shared" si="14"/>
        <v>3.2491660631203998</v>
      </c>
      <c r="W26">
        <f t="shared" si="15"/>
        <v>-6.5991939134159159</v>
      </c>
      <c r="X26">
        <f t="shared" si="16"/>
        <v>-0.2136278637269452</v>
      </c>
      <c r="Y26">
        <f t="shared" si="17"/>
        <v>3.2371811850027274</v>
      </c>
      <c r="Z26">
        <f t="shared" si="18"/>
        <v>3.4627939268473451</v>
      </c>
      <c r="AA26">
        <f t="shared" si="19"/>
        <v>-41.102316121376667</v>
      </c>
      <c r="AB26">
        <f t="shared" si="20"/>
        <v>-8.0112123074771961</v>
      </c>
      <c r="AC26">
        <f t="shared" si="21"/>
        <v>-0.71098193735702053</v>
      </c>
      <c r="AD26">
        <f t="shared" si="22"/>
        <v>-49.82451036621088</v>
      </c>
      <c r="AE26">
        <v>20</v>
      </c>
      <c r="AF26">
        <v>4</v>
      </c>
      <c r="AG26">
        <f t="shared" si="23"/>
        <v>1</v>
      </c>
      <c r="AH26">
        <f t="shared" si="24"/>
        <v>0</v>
      </c>
      <c r="AI26">
        <f t="shared" si="25"/>
        <v>25713.674319639944</v>
      </c>
      <c r="AJ26">
        <f t="shared" si="26"/>
        <v>0</v>
      </c>
      <c r="AK26">
        <f t="shared" si="27"/>
        <v>0</v>
      </c>
      <c r="AL26">
        <f t="shared" si="28"/>
        <v>0</v>
      </c>
      <c r="AM26">
        <f t="shared" si="29"/>
        <v>0</v>
      </c>
      <c r="AN26">
        <v>3</v>
      </c>
      <c r="AO26">
        <v>0.5</v>
      </c>
      <c r="AP26" t="s">
        <v>331</v>
      </c>
      <c r="AQ26">
        <v>2</v>
      </c>
      <c r="AR26">
        <v>1775504123.099999</v>
      </c>
      <c r="AS26">
        <v>53.715232258064511</v>
      </c>
      <c r="AT26">
        <v>54.023070967741923</v>
      </c>
      <c r="AU26">
        <v>-2.132282903225807</v>
      </c>
      <c r="AV26">
        <v>-2.6926748387096771</v>
      </c>
      <c r="AW26">
        <v>45.850232258064509</v>
      </c>
      <c r="AX26">
        <v>-1.132282903225807</v>
      </c>
      <c r="AY26">
        <v>500.01396774193552</v>
      </c>
      <c r="AZ26">
        <v>100.15019354838709</v>
      </c>
      <c r="BA26">
        <v>3.7198754838709672E-2</v>
      </c>
      <c r="BB26">
        <v>25.30096774193548</v>
      </c>
      <c r="BC26">
        <v>25.3631064516129</v>
      </c>
      <c r="BD26">
        <v>999.90000000000032</v>
      </c>
      <c r="BE26">
        <v>0</v>
      </c>
      <c r="BF26">
        <v>0</v>
      </c>
      <c r="BG26">
        <v>5001.1451612903229</v>
      </c>
      <c r="BH26">
        <v>0.44566206451612911</v>
      </c>
      <c r="BI26">
        <v>0.22961599999999999</v>
      </c>
      <c r="BJ26">
        <v>-0.26617112580645158</v>
      </c>
      <c r="BK26">
        <v>53.642499999999998</v>
      </c>
      <c r="BL26">
        <v>53.878000000000007</v>
      </c>
      <c r="BM26">
        <v>0.5598354838709676</v>
      </c>
      <c r="BN26">
        <v>54.023070967741923</v>
      </c>
      <c r="BO26">
        <v>-2.6926748387096771</v>
      </c>
      <c r="BP26">
        <v>-0.2136044516129032</v>
      </c>
      <c r="BQ26">
        <v>-0.26967212903225812</v>
      </c>
      <c r="BR26">
        <v>-99.900000000000034</v>
      </c>
      <c r="BS26">
        <v>-99.900000000000034</v>
      </c>
      <c r="BT26">
        <v>0</v>
      </c>
      <c r="BU26">
        <v>0</v>
      </c>
      <c r="BV26">
        <v>0</v>
      </c>
      <c r="BW26">
        <v>24</v>
      </c>
      <c r="BX26">
        <v>-0.98924741935483884</v>
      </c>
      <c r="BY26">
        <v>1775504153.0999999</v>
      </c>
      <c r="BZ26" t="s">
        <v>363</v>
      </c>
      <c r="CA26">
        <v>1775504152.0999999</v>
      </c>
      <c r="CB26">
        <v>1775504153.0999999</v>
      </c>
      <c r="CC26">
        <v>13</v>
      </c>
      <c r="CD26">
        <v>-4.1000000000000002E-2</v>
      </c>
      <c r="CE26">
        <v>1E-3</v>
      </c>
      <c r="CF26">
        <v>7.8650000000000002</v>
      </c>
      <c r="CG26">
        <v>-1</v>
      </c>
      <c r="CH26">
        <v>54</v>
      </c>
      <c r="CI26">
        <v>-3</v>
      </c>
      <c r="CJ26">
        <v>0.28000000000000003</v>
      </c>
      <c r="CK26">
        <v>0.14000000000000001</v>
      </c>
      <c r="CL26">
        <v>53.917298360655742</v>
      </c>
      <c r="CM26">
        <v>0.94500539397145467</v>
      </c>
      <c r="CN26">
        <v>0.1610806502934222</v>
      </c>
      <c r="CO26">
        <v>-1</v>
      </c>
      <c r="CP26">
        <v>500.01208196721319</v>
      </c>
      <c r="CQ26">
        <v>-0.12923955579019741</v>
      </c>
      <c r="CR26">
        <v>8.5130044220104409E-2</v>
      </c>
      <c r="CS26">
        <v>-1</v>
      </c>
      <c r="CT26">
        <v>0</v>
      </c>
      <c r="CU26">
        <v>0</v>
      </c>
      <c r="CV26" t="s">
        <v>333</v>
      </c>
      <c r="CW26">
        <v>3.1673</v>
      </c>
      <c r="CX26">
        <v>2.6583600000000001</v>
      </c>
      <c r="CY26">
        <v>1.3754300000000001E-2</v>
      </c>
      <c r="CZ26">
        <v>1.6231200000000001E-2</v>
      </c>
      <c r="DA26">
        <v>-1.00813E-2</v>
      </c>
      <c r="DB26">
        <v>-2.6756200000000001E-2</v>
      </c>
      <c r="DC26">
        <v>21397.3</v>
      </c>
      <c r="DD26">
        <v>21623.5</v>
      </c>
      <c r="DE26">
        <v>23222.9</v>
      </c>
      <c r="DF26">
        <v>22327.3</v>
      </c>
      <c r="DG26">
        <v>30236.9</v>
      </c>
      <c r="DH26">
        <v>27341.8</v>
      </c>
      <c r="DI26">
        <v>40795.5</v>
      </c>
      <c r="DJ26">
        <v>37010.9</v>
      </c>
      <c r="DK26">
        <v>2.1057999999999999</v>
      </c>
      <c r="DL26">
        <v>1.87602</v>
      </c>
      <c r="DM26">
        <v>2.0653000000000001E-2</v>
      </c>
      <c r="DN26">
        <v>0</v>
      </c>
      <c r="DO26">
        <v>25.029800000000002</v>
      </c>
      <c r="DP26">
        <v>999.9</v>
      </c>
      <c r="DQ26">
        <v>85.4</v>
      </c>
      <c r="DR26">
        <v>26.3</v>
      </c>
      <c r="DS26">
        <v>29.288799999999998</v>
      </c>
      <c r="DT26">
        <v>30.8782</v>
      </c>
      <c r="DU26">
        <v>8.3693899999999992</v>
      </c>
      <c r="DV26">
        <v>1</v>
      </c>
      <c r="DW26">
        <v>3.1378000000000003E-2</v>
      </c>
      <c r="DX26">
        <v>-0.15996299999999999</v>
      </c>
      <c r="DY26">
        <v>20.368099999999998</v>
      </c>
      <c r="DZ26">
        <v>5.21286</v>
      </c>
      <c r="EA26">
        <v>11.8482</v>
      </c>
      <c r="EB26">
        <v>4.9682000000000004</v>
      </c>
      <c r="EC26">
        <v>3.2919999999999998</v>
      </c>
      <c r="ED26">
        <v>894.7</v>
      </c>
      <c r="EE26">
        <v>0</v>
      </c>
      <c r="EF26">
        <v>9999</v>
      </c>
      <c r="EG26">
        <v>113.1</v>
      </c>
      <c r="EH26">
        <v>4.9716500000000003</v>
      </c>
      <c r="EI26">
        <v>1.8717699999999999</v>
      </c>
      <c r="EJ26">
        <v>1.8688800000000001</v>
      </c>
      <c r="EK26">
        <v>1.8713299999999999</v>
      </c>
      <c r="EL26">
        <v>1.8690100000000001</v>
      </c>
      <c r="EM26">
        <v>1.86798</v>
      </c>
      <c r="EN26">
        <v>1.86981</v>
      </c>
      <c r="EO26">
        <v>1.87164</v>
      </c>
      <c r="EP26">
        <v>0</v>
      </c>
      <c r="EQ26">
        <v>0</v>
      </c>
      <c r="ER26">
        <v>0</v>
      </c>
      <c r="ES26">
        <v>0</v>
      </c>
      <c r="ET26" t="s">
        <v>334</v>
      </c>
      <c r="EU26" t="s">
        <v>335</v>
      </c>
      <c r="EV26" t="s">
        <v>336</v>
      </c>
      <c r="EW26" t="s">
        <v>336</v>
      </c>
      <c r="EX26" t="s">
        <v>336</v>
      </c>
      <c r="EY26" t="s">
        <v>336</v>
      </c>
      <c r="EZ26">
        <v>0</v>
      </c>
      <c r="FA26">
        <v>100</v>
      </c>
      <c r="FB26">
        <v>100</v>
      </c>
      <c r="FC26">
        <v>7.8650000000000002</v>
      </c>
      <c r="FD26">
        <v>-1</v>
      </c>
      <c r="FE26">
        <v>7.9066650000000038</v>
      </c>
      <c r="FF26">
        <v>0</v>
      </c>
      <c r="FG26">
        <v>0</v>
      </c>
      <c r="FH26">
        <v>0</v>
      </c>
      <c r="FI26">
        <v>-1.0005575</v>
      </c>
      <c r="FJ26">
        <v>0</v>
      </c>
      <c r="FK26">
        <v>0</v>
      </c>
      <c r="FL26">
        <v>0</v>
      </c>
      <c r="FM26">
        <v>-1</v>
      </c>
      <c r="FN26">
        <v>-1</v>
      </c>
      <c r="FO26">
        <v>-1</v>
      </c>
      <c r="FP26">
        <v>-1</v>
      </c>
      <c r="FQ26">
        <v>0.7</v>
      </c>
      <c r="FR26">
        <v>0.7</v>
      </c>
      <c r="FS26">
        <v>0.144043</v>
      </c>
      <c r="FT26">
        <v>4.99756</v>
      </c>
      <c r="FU26">
        <v>1.5979000000000001</v>
      </c>
      <c r="FV26">
        <v>2.1740699999999999</v>
      </c>
      <c r="FW26">
        <v>1.5478499999999999</v>
      </c>
      <c r="FX26">
        <v>2.4352999999999998</v>
      </c>
      <c r="FY26">
        <v>30.6309</v>
      </c>
      <c r="FZ26">
        <v>16.251000000000001</v>
      </c>
      <c r="GA26">
        <v>3</v>
      </c>
      <c r="GB26">
        <v>489.87799999999999</v>
      </c>
      <c r="GC26">
        <v>433.26100000000002</v>
      </c>
      <c r="GD26">
        <v>25.949100000000001</v>
      </c>
      <c r="GE26">
        <v>27.585799999999999</v>
      </c>
      <c r="GF26">
        <v>30.000499999999999</v>
      </c>
      <c r="GG26">
        <v>27.7453</v>
      </c>
      <c r="GH26">
        <v>27.760300000000001</v>
      </c>
      <c r="GI26">
        <v>-1</v>
      </c>
      <c r="GJ26">
        <v>0</v>
      </c>
      <c r="GK26">
        <v>100</v>
      </c>
      <c r="GL26">
        <v>25.947099999999999</v>
      </c>
      <c r="GM26">
        <v>432.1</v>
      </c>
      <c r="GN26">
        <v>63.216500000000003</v>
      </c>
      <c r="GO26">
        <v>102.705</v>
      </c>
      <c r="GP26">
        <v>96.566599999999994</v>
      </c>
    </row>
    <row r="27" spans="1:198" x14ac:dyDescent="0.35">
      <c r="A27">
        <v>11</v>
      </c>
      <c r="B27">
        <v>1775504191.0999999</v>
      </c>
      <c r="C27">
        <v>600.09999990463257</v>
      </c>
      <c r="D27" t="s">
        <v>364</v>
      </c>
      <c r="E27" t="s">
        <v>365</v>
      </c>
      <c r="F27">
        <v>60</v>
      </c>
      <c r="G27">
        <v>1775504183.099999</v>
      </c>
      <c r="H27">
        <f t="shared" si="0"/>
        <v>9.4657638422060387E-4</v>
      </c>
      <c r="I27">
        <f t="shared" si="1"/>
        <v>0.94657638422060386</v>
      </c>
      <c r="J27">
        <f t="shared" si="2"/>
        <v>-0.72782447982196852</v>
      </c>
      <c r="K27">
        <f t="shared" si="3"/>
        <v>53.084383870967727</v>
      </c>
      <c r="L27">
        <f t="shared" si="4"/>
        <v>92.149115119729714</v>
      </c>
      <c r="M27">
        <f t="shared" si="5"/>
        <v>9.2323350865759046</v>
      </c>
      <c r="N27">
        <f t="shared" si="6"/>
        <v>5.3184755938721695</v>
      </c>
      <c r="O27">
        <f t="shared" si="7"/>
        <v>2.7140339171484194E-2</v>
      </c>
      <c r="P27">
        <f t="shared" si="8"/>
        <v>2.3914635041457535</v>
      </c>
      <c r="Q27">
        <f t="shared" si="9"/>
        <v>2.6970378655266337E-2</v>
      </c>
      <c r="R27">
        <f t="shared" si="10"/>
        <v>1.6871668089914103E-2</v>
      </c>
      <c r="S27">
        <f t="shared" si="11"/>
        <v>0</v>
      </c>
      <c r="T27">
        <f t="shared" si="12"/>
        <v>25.002023481187877</v>
      </c>
      <c r="U27">
        <f t="shared" si="13"/>
        <v>25.363338709677421</v>
      </c>
      <c r="V27">
        <f t="shared" si="14"/>
        <v>3.2492109320468816</v>
      </c>
      <c r="W27">
        <f t="shared" si="15"/>
        <v>-6.6066099095277293</v>
      </c>
      <c r="X27">
        <f t="shared" si="16"/>
        <v>-0.21384819443861888</v>
      </c>
      <c r="Y27">
        <f t="shared" si="17"/>
        <v>3.2368824157487714</v>
      </c>
      <c r="Z27">
        <f t="shared" si="18"/>
        <v>3.4630591264855006</v>
      </c>
      <c r="AA27">
        <f t="shared" si="19"/>
        <v>-41.744018544128629</v>
      </c>
      <c r="AB27">
        <f t="shared" si="20"/>
        <v>-8.2414475803562528</v>
      </c>
      <c r="AC27">
        <f t="shared" si="21"/>
        <v>-0.73138787413154693</v>
      </c>
      <c r="AD27">
        <f t="shared" si="22"/>
        <v>-50.716853998616429</v>
      </c>
      <c r="AE27">
        <v>20</v>
      </c>
      <c r="AF27">
        <v>4</v>
      </c>
      <c r="AG27">
        <f t="shared" si="23"/>
        <v>1</v>
      </c>
      <c r="AH27">
        <f t="shared" si="24"/>
        <v>0</v>
      </c>
      <c r="AI27">
        <f t="shared" si="25"/>
        <v>25714.860148574749</v>
      </c>
      <c r="AJ27">
        <f t="shared" si="26"/>
        <v>0</v>
      </c>
      <c r="AK27">
        <f t="shared" si="27"/>
        <v>0</v>
      </c>
      <c r="AL27">
        <f t="shared" si="28"/>
        <v>0</v>
      </c>
      <c r="AM27">
        <f t="shared" si="29"/>
        <v>0</v>
      </c>
      <c r="AN27">
        <v>3</v>
      </c>
      <c r="AO27">
        <v>0.5</v>
      </c>
      <c r="AP27" t="s">
        <v>331</v>
      </c>
      <c r="AQ27">
        <v>2</v>
      </c>
      <c r="AR27">
        <v>1775504183.099999</v>
      </c>
      <c r="AS27">
        <v>53.084383870967727</v>
      </c>
      <c r="AT27">
        <v>52.677838709677403</v>
      </c>
      <c r="AU27">
        <v>-2.1344461290322578</v>
      </c>
      <c r="AV27">
        <v>-2.7036035483870968</v>
      </c>
      <c r="AW27">
        <v>45.233383870967742</v>
      </c>
      <c r="AX27">
        <v>-1.1344461290322581</v>
      </c>
      <c r="AY27">
        <v>500.00058064516128</v>
      </c>
      <c r="AZ27">
        <v>100.1516774193548</v>
      </c>
      <c r="BA27">
        <v>3.7402796774193538E-2</v>
      </c>
      <c r="BB27">
        <v>25.299416129032249</v>
      </c>
      <c r="BC27">
        <v>25.363338709677421</v>
      </c>
      <c r="BD27">
        <v>999.90000000000032</v>
      </c>
      <c r="BE27">
        <v>0</v>
      </c>
      <c r="BF27">
        <v>0</v>
      </c>
      <c r="BG27">
        <v>5001.2580645161288</v>
      </c>
      <c r="BH27">
        <v>0.37627693548387092</v>
      </c>
      <c r="BI27">
        <v>0.22961599999999999</v>
      </c>
      <c r="BJ27">
        <v>0.42081822161290322</v>
      </c>
      <c r="BK27">
        <v>52.985583870967751</v>
      </c>
      <c r="BL27">
        <v>52.535812903225803</v>
      </c>
      <c r="BM27">
        <v>0.56957190322580653</v>
      </c>
      <c r="BN27">
        <v>52.677838709677403</v>
      </c>
      <c r="BO27">
        <v>-2.7036035483870968</v>
      </c>
      <c r="BP27">
        <v>-0.21372699999999989</v>
      </c>
      <c r="BQ27">
        <v>-0.27077048387096769</v>
      </c>
      <c r="BR27">
        <v>-99.900000000000034</v>
      </c>
      <c r="BS27">
        <v>-99.900000000000034</v>
      </c>
      <c r="BT27">
        <v>0</v>
      </c>
      <c r="BU27">
        <v>0</v>
      </c>
      <c r="BV27">
        <v>0</v>
      </c>
      <c r="BW27">
        <v>24</v>
      </c>
      <c r="BX27">
        <v>-1</v>
      </c>
      <c r="BY27">
        <v>1775504211.0999999</v>
      </c>
      <c r="BZ27" t="s">
        <v>366</v>
      </c>
      <c r="CA27">
        <v>1775504209.0999999</v>
      </c>
      <c r="CB27">
        <v>1775504211.0999999</v>
      </c>
      <c r="CC27">
        <v>14</v>
      </c>
      <c r="CD27">
        <v>-1.4999999999999999E-2</v>
      </c>
      <c r="CE27">
        <v>0</v>
      </c>
      <c r="CF27">
        <v>7.851</v>
      </c>
      <c r="CG27">
        <v>-1</v>
      </c>
      <c r="CH27">
        <v>53</v>
      </c>
      <c r="CI27">
        <v>-3</v>
      </c>
      <c r="CJ27">
        <v>0.19</v>
      </c>
      <c r="CK27">
        <v>0.09</v>
      </c>
      <c r="CL27">
        <v>53.223063934426243</v>
      </c>
      <c r="CM27">
        <v>-3.6005076679006418</v>
      </c>
      <c r="CN27">
        <v>0.5898657677346395</v>
      </c>
      <c r="CO27">
        <v>-1</v>
      </c>
      <c r="CP27">
        <v>500.04498360655742</v>
      </c>
      <c r="CQ27">
        <v>-0.5271877313586828</v>
      </c>
      <c r="CR27">
        <v>0.2128541016370481</v>
      </c>
      <c r="CS27">
        <v>-1</v>
      </c>
      <c r="CT27">
        <v>0</v>
      </c>
      <c r="CU27">
        <v>0</v>
      </c>
      <c r="CV27" t="s">
        <v>333</v>
      </c>
      <c r="CW27">
        <v>3.1672400000000001</v>
      </c>
      <c r="CX27">
        <v>2.6587299999999998</v>
      </c>
      <c r="CY27">
        <v>1.3404599999999999E-2</v>
      </c>
      <c r="CZ27">
        <v>1.5739400000000001E-2</v>
      </c>
      <c r="DA27">
        <v>-1.01119E-2</v>
      </c>
      <c r="DB27">
        <v>-2.6928500000000001E-2</v>
      </c>
      <c r="DC27">
        <v>21402.3</v>
      </c>
      <c r="DD27">
        <v>21636.9</v>
      </c>
      <c r="DE27">
        <v>23220.3</v>
      </c>
      <c r="DF27">
        <v>22330.1</v>
      </c>
      <c r="DG27">
        <v>30234.799999999999</v>
      </c>
      <c r="DH27">
        <v>27348.3</v>
      </c>
      <c r="DI27">
        <v>40791.599999999999</v>
      </c>
      <c r="DJ27">
        <v>37013.699999999997</v>
      </c>
      <c r="DK27">
        <v>2.10562</v>
      </c>
      <c r="DL27">
        <v>1.8747799999999999</v>
      </c>
      <c r="DM27">
        <v>2.0861600000000001E-2</v>
      </c>
      <c r="DN27">
        <v>0</v>
      </c>
      <c r="DO27">
        <v>25.023499999999999</v>
      </c>
      <c r="DP27">
        <v>999.9</v>
      </c>
      <c r="DQ27">
        <v>85.3</v>
      </c>
      <c r="DR27">
        <v>26.3</v>
      </c>
      <c r="DS27">
        <v>29.2547</v>
      </c>
      <c r="DT27">
        <v>30.938199999999998</v>
      </c>
      <c r="DU27">
        <v>8.4735600000000009</v>
      </c>
      <c r="DV27">
        <v>1</v>
      </c>
      <c r="DW27">
        <v>3.4394300000000003E-2</v>
      </c>
      <c r="DX27">
        <v>-0.161915</v>
      </c>
      <c r="DY27">
        <v>20.367999999999999</v>
      </c>
      <c r="DZ27">
        <v>5.2134600000000004</v>
      </c>
      <c r="EA27">
        <v>11.8482</v>
      </c>
      <c r="EB27">
        <v>4.9687200000000002</v>
      </c>
      <c r="EC27">
        <v>3.2919999999999998</v>
      </c>
      <c r="ED27">
        <v>894.7</v>
      </c>
      <c r="EE27">
        <v>0</v>
      </c>
      <c r="EF27">
        <v>9999</v>
      </c>
      <c r="EG27">
        <v>113.2</v>
      </c>
      <c r="EH27">
        <v>4.9716699999999996</v>
      </c>
      <c r="EI27">
        <v>1.8717900000000001</v>
      </c>
      <c r="EJ27">
        <v>1.8688800000000001</v>
      </c>
      <c r="EK27">
        <v>1.87134</v>
      </c>
      <c r="EL27">
        <v>1.8689899999999999</v>
      </c>
      <c r="EM27">
        <v>1.86798</v>
      </c>
      <c r="EN27">
        <v>1.86981</v>
      </c>
      <c r="EO27">
        <v>1.87164</v>
      </c>
      <c r="EP27">
        <v>0</v>
      </c>
      <c r="EQ27">
        <v>0</v>
      </c>
      <c r="ER27">
        <v>0</v>
      </c>
      <c r="ES27">
        <v>0</v>
      </c>
      <c r="ET27" t="s">
        <v>334</v>
      </c>
      <c r="EU27" t="s">
        <v>335</v>
      </c>
      <c r="EV27" t="s">
        <v>336</v>
      </c>
      <c r="EW27" t="s">
        <v>336</v>
      </c>
      <c r="EX27" t="s">
        <v>336</v>
      </c>
      <c r="EY27" t="s">
        <v>336</v>
      </c>
      <c r="EZ27">
        <v>0</v>
      </c>
      <c r="FA27">
        <v>100</v>
      </c>
      <c r="FB27">
        <v>100</v>
      </c>
      <c r="FC27">
        <v>7.851</v>
      </c>
      <c r="FD27">
        <v>-1</v>
      </c>
      <c r="FE27">
        <v>7.8652699999999953</v>
      </c>
      <c r="FF27">
        <v>0</v>
      </c>
      <c r="FG27">
        <v>0</v>
      </c>
      <c r="FH27">
        <v>0</v>
      </c>
      <c r="FI27">
        <v>-0.99958700000000023</v>
      </c>
      <c r="FJ27">
        <v>0</v>
      </c>
      <c r="FK27">
        <v>0</v>
      </c>
      <c r="FL27">
        <v>0</v>
      </c>
      <c r="FM27">
        <v>-1</v>
      </c>
      <c r="FN27">
        <v>-1</v>
      </c>
      <c r="FO27">
        <v>-1</v>
      </c>
      <c r="FP27">
        <v>-1</v>
      </c>
      <c r="FQ27">
        <v>0.7</v>
      </c>
      <c r="FR27">
        <v>0.6</v>
      </c>
      <c r="FS27">
        <v>0.144043</v>
      </c>
      <c r="FT27">
        <v>4.99756</v>
      </c>
      <c r="FU27">
        <v>1.5979000000000001</v>
      </c>
      <c r="FV27">
        <v>2.1728499999999999</v>
      </c>
      <c r="FW27">
        <v>1.5478499999999999</v>
      </c>
      <c r="FX27">
        <v>2.35107</v>
      </c>
      <c r="FY27">
        <v>30.717199999999998</v>
      </c>
      <c r="FZ27">
        <v>16.2422</v>
      </c>
      <c r="GA27">
        <v>3</v>
      </c>
      <c r="GB27">
        <v>490.298</v>
      </c>
      <c r="GC27">
        <v>433.04300000000001</v>
      </c>
      <c r="GD27">
        <v>25.947800000000001</v>
      </c>
      <c r="GE27">
        <v>27.633400000000002</v>
      </c>
      <c r="GF27">
        <v>30.000299999999999</v>
      </c>
      <c r="GG27">
        <v>27.811299999999999</v>
      </c>
      <c r="GH27">
        <v>27.8307</v>
      </c>
      <c r="GI27">
        <v>-1</v>
      </c>
      <c r="GJ27">
        <v>0</v>
      </c>
      <c r="GK27">
        <v>100</v>
      </c>
      <c r="GL27">
        <v>25.9467</v>
      </c>
      <c r="GM27">
        <v>432.1</v>
      </c>
      <c r="GN27">
        <v>63.216500000000003</v>
      </c>
      <c r="GO27">
        <v>102.69499999999999</v>
      </c>
      <c r="GP27">
        <v>96.575599999999994</v>
      </c>
    </row>
    <row r="28" spans="1:198" x14ac:dyDescent="0.35">
      <c r="A28">
        <v>12</v>
      </c>
      <c r="B28">
        <v>1775504251.0999999</v>
      </c>
      <c r="C28">
        <v>660.09999990463257</v>
      </c>
      <c r="D28" t="s">
        <v>367</v>
      </c>
      <c r="E28" t="s">
        <v>368</v>
      </c>
      <c r="F28">
        <v>60</v>
      </c>
      <c r="G28">
        <v>1775504243.099999</v>
      </c>
      <c r="H28">
        <f t="shared" si="0"/>
        <v>9.3571011360348596E-4</v>
      </c>
      <c r="I28">
        <f t="shared" si="1"/>
        <v>0.93571011360348599</v>
      </c>
      <c r="J28">
        <f t="shared" si="2"/>
        <v>-0.49758074986212414</v>
      </c>
      <c r="K28">
        <f t="shared" si="3"/>
        <v>52.7282193548387</v>
      </c>
      <c r="L28">
        <f t="shared" si="4"/>
        <v>78.859428196632379</v>
      </c>
      <c r="M28">
        <f t="shared" si="5"/>
        <v>7.9008893027465223</v>
      </c>
      <c r="N28">
        <f t="shared" si="6"/>
        <v>5.282815685839676</v>
      </c>
      <c r="O28">
        <f t="shared" si="7"/>
        <v>2.6839728620531463E-2</v>
      </c>
      <c r="P28">
        <f t="shared" si="8"/>
        <v>2.3884006944643534</v>
      </c>
      <c r="Q28">
        <f t="shared" si="9"/>
        <v>2.6673288086808772E-2</v>
      </c>
      <c r="R28">
        <f t="shared" si="10"/>
        <v>1.6685672912504803E-2</v>
      </c>
      <c r="S28">
        <f t="shared" si="11"/>
        <v>0</v>
      </c>
      <c r="T28">
        <f t="shared" si="12"/>
        <v>25.003010034213851</v>
      </c>
      <c r="U28">
        <f t="shared" si="13"/>
        <v>25.352725806451609</v>
      </c>
      <c r="V28">
        <f t="shared" si="14"/>
        <v>3.2471612240903966</v>
      </c>
      <c r="W28">
        <f t="shared" si="15"/>
        <v>-6.622410422151467</v>
      </c>
      <c r="X28">
        <f t="shared" si="16"/>
        <v>-0.21433310916256065</v>
      </c>
      <c r="Y28">
        <f t="shared" si="17"/>
        <v>3.2364818170379843</v>
      </c>
      <c r="Z28">
        <f t="shared" si="18"/>
        <v>3.4614943332529573</v>
      </c>
      <c r="AA28">
        <f t="shared" si="19"/>
        <v>-41.26481600991373</v>
      </c>
      <c r="AB28">
        <f t="shared" si="20"/>
        <v>-7.13224948851148</v>
      </c>
      <c r="AC28">
        <f t="shared" si="21"/>
        <v>-0.63372323576053813</v>
      </c>
      <c r="AD28">
        <f t="shared" si="22"/>
        <v>-49.030788734185748</v>
      </c>
      <c r="AE28">
        <v>20</v>
      </c>
      <c r="AF28">
        <v>4</v>
      </c>
      <c r="AG28">
        <f t="shared" si="23"/>
        <v>1</v>
      </c>
      <c r="AH28">
        <f t="shared" si="24"/>
        <v>0</v>
      </c>
      <c r="AI28">
        <f t="shared" si="25"/>
        <v>25668.156260233649</v>
      </c>
      <c r="AJ28">
        <f t="shared" si="26"/>
        <v>0</v>
      </c>
      <c r="AK28">
        <f t="shared" si="27"/>
        <v>0</v>
      </c>
      <c r="AL28">
        <f t="shared" si="28"/>
        <v>0</v>
      </c>
      <c r="AM28">
        <f t="shared" si="29"/>
        <v>0</v>
      </c>
      <c r="AN28">
        <v>3</v>
      </c>
      <c r="AO28">
        <v>0.5</v>
      </c>
      <c r="AP28" t="s">
        <v>331</v>
      </c>
      <c r="AQ28">
        <v>2</v>
      </c>
      <c r="AR28">
        <v>1775504243.099999</v>
      </c>
      <c r="AS28">
        <v>52.7282193548387</v>
      </c>
      <c r="AT28">
        <v>52.459267741935477</v>
      </c>
      <c r="AU28">
        <v>-2.1392764516129028</v>
      </c>
      <c r="AV28">
        <v>-2.7019164516129028</v>
      </c>
      <c r="AW28">
        <v>44.852219354838702</v>
      </c>
      <c r="AX28">
        <v>-1.139276451612903</v>
      </c>
      <c r="AY28">
        <v>499.98854838709678</v>
      </c>
      <c r="AZ28">
        <v>100.152064516129</v>
      </c>
      <c r="BA28">
        <v>3.7468725806451622E-2</v>
      </c>
      <c r="BB28">
        <v>25.29733548387096</v>
      </c>
      <c r="BC28">
        <v>25.352725806451609</v>
      </c>
      <c r="BD28">
        <v>999.90000000000032</v>
      </c>
      <c r="BE28">
        <v>0</v>
      </c>
      <c r="BF28">
        <v>0</v>
      </c>
      <c r="BG28">
        <v>4993.3548387096771</v>
      </c>
      <c r="BH28">
        <v>0.38527754838709682</v>
      </c>
      <c r="BI28">
        <v>0.22961599999999999</v>
      </c>
      <c r="BJ28">
        <v>0.2436594516129032</v>
      </c>
      <c r="BK28">
        <v>52.590435483870984</v>
      </c>
      <c r="BL28">
        <v>52.317919354838708</v>
      </c>
      <c r="BM28">
        <v>0.56286100000000006</v>
      </c>
      <c r="BN28">
        <v>52.459267741935477</v>
      </c>
      <c r="BO28">
        <v>-2.7019164516129028</v>
      </c>
      <c r="BP28">
        <v>-0.21423070967741939</v>
      </c>
      <c r="BQ28">
        <v>-0.2706023548387097</v>
      </c>
      <c r="BR28">
        <v>-99.900000000000034</v>
      </c>
      <c r="BS28">
        <v>-99.900000000000034</v>
      </c>
      <c r="BT28">
        <v>0</v>
      </c>
      <c r="BU28">
        <v>0</v>
      </c>
      <c r="BV28">
        <v>0</v>
      </c>
      <c r="BW28">
        <v>24</v>
      </c>
      <c r="BX28">
        <v>-1</v>
      </c>
      <c r="BY28">
        <v>1775504272.0999999</v>
      </c>
      <c r="BZ28" t="s">
        <v>369</v>
      </c>
      <c r="CA28">
        <v>1775504263.0999999</v>
      </c>
      <c r="CB28">
        <v>1775504272.0999999</v>
      </c>
      <c r="CC28">
        <v>15</v>
      </c>
      <c r="CD28">
        <v>2.5000000000000001E-2</v>
      </c>
      <c r="CE28">
        <v>-1E-3</v>
      </c>
      <c r="CF28">
        <v>7.8760000000000003</v>
      </c>
      <c r="CG28">
        <v>-1</v>
      </c>
      <c r="CH28">
        <v>53</v>
      </c>
      <c r="CI28">
        <v>-3</v>
      </c>
      <c r="CJ28">
        <v>0.2</v>
      </c>
      <c r="CK28">
        <v>0.11</v>
      </c>
      <c r="CL28">
        <v>52.779636065573783</v>
      </c>
      <c r="CM28">
        <v>-2.5703022739291321</v>
      </c>
      <c r="CN28">
        <v>0.3844699455446981</v>
      </c>
      <c r="CO28">
        <v>-1</v>
      </c>
      <c r="CP28">
        <v>500.00149180327861</v>
      </c>
      <c r="CQ28">
        <v>-5.169962982507538E-2</v>
      </c>
      <c r="CR28">
        <v>6.7531564678270387E-2</v>
      </c>
      <c r="CS28">
        <v>-1</v>
      </c>
      <c r="CT28">
        <v>0</v>
      </c>
      <c r="CU28">
        <v>0</v>
      </c>
      <c r="CV28" t="s">
        <v>333</v>
      </c>
      <c r="CW28">
        <v>3.1673499999999999</v>
      </c>
      <c r="CX28">
        <v>2.65863</v>
      </c>
      <c r="CY28">
        <v>1.33001E-2</v>
      </c>
      <c r="CZ28">
        <v>1.5599200000000001E-2</v>
      </c>
      <c r="DA28">
        <v>-1.01855E-2</v>
      </c>
      <c r="DB28">
        <v>-2.6894399999999999E-2</v>
      </c>
      <c r="DC28">
        <v>21402.6</v>
      </c>
      <c r="DD28">
        <v>21642.1</v>
      </c>
      <c r="DE28">
        <v>23218.400000000001</v>
      </c>
      <c r="DF28">
        <v>22332.5</v>
      </c>
      <c r="DG28">
        <v>30234.7</v>
      </c>
      <c r="DH28">
        <v>27349.599999999999</v>
      </c>
      <c r="DI28">
        <v>40788.5</v>
      </c>
      <c r="DJ28">
        <v>37016.6</v>
      </c>
      <c r="DK28">
        <v>2.10528</v>
      </c>
      <c r="DL28">
        <v>1.87374</v>
      </c>
      <c r="DM28">
        <v>2.0301300000000001E-2</v>
      </c>
      <c r="DN28">
        <v>0</v>
      </c>
      <c r="DO28">
        <v>25.0184</v>
      </c>
      <c r="DP28">
        <v>999.9</v>
      </c>
      <c r="DQ28">
        <v>85.3</v>
      </c>
      <c r="DR28">
        <v>26.3</v>
      </c>
      <c r="DS28">
        <v>29.251999999999999</v>
      </c>
      <c r="DT28">
        <v>30.6982</v>
      </c>
      <c r="DU28">
        <v>8.6418300000000006</v>
      </c>
      <c r="DV28">
        <v>1</v>
      </c>
      <c r="DW28">
        <v>3.6981699999999999E-2</v>
      </c>
      <c r="DX28">
        <v>-0.170654</v>
      </c>
      <c r="DY28">
        <v>20.367799999999999</v>
      </c>
      <c r="DZ28">
        <v>5.2120199999999999</v>
      </c>
      <c r="EA28">
        <v>11.8482</v>
      </c>
      <c r="EB28">
        <v>4.9690799999999999</v>
      </c>
      <c r="EC28">
        <v>3.2919999999999998</v>
      </c>
      <c r="ED28">
        <v>894.7</v>
      </c>
      <c r="EE28">
        <v>0</v>
      </c>
      <c r="EF28">
        <v>9999</v>
      </c>
      <c r="EG28">
        <v>113.2</v>
      </c>
      <c r="EH28">
        <v>4.97166</v>
      </c>
      <c r="EI28">
        <v>1.87178</v>
      </c>
      <c r="EJ28">
        <v>1.86886</v>
      </c>
      <c r="EK28">
        <v>1.8713200000000001</v>
      </c>
      <c r="EL28">
        <v>1.8689800000000001</v>
      </c>
      <c r="EM28">
        <v>1.86798</v>
      </c>
      <c r="EN28">
        <v>1.86981</v>
      </c>
      <c r="EO28">
        <v>1.87164</v>
      </c>
      <c r="EP28">
        <v>0</v>
      </c>
      <c r="EQ28">
        <v>0</v>
      </c>
      <c r="ER28">
        <v>0</v>
      </c>
      <c r="ES28">
        <v>0</v>
      </c>
      <c r="ET28" t="s">
        <v>334</v>
      </c>
      <c r="EU28" t="s">
        <v>335</v>
      </c>
      <c r="EV28" t="s">
        <v>336</v>
      </c>
      <c r="EW28" t="s">
        <v>336</v>
      </c>
      <c r="EX28" t="s">
        <v>336</v>
      </c>
      <c r="EY28" t="s">
        <v>336</v>
      </c>
      <c r="EZ28">
        <v>0</v>
      </c>
      <c r="FA28">
        <v>100</v>
      </c>
      <c r="FB28">
        <v>100</v>
      </c>
      <c r="FC28">
        <v>7.8760000000000003</v>
      </c>
      <c r="FD28">
        <v>-1</v>
      </c>
      <c r="FE28">
        <v>7.8507100000000136</v>
      </c>
      <c r="FF28">
        <v>0</v>
      </c>
      <c r="FG28">
        <v>0</v>
      </c>
      <c r="FH28">
        <v>0</v>
      </c>
      <c r="FI28">
        <v>-0.99978000000000056</v>
      </c>
      <c r="FJ28">
        <v>0</v>
      </c>
      <c r="FK28">
        <v>0</v>
      </c>
      <c r="FL28">
        <v>0</v>
      </c>
      <c r="FM28">
        <v>-1</v>
      </c>
      <c r="FN28">
        <v>-1</v>
      </c>
      <c r="FO28">
        <v>-1</v>
      </c>
      <c r="FP28">
        <v>-1</v>
      </c>
      <c r="FQ28">
        <v>0.7</v>
      </c>
      <c r="FR28">
        <v>0.7</v>
      </c>
      <c r="FS28">
        <v>0.144043</v>
      </c>
      <c r="FT28">
        <v>4.99756</v>
      </c>
      <c r="FU28">
        <v>1.5979000000000001</v>
      </c>
      <c r="FV28">
        <v>2.17041</v>
      </c>
      <c r="FW28">
        <v>1.5478499999999999</v>
      </c>
      <c r="FX28">
        <v>2.4230999999999998</v>
      </c>
      <c r="FY28">
        <v>30.803699999999999</v>
      </c>
      <c r="FZ28">
        <v>16.2422</v>
      </c>
      <c r="GA28">
        <v>3</v>
      </c>
      <c r="GB28">
        <v>490.56200000000001</v>
      </c>
      <c r="GC28">
        <v>432.89100000000002</v>
      </c>
      <c r="GD28">
        <v>25.948399999999999</v>
      </c>
      <c r="GE28">
        <v>27.674499999999998</v>
      </c>
      <c r="GF28">
        <v>30.000299999999999</v>
      </c>
      <c r="GG28">
        <v>27.8691</v>
      </c>
      <c r="GH28">
        <v>27.893999999999998</v>
      </c>
      <c r="GI28">
        <v>-1</v>
      </c>
      <c r="GJ28">
        <v>0</v>
      </c>
      <c r="GK28">
        <v>100</v>
      </c>
      <c r="GL28">
        <v>25.950800000000001</v>
      </c>
      <c r="GM28">
        <v>432.1</v>
      </c>
      <c r="GN28">
        <v>63.216500000000003</v>
      </c>
      <c r="GO28">
        <v>102.68600000000001</v>
      </c>
      <c r="GP28">
        <v>96.584100000000007</v>
      </c>
    </row>
    <row r="29" spans="1:198" x14ac:dyDescent="0.35">
      <c r="A29">
        <v>13</v>
      </c>
      <c r="B29">
        <v>1775504311.0999999</v>
      </c>
      <c r="C29">
        <v>720.09999990463257</v>
      </c>
      <c r="D29" t="s">
        <v>370</v>
      </c>
      <c r="E29" t="s">
        <v>371</v>
      </c>
      <c r="F29">
        <v>60</v>
      </c>
      <c r="G29">
        <v>1775504303.099999</v>
      </c>
      <c r="H29">
        <f t="shared" si="0"/>
        <v>9.3896418711307626E-4</v>
      </c>
      <c r="I29">
        <f t="shared" si="1"/>
        <v>0.93896418711307628</v>
      </c>
      <c r="J29">
        <f t="shared" si="2"/>
        <v>-0.31477549325060072</v>
      </c>
      <c r="K29">
        <f t="shared" si="3"/>
        <v>52.716422580645173</v>
      </c>
      <c r="L29">
        <f t="shared" si="4"/>
        <v>68.13081126921162</v>
      </c>
      <c r="M29">
        <f t="shared" si="5"/>
        <v>6.8259906484235895</v>
      </c>
      <c r="N29">
        <f t="shared" si="6"/>
        <v>5.2816310396180919</v>
      </c>
      <c r="O29">
        <f t="shared" si="7"/>
        <v>2.6927643241578637E-2</v>
      </c>
      <c r="P29">
        <f t="shared" si="8"/>
        <v>2.3926737240975133</v>
      </c>
      <c r="Q29">
        <f t="shared" si="9"/>
        <v>2.6760411410797463E-2</v>
      </c>
      <c r="R29">
        <f t="shared" si="10"/>
        <v>1.6740195548179817E-2</v>
      </c>
      <c r="S29">
        <f t="shared" si="11"/>
        <v>0</v>
      </c>
      <c r="T29">
        <f t="shared" si="12"/>
        <v>25.003590595869746</v>
      </c>
      <c r="U29">
        <f t="shared" si="13"/>
        <v>25.35492903225806</v>
      </c>
      <c r="V29">
        <f t="shared" si="14"/>
        <v>3.2475866480249782</v>
      </c>
      <c r="W29">
        <f t="shared" si="15"/>
        <v>-6.6312293563667914</v>
      </c>
      <c r="X29">
        <f t="shared" si="16"/>
        <v>-0.21463282336121536</v>
      </c>
      <c r="Y29">
        <f t="shared" si="17"/>
        <v>3.2366973275497042</v>
      </c>
      <c r="Z29">
        <f t="shared" si="18"/>
        <v>3.4622194713861933</v>
      </c>
      <c r="AA29">
        <f t="shared" si="19"/>
        <v>-41.408320651686665</v>
      </c>
      <c r="AB29">
        <f t="shared" si="20"/>
        <v>-7.2848222855400078</v>
      </c>
      <c r="AC29">
        <f t="shared" si="21"/>
        <v>-0.64613464804036469</v>
      </c>
      <c r="AD29">
        <f t="shared" si="22"/>
        <v>-49.339277585267041</v>
      </c>
      <c r="AE29">
        <v>19</v>
      </c>
      <c r="AF29">
        <v>4</v>
      </c>
      <c r="AG29">
        <f t="shared" si="23"/>
        <v>1</v>
      </c>
      <c r="AH29">
        <f t="shared" si="24"/>
        <v>0</v>
      </c>
      <c r="AI29">
        <f t="shared" si="25"/>
        <v>25733.461651663787</v>
      </c>
      <c r="AJ29">
        <f t="shared" si="26"/>
        <v>0</v>
      </c>
      <c r="AK29">
        <f t="shared" si="27"/>
        <v>0</v>
      </c>
      <c r="AL29">
        <f t="shared" si="28"/>
        <v>0</v>
      </c>
      <c r="AM29">
        <f t="shared" si="29"/>
        <v>0</v>
      </c>
      <c r="AN29">
        <v>3</v>
      </c>
      <c r="AO29">
        <v>0.5</v>
      </c>
      <c r="AP29" t="s">
        <v>331</v>
      </c>
      <c r="AQ29">
        <v>2</v>
      </c>
      <c r="AR29">
        <v>1775504303.099999</v>
      </c>
      <c r="AS29">
        <v>52.716422580645173</v>
      </c>
      <c r="AT29">
        <v>52.557254838709667</v>
      </c>
      <c r="AU29">
        <v>-2.142269032258064</v>
      </c>
      <c r="AV29">
        <v>-2.70686064516129</v>
      </c>
      <c r="AW29">
        <v>44.853422580645173</v>
      </c>
      <c r="AX29">
        <v>-1.141269032258065</v>
      </c>
      <c r="AY29">
        <v>499.99451612903232</v>
      </c>
      <c r="AZ29">
        <v>100.1517419354839</v>
      </c>
      <c r="BA29">
        <v>3.7739464516129029E-2</v>
      </c>
      <c r="BB29">
        <v>25.298454838709681</v>
      </c>
      <c r="BC29">
        <v>25.35492903225806</v>
      </c>
      <c r="BD29">
        <v>999.90000000000032</v>
      </c>
      <c r="BE29">
        <v>0</v>
      </c>
      <c r="BF29">
        <v>0</v>
      </c>
      <c r="BG29">
        <v>5004.3709677419356</v>
      </c>
      <c r="BH29">
        <v>0.39218222580645162</v>
      </c>
      <c r="BI29">
        <v>0.23331922580645159</v>
      </c>
      <c r="BJ29">
        <v>0.1723012903225806</v>
      </c>
      <c r="BK29">
        <v>52.616867741935494</v>
      </c>
      <c r="BL29">
        <v>52.415374193548388</v>
      </c>
      <c r="BM29">
        <v>0.56512638709677421</v>
      </c>
      <c r="BN29">
        <v>52.557254838709667</v>
      </c>
      <c r="BO29">
        <v>-2.70686064516129</v>
      </c>
      <c r="BP29">
        <v>-0.21449829032258069</v>
      </c>
      <c r="BQ29">
        <v>-0.27109667741935478</v>
      </c>
      <c r="BR29">
        <v>-99.900000000000034</v>
      </c>
      <c r="BS29">
        <v>-99.900000000000034</v>
      </c>
      <c r="BT29">
        <v>0</v>
      </c>
      <c r="BU29">
        <v>0</v>
      </c>
      <c r="BV29">
        <v>0</v>
      </c>
      <c r="BW29">
        <v>24</v>
      </c>
      <c r="BX29">
        <v>-1</v>
      </c>
      <c r="BY29">
        <v>1775504332.0999999</v>
      </c>
      <c r="BZ29" t="s">
        <v>372</v>
      </c>
      <c r="CA29">
        <v>1775504328.0999999</v>
      </c>
      <c r="CB29">
        <v>1775504332.0999999</v>
      </c>
      <c r="CC29">
        <v>16</v>
      </c>
      <c r="CD29">
        <v>-1.2999999999999999E-2</v>
      </c>
      <c r="CE29">
        <v>0</v>
      </c>
      <c r="CF29">
        <v>7.8630000000000004</v>
      </c>
      <c r="CG29">
        <v>-1.0009999999999999</v>
      </c>
      <c r="CH29">
        <v>53</v>
      </c>
      <c r="CI29">
        <v>-3</v>
      </c>
      <c r="CJ29">
        <v>0.22</v>
      </c>
      <c r="CK29">
        <v>0.12</v>
      </c>
      <c r="CL29">
        <v>52.788965573770497</v>
      </c>
      <c r="CM29">
        <v>-1.958941935483933</v>
      </c>
      <c r="CN29">
        <v>0.30858044193160272</v>
      </c>
      <c r="CO29">
        <v>-1</v>
      </c>
      <c r="CP29">
        <v>500.01065573770501</v>
      </c>
      <c r="CQ29">
        <v>-7.8644103648897609E-2</v>
      </c>
      <c r="CR29">
        <v>9.8645064228203683E-2</v>
      </c>
      <c r="CS29">
        <v>-1</v>
      </c>
      <c r="CT29">
        <v>0</v>
      </c>
      <c r="CU29">
        <v>0</v>
      </c>
      <c r="CV29" t="s">
        <v>333</v>
      </c>
      <c r="CW29">
        <v>3.1673</v>
      </c>
      <c r="CX29">
        <v>2.6589900000000002</v>
      </c>
      <c r="CY29">
        <v>1.33156E-2</v>
      </c>
      <c r="CZ29">
        <v>1.55195E-2</v>
      </c>
      <c r="DA29">
        <v>-1.01879E-2</v>
      </c>
      <c r="DB29">
        <v>-2.6960000000000001E-2</v>
      </c>
      <c r="DC29">
        <v>21400</v>
      </c>
      <c r="DD29">
        <v>21645.5</v>
      </c>
      <c r="DE29">
        <v>23216</v>
      </c>
      <c r="DF29">
        <v>22334.2</v>
      </c>
      <c r="DG29">
        <v>30232.2</v>
      </c>
      <c r="DH29">
        <v>27352.5</v>
      </c>
      <c r="DI29">
        <v>40785.1</v>
      </c>
      <c r="DJ29">
        <v>37018.199999999997</v>
      </c>
      <c r="DK29">
        <v>2.10514</v>
      </c>
      <c r="DL29">
        <v>1.87286</v>
      </c>
      <c r="DM29">
        <v>2.0891400000000001E-2</v>
      </c>
      <c r="DN29">
        <v>0</v>
      </c>
      <c r="DO29">
        <v>25.012</v>
      </c>
      <c r="DP29">
        <v>999.9</v>
      </c>
      <c r="DQ29">
        <v>85.2</v>
      </c>
      <c r="DR29">
        <v>26.3</v>
      </c>
      <c r="DS29">
        <v>29.218299999999999</v>
      </c>
      <c r="DT29">
        <v>30.728200000000001</v>
      </c>
      <c r="DU29">
        <v>8.7620199999999997</v>
      </c>
      <c r="DV29">
        <v>1</v>
      </c>
      <c r="DW29">
        <v>3.9455299999999999E-2</v>
      </c>
      <c r="DX29">
        <v>-0.18179999999999999</v>
      </c>
      <c r="DY29">
        <v>20.367899999999999</v>
      </c>
      <c r="DZ29">
        <v>5.2117800000000001</v>
      </c>
      <c r="EA29">
        <v>11.8482</v>
      </c>
      <c r="EB29">
        <v>4.9682000000000004</v>
      </c>
      <c r="EC29">
        <v>3.2919999999999998</v>
      </c>
      <c r="ED29">
        <v>894.7</v>
      </c>
      <c r="EE29">
        <v>0</v>
      </c>
      <c r="EF29">
        <v>9999</v>
      </c>
      <c r="EG29">
        <v>113.2</v>
      </c>
      <c r="EH29">
        <v>4.9716699999999996</v>
      </c>
      <c r="EI29">
        <v>1.8717999999999999</v>
      </c>
      <c r="EJ29">
        <v>1.86887</v>
      </c>
      <c r="EK29">
        <v>1.8713299999999999</v>
      </c>
      <c r="EL29">
        <v>1.8690199999999999</v>
      </c>
      <c r="EM29">
        <v>1.86798</v>
      </c>
      <c r="EN29">
        <v>1.86981</v>
      </c>
      <c r="EO29">
        <v>1.87164</v>
      </c>
      <c r="EP29">
        <v>0</v>
      </c>
      <c r="EQ29">
        <v>0</v>
      </c>
      <c r="ER29">
        <v>0</v>
      </c>
      <c r="ES29">
        <v>0</v>
      </c>
      <c r="ET29" t="s">
        <v>334</v>
      </c>
      <c r="EU29" t="s">
        <v>335</v>
      </c>
      <c r="EV29" t="s">
        <v>336</v>
      </c>
      <c r="EW29" t="s">
        <v>336</v>
      </c>
      <c r="EX29" t="s">
        <v>336</v>
      </c>
      <c r="EY29" t="s">
        <v>336</v>
      </c>
      <c r="EZ29">
        <v>0</v>
      </c>
      <c r="FA29">
        <v>100</v>
      </c>
      <c r="FB29">
        <v>100</v>
      </c>
      <c r="FC29">
        <v>7.8630000000000004</v>
      </c>
      <c r="FD29">
        <v>-1.0009999999999999</v>
      </c>
      <c r="FE29">
        <v>7.876135000000005</v>
      </c>
      <c r="FF29">
        <v>0</v>
      </c>
      <c r="FG29">
        <v>0</v>
      </c>
      <c r="FH29">
        <v>0</v>
      </c>
      <c r="FI29">
        <v>-1.0004645000000001</v>
      </c>
      <c r="FJ29">
        <v>0</v>
      </c>
      <c r="FK29">
        <v>0</v>
      </c>
      <c r="FL29">
        <v>0</v>
      </c>
      <c r="FM29">
        <v>-1</v>
      </c>
      <c r="FN29">
        <v>-1</v>
      </c>
      <c r="FO29">
        <v>-1</v>
      </c>
      <c r="FP29">
        <v>-1</v>
      </c>
      <c r="FQ29">
        <v>0.8</v>
      </c>
      <c r="FR29">
        <v>0.7</v>
      </c>
      <c r="FS29">
        <v>0.144043</v>
      </c>
      <c r="FT29">
        <v>4.99756</v>
      </c>
      <c r="FU29">
        <v>1.5979000000000001</v>
      </c>
      <c r="FV29">
        <v>2.1716299999999999</v>
      </c>
      <c r="FW29">
        <v>1.5478499999999999</v>
      </c>
      <c r="FX29">
        <v>2.3584000000000001</v>
      </c>
      <c r="FY29">
        <v>30.868600000000001</v>
      </c>
      <c r="FZ29">
        <v>16.224699999999999</v>
      </c>
      <c r="GA29">
        <v>3</v>
      </c>
      <c r="GB29">
        <v>490.88099999999997</v>
      </c>
      <c r="GC29">
        <v>432.76299999999998</v>
      </c>
      <c r="GD29">
        <v>25.975200000000001</v>
      </c>
      <c r="GE29">
        <v>27.709599999999998</v>
      </c>
      <c r="GF29">
        <v>30.000299999999999</v>
      </c>
      <c r="GG29">
        <v>27.919499999999999</v>
      </c>
      <c r="GH29">
        <v>27.947900000000001</v>
      </c>
      <c r="GI29">
        <v>-1</v>
      </c>
      <c r="GJ29">
        <v>0</v>
      </c>
      <c r="GK29">
        <v>100</v>
      </c>
      <c r="GL29">
        <v>25.976099999999999</v>
      </c>
      <c r="GM29">
        <v>432.1</v>
      </c>
      <c r="GN29">
        <v>63.216500000000003</v>
      </c>
      <c r="GO29">
        <v>102.67700000000001</v>
      </c>
      <c r="GP29">
        <v>96.589600000000004</v>
      </c>
    </row>
    <row r="30" spans="1:198" x14ac:dyDescent="0.35">
      <c r="A30">
        <v>14</v>
      </c>
      <c r="B30">
        <v>1775504371.0999999</v>
      </c>
      <c r="C30">
        <v>780.09999990463257</v>
      </c>
      <c r="D30" t="s">
        <v>373</v>
      </c>
      <c r="E30" t="s">
        <v>374</v>
      </c>
      <c r="F30">
        <v>60</v>
      </c>
      <c r="G30">
        <v>1775504363.099999</v>
      </c>
      <c r="H30">
        <f t="shared" si="0"/>
        <v>9.4137652073861147E-4</v>
      </c>
      <c r="I30">
        <f t="shared" si="1"/>
        <v>0.94137652073861144</v>
      </c>
      <c r="J30">
        <f t="shared" si="2"/>
        <v>0.76488858472281773</v>
      </c>
      <c r="K30">
        <f t="shared" si="3"/>
        <v>51.749132258064513</v>
      </c>
      <c r="L30">
        <f t="shared" si="4"/>
        <v>4.5836183676351983</v>
      </c>
      <c r="M30">
        <f t="shared" si="5"/>
        <v>0.45923173371865539</v>
      </c>
      <c r="N30">
        <f t="shared" si="6"/>
        <v>5.1847343777810693</v>
      </c>
      <c r="O30">
        <f t="shared" si="7"/>
        <v>2.6990747442929574E-2</v>
      </c>
      <c r="P30">
        <f t="shared" si="8"/>
        <v>2.3945907506459676</v>
      </c>
      <c r="Q30">
        <f t="shared" si="9"/>
        <v>2.6822867129535591E-2</v>
      </c>
      <c r="R30">
        <f t="shared" si="10"/>
        <v>1.677928816709523E-2</v>
      </c>
      <c r="S30">
        <f t="shared" si="11"/>
        <v>0</v>
      </c>
      <c r="T30">
        <f t="shared" si="12"/>
        <v>25.003679634445483</v>
      </c>
      <c r="U30">
        <f t="shared" si="13"/>
        <v>25.351670967741931</v>
      </c>
      <c r="V30">
        <f t="shared" si="14"/>
        <v>3.2469575610541082</v>
      </c>
      <c r="W30">
        <f t="shared" si="15"/>
        <v>-6.6769986584174559</v>
      </c>
      <c r="X30">
        <f t="shared" si="16"/>
        <v>-0.21612232389867828</v>
      </c>
      <c r="Y30">
        <f t="shared" si="17"/>
        <v>3.2368184412650813</v>
      </c>
      <c r="Z30">
        <f t="shared" si="18"/>
        <v>3.4630798849527866</v>
      </c>
      <c r="AA30">
        <f t="shared" si="19"/>
        <v>-41.514704564572767</v>
      </c>
      <c r="AB30">
        <f t="shared" si="20"/>
        <v>-6.7888457164490843</v>
      </c>
      <c r="AC30">
        <f t="shared" si="21"/>
        <v>-0.60165349757546382</v>
      </c>
      <c r="AD30">
        <f t="shared" si="22"/>
        <v>-48.905203778597311</v>
      </c>
      <c r="AE30">
        <v>19</v>
      </c>
      <c r="AF30">
        <v>4</v>
      </c>
      <c r="AG30">
        <f t="shared" si="23"/>
        <v>1</v>
      </c>
      <c r="AH30">
        <f t="shared" si="24"/>
        <v>0</v>
      </c>
      <c r="AI30">
        <f t="shared" si="25"/>
        <v>25762.721060218239</v>
      </c>
      <c r="AJ30">
        <f t="shared" si="26"/>
        <v>0</v>
      </c>
      <c r="AK30">
        <f t="shared" si="27"/>
        <v>0</v>
      </c>
      <c r="AL30">
        <f t="shared" si="28"/>
        <v>0</v>
      </c>
      <c r="AM30">
        <f t="shared" si="29"/>
        <v>0</v>
      </c>
      <c r="AN30">
        <v>3</v>
      </c>
      <c r="AO30">
        <v>0.5</v>
      </c>
      <c r="AP30" t="s">
        <v>331</v>
      </c>
      <c r="AQ30">
        <v>2</v>
      </c>
      <c r="AR30">
        <v>1775504363.099999</v>
      </c>
      <c r="AS30">
        <v>51.749132258064513</v>
      </c>
      <c r="AT30">
        <v>52.237280645161277</v>
      </c>
      <c r="AU30">
        <v>-2.1571293548387098</v>
      </c>
      <c r="AV30">
        <v>-2.7231574193548389</v>
      </c>
      <c r="AW30">
        <v>43.905132258064512</v>
      </c>
      <c r="AX30">
        <v>-1.1581293548387099</v>
      </c>
      <c r="AY30">
        <v>500.01435483870972</v>
      </c>
      <c r="AZ30">
        <v>100.1524193548387</v>
      </c>
      <c r="BA30">
        <v>3.7364541935483879E-2</v>
      </c>
      <c r="BB30">
        <v>25.299083870967731</v>
      </c>
      <c r="BC30">
        <v>25.351670967741931</v>
      </c>
      <c r="BD30">
        <v>999.90000000000032</v>
      </c>
      <c r="BE30">
        <v>0</v>
      </c>
      <c r="BF30">
        <v>0</v>
      </c>
      <c r="BG30">
        <v>5009.2741935483873</v>
      </c>
      <c r="BH30">
        <v>0.40525209677419349</v>
      </c>
      <c r="BI30">
        <v>0.23331922580645159</v>
      </c>
      <c r="BJ30">
        <v>-0.46882661322580638</v>
      </c>
      <c r="BK30">
        <v>51.65693548387096</v>
      </c>
      <c r="BL30">
        <v>52.095412903225807</v>
      </c>
      <c r="BM30">
        <v>0.56428245161290325</v>
      </c>
      <c r="BN30">
        <v>52.237280645161277</v>
      </c>
      <c r="BO30">
        <v>-2.7231574193548389</v>
      </c>
      <c r="BP30">
        <v>-0.2162164516129032</v>
      </c>
      <c r="BQ30">
        <v>-0.27273067741935492</v>
      </c>
      <c r="BR30">
        <v>-99.900000000000034</v>
      </c>
      <c r="BS30">
        <v>-99.900000000000034</v>
      </c>
      <c r="BT30">
        <v>0</v>
      </c>
      <c r="BU30">
        <v>0</v>
      </c>
      <c r="BV30">
        <v>0</v>
      </c>
      <c r="BW30">
        <v>24</v>
      </c>
      <c r="BX30">
        <v>-0.99032267741935509</v>
      </c>
      <c r="BY30">
        <v>1775504391.0999999</v>
      </c>
      <c r="BZ30" t="s">
        <v>375</v>
      </c>
      <c r="CA30">
        <v>1775504386.5999999</v>
      </c>
      <c r="CB30">
        <v>1775504391.0999999</v>
      </c>
      <c r="CC30">
        <v>17</v>
      </c>
      <c r="CD30">
        <v>-1.9E-2</v>
      </c>
      <c r="CE30">
        <v>2E-3</v>
      </c>
      <c r="CF30">
        <v>7.8440000000000003</v>
      </c>
      <c r="CG30">
        <v>-0.999</v>
      </c>
      <c r="CH30">
        <v>53</v>
      </c>
      <c r="CI30">
        <v>-3</v>
      </c>
      <c r="CJ30">
        <v>0.19</v>
      </c>
      <c r="CK30">
        <v>0.11</v>
      </c>
      <c r="CL30">
        <v>51.930718333333331</v>
      </c>
      <c r="CM30">
        <v>2.4616147818838519</v>
      </c>
      <c r="CN30">
        <v>0.45944141501453251</v>
      </c>
      <c r="CO30">
        <v>-1</v>
      </c>
      <c r="CP30">
        <v>500.01030000000009</v>
      </c>
      <c r="CQ30">
        <v>-0.12483467629800871</v>
      </c>
      <c r="CR30">
        <v>9.6884862938783539E-2</v>
      </c>
      <c r="CS30">
        <v>-1</v>
      </c>
      <c r="CT30">
        <v>0</v>
      </c>
      <c r="CU30">
        <v>0</v>
      </c>
      <c r="CV30" t="s">
        <v>333</v>
      </c>
      <c r="CW30">
        <v>3.1674099999999998</v>
      </c>
      <c r="CX30">
        <v>2.6589900000000002</v>
      </c>
      <c r="CY30">
        <v>1.32677E-2</v>
      </c>
      <c r="CZ30">
        <v>1.5803299999999999E-2</v>
      </c>
      <c r="DA30">
        <v>-1.0361499999999999E-2</v>
      </c>
      <c r="DB30">
        <v>-2.71787E-2</v>
      </c>
      <c r="DC30">
        <v>21399.1</v>
      </c>
      <c r="DD30">
        <v>21642</v>
      </c>
      <c r="DE30">
        <v>23214.1</v>
      </c>
      <c r="DF30">
        <v>22337.200000000001</v>
      </c>
      <c r="DG30">
        <v>30234.9</v>
      </c>
      <c r="DH30">
        <v>27361.1</v>
      </c>
      <c r="DI30">
        <v>40781.800000000003</v>
      </c>
      <c r="DJ30">
        <v>37022</v>
      </c>
      <c r="DK30">
        <v>2.10466</v>
      </c>
      <c r="DL30">
        <v>1.87158</v>
      </c>
      <c r="DM30">
        <v>2.1594800000000001E-2</v>
      </c>
      <c r="DN30">
        <v>0</v>
      </c>
      <c r="DO30">
        <v>25.002400000000002</v>
      </c>
      <c r="DP30">
        <v>999.9</v>
      </c>
      <c r="DQ30">
        <v>85.1</v>
      </c>
      <c r="DR30">
        <v>26.4</v>
      </c>
      <c r="DS30">
        <v>29.3551</v>
      </c>
      <c r="DT30">
        <v>30.758199999999999</v>
      </c>
      <c r="DU30">
        <v>8.3413500000000003</v>
      </c>
      <c r="DV30">
        <v>1</v>
      </c>
      <c r="DW30">
        <v>4.1644300000000002E-2</v>
      </c>
      <c r="DX30">
        <v>-0.148643</v>
      </c>
      <c r="DY30">
        <v>20.368200000000002</v>
      </c>
      <c r="DZ30">
        <v>5.2119</v>
      </c>
      <c r="EA30">
        <v>11.8482</v>
      </c>
      <c r="EB30">
        <v>4.9680799999999996</v>
      </c>
      <c r="EC30">
        <v>3.2919999999999998</v>
      </c>
      <c r="ED30">
        <v>894.7</v>
      </c>
      <c r="EE30">
        <v>0</v>
      </c>
      <c r="EF30">
        <v>9999</v>
      </c>
      <c r="EG30">
        <v>113.2</v>
      </c>
      <c r="EH30">
        <v>4.97166</v>
      </c>
      <c r="EI30">
        <v>1.8717999999999999</v>
      </c>
      <c r="EJ30">
        <v>1.8688899999999999</v>
      </c>
      <c r="EK30">
        <v>1.87134</v>
      </c>
      <c r="EL30">
        <v>1.8690500000000001</v>
      </c>
      <c r="EM30">
        <v>1.8680000000000001</v>
      </c>
      <c r="EN30">
        <v>1.86981</v>
      </c>
      <c r="EO30">
        <v>1.8716600000000001</v>
      </c>
      <c r="EP30">
        <v>0</v>
      </c>
      <c r="EQ30">
        <v>0</v>
      </c>
      <c r="ER30">
        <v>0</v>
      </c>
      <c r="ES30">
        <v>0</v>
      </c>
      <c r="ET30" t="s">
        <v>334</v>
      </c>
      <c r="EU30" t="s">
        <v>335</v>
      </c>
      <c r="EV30" t="s">
        <v>336</v>
      </c>
      <c r="EW30" t="s">
        <v>336</v>
      </c>
      <c r="EX30" t="s">
        <v>336</v>
      </c>
      <c r="EY30" t="s">
        <v>336</v>
      </c>
      <c r="EZ30">
        <v>0</v>
      </c>
      <c r="FA30">
        <v>100</v>
      </c>
      <c r="FB30">
        <v>100</v>
      </c>
      <c r="FC30">
        <v>7.8440000000000003</v>
      </c>
      <c r="FD30">
        <v>-0.999</v>
      </c>
      <c r="FE30">
        <v>7.8633299999999906</v>
      </c>
      <c r="FF30">
        <v>0</v>
      </c>
      <c r="FG30">
        <v>0</v>
      </c>
      <c r="FH30">
        <v>0</v>
      </c>
      <c r="FI30">
        <v>-1.0007465</v>
      </c>
      <c r="FJ30">
        <v>0</v>
      </c>
      <c r="FK30">
        <v>0</v>
      </c>
      <c r="FL30">
        <v>0</v>
      </c>
      <c r="FM30">
        <v>-1</v>
      </c>
      <c r="FN30">
        <v>-1</v>
      </c>
      <c r="FO30">
        <v>-1</v>
      </c>
      <c r="FP30">
        <v>-1</v>
      </c>
      <c r="FQ30">
        <v>0.7</v>
      </c>
      <c r="FR30">
        <v>0.7</v>
      </c>
      <c r="FS30">
        <v>0.144043</v>
      </c>
      <c r="FT30">
        <v>4.99756</v>
      </c>
      <c r="FU30">
        <v>1.5979000000000001</v>
      </c>
      <c r="FV30">
        <v>2.1728499999999999</v>
      </c>
      <c r="FW30">
        <v>1.5478499999999999</v>
      </c>
      <c r="FX30">
        <v>2.4145500000000002</v>
      </c>
      <c r="FY30">
        <v>30.933499999999999</v>
      </c>
      <c r="FZ30">
        <v>16.233499999999999</v>
      </c>
      <c r="GA30">
        <v>3</v>
      </c>
      <c r="GB30">
        <v>490.95100000000002</v>
      </c>
      <c r="GC30">
        <v>432.346</v>
      </c>
      <c r="GD30">
        <v>25.991299999999999</v>
      </c>
      <c r="GE30">
        <v>27.738800000000001</v>
      </c>
      <c r="GF30">
        <v>30.0001</v>
      </c>
      <c r="GG30">
        <v>27.962800000000001</v>
      </c>
      <c r="GH30">
        <v>27.994800000000001</v>
      </c>
      <c r="GI30">
        <v>-1</v>
      </c>
      <c r="GJ30">
        <v>0</v>
      </c>
      <c r="GK30">
        <v>100</v>
      </c>
      <c r="GL30">
        <v>25.968699999999998</v>
      </c>
      <c r="GM30">
        <v>432.1</v>
      </c>
      <c r="GN30">
        <v>63.216500000000003</v>
      </c>
      <c r="GO30">
        <v>102.669</v>
      </c>
      <c r="GP30">
        <v>96.6006</v>
      </c>
    </row>
    <row r="31" spans="1:198" x14ac:dyDescent="0.35">
      <c r="A31">
        <v>15</v>
      </c>
      <c r="B31">
        <v>1775504431.0999999</v>
      </c>
      <c r="C31">
        <v>840.09999990463257</v>
      </c>
      <c r="D31" t="s">
        <v>376</v>
      </c>
      <c r="E31" t="s">
        <v>377</v>
      </c>
      <c r="F31">
        <v>60</v>
      </c>
      <c r="G31">
        <v>1775504423.099999</v>
      </c>
      <c r="H31">
        <f t="shared" si="0"/>
        <v>9.3406942747000052E-4</v>
      </c>
      <c r="I31">
        <f t="shared" si="1"/>
        <v>0.93406942747000055</v>
      </c>
      <c r="J31">
        <f t="shared" si="2"/>
        <v>-0.50710943665071739</v>
      </c>
      <c r="K31">
        <f t="shared" si="3"/>
        <v>52.052958064516119</v>
      </c>
      <c r="L31">
        <f t="shared" si="4"/>
        <v>78.836672387729692</v>
      </c>
      <c r="M31">
        <f t="shared" si="5"/>
        <v>7.8985578448583507</v>
      </c>
      <c r="N31">
        <f t="shared" si="6"/>
        <v>5.2151275265209929</v>
      </c>
      <c r="O31">
        <f t="shared" si="7"/>
        <v>2.6783680572028751E-2</v>
      </c>
      <c r="P31">
        <f t="shared" si="8"/>
        <v>2.3918794660168761</v>
      </c>
      <c r="Q31">
        <f t="shared" si="9"/>
        <v>2.6618171592892079E-2</v>
      </c>
      <c r="R31">
        <f t="shared" si="10"/>
        <v>1.6651142189604392E-2</v>
      </c>
      <c r="S31">
        <f t="shared" si="11"/>
        <v>0</v>
      </c>
      <c r="T31">
        <f t="shared" si="12"/>
        <v>25.004096074475495</v>
      </c>
      <c r="U31">
        <f t="shared" si="13"/>
        <v>25.345225806451609</v>
      </c>
      <c r="V31">
        <f t="shared" si="14"/>
        <v>3.2457134036260458</v>
      </c>
      <c r="W31">
        <f t="shared" si="15"/>
        <v>-6.7020883191470038</v>
      </c>
      <c r="X31">
        <f t="shared" si="16"/>
        <v>-0.21691415910300871</v>
      </c>
      <c r="Y31">
        <f t="shared" si="17"/>
        <v>3.2365159749284844</v>
      </c>
      <c r="Z31">
        <f t="shared" si="18"/>
        <v>3.4626275627290544</v>
      </c>
      <c r="AA31">
        <f t="shared" si="19"/>
        <v>-41.192461751427025</v>
      </c>
      <c r="AB31">
        <f t="shared" si="20"/>
        <v>-6.1526268592639441</v>
      </c>
      <c r="AC31">
        <f t="shared" si="21"/>
        <v>-0.54586542713108099</v>
      </c>
      <c r="AD31">
        <f t="shared" si="22"/>
        <v>-47.890954037822056</v>
      </c>
      <c r="AE31">
        <v>19</v>
      </c>
      <c r="AF31">
        <v>4</v>
      </c>
      <c r="AG31">
        <f t="shared" si="23"/>
        <v>1</v>
      </c>
      <c r="AH31">
        <f t="shared" si="24"/>
        <v>0</v>
      </c>
      <c r="AI31">
        <f t="shared" si="25"/>
        <v>25721.397728855583</v>
      </c>
      <c r="AJ31">
        <f t="shared" si="26"/>
        <v>0</v>
      </c>
      <c r="AK31">
        <f t="shared" si="27"/>
        <v>0</v>
      </c>
      <c r="AL31">
        <f t="shared" si="28"/>
        <v>0</v>
      </c>
      <c r="AM31">
        <f t="shared" si="29"/>
        <v>0</v>
      </c>
      <c r="AN31">
        <v>3</v>
      </c>
      <c r="AO31">
        <v>0.5</v>
      </c>
      <c r="AP31" t="s">
        <v>331</v>
      </c>
      <c r="AQ31">
        <v>2</v>
      </c>
      <c r="AR31">
        <v>1775504423.099999</v>
      </c>
      <c r="AS31">
        <v>52.052958064516119</v>
      </c>
      <c r="AT31">
        <v>51.777864516129029</v>
      </c>
      <c r="AU31">
        <v>-2.1650522580645162</v>
      </c>
      <c r="AV31">
        <v>-2.726708387096775</v>
      </c>
      <c r="AW31">
        <v>44.234958064516121</v>
      </c>
      <c r="AX31">
        <v>-1.1660522580645161</v>
      </c>
      <c r="AY31">
        <v>499.99903225806452</v>
      </c>
      <c r="AZ31">
        <v>100.1514838709677</v>
      </c>
      <c r="BA31">
        <v>3.7395309677419358E-2</v>
      </c>
      <c r="BB31">
        <v>25.297512903225812</v>
      </c>
      <c r="BC31">
        <v>25.345225806451609</v>
      </c>
      <c r="BD31">
        <v>999.90000000000032</v>
      </c>
      <c r="BE31">
        <v>0</v>
      </c>
      <c r="BF31">
        <v>0</v>
      </c>
      <c r="BG31">
        <v>5002.3387096774204</v>
      </c>
      <c r="BH31">
        <v>0.39560674193548401</v>
      </c>
      <c r="BI31">
        <v>0.22961599999999999</v>
      </c>
      <c r="BJ31">
        <v>0.30118501001612907</v>
      </c>
      <c r="BK31">
        <v>51.966545161290327</v>
      </c>
      <c r="BL31">
        <v>51.637054838709673</v>
      </c>
      <c r="BM31">
        <v>0.56197277419354841</v>
      </c>
      <c r="BN31">
        <v>51.777864516129029</v>
      </c>
      <c r="BO31">
        <v>-2.726708387096775</v>
      </c>
      <c r="BP31">
        <v>-0.2168016451612903</v>
      </c>
      <c r="BQ31">
        <v>-0.27308412903225798</v>
      </c>
      <c r="BR31">
        <v>-99.900000000000034</v>
      </c>
      <c r="BS31">
        <v>-99.900000000000034</v>
      </c>
      <c r="BT31">
        <v>0</v>
      </c>
      <c r="BU31">
        <v>0</v>
      </c>
      <c r="BV31">
        <v>0</v>
      </c>
      <c r="BW31">
        <v>24</v>
      </c>
      <c r="BX31">
        <v>-0.99139793548387101</v>
      </c>
      <c r="BY31">
        <v>1775504451.0999999</v>
      </c>
      <c r="BZ31" t="s">
        <v>378</v>
      </c>
      <c r="CA31">
        <v>1775504448.0999999</v>
      </c>
      <c r="CB31">
        <v>1775504451.0999999</v>
      </c>
      <c r="CC31">
        <v>18</v>
      </c>
      <c r="CD31">
        <v>-2.5999999999999999E-2</v>
      </c>
      <c r="CE31">
        <v>-1E-3</v>
      </c>
      <c r="CF31">
        <v>7.8179999999999996</v>
      </c>
      <c r="CG31">
        <v>-0.999</v>
      </c>
      <c r="CH31">
        <v>52</v>
      </c>
      <c r="CI31">
        <v>-3</v>
      </c>
      <c r="CJ31">
        <v>0.18</v>
      </c>
      <c r="CK31">
        <v>0.13</v>
      </c>
      <c r="CL31">
        <v>52.26691166666668</v>
      </c>
      <c r="CM31">
        <v>-3.2105754931925712</v>
      </c>
      <c r="CN31">
        <v>0.53995818482905611</v>
      </c>
      <c r="CO31">
        <v>-1</v>
      </c>
      <c r="CP31">
        <v>499.99795</v>
      </c>
      <c r="CQ31">
        <v>-3.624340093210607E-3</v>
      </c>
      <c r="CR31">
        <v>4.9052837158855979E-2</v>
      </c>
      <c r="CS31">
        <v>-1</v>
      </c>
      <c r="CT31">
        <v>0</v>
      </c>
      <c r="CU31">
        <v>0</v>
      </c>
      <c r="CV31" t="s">
        <v>333</v>
      </c>
      <c r="CW31">
        <v>3.1672899999999999</v>
      </c>
      <c r="CX31">
        <v>2.6587900000000002</v>
      </c>
      <c r="CY31">
        <v>1.31524E-2</v>
      </c>
      <c r="CZ31">
        <v>1.54906E-2</v>
      </c>
      <c r="DA31">
        <v>-1.04108E-2</v>
      </c>
      <c r="DB31">
        <v>-2.71817E-2</v>
      </c>
      <c r="DC31">
        <v>21400.1</v>
      </c>
      <c r="DD31">
        <v>21650.400000000001</v>
      </c>
      <c r="DE31">
        <v>23212.6</v>
      </c>
      <c r="DF31">
        <v>22338.7</v>
      </c>
      <c r="DG31">
        <v>30234.799999999999</v>
      </c>
      <c r="DH31">
        <v>27362.3</v>
      </c>
      <c r="DI31">
        <v>40779.800000000003</v>
      </c>
      <c r="DJ31">
        <v>37023.4</v>
      </c>
      <c r="DK31">
        <v>2.10406</v>
      </c>
      <c r="DL31">
        <v>1.8710599999999999</v>
      </c>
      <c r="DM31">
        <v>2.1636499999999999E-2</v>
      </c>
      <c r="DN31">
        <v>0</v>
      </c>
      <c r="DO31">
        <v>24.991</v>
      </c>
      <c r="DP31">
        <v>999.9</v>
      </c>
      <c r="DQ31">
        <v>85</v>
      </c>
      <c r="DR31">
        <v>26.4</v>
      </c>
      <c r="DS31">
        <v>29.3201</v>
      </c>
      <c r="DT31">
        <v>30.8782</v>
      </c>
      <c r="DU31">
        <v>8.7860600000000009</v>
      </c>
      <c r="DV31">
        <v>1</v>
      </c>
      <c r="DW31">
        <v>4.3331300000000003E-2</v>
      </c>
      <c r="DX31">
        <v>-0.197462</v>
      </c>
      <c r="DY31">
        <v>20.367899999999999</v>
      </c>
      <c r="DZ31">
        <v>5.2133399999999996</v>
      </c>
      <c r="EA31">
        <v>11.8482</v>
      </c>
      <c r="EB31">
        <v>4.9683999999999999</v>
      </c>
      <c r="EC31">
        <v>3.2919999999999998</v>
      </c>
      <c r="ED31">
        <v>894.7</v>
      </c>
      <c r="EE31">
        <v>0</v>
      </c>
      <c r="EF31">
        <v>9999</v>
      </c>
      <c r="EG31">
        <v>113.2</v>
      </c>
      <c r="EH31">
        <v>4.97166</v>
      </c>
      <c r="EI31">
        <v>1.8717999999999999</v>
      </c>
      <c r="EJ31">
        <v>1.8689</v>
      </c>
      <c r="EK31">
        <v>1.87134</v>
      </c>
      <c r="EL31">
        <v>1.86904</v>
      </c>
      <c r="EM31">
        <v>1.86799</v>
      </c>
      <c r="EN31">
        <v>1.86981</v>
      </c>
      <c r="EO31">
        <v>1.87164</v>
      </c>
      <c r="EP31">
        <v>0</v>
      </c>
      <c r="EQ31">
        <v>0</v>
      </c>
      <c r="ER31">
        <v>0</v>
      </c>
      <c r="ES31">
        <v>0</v>
      </c>
      <c r="ET31" t="s">
        <v>334</v>
      </c>
      <c r="EU31" t="s">
        <v>335</v>
      </c>
      <c r="EV31" t="s">
        <v>336</v>
      </c>
      <c r="EW31" t="s">
        <v>336</v>
      </c>
      <c r="EX31" t="s">
        <v>336</v>
      </c>
      <c r="EY31" t="s">
        <v>336</v>
      </c>
      <c r="EZ31">
        <v>0</v>
      </c>
      <c r="FA31">
        <v>100</v>
      </c>
      <c r="FB31">
        <v>100</v>
      </c>
      <c r="FC31">
        <v>7.8179999999999996</v>
      </c>
      <c r="FD31">
        <v>-0.999</v>
      </c>
      <c r="FE31">
        <v>7.8440857142857254</v>
      </c>
      <c r="FF31">
        <v>0</v>
      </c>
      <c r="FG31">
        <v>0</v>
      </c>
      <c r="FH31">
        <v>0</v>
      </c>
      <c r="FI31">
        <v>-0.99868449999999998</v>
      </c>
      <c r="FJ31">
        <v>0</v>
      </c>
      <c r="FK31">
        <v>0</v>
      </c>
      <c r="FL31">
        <v>0</v>
      </c>
      <c r="FM31">
        <v>-1</v>
      </c>
      <c r="FN31">
        <v>-1</v>
      </c>
      <c r="FO31">
        <v>-1</v>
      </c>
      <c r="FP31">
        <v>-1</v>
      </c>
      <c r="FQ31">
        <v>0.7</v>
      </c>
      <c r="FR31">
        <v>0.7</v>
      </c>
      <c r="FS31">
        <v>0.144043</v>
      </c>
      <c r="FT31">
        <v>4.99756</v>
      </c>
      <c r="FU31">
        <v>1.5979000000000001</v>
      </c>
      <c r="FV31">
        <v>2.17041</v>
      </c>
      <c r="FW31">
        <v>1.5478499999999999</v>
      </c>
      <c r="FX31">
        <v>2.3815900000000001</v>
      </c>
      <c r="FY31">
        <v>30.976900000000001</v>
      </c>
      <c r="FZ31">
        <v>16.224699999999999</v>
      </c>
      <c r="GA31">
        <v>3</v>
      </c>
      <c r="GB31">
        <v>490.90199999999999</v>
      </c>
      <c r="GC31">
        <v>432.334</v>
      </c>
      <c r="GD31">
        <v>25.9849</v>
      </c>
      <c r="GE31">
        <v>27.763999999999999</v>
      </c>
      <c r="GF31">
        <v>30.000299999999999</v>
      </c>
      <c r="GG31">
        <v>27.9999</v>
      </c>
      <c r="GH31">
        <v>28.0352</v>
      </c>
      <c r="GI31">
        <v>-1</v>
      </c>
      <c r="GJ31">
        <v>0</v>
      </c>
      <c r="GK31">
        <v>100</v>
      </c>
      <c r="GL31">
        <v>25.985399999999998</v>
      </c>
      <c r="GM31">
        <v>432.1</v>
      </c>
      <c r="GN31">
        <v>63.216500000000003</v>
      </c>
      <c r="GO31">
        <v>102.663</v>
      </c>
      <c r="GP31">
        <v>96.605500000000006</v>
      </c>
    </row>
    <row r="32" spans="1:198" x14ac:dyDescent="0.35">
      <c r="A32">
        <v>16</v>
      </c>
      <c r="B32">
        <v>1775504491.0999999</v>
      </c>
      <c r="C32">
        <v>900.09999990463257</v>
      </c>
      <c r="D32" t="s">
        <v>379</v>
      </c>
      <c r="E32" t="s">
        <v>380</v>
      </c>
      <c r="F32">
        <v>60</v>
      </c>
      <c r="G32">
        <v>1775504483.099999</v>
      </c>
      <c r="H32">
        <f t="shared" si="0"/>
        <v>9.2223479405161024E-4</v>
      </c>
      <c r="I32">
        <f t="shared" si="1"/>
        <v>0.92223479405161024</v>
      </c>
      <c r="J32">
        <f t="shared" si="2"/>
        <v>0.21430916758035967</v>
      </c>
      <c r="K32">
        <f t="shared" si="3"/>
        <v>52.22920645161291</v>
      </c>
      <c r="L32">
        <f t="shared" si="4"/>
        <v>36.696779448711226</v>
      </c>
      <c r="M32">
        <f t="shared" si="5"/>
        <v>3.6766309326812259</v>
      </c>
      <c r="N32">
        <f t="shared" si="6"/>
        <v>5.2328165826589386</v>
      </c>
      <c r="O32">
        <f t="shared" si="7"/>
        <v>2.6438239343412984E-2</v>
      </c>
      <c r="P32">
        <f t="shared" si="8"/>
        <v>2.3920686362636672</v>
      </c>
      <c r="Q32">
        <f t="shared" si="9"/>
        <v>2.6276970918229003E-2</v>
      </c>
      <c r="R32">
        <f t="shared" si="10"/>
        <v>1.643751402655709E-2</v>
      </c>
      <c r="S32">
        <f t="shared" si="11"/>
        <v>0</v>
      </c>
      <c r="T32">
        <f t="shared" si="12"/>
        <v>25.012522910338312</v>
      </c>
      <c r="U32">
        <f t="shared" si="13"/>
        <v>25.346429032258069</v>
      </c>
      <c r="V32">
        <f t="shared" si="14"/>
        <v>3.245945639627497</v>
      </c>
      <c r="W32">
        <f t="shared" si="15"/>
        <v>-6.7098053168133331</v>
      </c>
      <c r="X32">
        <f t="shared" si="16"/>
        <v>-0.21722447718947285</v>
      </c>
      <c r="Y32">
        <f t="shared" si="17"/>
        <v>3.2374184783745497</v>
      </c>
      <c r="Z32">
        <f t="shared" si="18"/>
        <v>3.4631701168169697</v>
      </c>
      <c r="AA32">
        <f t="shared" si="19"/>
        <v>-40.670554417676009</v>
      </c>
      <c r="AB32">
        <f t="shared" si="20"/>
        <v>-5.7038292658326215</v>
      </c>
      <c r="AC32">
        <f t="shared" si="21"/>
        <v>-0.50602275259820373</v>
      </c>
      <c r="AD32">
        <f t="shared" si="22"/>
        <v>-46.880406436106838</v>
      </c>
      <c r="AE32">
        <v>19</v>
      </c>
      <c r="AF32">
        <v>4</v>
      </c>
      <c r="AG32">
        <f t="shared" si="23"/>
        <v>1</v>
      </c>
      <c r="AH32">
        <f t="shared" si="24"/>
        <v>0</v>
      </c>
      <c r="AI32">
        <f t="shared" si="25"/>
        <v>25723.873087512144</v>
      </c>
      <c r="AJ32">
        <f t="shared" si="26"/>
        <v>0</v>
      </c>
      <c r="AK32">
        <f t="shared" si="27"/>
        <v>0</v>
      </c>
      <c r="AL32">
        <f t="shared" si="28"/>
        <v>0</v>
      </c>
      <c r="AM32">
        <f t="shared" si="29"/>
        <v>0</v>
      </c>
      <c r="AN32">
        <v>3</v>
      </c>
      <c r="AO32">
        <v>0.5</v>
      </c>
      <c r="AP32" t="s">
        <v>331</v>
      </c>
      <c r="AQ32">
        <v>2</v>
      </c>
      <c r="AR32">
        <v>1775504483.099999</v>
      </c>
      <c r="AS32">
        <v>52.22920645161291</v>
      </c>
      <c r="AT32">
        <v>52.386690322580662</v>
      </c>
      <c r="AU32">
        <v>-2.168136774193548</v>
      </c>
      <c r="AV32">
        <v>-2.7226696774193559</v>
      </c>
      <c r="AW32">
        <v>44.392206451612907</v>
      </c>
      <c r="AX32">
        <v>-1.166136774193548</v>
      </c>
      <c r="AY32">
        <v>500.00693548387102</v>
      </c>
      <c r="AZ32">
        <v>100.1518709677419</v>
      </c>
      <c r="BA32">
        <v>3.7600367741935488E-2</v>
      </c>
      <c r="BB32">
        <v>25.302199999999988</v>
      </c>
      <c r="BC32">
        <v>25.346429032258069</v>
      </c>
      <c r="BD32">
        <v>999.90000000000032</v>
      </c>
      <c r="BE32">
        <v>0</v>
      </c>
      <c r="BF32">
        <v>0</v>
      </c>
      <c r="BG32">
        <v>5002.8064516129034</v>
      </c>
      <c r="BH32">
        <v>0.39418596774193548</v>
      </c>
      <c r="BI32">
        <v>0.22961599999999999</v>
      </c>
      <c r="BJ32">
        <v>-0.1768867935483871</v>
      </c>
      <c r="BK32">
        <v>52.096996774193542</v>
      </c>
      <c r="BL32">
        <v>52.244445161290322</v>
      </c>
      <c r="BM32">
        <v>0.55734119354838707</v>
      </c>
      <c r="BN32">
        <v>52.386690322580662</v>
      </c>
      <c r="BO32">
        <v>-2.7226696774193559</v>
      </c>
      <c r="BP32">
        <v>-0.21686187096774201</v>
      </c>
      <c r="BQ32">
        <v>-0.27268061290322582</v>
      </c>
      <c r="BR32">
        <v>-99.900000000000034</v>
      </c>
      <c r="BS32">
        <v>-99.900000000000034</v>
      </c>
      <c r="BT32">
        <v>0</v>
      </c>
      <c r="BU32">
        <v>0</v>
      </c>
      <c r="BV32">
        <v>0</v>
      </c>
      <c r="BW32">
        <v>24</v>
      </c>
      <c r="BX32">
        <v>-0.99139793548387101</v>
      </c>
      <c r="BY32">
        <v>1775504510.0999999</v>
      </c>
      <c r="BZ32" t="s">
        <v>381</v>
      </c>
      <c r="CA32">
        <v>1775504506.0999999</v>
      </c>
      <c r="CB32">
        <v>1775504510.0999999</v>
      </c>
      <c r="CC32">
        <v>19</v>
      </c>
      <c r="CD32">
        <v>0.02</v>
      </c>
      <c r="CE32">
        <v>-3.0000000000000001E-3</v>
      </c>
      <c r="CF32">
        <v>7.8369999999999997</v>
      </c>
      <c r="CG32">
        <v>-1.002</v>
      </c>
      <c r="CH32">
        <v>53</v>
      </c>
      <c r="CI32">
        <v>-3</v>
      </c>
      <c r="CJ32">
        <v>0.27</v>
      </c>
      <c r="CK32">
        <v>0.09</v>
      </c>
      <c r="CL32">
        <v>52.24440327868853</v>
      </c>
      <c r="CM32">
        <v>1.1532736118455591</v>
      </c>
      <c r="CN32">
        <v>0.2470515423538461</v>
      </c>
      <c r="CO32">
        <v>-1</v>
      </c>
      <c r="CP32">
        <v>499.99960655737698</v>
      </c>
      <c r="CQ32">
        <v>-2.440613432108852E-2</v>
      </c>
      <c r="CR32">
        <v>5.3308652356037947E-2</v>
      </c>
      <c r="CS32">
        <v>-1</v>
      </c>
      <c r="CT32">
        <v>0</v>
      </c>
      <c r="CU32">
        <v>0</v>
      </c>
      <c r="CV32" t="s">
        <v>333</v>
      </c>
      <c r="CW32">
        <v>3.1672899999999999</v>
      </c>
      <c r="CX32">
        <v>2.6589700000000001</v>
      </c>
      <c r="CY32">
        <v>1.3266099999999999E-2</v>
      </c>
      <c r="CZ32">
        <v>1.56185E-2</v>
      </c>
      <c r="DA32">
        <v>-1.0408199999999999E-2</v>
      </c>
      <c r="DB32">
        <v>-2.7118E-2</v>
      </c>
      <c r="DC32">
        <v>21395.8</v>
      </c>
      <c r="DD32">
        <v>21649</v>
      </c>
      <c r="DE32">
        <v>23210.6</v>
      </c>
      <c r="DF32">
        <v>22340.3</v>
      </c>
      <c r="DG32">
        <v>30232.3</v>
      </c>
      <c r="DH32">
        <v>27362.1</v>
      </c>
      <c r="DI32">
        <v>40776.5</v>
      </c>
      <c r="DJ32">
        <v>37025.4</v>
      </c>
      <c r="DK32">
        <v>2.10392</v>
      </c>
      <c r="DL32">
        <v>1.87032</v>
      </c>
      <c r="DM32">
        <v>2.2012E-2</v>
      </c>
      <c r="DN32">
        <v>0</v>
      </c>
      <c r="DO32">
        <v>24.9877</v>
      </c>
      <c r="DP32">
        <v>999.9</v>
      </c>
      <c r="DQ32">
        <v>85</v>
      </c>
      <c r="DR32">
        <v>26.4</v>
      </c>
      <c r="DS32">
        <v>29.321100000000001</v>
      </c>
      <c r="DT32">
        <v>30.758199999999999</v>
      </c>
      <c r="DU32">
        <v>8.6017600000000005</v>
      </c>
      <c r="DV32">
        <v>1</v>
      </c>
      <c r="DW32">
        <v>4.4786600000000003E-2</v>
      </c>
      <c r="DX32">
        <v>-0.16542699999999999</v>
      </c>
      <c r="DY32">
        <v>20.367999999999999</v>
      </c>
      <c r="DZ32">
        <v>5.2129799999999999</v>
      </c>
      <c r="EA32">
        <v>11.8482</v>
      </c>
      <c r="EB32">
        <v>4.9683999999999999</v>
      </c>
      <c r="EC32">
        <v>3.2919999999999998</v>
      </c>
      <c r="ED32">
        <v>894.7</v>
      </c>
      <c r="EE32">
        <v>0</v>
      </c>
      <c r="EF32">
        <v>9999</v>
      </c>
      <c r="EG32">
        <v>113.2</v>
      </c>
      <c r="EH32">
        <v>4.97166</v>
      </c>
      <c r="EI32">
        <v>1.87178</v>
      </c>
      <c r="EJ32">
        <v>1.8689</v>
      </c>
      <c r="EK32">
        <v>1.8713299999999999</v>
      </c>
      <c r="EL32">
        <v>1.86903</v>
      </c>
      <c r="EM32">
        <v>1.86798</v>
      </c>
      <c r="EN32">
        <v>1.86981</v>
      </c>
      <c r="EO32">
        <v>1.87164</v>
      </c>
      <c r="EP32">
        <v>0</v>
      </c>
      <c r="EQ32">
        <v>0</v>
      </c>
      <c r="ER32">
        <v>0</v>
      </c>
      <c r="ES32">
        <v>0</v>
      </c>
      <c r="ET32" t="s">
        <v>334</v>
      </c>
      <c r="EU32" t="s">
        <v>335</v>
      </c>
      <c r="EV32" t="s">
        <v>336</v>
      </c>
      <c r="EW32" t="s">
        <v>336</v>
      </c>
      <c r="EX32" t="s">
        <v>336</v>
      </c>
      <c r="EY32" t="s">
        <v>336</v>
      </c>
      <c r="EZ32">
        <v>0</v>
      </c>
      <c r="FA32">
        <v>100</v>
      </c>
      <c r="FB32">
        <v>100</v>
      </c>
      <c r="FC32">
        <v>7.8369999999999997</v>
      </c>
      <c r="FD32">
        <v>-1.002</v>
      </c>
      <c r="FE32">
        <v>7.8175999999999988</v>
      </c>
      <c r="FF32">
        <v>0</v>
      </c>
      <c r="FG32">
        <v>0</v>
      </c>
      <c r="FH32">
        <v>0</v>
      </c>
      <c r="FI32">
        <v>-0.99919099999999972</v>
      </c>
      <c r="FJ32">
        <v>0</v>
      </c>
      <c r="FK32">
        <v>0</v>
      </c>
      <c r="FL32">
        <v>0</v>
      </c>
      <c r="FM32">
        <v>-1</v>
      </c>
      <c r="FN32">
        <v>-1</v>
      </c>
      <c r="FO32">
        <v>-1</v>
      </c>
      <c r="FP32">
        <v>-1</v>
      </c>
      <c r="FQ32">
        <v>0.7</v>
      </c>
      <c r="FR32">
        <v>0.7</v>
      </c>
      <c r="FS32">
        <v>0.144043</v>
      </c>
      <c r="FT32">
        <v>4.99756</v>
      </c>
      <c r="FU32">
        <v>1.5979000000000001</v>
      </c>
      <c r="FV32">
        <v>2.17041</v>
      </c>
      <c r="FW32">
        <v>1.5478499999999999</v>
      </c>
      <c r="FX32">
        <v>2.2802699999999998</v>
      </c>
      <c r="FY32">
        <v>31.041899999999998</v>
      </c>
      <c r="FZ32">
        <v>16.215900000000001</v>
      </c>
      <c r="GA32">
        <v>3</v>
      </c>
      <c r="GB32">
        <v>491.08199999999999</v>
      </c>
      <c r="GC32">
        <v>432.15300000000002</v>
      </c>
      <c r="GD32">
        <v>25.9695</v>
      </c>
      <c r="GE32">
        <v>27.786000000000001</v>
      </c>
      <c r="GF32">
        <v>30.0002</v>
      </c>
      <c r="GG32">
        <v>28.032699999999998</v>
      </c>
      <c r="GH32">
        <v>28.070699999999999</v>
      </c>
      <c r="GI32">
        <v>-1</v>
      </c>
      <c r="GJ32">
        <v>0</v>
      </c>
      <c r="GK32">
        <v>100</v>
      </c>
      <c r="GL32">
        <v>25.967700000000001</v>
      </c>
      <c r="GM32">
        <v>432.1</v>
      </c>
      <c r="GN32">
        <v>63.216500000000003</v>
      </c>
      <c r="GO32">
        <v>102.655</v>
      </c>
      <c r="GP32">
        <v>96.6113</v>
      </c>
    </row>
    <row r="33" spans="1:198" x14ac:dyDescent="0.35">
      <c r="A33">
        <v>17</v>
      </c>
      <c r="B33">
        <v>1775504551.0999999</v>
      </c>
      <c r="C33">
        <v>960.09999990463257</v>
      </c>
      <c r="D33" t="s">
        <v>382</v>
      </c>
      <c r="E33" t="s">
        <v>383</v>
      </c>
      <c r="F33">
        <v>60</v>
      </c>
      <c r="G33">
        <v>1775504543.099999</v>
      </c>
      <c r="H33">
        <f t="shared" si="0"/>
        <v>9.0480231685437684E-4</v>
      </c>
      <c r="I33">
        <f t="shared" si="1"/>
        <v>0.90480231685437684</v>
      </c>
      <c r="J33">
        <f t="shared" si="2"/>
        <v>-0.17313450593528737</v>
      </c>
      <c r="K33">
        <f t="shared" si="3"/>
        <v>52.135093548387097</v>
      </c>
      <c r="L33">
        <f t="shared" si="4"/>
        <v>59.732706883814387</v>
      </c>
      <c r="M33">
        <f t="shared" si="5"/>
        <v>5.9845082283474378</v>
      </c>
      <c r="N33">
        <f t="shared" si="6"/>
        <v>5.2233175525237847</v>
      </c>
      <c r="O33">
        <f t="shared" si="7"/>
        <v>2.5936126663288508E-2</v>
      </c>
      <c r="P33">
        <f t="shared" si="8"/>
        <v>2.3889071410090876</v>
      </c>
      <c r="Q33">
        <f t="shared" si="9"/>
        <v>2.5780702161864833E-2</v>
      </c>
      <c r="R33">
        <f t="shared" si="10"/>
        <v>1.6126825362081536E-2</v>
      </c>
      <c r="S33">
        <f t="shared" si="11"/>
        <v>0</v>
      </c>
      <c r="T33">
        <f t="shared" si="12"/>
        <v>25.014671735210626</v>
      </c>
      <c r="U33">
        <f t="shared" si="13"/>
        <v>25.345503225806439</v>
      </c>
      <c r="V33">
        <f t="shared" si="14"/>
        <v>3.2457669473681232</v>
      </c>
      <c r="W33">
        <f t="shared" si="15"/>
        <v>-6.7134174051300164</v>
      </c>
      <c r="X33">
        <f t="shared" si="16"/>
        <v>-0.21730288390728744</v>
      </c>
      <c r="Y33">
        <f t="shared" si="17"/>
        <v>3.2368445278143558</v>
      </c>
      <c r="Z33">
        <f t="shared" si="18"/>
        <v>3.4630698312754107</v>
      </c>
      <c r="AA33">
        <f t="shared" si="19"/>
        <v>-39.901782173278022</v>
      </c>
      <c r="AB33">
        <f t="shared" si="20"/>
        <v>-5.9609350003436719</v>
      </c>
      <c r="AC33">
        <f t="shared" si="21"/>
        <v>-0.5295216869778081</v>
      </c>
      <c r="AD33">
        <f t="shared" si="22"/>
        <v>-46.392238860599505</v>
      </c>
      <c r="AE33">
        <v>19</v>
      </c>
      <c r="AF33">
        <v>4</v>
      </c>
      <c r="AG33">
        <f t="shared" si="23"/>
        <v>1</v>
      </c>
      <c r="AH33">
        <f t="shared" si="24"/>
        <v>0</v>
      </c>
      <c r="AI33">
        <f t="shared" si="25"/>
        <v>25675.797651140234</v>
      </c>
      <c r="AJ33">
        <f t="shared" si="26"/>
        <v>0</v>
      </c>
      <c r="AK33">
        <f t="shared" si="27"/>
        <v>0</v>
      </c>
      <c r="AL33">
        <f t="shared" si="28"/>
        <v>0</v>
      </c>
      <c r="AM33">
        <f t="shared" si="29"/>
        <v>0</v>
      </c>
      <c r="AN33">
        <v>3</v>
      </c>
      <c r="AO33">
        <v>0.5</v>
      </c>
      <c r="AP33" t="s">
        <v>331</v>
      </c>
      <c r="AQ33">
        <v>2</v>
      </c>
      <c r="AR33">
        <v>1775504543.099999</v>
      </c>
      <c r="AS33">
        <v>52.135093548387097</v>
      </c>
      <c r="AT33">
        <v>52.059516129032268</v>
      </c>
      <c r="AU33">
        <v>-2.1689483870967741</v>
      </c>
      <c r="AV33">
        <v>-2.7130064516129031</v>
      </c>
      <c r="AW33">
        <v>44.262093548387099</v>
      </c>
      <c r="AX33">
        <v>-1.165948387096774</v>
      </c>
      <c r="AY33">
        <v>500.00074193548392</v>
      </c>
      <c r="AZ33">
        <v>100.1507096774194</v>
      </c>
      <c r="BA33">
        <v>3.7420754838709692E-2</v>
      </c>
      <c r="BB33">
        <v>25.299219354838701</v>
      </c>
      <c r="BC33">
        <v>25.345503225806439</v>
      </c>
      <c r="BD33">
        <v>999.90000000000032</v>
      </c>
      <c r="BE33">
        <v>0</v>
      </c>
      <c r="BF33">
        <v>0</v>
      </c>
      <c r="BG33">
        <v>4994.7258064516127</v>
      </c>
      <c r="BH33">
        <v>0.40022870967741941</v>
      </c>
      <c r="BI33">
        <v>0.22961599999999999</v>
      </c>
      <c r="BJ33">
        <v>3.9966590161290311E-2</v>
      </c>
      <c r="BK33">
        <v>51.986783870967749</v>
      </c>
      <c r="BL33">
        <v>51.918664516129027</v>
      </c>
      <c r="BM33">
        <v>0.5450280322580644</v>
      </c>
      <c r="BN33">
        <v>52.059516129032268</v>
      </c>
      <c r="BO33">
        <v>-2.7130064516129031</v>
      </c>
      <c r="BP33">
        <v>-0.21712461290322579</v>
      </c>
      <c r="BQ33">
        <v>-0.27170961290322582</v>
      </c>
      <c r="BR33">
        <v>-99.900000000000034</v>
      </c>
      <c r="BS33">
        <v>-99.900000000000034</v>
      </c>
      <c r="BT33">
        <v>0</v>
      </c>
      <c r="BU33">
        <v>0</v>
      </c>
      <c r="BV33">
        <v>0</v>
      </c>
      <c r="BW33">
        <v>24</v>
      </c>
      <c r="BX33">
        <v>-1</v>
      </c>
      <c r="BY33">
        <v>1775504571.0999999</v>
      </c>
      <c r="BZ33" t="s">
        <v>384</v>
      </c>
      <c r="CA33">
        <v>1775504565.5999999</v>
      </c>
      <c r="CB33">
        <v>1775504571.0999999</v>
      </c>
      <c r="CC33">
        <v>20</v>
      </c>
      <c r="CD33">
        <v>3.5999999999999997E-2</v>
      </c>
      <c r="CE33">
        <v>-1E-3</v>
      </c>
      <c r="CF33">
        <v>7.8730000000000002</v>
      </c>
      <c r="CG33">
        <v>-1.0029999999999999</v>
      </c>
      <c r="CH33">
        <v>53</v>
      </c>
      <c r="CI33">
        <v>-3</v>
      </c>
      <c r="CJ33">
        <v>0.33</v>
      </c>
      <c r="CK33">
        <v>0.16</v>
      </c>
      <c r="CL33">
        <v>52.151709836065578</v>
      </c>
      <c r="CM33">
        <v>-0.38406916975148209</v>
      </c>
      <c r="CN33">
        <v>0.14004089649147891</v>
      </c>
      <c r="CO33">
        <v>-1</v>
      </c>
      <c r="CP33">
        <v>500.01162295081969</v>
      </c>
      <c r="CQ33">
        <v>-2.7280803808503892E-2</v>
      </c>
      <c r="CR33">
        <v>5.4995130614379932E-2</v>
      </c>
      <c r="CS33">
        <v>-1</v>
      </c>
      <c r="CT33">
        <v>0</v>
      </c>
      <c r="CU33">
        <v>0</v>
      </c>
      <c r="CV33" t="s">
        <v>333</v>
      </c>
      <c r="CW33">
        <v>3.1673100000000001</v>
      </c>
      <c r="CX33">
        <v>2.6589299999999998</v>
      </c>
      <c r="CY33">
        <v>1.3199300000000001E-2</v>
      </c>
      <c r="CZ33">
        <v>1.55406E-2</v>
      </c>
      <c r="DA33">
        <v>-1.0405299999999999E-2</v>
      </c>
      <c r="DB33">
        <v>-2.70554E-2</v>
      </c>
      <c r="DC33">
        <v>21396.1</v>
      </c>
      <c r="DD33">
        <v>21652.400000000001</v>
      </c>
      <c r="DE33">
        <v>23209.4</v>
      </c>
      <c r="DF33">
        <v>22342.1</v>
      </c>
      <c r="DG33">
        <v>30231</v>
      </c>
      <c r="DH33">
        <v>27361.8</v>
      </c>
      <c r="DI33">
        <v>40774.9</v>
      </c>
      <c r="DJ33">
        <v>37027.300000000003</v>
      </c>
      <c r="DK33">
        <v>2.1036199999999998</v>
      </c>
      <c r="DL33">
        <v>1.8698600000000001</v>
      </c>
      <c r="DM33">
        <v>2.2017999999999999E-2</v>
      </c>
      <c r="DN33">
        <v>0</v>
      </c>
      <c r="DO33">
        <v>24.986999999999998</v>
      </c>
      <c r="DP33">
        <v>999.9</v>
      </c>
      <c r="DQ33">
        <v>84.9</v>
      </c>
      <c r="DR33">
        <v>26.5</v>
      </c>
      <c r="DS33">
        <v>29.460799999999999</v>
      </c>
      <c r="DT33">
        <v>30.548200000000001</v>
      </c>
      <c r="DU33">
        <v>8.4495199999999997</v>
      </c>
      <c r="DV33">
        <v>1</v>
      </c>
      <c r="DW33">
        <v>4.6367899999999997E-2</v>
      </c>
      <c r="DX33">
        <v>-0.17286499999999999</v>
      </c>
      <c r="DY33">
        <v>20.368099999999998</v>
      </c>
      <c r="DZ33">
        <v>5.2111799999999997</v>
      </c>
      <c r="EA33">
        <v>11.8482</v>
      </c>
      <c r="EB33">
        <v>4.9686399999999997</v>
      </c>
      <c r="EC33">
        <v>3.2919999999999998</v>
      </c>
      <c r="ED33">
        <v>894.7</v>
      </c>
      <c r="EE33">
        <v>0</v>
      </c>
      <c r="EF33">
        <v>9999</v>
      </c>
      <c r="EG33">
        <v>113.3</v>
      </c>
      <c r="EH33">
        <v>4.9716399999999998</v>
      </c>
      <c r="EI33">
        <v>1.8717900000000001</v>
      </c>
      <c r="EJ33">
        <v>1.8688899999999999</v>
      </c>
      <c r="EK33">
        <v>1.87134</v>
      </c>
      <c r="EL33">
        <v>1.8690500000000001</v>
      </c>
      <c r="EM33">
        <v>1.8680000000000001</v>
      </c>
      <c r="EN33">
        <v>1.86981</v>
      </c>
      <c r="EO33">
        <v>1.87164</v>
      </c>
      <c r="EP33">
        <v>0</v>
      </c>
      <c r="EQ33">
        <v>0</v>
      </c>
      <c r="ER33">
        <v>0</v>
      </c>
      <c r="ES33">
        <v>0</v>
      </c>
      <c r="ET33" t="s">
        <v>334</v>
      </c>
      <c r="EU33" t="s">
        <v>335</v>
      </c>
      <c r="EV33" t="s">
        <v>336</v>
      </c>
      <c r="EW33" t="s">
        <v>336</v>
      </c>
      <c r="EX33" t="s">
        <v>336</v>
      </c>
      <c r="EY33" t="s">
        <v>336</v>
      </c>
      <c r="EZ33">
        <v>0</v>
      </c>
      <c r="FA33">
        <v>100</v>
      </c>
      <c r="FB33">
        <v>100</v>
      </c>
      <c r="FC33">
        <v>7.8730000000000002</v>
      </c>
      <c r="FD33">
        <v>-1.0029999999999999</v>
      </c>
      <c r="FE33">
        <v>7.8373899999999992</v>
      </c>
      <c r="FF33">
        <v>0</v>
      </c>
      <c r="FG33">
        <v>0</v>
      </c>
      <c r="FH33">
        <v>0</v>
      </c>
      <c r="FI33">
        <v>-1.0020294999999999</v>
      </c>
      <c r="FJ33">
        <v>0</v>
      </c>
      <c r="FK33">
        <v>0</v>
      </c>
      <c r="FL33">
        <v>0</v>
      </c>
      <c r="FM33">
        <v>-1</v>
      </c>
      <c r="FN33">
        <v>-1</v>
      </c>
      <c r="FO33">
        <v>-1</v>
      </c>
      <c r="FP33">
        <v>-1</v>
      </c>
      <c r="FQ33">
        <v>0.8</v>
      </c>
      <c r="FR33">
        <v>0.7</v>
      </c>
      <c r="FS33">
        <v>0.144043</v>
      </c>
      <c r="FT33">
        <v>4.99756</v>
      </c>
      <c r="FU33">
        <v>1.5979000000000001</v>
      </c>
      <c r="FV33">
        <v>2.1716299999999999</v>
      </c>
      <c r="FW33">
        <v>1.5478499999999999</v>
      </c>
      <c r="FX33">
        <v>2.4121100000000002</v>
      </c>
      <c r="FY33">
        <v>31.0853</v>
      </c>
      <c r="FZ33">
        <v>16.215900000000001</v>
      </c>
      <c r="GA33">
        <v>3</v>
      </c>
      <c r="GB33">
        <v>491.14499999999998</v>
      </c>
      <c r="GC33">
        <v>432.113</v>
      </c>
      <c r="GD33">
        <v>25.972100000000001</v>
      </c>
      <c r="GE33">
        <v>27.806699999999999</v>
      </c>
      <c r="GF33">
        <v>30.000299999999999</v>
      </c>
      <c r="GG33">
        <v>28.0623</v>
      </c>
      <c r="GH33">
        <v>28.102499999999999</v>
      </c>
      <c r="GI33">
        <v>-1</v>
      </c>
      <c r="GJ33">
        <v>0</v>
      </c>
      <c r="GK33">
        <v>100</v>
      </c>
      <c r="GL33">
        <v>25.970099999999999</v>
      </c>
      <c r="GM33">
        <v>432.1</v>
      </c>
      <c r="GN33">
        <v>63.216500000000003</v>
      </c>
      <c r="GO33">
        <v>102.65</v>
      </c>
      <c r="GP33">
        <v>96.6173</v>
      </c>
    </row>
    <row r="34" spans="1:198" x14ac:dyDescent="0.35">
      <c r="A34">
        <v>18</v>
      </c>
      <c r="B34">
        <v>1775504611.0999999</v>
      </c>
      <c r="C34">
        <v>1020.099999904633</v>
      </c>
      <c r="D34" t="s">
        <v>385</v>
      </c>
      <c r="E34" t="s">
        <v>386</v>
      </c>
      <c r="F34">
        <v>60</v>
      </c>
      <c r="G34">
        <v>1775504603.099999</v>
      </c>
      <c r="H34">
        <f t="shared" si="0"/>
        <v>9.0472979149130669E-4</v>
      </c>
      <c r="I34">
        <f t="shared" si="1"/>
        <v>0.90472979149130672</v>
      </c>
      <c r="J34">
        <f t="shared" si="2"/>
        <v>0.36725248516917336</v>
      </c>
      <c r="K34">
        <f t="shared" si="3"/>
        <v>52.977270967741937</v>
      </c>
      <c r="L34">
        <f t="shared" si="4"/>
        <v>27.926778014566242</v>
      </c>
      <c r="M34">
        <f t="shared" si="5"/>
        <v>2.7979003082164224</v>
      </c>
      <c r="N34">
        <f t="shared" si="6"/>
        <v>5.3076342244636239</v>
      </c>
      <c r="O34">
        <f t="shared" si="7"/>
        <v>2.5927392196747837E-2</v>
      </c>
      <c r="P34">
        <f t="shared" si="8"/>
        <v>2.390132856459517</v>
      </c>
      <c r="Q34">
        <f t="shared" si="9"/>
        <v>2.5772151160526693E-2</v>
      </c>
      <c r="R34">
        <f t="shared" si="10"/>
        <v>1.6121464659690846E-2</v>
      </c>
      <c r="S34">
        <f t="shared" si="11"/>
        <v>0</v>
      </c>
      <c r="T34">
        <f t="shared" si="12"/>
        <v>25.015770713513099</v>
      </c>
      <c r="U34">
        <f t="shared" si="13"/>
        <v>25.349138709677419</v>
      </c>
      <c r="V34">
        <f t="shared" si="14"/>
        <v>3.2464686907566684</v>
      </c>
      <c r="W34">
        <f t="shared" si="15"/>
        <v>-6.7167469221951173</v>
      </c>
      <c r="X34">
        <f t="shared" si="16"/>
        <v>-0.21742283727521303</v>
      </c>
      <c r="Y34">
        <f t="shared" si="17"/>
        <v>3.2370258965207004</v>
      </c>
      <c r="Z34">
        <f t="shared" si="18"/>
        <v>3.4638915280318816</v>
      </c>
      <c r="AA34">
        <f t="shared" si="19"/>
        <v>-39.898583804766623</v>
      </c>
      <c r="AB34">
        <f t="shared" si="20"/>
        <v>-6.3110756146763176</v>
      </c>
      <c r="AC34">
        <f t="shared" si="21"/>
        <v>-0.56035076814837115</v>
      </c>
      <c r="AD34">
        <f t="shared" si="22"/>
        <v>-46.770010187591311</v>
      </c>
      <c r="AE34">
        <v>19</v>
      </c>
      <c r="AF34">
        <v>4</v>
      </c>
      <c r="AG34">
        <f t="shared" si="23"/>
        <v>1</v>
      </c>
      <c r="AH34">
        <f t="shared" si="24"/>
        <v>0</v>
      </c>
      <c r="AI34">
        <f t="shared" si="25"/>
        <v>25694.516038734404</v>
      </c>
      <c r="AJ34">
        <f t="shared" si="26"/>
        <v>0</v>
      </c>
      <c r="AK34">
        <f t="shared" si="27"/>
        <v>0</v>
      </c>
      <c r="AL34">
        <f t="shared" si="28"/>
        <v>0</v>
      </c>
      <c r="AM34">
        <f t="shared" si="29"/>
        <v>0</v>
      </c>
      <c r="AN34">
        <v>3</v>
      </c>
      <c r="AO34">
        <v>0.5</v>
      </c>
      <c r="AP34" t="s">
        <v>331</v>
      </c>
      <c r="AQ34">
        <v>2</v>
      </c>
      <c r="AR34">
        <v>1775504603.099999</v>
      </c>
      <c r="AS34">
        <v>52.977270967741937</v>
      </c>
      <c r="AT34">
        <v>53.226383870967737</v>
      </c>
      <c r="AU34">
        <v>-2.1701700000000002</v>
      </c>
      <c r="AV34">
        <v>-2.7141932258064521</v>
      </c>
      <c r="AW34">
        <v>45.120270967741938</v>
      </c>
      <c r="AX34">
        <v>-1.16717</v>
      </c>
      <c r="AY34">
        <v>499.99329032258072</v>
      </c>
      <c r="AZ34">
        <v>100.1496129032258</v>
      </c>
      <c r="BA34">
        <v>3.7394232258064507E-2</v>
      </c>
      <c r="BB34">
        <v>25.300161290322581</v>
      </c>
      <c r="BC34">
        <v>25.349138709677419</v>
      </c>
      <c r="BD34">
        <v>999.90000000000032</v>
      </c>
      <c r="BE34">
        <v>0</v>
      </c>
      <c r="BF34">
        <v>0</v>
      </c>
      <c r="BG34">
        <v>4997.9354838709678</v>
      </c>
      <c r="BH34">
        <v>0.38083961290322582</v>
      </c>
      <c r="BI34">
        <v>0.22961599999999999</v>
      </c>
      <c r="BJ34">
        <v>-0.2331997419354839</v>
      </c>
      <c r="BK34">
        <v>52.878422580645157</v>
      </c>
      <c r="BL34">
        <v>53.082300000000011</v>
      </c>
      <c r="BM34">
        <v>0.54410299999999989</v>
      </c>
      <c r="BN34">
        <v>53.226383870967737</v>
      </c>
      <c r="BO34">
        <v>-2.7141932258064521</v>
      </c>
      <c r="BP34">
        <v>-0.2173337096774193</v>
      </c>
      <c r="BQ34">
        <v>-0.27182538709677417</v>
      </c>
      <c r="BR34">
        <v>-99.900000000000034</v>
      </c>
      <c r="BS34">
        <v>-99.900000000000034</v>
      </c>
      <c r="BT34">
        <v>0</v>
      </c>
      <c r="BU34">
        <v>0</v>
      </c>
      <c r="BV34">
        <v>0</v>
      </c>
      <c r="BW34">
        <v>24</v>
      </c>
      <c r="BX34">
        <v>-1</v>
      </c>
      <c r="BY34">
        <v>1775504635.0999999</v>
      </c>
      <c r="BZ34" t="s">
        <v>387</v>
      </c>
      <c r="CA34">
        <v>1775504635.0999999</v>
      </c>
      <c r="CB34">
        <v>1775504631.5999999</v>
      </c>
      <c r="CC34">
        <v>21</v>
      </c>
      <c r="CD34">
        <v>-1.6E-2</v>
      </c>
      <c r="CE34">
        <v>0</v>
      </c>
      <c r="CF34">
        <v>7.8570000000000002</v>
      </c>
      <c r="CG34">
        <v>-1.0029999999999999</v>
      </c>
      <c r="CH34">
        <v>54</v>
      </c>
      <c r="CI34">
        <v>-3</v>
      </c>
      <c r="CJ34">
        <v>0.28000000000000003</v>
      </c>
      <c r="CK34">
        <v>0.15</v>
      </c>
      <c r="CL34">
        <v>53.093531666666657</v>
      </c>
      <c r="CM34">
        <v>0.97957443734378069</v>
      </c>
      <c r="CN34">
        <v>0.1563735053130447</v>
      </c>
      <c r="CO34">
        <v>-1</v>
      </c>
      <c r="CP34">
        <v>500.00098333333341</v>
      </c>
      <c r="CQ34">
        <v>-8.2219505418048955E-2</v>
      </c>
      <c r="CR34">
        <v>4.993645684489597E-2</v>
      </c>
      <c r="CS34">
        <v>-1</v>
      </c>
      <c r="CT34">
        <v>0</v>
      </c>
      <c r="CU34">
        <v>0</v>
      </c>
      <c r="CV34" t="s">
        <v>333</v>
      </c>
      <c r="CW34">
        <v>3.1672400000000001</v>
      </c>
      <c r="CX34">
        <v>2.65882</v>
      </c>
      <c r="CY34">
        <v>1.3527300000000001E-2</v>
      </c>
      <c r="CZ34">
        <v>1.5930300000000001E-2</v>
      </c>
      <c r="DA34">
        <v>-1.04338E-2</v>
      </c>
      <c r="DB34">
        <v>-2.7029500000000001E-2</v>
      </c>
      <c r="DC34">
        <v>21387.1</v>
      </c>
      <c r="DD34">
        <v>21644.6</v>
      </c>
      <c r="DE34">
        <v>23207.5</v>
      </c>
      <c r="DF34">
        <v>22342.9</v>
      </c>
      <c r="DG34">
        <v>30229.7</v>
      </c>
      <c r="DH34">
        <v>27361.9</v>
      </c>
      <c r="DI34">
        <v>40772.1</v>
      </c>
      <c r="DJ34">
        <v>37028.199999999997</v>
      </c>
      <c r="DK34">
        <v>2.1036199999999998</v>
      </c>
      <c r="DL34">
        <v>1.8690599999999999</v>
      </c>
      <c r="DM34">
        <v>2.23041E-2</v>
      </c>
      <c r="DN34">
        <v>0</v>
      </c>
      <c r="DO34">
        <v>24.9877</v>
      </c>
      <c r="DP34">
        <v>999.9</v>
      </c>
      <c r="DQ34">
        <v>84.8</v>
      </c>
      <c r="DR34">
        <v>26.5</v>
      </c>
      <c r="DS34">
        <v>29.427</v>
      </c>
      <c r="DT34">
        <v>30.728200000000001</v>
      </c>
      <c r="DU34">
        <v>8.6538500000000003</v>
      </c>
      <c r="DV34">
        <v>1</v>
      </c>
      <c r="DW34">
        <v>4.7802799999999999E-2</v>
      </c>
      <c r="DX34">
        <v>-0.15965099999999999</v>
      </c>
      <c r="DY34">
        <v>20.368099999999998</v>
      </c>
      <c r="DZ34">
        <v>5.2111799999999997</v>
      </c>
      <c r="EA34">
        <v>11.8482</v>
      </c>
      <c r="EB34">
        <v>4.9677600000000002</v>
      </c>
      <c r="EC34">
        <v>3.2919999999999998</v>
      </c>
      <c r="ED34">
        <v>894.7</v>
      </c>
      <c r="EE34">
        <v>0</v>
      </c>
      <c r="EF34">
        <v>9999</v>
      </c>
      <c r="EG34">
        <v>113.3</v>
      </c>
      <c r="EH34">
        <v>4.97166</v>
      </c>
      <c r="EI34">
        <v>1.8717699999999999</v>
      </c>
      <c r="EJ34">
        <v>1.8689</v>
      </c>
      <c r="EK34">
        <v>1.87134</v>
      </c>
      <c r="EL34">
        <v>1.86904</v>
      </c>
      <c r="EM34">
        <v>1.86799</v>
      </c>
      <c r="EN34">
        <v>1.86982</v>
      </c>
      <c r="EO34">
        <v>1.87164</v>
      </c>
      <c r="EP34">
        <v>0</v>
      </c>
      <c r="EQ34">
        <v>0</v>
      </c>
      <c r="ER34">
        <v>0</v>
      </c>
      <c r="ES34">
        <v>0</v>
      </c>
      <c r="ET34" t="s">
        <v>334</v>
      </c>
      <c r="EU34" t="s">
        <v>335</v>
      </c>
      <c r="EV34" t="s">
        <v>336</v>
      </c>
      <c r="EW34" t="s">
        <v>336</v>
      </c>
      <c r="EX34" t="s">
        <v>336</v>
      </c>
      <c r="EY34" t="s">
        <v>336</v>
      </c>
      <c r="EZ34">
        <v>0</v>
      </c>
      <c r="FA34">
        <v>100</v>
      </c>
      <c r="FB34">
        <v>100</v>
      </c>
      <c r="FC34">
        <v>7.8570000000000002</v>
      </c>
      <c r="FD34">
        <v>-1.0029999999999999</v>
      </c>
      <c r="FE34">
        <v>7.8729047619047492</v>
      </c>
      <c r="FF34">
        <v>0</v>
      </c>
      <c r="FG34">
        <v>0</v>
      </c>
      <c r="FH34">
        <v>0</v>
      </c>
      <c r="FI34">
        <v>-1.00292</v>
      </c>
      <c r="FJ34">
        <v>0</v>
      </c>
      <c r="FK34">
        <v>0</v>
      </c>
      <c r="FL34">
        <v>0</v>
      </c>
      <c r="FM34">
        <v>-1</v>
      </c>
      <c r="FN34">
        <v>-1</v>
      </c>
      <c r="FO34">
        <v>-1</v>
      </c>
      <c r="FP34">
        <v>-1</v>
      </c>
      <c r="FQ34">
        <v>0.8</v>
      </c>
      <c r="FR34">
        <v>0.7</v>
      </c>
      <c r="FS34">
        <v>0.144043</v>
      </c>
      <c r="FT34">
        <v>4.99756</v>
      </c>
      <c r="FU34">
        <v>1.5979000000000001</v>
      </c>
      <c r="FV34">
        <v>2.17041</v>
      </c>
      <c r="FW34">
        <v>1.5478499999999999</v>
      </c>
      <c r="FX34">
        <v>2.3010299999999999</v>
      </c>
      <c r="FY34">
        <v>31.128699999999998</v>
      </c>
      <c r="FZ34">
        <v>16.2072</v>
      </c>
      <c r="GA34">
        <v>3</v>
      </c>
      <c r="GB34">
        <v>491.36</v>
      </c>
      <c r="GC34">
        <v>431.84899999999999</v>
      </c>
      <c r="GD34">
        <v>25.953499999999998</v>
      </c>
      <c r="GE34">
        <v>27.8279</v>
      </c>
      <c r="GF34">
        <v>30.0002</v>
      </c>
      <c r="GG34">
        <v>28.089700000000001</v>
      </c>
      <c r="GH34">
        <v>28.131499999999999</v>
      </c>
      <c r="GI34">
        <v>-1</v>
      </c>
      <c r="GJ34">
        <v>0</v>
      </c>
      <c r="GK34">
        <v>100</v>
      </c>
      <c r="GL34">
        <v>25.953900000000001</v>
      </c>
      <c r="GM34">
        <v>432.1</v>
      </c>
      <c r="GN34">
        <v>63.216500000000003</v>
      </c>
      <c r="GO34">
        <v>102.643</v>
      </c>
      <c r="GP34">
        <v>96.620199999999997</v>
      </c>
    </row>
    <row r="35" spans="1:198" x14ac:dyDescent="0.35">
      <c r="A35">
        <v>19</v>
      </c>
      <c r="B35">
        <v>1775504671.0999999</v>
      </c>
      <c r="C35">
        <v>1080.099999904633</v>
      </c>
      <c r="D35" t="s">
        <v>388</v>
      </c>
      <c r="E35" t="s">
        <v>389</v>
      </c>
      <c r="F35">
        <v>60</v>
      </c>
      <c r="G35">
        <v>1775504663.099999</v>
      </c>
      <c r="H35">
        <f t="shared" si="0"/>
        <v>9.2557530075877475E-4</v>
      </c>
      <c r="I35">
        <f t="shared" si="1"/>
        <v>0.9255753007587747</v>
      </c>
      <c r="J35">
        <f t="shared" si="2"/>
        <v>0.29562433297702273</v>
      </c>
      <c r="K35">
        <f t="shared" si="3"/>
        <v>54.051661290322578</v>
      </c>
      <c r="L35">
        <f t="shared" si="4"/>
        <v>33.670030342160317</v>
      </c>
      <c r="M35">
        <f t="shared" si="5"/>
        <v>3.3732963226132422</v>
      </c>
      <c r="N35">
        <f t="shared" si="6"/>
        <v>5.4152689620083958</v>
      </c>
      <c r="O35">
        <f t="shared" si="7"/>
        <v>2.6533165854369583E-2</v>
      </c>
      <c r="P35">
        <f t="shared" si="8"/>
        <v>2.3933050751554448</v>
      </c>
      <c r="Q35">
        <f t="shared" si="9"/>
        <v>2.6370824479252972E-2</v>
      </c>
      <c r="R35">
        <f t="shared" si="10"/>
        <v>1.6496268104846664E-2</v>
      </c>
      <c r="S35">
        <f t="shared" si="11"/>
        <v>0</v>
      </c>
      <c r="T35">
        <f t="shared" si="12"/>
        <v>25.009843448660082</v>
      </c>
      <c r="U35">
        <f t="shared" si="13"/>
        <v>25.34546774193549</v>
      </c>
      <c r="V35">
        <f t="shared" si="14"/>
        <v>3.2457600987069108</v>
      </c>
      <c r="W35">
        <f t="shared" si="15"/>
        <v>-6.7190991917927576</v>
      </c>
      <c r="X35">
        <f t="shared" si="16"/>
        <v>-0.21750248662213892</v>
      </c>
      <c r="Y35">
        <f t="shared" si="17"/>
        <v>3.2370780727245965</v>
      </c>
      <c r="Z35">
        <f t="shared" si="18"/>
        <v>3.46326258532905</v>
      </c>
      <c r="AA35">
        <f t="shared" si="19"/>
        <v>-40.817870763461968</v>
      </c>
      <c r="AB35">
        <f t="shared" si="20"/>
        <v>-5.8108322525810463</v>
      </c>
      <c r="AC35">
        <f t="shared" si="21"/>
        <v>-0.51524226621266278</v>
      </c>
      <c r="AD35">
        <f t="shared" si="22"/>
        <v>-47.143945282255672</v>
      </c>
      <c r="AE35">
        <v>19</v>
      </c>
      <c r="AF35">
        <v>4</v>
      </c>
      <c r="AG35">
        <f t="shared" si="23"/>
        <v>1</v>
      </c>
      <c r="AH35">
        <f t="shared" si="24"/>
        <v>0</v>
      </c>
      <c r="AI35">
        <f t="shared" si="25"/>
        <v>25743.033749694998</v>
      </c>
      <c r="AJ35">
        <f t="shared" si="26"/>
        <v>0</v>
      </c>
      <c r="AK35">
        <f t="shared" si="27"/>
        <v>0</v>
      </c>
      <c r="AL35">
        <f t="shared" si="28"/>
        <v>0</v>
      </c>
      <c r="AM35">
        <f t="shared" si="29"/>
        <v>0</v>
      </c>
      <c r="AN35">
        <v>3</v>
      </c>
      <c r="AO35">
        <v>0.5</v>
      </c>
      <c r="AP35" t="s">
        <v>331</v>
      </c>
      <c r="AQ35">
        <v>2</v>
      </c>
      <c r="AR35">
        <v>1775504663.099999</v>
      </c>
      <c r="AS35">
        <v>54.051661290322578</v>
      </c>
      <c r="AT35">
        <v>54.259054838709673</v>
      </c>
      <c r="AU35">
        <v>-2.1709670967741941</v>
      </c>
      <c r="AV35">
        <v>-2.727522258064516</v>
      </c>
      <c r="AW35">
        <v>46.257661290322588</v>
      </c>
      <c r="AX35">
        <v>-1.1689670967741941</v>
      </c>
      <c r="AY35">
        <v>499.99609677419352</v>
      </c>
      <c r="AZ35">
        <v>100.1497419354839</v>
      </c>
      <c r="BA35">
        <v>3.716874838709678E-2</v>
      </c>
      <c r="BB35">
        <v>25.300432258064511</v>
      </c>
      <c r="BC35">
        <v>25.34546774193549</v>
      </c>
      <c r="BD35">
        <v>999.90000000000032</v>
      </c>
      <c r="BE35">
        <v>0</v>
      </c>
      <c r="BF35">
        <v>0</v>
      </c>
      <c r="BG35">
        <v>5006.0967741935483</v>
      </c>
      <c r="BH35">
        <v>0.39011690322580661</v>
      </c>
      <c r="BI35">
        <v>0.22961599999999999</v>
      </c>
      <c r="BJ35">
        <v>-0.14476693548387101</v>
      </c>
      <c r="BK35">
        <v>53.997025806451617</v>
      </c>
      <c r="BL35">
        <v>54.11146451612904</v>
      </c>
      <c r="BM35">
        <v>0.55571432258064524</v>
      </c>
      <c r="BN35">
        <v>54.259054838709673</v>
      </c>
      <c r="BO35">
        <v>-2.727522258064516</v>
      </c>
      <c r="BP35">
        <v>-0.2175063225806452</v>
      </c>
      <c r="BQ35">
        <v>-0.27316093548387088</v>
      </c>
      <c r="BR35">
        <v>-99.900000000000034</v>
      </c>
      <c r="BS35">
        <v>-99.900000000000034</v>
      </c>
      <c r="BT35">
        <v>0</v>
      </c>
      <c r="BU35">
        <v>0</v>
      </c>
      <c r="BV35">
        <v>0</v>
      </c>
      <c r="BW35">
        <v>24</v>
      </c>
      <c r="BX35">
        <v>-1</v>
      </c>
      <c r="BY35">
        <v>1775504691.0999999</v>
      </c>
      <c r="BZ35" t="s">
        <v>390</v>
      </c>
      <c r="CA35">
        <v>1775504686.0999999</v>
      </c>
      <c r="CB35">
        <v>1775504691.0999999</v>
      </c>
      <c r="CC35">
        <v>22</v>
      </c>
      <c r="CD35">
        <v>-6.3E-2</v>
      </c>
      <c r="CE35">
        <v>1E-3</v>
      </c>
      <c r="CF35">
        <v>7.7939999999999996</v>
      </c>
      <c r="CG35">
        <v>-1.002</v>
      </c>
      <c r="CH35">
        <v>54</v>
      </c>
      <c r="CI35">
        <v>-3</v>
      </c>
      <c r="CJ35">
        <v>0.3</v>
      </c>
      <c r="CK35">
        <v>0.13</v>
      </c>
      <c r="CL35">
        <v>54.215027868852452</v>
      </c>
      <c r="CM35">
        <v>0.30122474881011291</v>
      </c>
      <c r="CN35">
        <v>5.0644725685114939E-2</v>
      </c>
      <c r="CO35">
        <v>-1</v>
      </c>
      <c r="CP35">
        <v>500.26975409836058</v>
      </c>
      <c r="CQ35">
        <v>-2.995602326811428</v>
      </c>
      <c r="CR35">
        <v>0.90286775633756411</v>
      </c>
      <c r="CS35">
        <v>-1</v>
      </c>
      <c r="CT35">
        <v>0</v>
      </c>
      <c r="CU35">
        <v>0</v>
      </c>
      <c r="CV35" t="s">
        <v>333</v>
      </c>
      <c r="CW35">
        <v>3.1674600000000002</v>
      </c>
      <c r="CX35">
        <v>2.6584500000000002</v>
      </c>
      <c r="CY35">
        <v>1.3821099999999999E-2</v>
      </c>
      <c r="CZ35">
        <v>1.6163E-2</v>
      </c>
      <c r="DA35">
        <v>-1.0438599999999999E-2</v>
      </c>
      <c r="DB35">
        <v>-2.72103E-2</v>
      </c>
      <c r="DC35">
        <v>21379.4</v>
      </c>
      <c r="DD35">
        <v>21641.1</v>
      </c>
      <c r="DE35">
        <v>23206.1</v>
      </c>
      <c r="DF35">
        <v>22344.7</v>
      </c>
      <c r="DG35">
        <v>30228</v>
      </c>
      <c r="DH35">
        <v>27368.1</v>
      </c>
      <c r="DI35">
        <v>40769.699999999997</v>
      </c>
      <c r="DJ35">
        <v>37030.1</v>
      </c>
      <c r="DK35">
        <v>2.10338</v>
      </c>
      <c r="DL35">
        <v>1.8682399999999999</v>
      </c>
      <c r="DM35">
        <v>2.18391E-2</v>
      </c>
      <c r="DN35">
        <v>0</v>
      </c>
      <c r="DO35">
        <v>24.985600000000002</v>
      </c>
      <c r="DP35">
        <v>999.9</v>
      </c>
      <c r="DQ35">
        <v>84.7</v>
      </c>
      <c r="DR35">
        <v>26.5</v>
      </c>
      <c r="DS35">
        <v>29.3931</v>
      </c>
      <c r="DT35">
        <v>30.758199999999999</v>
      </c>
      <c r="DU35">
        <v>8.7219499999999996</v>
      </c>
      <c r="DV35">
        <v>1</v>
      </c>
      <c r="DW35">
        <v>4.9172800000000003E-2</v>
      </c>
      <c r="DX35">
        <v>-0.16362699999999999</v>
      </c>
      <c r="DY35">
        <v>20.3674</v>
      </c>
      <c r="DZ35">
        <v>5.2080700000000002</v>
      </c>
      <c r="EA35">
        <v>11.8482</v>
      </c>
      <c r="EB35">
        <v>4.9674399999999999</v>
      </c>
      <c r="EC35">
        <v>3.2915199999999998</v>
      </c>
      <c r="ED35">
        <v>894.7</v>
      </c>
      <c r="EE35">
        <v>0</v>
      </c>
      <c r="EF35">
        <v>9999</v>
      </c>
      <c r="EG35">
        <v>113.3</v>
      </c>
      <c r="EH35">
        <v>4.9716699999999996</v>
      </c>
      <c r="EI35">
        <v>1.8717900000000001</v>
      </c>
      <c r="EJ35">
        <v>1.8688899999999999</v>
      </c>
      <c r="EK35">
        <v>1.87134</v>
      </c>
      <c r="EL35">
        <v>1.8690500000000001</v>
      </c>
      <c r="EM35">
        <v>1.86798</v>
      </c>
      <c r="EN35">
        <v>1.8698399999999999</v>
      </c>
      <c r="EO35">
        <v>1.87165</v>
      </c>
      <c r="EP35">
        <v>0</v>
      </c>
      <c r="EQ35">
        <v>0</v>
      </c>
      <c r="ER35">
        <v>0</v>
      </c>
      <c r="ES35">
        <v>0</v>
      </c>
      <c r="ET35" t="s">
        <v>334</v>
      </c>
      <c r="EU35" t="s">
        <v>335</v>
      </c>
      <c r="EV35" t="s">
        <v>336</v>
      </c>
      <c r="EW35" t="s">
        <v>336</v>
      </c>
      <c r="EX35" t="s">
        <v>336</v>
      </c>
      <c r="EY35" t="s">
        <v>336</v>
      </c>
      <c r="EZ35">
        <v>0</v>
      </c>
      <c r="FA35">
        <v>100</v>
      </c>
      <c r="FB35">
        <v>100</v>
      </c>
      <c r="FC35">
        <v>7.7939999999999996</v>
      </c>
      <c r="FD35">
        <v>-1.002</v>
      </c>
      <c r="FE35">
        <v>7.856624999999994</v>
      </c>
      <c r="FF35">
        <v>0</v>
      </c>
      <c r="FG35">
        <v>0</v>
      </c>
      <c r="FH35">
        <v>0</v>
      </c>
      <c r="FI35">
        <v>-1.002841904761905</v>
      </c>
      <c r="FJ35">
        <v>0</v>
      </c>
      <c r="FK35">
        <v>0</v>
      </c>
      <c r="FL35">
        <v>0</v>
      </c>
      <c r="FM35">
        <v>-1</v>
      </c>
      <c r="FN35">
        <v>-1</v>
      </c>
      <c r="FO35">
        <v>-1</v>
      </c>
      <c r="FP35">
        <v>-1</v>
      </c>
      <c r="FQ35">
        <v>0.6</v>
      </c>
      <c r="FR35">
        <v>0.7</v>
      </c>
      <c r="FS35">
        <v>0.144043</v>
      </c>
      <c r="FT35">
        <v>4.99756</v>
      </c>
      <c r="FU35">
        <v>1.5979000000000001</v>
      </c>
      <c r="FV35">
        <v>2.17041</v>
      </c>
      <c r="FW35">
        <v>1.5478499999999999</v>
      </c>
      <c r="FX35">
        <v>2.4157700000000002</v>
      </c>
      <c r="FY35">
        <v>31.1722</v>
      </c>
      <c r="FZ35">
        <v>16.2072</v>
      </c>
      <c r="GA35">
        <v>3</v>
      </c>
      <c r="GB35">
        <v>491.423</v>
      </c>
      <c r="GC35">
        <v>431.55599999999998</v>
      </c>
      <c r="GD35">
        <v>25.963100000000001</v>
      </c>
      <c r="GE35">
        <v>27.846800000000002</v>
      </c>
      <c r="GF35">
        <v>30.0002</v>
      </c>
      <c r="GG35">
        <v>28.114999999999998</v>
      </c>
      <c r="GH35">
        <v>28.158100000000001</v>
      </c>
      <c r="GI35">
        <v>-1</v>
      </c>
      <c r="GJ35">
        <v>0</v>
      </c>
      <c r="GK35">
        <v>100</v>
      </c>
      <c r="GL35">
        <v>25.962399999999999</v>
      </c>
      <c r="GM35">
        <v>432.1</v>
      </c>
      <c r="GN35">
        <v>63.216500000000003</v>
      </c>
      <c r="GO35">
        <v>102.636</v>
      </c>
      <c r="GP35">
        <v>96.626099999999994</v>
      </c>
    </row>
    <row r="36" spans="1:198" x14ac:dyDescent="0.35">
      <c r="A36">
        <v>20</v>
      </c>
      <c r="B36">
        <v>1775504731.0999999</v>
      </c>
      <c r="C36">
        <v>1140.099999904633</v>
      </c>
      <c r="D36" t="s">
        <v>391</v>
      </c>
      <c r="E36" t="s">
        <v>392</v>
      </c>
      <c r="F36">
        <v>60</v>
      </c>
      <c r="G36">
        <v>1775504723.099999</v>
      </c>
      <c r="H36">
        <f t="shared" si="0"/>
        <v>9.2344478126032178E-4</v>
      </c>
      <c r="I36">
        <f t="shared" si="1"/>
        <v>0.92344478126032181</v>
      </c>
      <c r="J36">
        <f t="shared" si="2"/>
        <v>0.55705348604854676</v>
      </c>
      <c r="K36">
        <f t="shared" si="3"/>
        <v>52.998783870967728</v>
      </c>
      <c r="L36">
        <f t="shared" si="4"/>
        <v>17.188613667021237</v>
      </c>
      <c r="M36">
        <f t="shared" si="5"/>
        <v>1.7220808868604709</v>
      </c>
      <c r="N36">
        <f t="shared" si="6"/>
        <v>5.3098053455092389</v>
      </c>
      <c r="O36">
        <f t="shared" si="7"/>
        <v>2.6475970679129664E-2</v>
      </c>
      <c r="P36">
        <f t="shared" si="8"/>
        <v>2.387994048522291</v>
      </c>
      <c r="Q36">
        <f t="shared" si="9"/>
        <v>2.6313969006360894E-2</v>
      </c>
      <c r="R36">
        <f t="shared" si="10"/>
        <v>1.6460703081688635E-2</v>
      </c>
      <c r="S36">
        <f t="shared" si="11"/>
        <v>0</v>
      </c>
      <c r="T36">
        <f t="shared" si="12"/>
        <v>25.007122710509382</v>
      </c>
      <c r="U36">
        <f t="shared" si="13"/>
        <v>25.3409935483871</v>
      </c>
      <c r="V36">
        <f t="shared" si="14"/>
        <v>3.2448966459462794</v>
      </c>
      <c r="W36">
        <f t="shared" si="15"/>
        <v>-6.7323660006793888</v>
      </c>
      <c r="X36">
        <f t="shared" si="16"/>
        <v>-0.21789568995320821</v>
      </c>
      <c r="Y36">
        <f t="shared" si="17"/>
        <v>3.2365395751095454</v>
      </c>
      <c r="Z36">
        <f t="shared" si="18"/>
        <v>3.4627923358994877</v>
      </c>
      <c r="AA36">
        <f t="shared" si="19"/>
        <v>-40.72391485358019</v>
      </c>
      <c r="AB36">
        <f t="shared" si="20"/>
        <v>-5.5819837866763837</v>
      </c>
      <c r="AC36">
        <f t="shared" si="21"/>
        <v>-0.49603310036903303</v>
      </c>
      <c r="AD36">
        <f t="shared" si="22"/>
        <v>-46.801931740625605</v>
      </c>
      <c r="AE36">
        <v>19</v>
      </c>
      <c r="AF36">
        <v>4</v>
      </c>
      <c r="AG36">
        <f t="shared" si="23"/>
        <v>1</v>
      </c>
      <c r="AH36">
        <f t="shared" si="24"/>
        <v>0</v>
      </c>
      <c r="AI36">
        <f t="shared" si="25"/>
        <v>25661.984895566722</v>
      </c>
      <c r="AJ36">
        <f t="shared" si="26"/>
        <v>0</v>
      </c>
      <c r="AK36">
        <f t="shared" si="27"/>
        <v>0</v>
      </c>
      <c r="AL36">
        <f t="shared" si="28"/>
        <v>0</v>
      </c>
      <c r="AM36">
        <f t="shared" si="29"/>
        <v>0</v>
      </c>
      <c r="AN36">
        <v>3</v>
      </c>
      <c r="AO36">
        <v>0.5</v>
      </c>
      <c r="AP36" t="s">
        <v>331</v>
      </c>
      <c r="AQ36">
        <v>2</v>
      </c>
      <c r="AR36">
        <v>1775504723.099999</v>
      </c>
      <c r="AS36">
        <v>52.998783870967728</v>
      </c>
      <c r="AT36">
        <v>53.362380645161288</v>
      </c>
      <c r="AU36">
        <v>-2.1748832258064521</v>
      </c>
      <c r="AV36">
        <v>-2.7301548387096779</v>
      </c>
      <c r="AW36">
        <v>45.166783870967727</v>
      </c>
      <c r="AX36">
        <v>-1.1708832258064521</v>
      </c>
      <c r="AY36">
        <v>500.00025806451612</v>
      </c>
      <c r="AZ36">
        <v>100.1501612903226</v>
      </c>
      <c r="BA36">
        <v>3.7144109677419358E-2</v>
      </c>
      <c r="BB36">
        <v>25.29763548387097</v>
      </c>
      <c r="BC36">
        <v>25.3409935483871</v>
      </c>
      <c r="BD36">
        <v>999.90000000000032</v>
      </c>
      <c r="BE36">
        <v>0</v>
      </c>
      <c r="BF36">
        <v>0</v>
      </c>
      <c r="BG36">
        <v>4992.4032258064517</v>
      </c>
      <c r="BH36">
        <v>0.40830274193548388</v>
      </c>
      <c r="BI36">
        <v>0.22961599999999999</v>
      </c>
      <c r="BJ36">
        <v>-0.40201338709677409</v>
      </c>
      <c r="BK36">
        <v>52.845535483870982</v>
      </c>
      <c r="BL36">
        <v>53.217090322580653</v>
      </c>
      <c r="BM36">
        <v>0.55706919354838713</v>
      </c>
      <c r="BN36">
        <v>53.362380645161288</v>
      </c>
      <c r="BO36">
        <v>-2.7301548387096779</v>
      </c>
      <c r="BP36">
        <v>-0.21763503225806449</v>
      </c>
      <c r="BQ36">
        <v>-0.27342545161290321</v>
      </c>
      <c r="BR36">
        <v>-99.900000000000034</v>
      </c>
      <c r="BS36">
        <v>-99.900000000000034</v>
      </c>
      <c r="BT36">
        <v>0</v>
      </c>
      <c r="BU36">
        <v>0</v>
      </c>
      <c r="BV36">
        <v>0</v>
      </c>
      <c r="BW36">
        <v>24</v>
      </c>
      <c r="BX36">
        <v>-0.99139793548387123</v>
      </c>
      <c r="BY36">
        <v>1775504750.0999999</v>
      </c>
      <c r="BZ36" t="s">
        <v>393</v>
      </c>
      <c r="CA36">
        <v>1775504746.5999999</v>
      </c>
      <c r="CB36">
        <v>1775504750.0999999</v>
      </c>
      <c r="CC36">
        <v>23</v>
      </c>
      <c r="CD36">
        <v>3.7999999999999999E-2</v>
      </c>
      <c r="CE36">
        <v>-2E-3</v>
      </c>
      <c r="CF36">
        <v>7.8319999999999999</v>
      </c>
      <c r="CG36">
        <v>-1.004</v>
      </c>
      <c r="CH36">
        <v>54</v>
      </c>
      <c r="CI36">
        <v>-3</v>
      </c>
      <c r="CJ36">
        <v>0.5</v>
      </c>
      <c r="CK36">
        <v>0.12</v>
      </c>
      <c r="CL36">
        <v>53.073048333333332</v>
      </c>
      <c r="CM36">
        <v>2.1631712142261472</v>
      </c>
      <c r="CN36">
        <v>0.31944405482633231</v>
      </c>
      <c r="CO36">
        <v>-1</v>
      </c>
      <c r="CP36">
        <v>500.00713333333329</v>
      </c>
      <c r="CQ36">
        <v>-9.0378438454134125E-2</v>
      </c>
      <c r="CR36">
        <v>5.8015649229805018E-2</v>
      </c>
      <c r="CS36">
        <v>-1</v>
      </c>
      <c r="CT36">
        <v>0</v>
      </c>
      <c r="CU36">
        <v>0</v>
      </c>
      <c r="CV36" t="s">
        <v>333</v>
      </c>
      <c r="CW36">
        <v>3.1673499999999999</v>
      </c>
      <c r="CX36">
        <v>2.6585299999999998</v>
      </c>
      <c r="CY36">
        <v>1.35526E-2</v>
      </c>
      <c r="CZ36">
        <v>1.59065E-2</v>
      </c>
      <c r="DA36">
        <v>-1.04323E-2</v>
      </c>
      <c r="DB36">
        <v>-2.7113399999999999E-2</v>
      </c>
      <c r="DC36">
        <v>21383.7</v>
      </c>
      <c r="DD36">
        <v>21647.8</v>
      </c>
      <c r="DE36">
        <v>23204.5</v>
      </c>
      <c r="DF36">
        <v>22345.8</v>
      </c>
      <c r="DG36">
        <v>30226.1</v>
      </c>
      <c r="DH36">
        <v>27366.799999999999</v>
      </c>
      <c r="DI36">
        <v>40767.199999999997</v>
      </c>
      <c r="DJ36">
        <v>37031.9</v>
      </c>
      <c r="DK36">
        <v>2.1032000000000002</v>
      </c>
      <c r="DL36">
        <v>1.8675999999999999</v>
      </c>
      <c r="DM36">
        <v>2.22802E-2</v>
      </c>
      <c r="DN36">
        <v>0</v>
      </c>
      <c r="DO36">
        <v>24.981400000000001</v>
      </c>
      <c r="DP36">
        <v>999.9</v>
      </c>
      <c r="DQ36">
        <v>84.6</v>
      </c>
      <c r="DR36">
        <v>26.6</v>
      </c>
      <c r="DS36">
        <v>29.533100000000001</v>
      </c>
      <c r="DT36">
        <v>30.908200000000001</v>
      </c>
      <c r="DU36">
        <v>8.5056100000000008</v>
      </c>
      <c r="DV36">
        <v>1</v>
      </c>
      <c r="DW36">
        <v>5.0245900000000003E-2</v>
      </c>
      <c r="DX36">
        <v>-0.176704</v>
      </c>
      <c r="DY36">
        <v>20.368200000000002</v>
      </c>
      <c r="DZ36">
        <v>5.2112999999999996</v>
      </c>
      <c r="EA36">
        <v>11.8482</v>
      </c>
      <c r="EB36">
        <v>4.9677199999999999</v>
      </c>
      <c r="EC36">
        <v>3.2919999999999998</v>
      </c>
      <c r="ED36">
        <v>894.7</v>
      </c>
      <c r="EE36">
        <v>0</v>
      </c>
      <c r="EF36">
        <v>9999</v>
      </c>
      <c r="EG36">
        <v>113.3</v>
      </c>
      <c r="EH36">
        <v>4.97166</v>
      </c>
      <c r="EI36">
        <v>1.87178</v>
      </c>
      <c r="EJ36">
        <v>1.8689</v>
      </c>
      <c r="EK36">
        <v>1.87134</v>
      </c>
      <c r="EL36">
        <v>1.8690500000000001</v>
      </c>
      <c r="EM36">
        <v>1.86799</v>
      </c>
      <c r="EN36">
        <v>1.8698300000000001</v>
      </c>
      <c r="EO36">
        <v>1.87164</v>
      </c>
      <c r="EP36">
        <v>0</v>
      </c>
      <c r="EQ36">
        <v>0</v>
      </c>
      <c r="ER36">
        <v>0</v>
      </c>
      <c r="ES36">
        <v>0</v>
      </c>
      <c r="ET36" t="s">
        <v>334</v>
      </c>
      <c r="EU36" t="s">
        <v>335</v>
      </c>
      <c r="EV36" t="s">
        <v>336</v>
      </c>
      <c r="EW36" t="s">
        <v>336</v>
      </c>
      <c r="EX36" t="s">
        <v>336</v>
      </c>
      <c r="EY36" t="s">
        <v>336</v>
      </c>
      <c r="EZ36">
        <v>0</v>
      </c>
      <c r="FA36">
        <v>100</v>
      </c>
      <c r="FB36">
        <v>100</v>
      </c>
      <c r="FC36">
        <v>7.8319999999999999</v>
      </c>
      <c r="FD36">
        <v>-1.004</v>
      </c>
      <c r="FE36">
        <v>7.7935750000000041</v>
      </c>
      <c r="FF36">
        <v>0</v>
      </c>
      <c r="FG36">
        <v>0</v>
      </c>
      <c r="FH36">
        <v>0</v>
      </c>
      <c r="FI36">
        <v>-1.0022030000000011</v>
      </c>
      <c r="FJ36">
        <v>0</v>
      </c>
      <c r="FK36">
        <v>0</v>
      </c>
      <c r="FL36">
        <v>0</v>
      </c>
      <c r="FM36">
        <v>-1</v>
      </c>
      <c r="FN36">
        <v>-1</v>
      </c>
      <c r="FO36">
        <v>-1</v>
      </c>
      <c r="FP36">
        <v>-1</v>
      </c>
      <c r="FQ36">
        <v>0.8</v>
      </c>
      <c r="FR36">
        <v>0.7</v>
      </c>
      <c r="FS36">
        <v>0.144043</v>
      </c>
      <c r="FT36">
        <v>4.99756</v>
      </c>
      <c r="FU36">
        <v>1.5979000000000001</v>
      </c>
      <c r="FV36">
        <v>2.17041</v>
      </c>
      <c r="FW36">
        <v>1.5478499999999999</v>
      </c>
      <c r="FX36">
        <v>2.2912599999999999</v>
      </c>
      <c r="FY36">
        <v>31.215599999999998</v>
      </c>
      <c r="FZ36">
        <v>16.198399999999999</v>
      </c>
      <c r="GA36">
        <v>3</v>
      </c>
      <c r="GB36">
        <v>491.488</v>
      </c>
      <c r="GC36">
        <v>431.346</v>
      </c>
      <c r="GD36">
        <v>25.971900000000002</v>
      </c>
      <c r="GE36">
        <v>27.863099999999999</v>
      </c>
      <c r="GF36">
        <v>30.0002</v>
      </c>
      <c r="GG36">
        <v>28.136199999999999</v>
      </c>
      <c r="GH36">
        <v>28.1815</v>
      </c>
      <c r="GI36">
        <v>-1</v>
      </c>
      <c r="GJ36">
        <v>0</v>
      </c>
      <c r="GK36">
        <v>100</v>
      </c>
      <c r="GL36">
        <v>25.9727</v>
      </c>
      <c r="GM36">
        <v>432.1</v>
      </c>
      <c r="GN36">
        <v>63.216500000000003</v>
      </c>
      <c r="GO36">
        <v>102.63</v>
      </c>
      <c r="GP36">
        <v>96.630799999999994</v>
      </c>
    </row>
    <row r="37" spans="1:198" x14ac:dyDescent="0.35">
      <c r="A37">
        <v>21</v>
      </c>
      <c r="B37">
        <v>1775504791.0999999</v>
      </c>
      <c r="C37">
        <v>1200.099999904633</v>
      </c>
      <c r="D37" t="s">
        <v>394</v>
      </c>
      <c r="E37" t="s">
        <v>395</v>
      </c>
      <c r="F37">
        <v>60</v>
      </c>
      <c r="G37">
        <v>1775504783.099999</v>
      </c>
      <c r="H37">
        <f t="shared" si="0"/>
        <v>9.261277086920148E-4</v>
      </c>
      <c r="I37">
        <f t="shared" si="1"/>
        <v>0.92612770869201477</v>
      </c>
      <c r="J37">
        <f t="shared" si="2"/>
        <v>0.28776901444042347</v>
      </c>
      <c r="K37">
        <f t="shared" si="3"/>
        <v>54.534974193548393</v>
      </c>
      <c r="L37">
        <f t="shared" si="4"/>
        <v>34.594743126271268</v>
      </c>
      <c r="M37">
        <f t="shared" si="5"/>
        <v>3.4659188193478974</v>
      </c>
      <c r="N37">
        <f t="shared" si="6"/>
        <v>5.4636565064284035</v>
      </c>
      <c r="O37">
        <f t="shared" si="7"/>
        <v>2.6541647165623586E-2</v>
      </c>
      <c r="P37">
        <f t="shared" si="8"/>
        <v>2.3902199726034277</v>
      </c>
      <c r="Q37">
        <f t="shared" si="9"/>
        <v>2.6378994048305477E-2</v>
      </c>
      <c r="R37">
        <f t="shared" si="10"/>
        <v>1.6501401802674318E-2</v>
      </c>
      <c r="S37">
        <f t="shared" si="11"/>
        <v>0</v>
      </c>
      <c r="T37">
        <f t="shared" si="12"/>
        <v>25.013329502936116</v>
      </c>
      <c r="U37">
        <f t="shared" si="13"/>
        <v>25.350170967741931</v>
      </c>
      <c r="V37">
        <f t="shared" si="14"/>
        <v>3.2466679676989179</v>
      </c>
      <c r="W37">
        <f t="shared" si="15"/>
        <v>-6.7190085853584343</v>
      </c>
      <c r="X37">
        <f t="shared" si="16"/>
        <v>-0.21755135226722883</v>
      </c>
      <c r="Y37">
        <f t="shared" si="17"/>
        <v>3.2378489996470705</v>
      </c>
      <c r="Z37">
        <f t="shared" si="18"/>
        <v>3.4642193199661468</v>
      </c>
      <c r="AA37">
        <f t="shared" si="19"/>
        <v>-40.84223195331785</v>
      </c>
      <c r="AB37">
        <f t="shared" si="20"/>
        <v>-5.8935448459762609</v>
      </c>
      <c r="AC37">
        <f t="shared" si="21"/>
        <v>-0.52327373767998209</v>
      </c>
      <c r="AD37">
        <f t="shared" si="22"/>
        <v>-47.259050536974087</v>
      </c>
      <c r="AE37">
        <v>19</v>
      </c>
      <c r="AF37">
        <v>4</v>
      </c>
      <c r="AG37">
        <f t="shared" si="23"/>
        <v>1</v>
      </c>
      <c r="AH37">
        <f t="shared" si="24"/>
        <v>0</v>
      </c>
      <c r="AI37">
        <f t="shared" si="25"/>
        <v>25695.508089093561</v>
      </c>
      <c r="AJ37">
        <f t="shared" si="26"/>
        <v>0</v>
      </c>
      <c r="AK37">
        <f t="shared" si="27"/>
        <v>0</v>
      </c>
      <c r="AL37">
        <f t="shared" si="28"/>
        <v>0</v>
      </c>
      <c r="AM37">
        <f t="shared" si="29"/>
        <v>0</v>
      </c>
      <c r="AN37">
        <v>3</v>
      </c>
      <c r="AO37">
        <v>0.5</v>
      </c>
      <c r="AP37" t="s">
        <v>331</v>
      </c>
      <c r="AQ37">
        <v>2</v>
      </c>
      <c r="AR37">
        <v>1775504783.099999</v>
      </c>
      <c r="AS37">
        <v>54.534974193548393</v>
      </c>
      <c r="AT37">
        <v>54.73794516129032</v>
      </c>
      <c r="AU37">
        <v>-2.1714683870967741</v>
      </c>
      <c r="AV37">
        <v>-2.7283674193548388</v>
      </c>
      <c r="AW37">
        <v>46.717974193548393</v>
      </c>
      <c r="AX37">
        <v>-1.1694683870967739</v>
      </c>
      <c r="AY37">
        <v>499.98583870967741</v>
      </c>
      <c r="AZ37">
        <v>100.148935483871</v>
      </c>
      <c r="BA37">
        <v>3.7350238709677422E-2</v>
      </c>
      <c r="BB37">
        <v>25.304435483870972</v>
      </c>
      <c r="BC37">
        <v>25.350170967741931</v>
      </c>
      <c r="BD37">
        <v>999.90000000000032</v>
      </c>
      <c r="BE37">
        <v>0</v>
      </c>
      <c r="BF37">
        <v>0</v>
      </c>
      <c r="BG37">
        <v>4998.1935483870966</v>
      </c>
      <c r="BH37">
        <v>0.41329893548387098</v>
      </c>
      <c r="BI37">
        <v>0.22961599999999999</v>
      </c>
      <c r="BJ37">
        <v>-0.1883092935483871</v>
      </c>
      <c r="BK37">
        <v>54.431283870967746</v>
      </c>
      <c r="BL37">
        <v>54.588983870967738</v>
      </c>
      <c r="BM37">
        <v>0.55468209677419356</v>
      </c>
      <c r="BN37">
        <v>54.73794516129032</v>
      </c>
      <c r="BO37">
        <v>-2.7283674193548388</v>
      </c>
      <c r="BP37">
        <v>-0.21769209677419349</v>
      </c>
      <c r="BQ37">
        <v>-0.27324280645161292</v>
      </c>
      <c r="BR37">
        <v>-99.900000000000034</v>
      </c>
      <c r="BS37">
        <v>-99.900000000000034</v>
      </c>
      <c r="BT37">
        <v>0</v>
      </c>
      <c r="BU37">
        <v>0</v>
      </c>
      <c r="BV37">
        <v>0</v>
      </c>
      <c r="BW37">
        <v>24</v>
      </c>
      <c r="BX37">
        <v>-0.99032267741935509</v>
      </c>
      <c r="BY37">
        <v>1775504812.5999999</v>
      </c>
      <c r="BZ37" t="s">
        <v>396</v>
      </c>
      <c r="CA37">
        <v>1775504807.0999999</v>
      </c>
      <c r="CB37">
        <v>1775504812.5999999</v>
      </c>
      <c r="CC37">
        <v>24</v>
      </c>
      <c r="CD37">
        <v>-1.4E-2</v>
      </c>
      <c r="CE37">
        <v>2E-3</v>
      </c>
      <c r="CF37">
        <v>7.8170000000000002</v>
      </c>
      <c r="CG37">
        <v>-1.002</v>
      </c>
      <c r="CH37">
        <v>54</v>
      </c>
      <c r="CI37">
        <v>-3</v>
      </c>
      <c r="CJ37">
        <v>0.16</v>
      </c>
      <c r="CK37">
        <v>0.17</v>
      </c>
      <c r="CL37">
        <v>54.656514999999999</v>
      </c>
      <c r="CM37">
        <v>0.65009491525440133</v>
      </c>
      <c r="CN37">
        <v>0.1038626975466488</v>
      </c>
      <c r="CO37">
        <v>-1</v>
      </c>
      <c r="CP37">
        <v>499.99135000000012</v>
      </c>
      <c r="CQ37">
        <v>-6.0826896360303313E-2</v>
      </c>
      <c r="CR37">
        <v>4.7300748760808108E-2</v>
      </c>
      <c r="CS37">
        <v>-1</v>
      </c>
      <c r="CT37">
        <v>0</v>
      </c>
      <c r="CU37">
        <v>0</v>
      </c>
      <c r="CV37" t="s">
        <v>333</v>
      </c>
      <c r="CW37">
        <v>3.1674199999999999</v>
      </c>
      <c r="CX37">
        <v>2.6588099999999999</v>
      </c>
      <c r="CY37">
        <v>1.3966900000000001E-2</v>
      </c>
      <c r="CZ37">
        <v>1.6276700000000002E-2</v>
      </c>
      <c r="DA37">
        <v>-1.0459599999999999E-2</v>
      </c>
      <c r="DB37">
        <v>-2.72102E-2</v>
      </c>
      <c r="DC37">
        <v>21373.8</v>
      </c>
      <c r="DD37">
        <v>21641.1</v>
      </c>
      <c r="DE37">
        <v>23203.599999999999</v>
      </c>
      <c r="DF37">
        <v>22347.3</v>
      </c>
      <c r="DG37">
        <v>30225.7</v>
      </c>
      <c r="DH37">
        <v>27370.5</v>
      </c>
      <c r="DI37">
        <v>40765.699999999997</v>
      </c>
      <c r="DJ37">
        <v>37033.5</v>
      </c>
      <c r="DK37">
        <v>2.1031599999999999</v>
      </c>
      <c r="DL37">
        <v>1.867</v>
      </c>
      <c r="DM37">
        <v>2.1916600000000001E-2</v>
      </c>
      <c r="DN37">
        <v>0</v>
      </c>
      <c r="DO37">
        <v>24.985600000000002</v>
      </c>
      <c r="DP37">
        <v>999.9</v>
      </c>
      <c r="DQ37">
        <v>84.5</v>
      </c>
      <c r="DR37">
        <v>26.6</v>
      </c>
      <c r="DS37">
        <v>29.496200000000002</v>
      </c>
      <c r="DT37">
        <v>30.6982</v>
      </c>
      <c r="DU37">
        <v>8.5336499999999997</v>
      </c>
      <c r="DV37">
        <v>1</v>
      </c>
      <c r="DW37">
        <v>5.1410600000000001E-2</v>
      </c>
      <c r="DX37">
        <v>-0.130355</v>
      </c>
      <c r="DY37">
        <v>20.368300000000001</v>
      </c>
      <c r="DZ37">
        <v>5.2119</v>
      </c>
      <c r="EA37">
        <v>11.8482</v>
      </c>
      <c r="EB37">
        <v>4.9677199999999999</v>
      </c>
      <c r="EC37">
        <v>3.2919999999999998</v>
      </c>
      <c r="ED37">
        <v>894.7</v>
      </c>
      <c r="EE37">
        <v>0</v>
      </c>
      <c r="EF37">
        <v>9999</v>
      </c>
      <c r="EG37">
        <v>113.3</v>
      </c>
      <c r="EH37">
        <v>4.97166</v>
      </c>
      <c r="EI37">
        <v>1.87178</v>
      </c>
      <c r="EJ37">
        <v>1.8689</v>
      </c>
      <c r="EK37">
        <v>1.87134</v>
      </c>
      <c r="EL37">
        <v>1.8690500000000001</v>
      </c>
      <c r="EM37">
        <v>1.86799</v>
      </c>
      <c r="EN37">
        <v>1.8698300000000001</v>
      </c>
      <c r="EO37">
        <v>1.87164</v>
      </c>
      <c r="EP37">
        <v>0</v>
      </c>
      <c r="EQ37">
        <v>0</v>
      </c>
      <c r="ER37">
        <v>0</v>
      </c>
      <c r="ES37">
        <v>0</v>
      </c>
      <c r="ET37" t="s">
        <v>334</v>
      </c>
      <c r="EU37" t="s">
        <v>335</v>
      </c>
      <c r="EV37" t="s">
        <v>336</v>
      </c>
      <c r="EW37" t="s">
        <v>336</v>
      </c>
      <c r="EX37" t="s">
        <v>336</v>
      </c>
      <c r="EY37" t="s">
        <v>336</v>
      </c>
      <c r="EZ37">
        <v>0</v>
      </c>
      <c r="FA37">
        <v>100</v>
      </c>
      <c r="FB37">
        <v>100</v>
      </c>
      <c r="FC37">
        <v>7.8170000000000002</v>
      </c>
      <c r="FD37">
        <v>-1.002</v>
      </c>
      <c r="FE37">
        <v>7.8316428571428531</v>
      </c>
      <c r="FF37">
        <v>0</v>
      </c>
      <c r="FG37">
        <v>0</v>
      </c>
      <c r="FH37">
        <v>0</v>
      </c>
      <c r="FI37">
        <v>-1.0042165000000001</v>
      </c>
      <c r="FJ37">
        <v>0</v>
      </c>
      <c r="FK37">
        <v>0</v>
      </c>
      <c r="FL37">
        <v>0</v>
      </c>
      <c r="FM37">
        <v>-1</v>
      </c>
      <c r="FN37">
        <v>-1</v>
      </c>
      <c r="FO37">
        <v>-1</v>
      </c>
      <c r="FP37">
        <v>-1</v>
      </c>
      <c r="FQ37">
        <v>0.7</v>
      </c>
      <c r="FR37">
        <v>0.7</v>
      </c>
      <c r="FS37">
        <v>0.144043</v>
      </c>
      <c r="FT37">
        <v>4.99756</v>
      </c>
      <c r="FU37">
        <v>1.5979000000000001</v>
      </c>
      <c r="FV37">
        <v>2.17041</v>
      </c>
      <c r="FW37">
        <v>1.5478499999999999</v>
      </c>
      <c r="FX37">
        <v>2.4121100000000002</v>
      </c>
      <c r="FY37">
        <v>31.2591</v>
      </c>
      <c r="FZ37">
        <v>16.2072</v>
      </c>
      <c r="GA37">
        <v>3</v>
      </c>
      <c r="GB37">
        <v>491.62200000000001</v>
      </c>
      <c r="GC37">
        <v>431.14</v>
      </c>
      <c r="GD37">
        <v>25.9468</v>
      </c>
      <c r="GE37">
        <v>27.8782</v>
      </c>
      <c r="GF37">
        <v>30.0001</v>
      </c>
      <c r="GG37">
        <v>28.156199999999998</v>
      </c>
      <c r="GH37">
        <v>28.202200000000001</v>
      </c>
      <c r="GI37">
        <v>-1</v>
      </c>
      <c r="GJ37">
        <v>0</v>
      </c>
      <c r="GK37">
        <v>100</v>
      </c>
      <c r="GL37">
        <v>25.9436</v>
      </c>
      <c r="GM37">
        <v>432.1</v>
      </c>
      <c r="GN37">
        <v>63.216500000000003</v>
      </c>
      <c r="GO37">
        <v>102.626</v>
      </c>
      <c r="GP37">
        <v>96.635800000000003</v>
      </c>
    </row>
    <row r="38" spans="1:198" x14ac:dyDescent="0.35">
      <c r="A38">
        <v>22</v>
      </c>
      <c r="B38">
        <v>1775504851.0999999</v>
      </c>
      <c r="C38">
        <v>1260.099999904633</v>
      </c>
      <c r="D38" t="s">
        <v>397</v>
      </c>
      <c r="E38" t="s">
        <v>398</v>
      </c>
      <c r="F38">
        <v>60</v>
      </c>
      <c r="G38">
        <v>1775504843.349999</v>
      </c>
      <c r="H38">
        <f t="shared" si="0"/>
        <v>9.3204604633272527E-4</v>
      </c>
      <c r="I38">
        <f t="shared" si="1"/>
        <v>0.93204604633272525</v>
      </c>
      <c r="J38">
        <f t="shared" si="2"/>
        <v>-7.9334545516945368E-2</v>
      </c>
      <c r="K38">
        <f t="shared" si="3"/>
        <v>53.891353333333321</v>
      </c>
      <c r="L38">
        <f t="shared" si="4"/>
        <v>55.595278834978771</v>
      </c>
      <c r="M38">
        <f t="shared" si="5"/>
        <v>5.5697676369221156</v>
      </c>
      <c r="N38">
        <f t="shared" si="6"/>
        <v>5.3990612511701652</v>
      </c>
      <c r="O38">
        <f t="shared" si="7"/>
        <v>2.672587782579618E-2</v>
      </c>
      <c r="P38">
        <f t="shared" si="8"/>
        <v>2.3895808846577049</v>
      </c>
      <c r="Q38">
        <f t="shared" si="9"/>
        <v>2.6560922618616128E-2</v>
      </c>
      <c r="R38">
        <f t="shared" si="10"/>
        <v>1.6615312213019394E-2</v>
      </c>
      <c r="S38">
        <f t="shared" si="11"/>
        <v>0</v>
      </c>
      <c r="T38">
        <f t="shared" si="12"/>
        <v>25.000722537002417</v>
      </c>
      <c r="U38">
        <f t="shared" si="13"/>
        <v>25.334783333333331</v>
      </c>
      <c r="V38">
        <f t="shared" si="14"/>
        <v>3.2436984994795672</v>
      </c>
      <c r="W38">
        <f t="shared" si="15"/>
        <v>-6.7612072170443556</v>
      </c>
      <c r="X38">
        <f t="shared" si="16"/>
        <v>-0.21877874767631936</v>
      </c>
      <c r="Y38">
        <f t="shared" si="17"/>
        <v>3.2357941511509822</v>
      </c>
      <c r="Z38">
        <f t="shared" si="18"/>
        <v>3.4624772471558867</v>
      </c>
      <c r="AA38">
        <f t="shared" si="19"/>
        <v>-41.103230643273186</v>
      </c>
      <c r="AB38">
        <f t="shared" si="20"/>
        <v>-5.2844870124947105</v>
      </c>
      <c r="AC38">
        <f t="shared" si="21"/>
        <v>-0.46926094344915126</v>
      </c>
      <c r="AD38">
        <f t="shared" si="22"/>
        <v>-46.856978599217044</v>
      </c>
      <c r="AE38">
        <v>19</v>
      </c>
      <c r="AF38">
        <v>4</v>
      </c>
      <c r="AG38">
        <f t="shared" si="23"/>
        <v>1</v>
      </c>
      <c r="AH38">
        <f t="shared" si="24"/>
        <v>0</v>
      </c>
      <c r="AI38">
        <f t="shared" si="25"/>
        <v>25686.72953553425</v>
      </c>
      <c r="AJ38">
        <f t="shared" si="26"/>
        <v>0</v>
      </c>
      <c r="AK38">
        <f t="shared" si="27"/>
        <v>0</v>
      </c>
      <c r="AL38">
        <f t="shared" si="28"/>
        <v>0</v>
      </c>
      <c r="AM38">
        <f t="shared" si="29"/>
        <v>0</v>
      </c>
      <c r="AN38">
        <v>3</v>
      </c>
      <c r="AO38">
        <v>0.5</v>
      </c>
      <c r="AP38" t="s">
        <v>331</v>
      </c>
      <c r="AQ38">
        <v>2</v>
      </c>
      <c r="AR38">
        <v>1775504843.349999</v>
      </c>
      <c r="AS38">
        <v>53.891353333333321</v>
      </c>
      <c r="AT38">
        <v>53.873890000000003</v>
      </c>
      <c r="AU38">
        <v>-2.183765333333334</v>
      </c>
      <c r="AV38">
        <v>-2.7442186666666668</v>
      </c>
      <c r="AW38">
        <v>46.079353333333323</v>
      </c>
      <c r="AX38">
        <v>-1.182765333333333</v>
      </c>
      <c r="AY38">
        <v>499.99599999999998</v>
      </c>
      <c r="AZ38">
        <v>100.1469</v>
      </c>
      <c r="BA38">
        <v>3.7283866666666672E-2</v>
      </c>
      <c r="BB38">
        <v>25.29376333333332</v>
      </c>
      <c r="BC38">
        <v>25.334783333333331</v>
      </c>
      <c r="BD38">
        <v>999.9000000000002</v>
      </c>
      <c r="BE38">
        <v>0</v>
      </c>
      <c r="BF38">
        <v>0</v>
      </c>
      <c r="BG38">
        <v>4996.6499999999996</v>
      </c>
      <c r="BH38">
        <v>0.3648098666666667</v>
      </c>
      <c r="BI38">
        <v>0.22961599999999999</v>
      </c>
      <c r="BJ38">
        <v>2.2634865199999989E-2</v>
      </c>
      <c r="BK38">
        <v>53.779029999999999</v>
      </c>
      <c r="BL38">
        <v>53.726453333333339</v>
      </c>
      <c r="BM38">
        <v>0.55953843333333331</v>
      </c>
      <c r="BN38">
        <v>53.873890000000003</v>
      </c>
      <c r="BO38">
        <v>-2.7442186666666668</v>
      </c>
      <c r="BP38">
        <v>-0.21878909999999999</v>
      </c>
      <c r="BQ38">
        <v>-0.27482513333333342</v>
      </c>
      <c r="BR38">
        <v>-99.900000000000034</v>
      </c>
      <c r="BS38">
        <v>-99.900000000000034</v>
      </c>
      <c r="BT38">
        <v>0</v>
      </c>
      <c r="BU38">
        <v>0</v>
      </c>
      <c r="BV38">
        <v>0</v>
      </c>
      <c r="BW38">
        <v>24</v>
      </c>
      <c r="BX38">
        <v>-1</v>
      </c>
      <c r="BY38">
        <v>1775504871.0999999</v>
      </c>
      <c r="BZ38" t="s">
        <v>399</v>
      </c>
      <c r="CA38">
        <v>1775504867.0999999</v>
      </c>
      <c r="CB38">
        <v>1775504871.0999999</v>
      </c>
      <c r="CC38">
        <v>25</v>
      </c>
      <c r="CD38">
        <v>-5.0000000000000001E-3</v>
      </c>
      <c r="CE38">
        <v>1E-3</v>
      </c>
      <c r="CF38">
        <v>7.8120000000000003</v>
      </c>
      <c r="CG38">
        <v>-1.0009999999999999</v>
      </c>
      <c r="CH38">
        <v>55</v>
      </c>
      <c r="CI38">
        <v>-3</v>
      </c>
      <c r="CJ38">
        <v>0.14000000000000001</v>
      </c>
      <c r="CK38">
        <v>0.1</v>
      </c>
      <c r="CL38">
        <v>54.066967213114758</v>
      </c>
      <c r="CM38">
        <v>-1.1479189846641671</v>
      </c>
      <c r="CN38">
        <v>0.27640037823591079</v>
      </c>
      <c r="CO38">
        <v>-1</v>
      </c>
      <c r="CP38">
        <v>500.02704918032782</v>
      </c>
      <c r="CQ38">
        <v>-0.34203490216907673</v>
      </c>
      <c r="CR38">
        <v>0.12754663900816521</v>
      </c>
      <c r="CS38">
        <v>-1</v>
      </c>
      <c r="CT38">
        <v>0</v>
      </c>
      <c r="CU38">
        <v>0</v>
      </c>
      <c r="CV38" t="s">
        <v>333</v>
      </c>
      <c r="CW38">
        <v>3.16744</v>
      </c>
      <c r="CX38">
        <v>2.6584300000000001</v>
      </c>
      <c r="CY38">
        <v>1.3725599999999999E-2</v>
      </c>
      <c r="CZ38">
        <v>1.6125799999999999E-2</v>
      </c>
      <c r="DA38">
        <v>-1.0578799999999999E-2</v>
      </c>
      <c r="DB38">
        <v>-2.7411000000000001E-2</v>
      </c>
      <c r="DC38">
        <v>21377.7</v>
      </c>
      <c r="DD38">
        <v>21645.7</v>
      </c>
      <c r="DE38">
        <v>23202.1</v>
      </c>
      <c r="DF38">
        <v>22348.6</v>
      </c>
      <c r="DG38">
        <v>30227.7</v>
      </c>
      <c r="DH38">
        <v>27376.9</v>
      </c>
      <c r="DI38">
        <v>40763.699999999997</v>
      </c>
      <c r="DJ38">
        <v>37034.9</v>
      </c>
      <c r="DK38">
        <v>2.1031599999999999</v>
      </c>
      <c r="DL38">
        <v>1.86636</v>
      </c>
      <c r="DM38">
        <v>2.21908E-2</v>
      </c>
      <c r="DN38">
        <v>0</v>
      </c>
      <c r="DO38">
        <v>24.975100000000001</v>
      </c>
      <c r="DP38">
        <v>999.9</v>
      </c>
      <c r="DQ38">
        <v>84.4</v>
      </c>
      <c r="DR38">
        <v>26.6</v>
      </c>
      <c r="DS38">
        <v>29.461400000000001</v>
      </c>
      <c r="DT38">
        <v>30.668199999999999</v>
      </c>
      <c r="DU38">
        <v>8.8020899999999997</v>
      </c>
      <c r="DV38">
        <v>1</v>
      </c>
      <c r="DW38">
        <v>5.2394299999999998E-2</v>
      </c>
      <c r="DX38">
        <v>-0.19422400000000001</v>
      </c>
      <c r="DY38">
        <v>20.368200000000002</v>
      </c>
      <c r="DZ38">
        <v>5.2123799999999996</v>
      </c>
      <c r="EA38">
        <v>11.8482</v>
      </c>
      <c r="EB38">
        <v>4.9683200000000003</v>
      </c>
      <c r="EC38">
        <v>3.2919999999999998</v>
      </c>
      <c r="ED38">
        <v>894.7</v>
      </c>
      <c r="EE38">
        <v>0</v>
      </c>
      <c r="EF38">
        <v>9999</v>
      </c>
      <c r="EG38">
        <v>113.3</v>
      </c>
      <c r="EH38">
        <v>4.9716100000000001</v>
      </c>
      <c r="EI38">
        <v>1.8717900000000001</v>
      </c>
      <c r="EJ38">
        <v>1.8688899999999999</v>
      </c>
      <c r="EK38">
        <v>1.8713299999999999</v>
      </c>
      <c r="EL38">
        <v>1.86904</v>
      </c>
      <c r="EM38">
        <v>1.86798</v>
      </c>
      <c r="EN38">
        <v>1.86981</v>
      </c>
      <c r="EO38">
        <v>1.87164</v>
      </c>
      <c r="EP38">
        <v>0</v>
      </c>
      <c r="EQ38">
        <v>0</v>
      </c>
      <c r="ER38">
        <v>0</v>
      </c>
      <c r="ES38">
        <v>0</v>
      </c>
      <c r="ET38" t="s">
        <v>334</v>
      </c>
      <c r="EU38" t="s">
        <v>335</v>
      </c>
      <c r="EV38" t="s">
        <v>336</v>
      </c>
      <c r="EW38" t="s">
        <v>336</v>
      </c>
      <c r="EX38" t="s">
        <v>336</v>
      </c>
      <c r="EY38" t="s">
        <v>336</v>
      </c>
      <c r="EZ38">
        <v>0</v>
      </c>
      <c r="FA38">
        <v>100</v>
      </c>
      <c r="FB38">
        <v>100</v>
      </c>
      <c r="FC38">
        <v>7.8120000000000003</v>
      </c>
      <c r="FD38">
        <v>-1.0009999999999999</v>
      </c>
      <c r="FE38">
        <v>7.817159999999987</v>
      </c>
      <c r="FF38">
        <v>0</v>
      </c>
      <c r="FG38">
        <v>0</v>
      </c>
      <c r="FH38">
        <v>0</v>
      </c>
      <c r="FI38">
        <v>-1.001915714285714</v>
      </c>
      <c r="FJ38">
        <v>0</v>
      </c>
      <c r="FK38">
        <v>0</v>
      </c>
      <c r="FL38">
        <v>0</v>
      </c>
      <c r="FM38">
        <v>-1</v>
      </c>
      <c r="FN38">
        <v>-1</v>
      </c>
      <c r="FO38">
        <v>-1</v>
      </c>
      <c r="FP38">
        <v>-1</v>
      </c>
      <c r="FQ38">
        <v>0.7</v>
      </c>
      <c r="FR38">
        <v>0.6</v>
      </c>
      <c r="FS38">
        <v>0.144043</v>
      </c>
      <c r="FT38">
        <v>4.99756</v>
      </c>
      <c r="FU38">
        <v>1.5979000000000001</v>
      </c>
      <c r="FV38">
        <v>2.17041</v>
      </c>
      <c r="FW38">
        <v>1.5478499999999999</v>
      </c>
      <c r="FX38">
        <v>2.3767100000000001</v>
      </c>
      <c r="FY38">
        <v>31.280899999999999</v>
      </c>
      <c r="FZ38">
        <v>16.189699999999998</v>
      </c>
      <c r="GA38">
        <v>3</v>
      </c>
      <c r="GB38">
        <v>491.76299999999998</v>
      </c>
      <c r="GC38">
        <v>430.89</v>
      </c>
      <c r="GD38">
        <v>25.971</v>
      </c>
      <c r="GE38">
        <v>27.8918</v>
      </c>
      <c r="GF38">
        <v>30.0001</v>
      </c>
      <c r="GG38">
        <v>28.1739</v>
      </c>
      <c r="GH38">
        <v>28.220099999999999</v>
      </c>
      <c r="GI38">
        <v>-1</v>
      </c>
      <c r="GJ38">
        <v>0</v>
      </c>
      <c r="GK38">
        <v>100</v>
      </c>
      <c r="GL38">
        <v>25.974599999999999</v>
      </c>
      <c r="GM38">
        <v>432.1</v>
      </c>
      <c r="GN38">
        <v>63.216500000000003</v>
      </c>
      <c r="GO38">
        <v>102.62</v>
      </c>
      <c r="GP38">
        <v>96.6404</v>
      </c>
    </row>
    <row r="39" spans="1:198" x14ac:dyDescent="0.35">
      <c r="A39">
        <v>23</v>
      </c>
      <c r="B39">
        <v>1775504911.0999999</v>
      </c>
      <c r="C39">
        <v>1320.099999904633</v>
      </c>
      <c r="D39" t="s">
        <v>400</v>
      </c>
      <c r="E39" t="s">
        <v>401</v>
      </c>
      <c r="F39">
        <v>60</v>
      </c>
      <c r="G39">
        <v>1775504903.099999</v>
      </c>
      <c r="H39">
        <f t="shared" si="0"/>
        <v>9.4271404748789338E-4</v>
      </c>
      <c r="I39">
        <f t="shared" si="1"/>
        <v>0.94271404748789334</v>
      </c>
      <c r="J39">
        <f t="shared" si="2"/>
        <v>-0.2229836397869695</v>
      </c>
      <c r="K39">
        <f t="shared" si="3"/>
        <v>54.121580645161288</v>
      </c>
      <c r="L39">
        <f t="shared" si="4"/>
        <v>64.07351924227585</v>
      </c>
      <c r="M39">
        <f t="shared" si="5"/>
        <v>6.4192539758224587</v>
      </c>
      <c r="N39">
        <f t="shared" si="6"/>
        <v>5.4222114821034966</v>
      </c>
      <c r="O39">
        <f t="shared" si="7"/>
        <v>2.7037108005706703E-2</v>
      </c>
      <c r="P39">
        <f t="shared" si="8"/>
        <v>2.3940841336441925</v>
      </c>
      <c r="Q39">
        <f t="shared" si="9"/>
        <v>2.686861701388487E-2</v>
      </c>
      <c r="R39">
        <f t="shared" si="10"/>
        <v>1.6807936227762391E-2</v>
      </c>
      <c r="S39">
        <f t="shared" si="11"/>
        <v>0</v>
      </c>
      <c r="T39">
        <f t="shared" si="12"/>
        <v>25.003473447572162</v>
      </c>
      <c r="U39">
        <f t="shared" si="13"/>
        <v>25.333551612903229</v>
      </c>
      <c r="V39">
        <f t="shared" si="14"/>
        <v>3.2434609076781609</v>
      </c>
      <c r="W39">
        <f t="shared" si="15"/>
        <v>-6.7533681727008643</v>
      </c>
      <c r="X39">
        <f t="shared" si="16"/>
        <v>-0.2185977898743458</v>
      </c>
      <c r="Y39">
        <f t="shared" si="17"/>
        <v>3.2368706145473229</v>
      </c>
      <c r="Z39">
        <f t="shared" si="18"/>
        <v>3.4620586975525067</v>
      </c>
      <c r="AA39">
        <f t="shared" si="19"/>
        <v>-41.573689494216097</v>
      </c>
      <c r="AB39">
        <f t="shared" si="20"/>
        <v>-4.4137729880071852</v>
      </c>
      <c r="AC39">
        <f t="shared" si="21"/>
        <v>-0.39121312260091085</v>
      </c>
      <c r="AD39">
        <f t="shared" si="22"/>
        <v>-46.378675604824195</v>
      </c>
      <c r="AE39">
        <v>19</v>
      </c>
      <c r="AF39">
        <v>4</v>
      </c>
      <c r="AG39">
        <f t="shared" si="23"/>
        <v>1</v>
      </c>
      <c r="AH39">
        <f t="shared" si="24"/>
        <v>0</v>
      </c>
      <c r="AI39">
        <f t="shared" si="25"/>
        <v>25755.096936379214</v>
      </c>
      <c r="AJ39">
        <f t="shared" si="26"/>
        <v>0</v>
      </c>
      <c r="AK39">
        <f t="shared" si="27"/>
        <v>0</v>
      </c>
      <c r="AL39">
        <f t="shared" si="28"/>
        <v>0</v>
      </c>
      <c r="AM39">
        <f t="shared" si="29"/>
        <v>0</v>
      </c>
      <c r="AN39">
        <v>3</v>
      </c>
      <c r="AO39">
        <v>0.5</v>
      </c>
      <c r="AP39" t="s">
        <v>331</v>
      </c>
      <c r="AQ39">
        <v>2</v>
      </c>
      <c r="AR39">
        <v>1775504903.099999</v>
      </c>
      <c r="AS39">
        <v>54.121580645161288</v>
      </c>
      <c r="AT39">
        <v>54.018403225806438</v>
      </c>
      <c r="AU39">
        <v>-2.1819248387096768</v>
      </c>
      <c r="AV39">
        <v>-2.7487870967741941</v>
      </c>
      <c r="AW39">
        <v>46.341580645161287</v>
      </c>
      <c r="AX39">
        <v>-1.181924838709677</v>
      </c>
      <c r="AY39">
        <v>500.00029032258072</v>
      </c>
      <c r="AZ39">
        <v>100.1485806451613</v>
      </c>
      <c r="BA39">
        <v>3.7175525806451608E-2</v>
      </c>
      <c r="BB39">
        <v>25.299354838709672</v>
      </c>
      <c r="BC39">
        <v>25.333551612903229</v>
      </c>
      <c r="BD39">
        <v>999.90000000000032</v>
      </c>
      <c r="BE39">
        <v>0</v>
      </c>
      <c r="BF39">
        <v>0</v>
      </c>
      <c r="BG39">
        <v>5008.1612903225796</v>
      </c>
      <c r="BH39">
        <v>0.4118189032258065</v>
      </c>
      <c r="BI39">
        <v>0.22961599999999999</v>
      </c>
      <c r="BJ39">
        <v>0.13554081935483869</v>
      </c>
      <c r="BK39">
        <v>54.036016129032262</v>
      </c>
      <c r="BL39">
        <v>53.870325806451618</v>
      </c>
      <c r="BM39">
        <v>0.56621477419354838</v>
      </c>
      <c r="BN39">
        <v>54.018403225806438</v>
      </c>
      <c r="BO39">
        <v>-2.7487870967741941</v>
      </c>
      <c r="BP39">
        <v>-0.21858154838709681</v>
      </c>
      <c r="BQ39">
        <v>-0.27528712903225799</v>
      </c>
      <c r="BR39">
        <v>-99.900000000000034</v>
      </c>
      <c r="BS39">
        <v>-99.900000000000034</v>
      </c>
      <c r="BT39">
        <v>0</v>
      </c>
      <c r="BU39">
        <v>0</v>
      </c>
      <c r="BV39">
        <v>0</v>
      </c>
      <c r="BW39">
        <v>24</v>
      </c>
      <c r="BX39">
        <v>-1</v>
      </c>
      <c r="BY39">
        <v>1775504931.0999999</v>
      </c>
      <c r="BZ39" t="s">
        <v>402</v>
      </c>
      <c r="CA39">
        <v>1775504929.5999999</v>
      </c>
      <c r="CB39">
        <v>1775504931.0999999</v>
      </c>
      <c r="CC39">
        <v>26</v>
      </c>
      <c r="CD39">
        <v>-3.2000000000000001E-2</v>
      </c>
      <c r="CE39">
        <v>0</v>
      </c>
      <c r="CF39">
        <v>7.78</v>
      </c>
      <c r="CG39">
        <v>-1</v>
      </c>
      <c r="CH39">
        <v>55</v>
      </c>
      <c r="CI39">
        <v>-3</v>
      </c>
      <c r="CJ39">
        <v>0.22</v>
      </c>
      <c r="CK39">
        <v>0.1</v>
      </c>
      <c r="CL39">
        <v>54.289277049180328</v>
      </c>
      <c r="CM39">
        <v>-1.8992979375992409</v>
      </c>
      <c r="CN39">
        <v>0.30528416077078468</v>
      </c>
      <c r="CO39">
        <v>-1</v>
      </c>
      <c r="CP39">
        <v>500.00109836065582</v>
      </c>
      <c r="CQ39">
        <v>-8.2432575353898561E-3</v>
      </c>
      <c r="CR39">
        <v>5.2574289333779257E-2</v>
      </c>
      <c r="CS39">
        <v>-1</v>
      </c>
      <c r="CT39">
        <v>0</v>
      </c>
      <c r="CU39">
        <v>0</v>
      </c>
      <c r="CV39" t="s">
        <v>333</v>
      </c>
      <c r="CW39">
        <v>3.1673399999999998</v>
      </c>
      <c r="CX39">
        <v>2.6585000000000001</v>
      </c>
      <c r="CY39">
        <v>1.37842E-2</v>
      </c>
      <c r="CZ39">
        <v>1.61046E-2</v>
      </c>
      <c r="DA39">
        <v>-1.05591E-2</v>
      </c>
      <c r="DB39">
        <v>-2.7429800000000001E-2</v>
      </c>
      <c r="DC39">
        <v>21375.5</v>
      </c>
      <c r="DD39">
        <v>21647.599999999999</v>
      </c>
      <c r="DE39">
        <v>23201.3</v>
      </c>
      <c r="DF39">
        <v>22350.2</v>
      </c>
      <c r="DG39">
        <v>30226</v>
      </c>
      <c r="DH39">
        <v>27378.799999999999</v>
      </c>
      <c r="DI39">
        <v>40762.1</v>
      </c>
      <c r="DJ39">
        <v>37036.9</v>
      </c>
      <c r="DK39">
        <v>2.1029599999999999</v>
      </c>
      <c r="DL39">
        <v>1.8658999999999999</v>
      </c>
      <c r="DM39">
        <v>2.23637E-2</v>
      </c>
      <c r="DN39">
        <v>0</v>
      </c>
      <c r="DO39">
        <v>24.968399999999999</v>
      </c>
      <c r="DP39">
        <v>999.9</v>
      </c>
      <c r="DQ39">
        <v>84.3</v>
      </c>
      <c r="DR39">
        <v>26.7</v>
      </c>
      <c r="DS39">
        <v>29.6038</v>
      </c>
      <c r="DT39">
        <v>30.458200000000001</v>
      </c>
      <c r="DU39">
        <v>8.4575300000000002</v>
      </c>
      <c r="DV39">
        <v>1</v>
      </c>
      <c r="DW39">
        <v>5.3077199999999998E-2</v>
      </c>
      <c r="DX39">
        <v>-0.146477</v>
      </c>
      <c r="DY39">
        <v>20.368400000000001</v>
      </c>
      <c r="DZ39">
        <v>5.2123799999999996</v>
      </c>
      <c r="EA39">
        <v>11.8482</v>
      </c>
      <c r="EB39">
        <v>4.9686399999999997</v>
      </c>
      <c r="EC39">
        <v>3.2919999999999998</v>
      </c>
      <c r="ED39">
        <v>894.7</v>
      </c>
      <c r="EE39">
        <v>0</v>
      </c>
      <c r="EF39">
        <v>9999</v>
      </c>
      <c r="EG39">
        <v>113.4</v>
      </c>
      <c r="EH39">
        <v>4.9716800000000001</v>
      </c>
      <c r="EI39">
        <v>1.87178</v>
      </c>
      <c r="EJ39">
        <v>1.8688899999999999</v>
      </c>
      <c r="EK39">
        <v>1.87134</v>
      </c>
      <c r="EL39">
        <v>1.8690500000000001</v>
      </c>
      <c r="EM39">
        <v>1.86799</v>
      </c>
      <c r="EN39">
        <v>1.86982</v>
      </c>
      <c r="EO39">
        <v>1.87164</v>
      </c>
      <c r="EP39">
        <v>0</v>
      </c>
      <c r="EQ39">
        <v>0</v>
      </c>
      <c r="ER39">
        <v>0</v>
      </c>
      <c r="ES39">
        <v>0</v>
      </c>
      <c r="ET39" t="s">
        <v>334</v>
      </c>
      <c r="EU39" t="s">
        <v>335</v>
      </c>
      <c r="EV39" t="s">
        <v>336</v>
      </c>
      <c r="EW39" t="s">
        <v>336</v>
      </c>
      <c r="EX39" t="s">
        <v>336</v>
      </c>
      <c r="EY39" t="s">
        <v>336</v>
      </c>
      <c r="EZ39">
        <v>0</v>
      </c>
      <c r="FA39">
        <v>100</v>
      </c>
      <c r="FB39">
        <v>100</v>
      </c>
      <c r="FC39">
        <v>7.78</v>
      </c>
      <c r="FD39">
        <v>-1</v>
      </c>
      <c r="FE39">
        <v>7.8123700000000076</v>
      </c>
      <c r="FF39">
        <v>0</v>
      </c>
      <c r="FG39">
        <v>0</v>
      </c>
      <c r="FH39">
        <v>0</v>
      </c>
      <c r="FI39">
        <v>-1.000647000000001</v>
      </c>
      <c r="FJ39">
        <v>0</v>
      </c>
      <c r="FK39">
        <v>0</v>
      </c>
      <c r="FL39">
        <v>0</v>
      </c>
      <c r="FM39">
        <v>-1</v>
      </c>
      <c r="FN39">
        <v>-1</v>
      </c>
      <c r="FO39">
        <v>-1</v>
      </c>
      <c r="FP39">
        <v>-1</v>
      </c>
      <c r="FQ39">
        <v>0.7</v>
      </c>
      <c r="FR39">
        <v>0.7</v>
      </c>
      <c r="FS39">
        <v>0.144043</v>
      </c>
      <c r="FT39">
        <v>4.99756</v>
      </c>
      <c r="FU39">
        <v>1.5979000000000001</v>
      </c>
      <c r="FV39">
        <v>2.17041</v>
      </c>
      <c r="FW39">
        <v>1.5478499999999999</v>
      </c>
      <c r="FX39">
        <v>2.3290999999999999</v>
      </c>
      <c r="FY39">
        <v>31.324400000000001</v>
      </c>
      <c r="FZ39">
        <v>16.189699999999998</v>
      </c>
      <c r="GA39">
        <v>3</v>
      </c>
      <c r="GB39">
        <v>491.75400000000002</v>
      </c>
      <c r="GC39">
        <v>430.72899999999998</v>
      </c>
      <c r="GD39">
        <v>25.997</v>
      </c>
      <c r="GE39">
        <v>27.900099999999998</v>
      </c>
      <c r="GF39">
        <v>30.0001</v>
      </c>
      <c r="GG39">
        <v>28.1874</v>
      </c>
      <c r="GH39">
        <v>28.235499999999998</v>
      </c>
      <c r="GI39">
        <v>-1</v>
      </c>
      <c r="GJ39">
        <v>0</v>
      </c>
      <c r="GK39">
        <v>100</v>
      </c>
      <c r="GL39">
        <v>25.974499999999999</v>
      </c>
      <c r="GM39">
        <v>432.1</v>
      </c>
      <c r="GN39">
        <v>63.216500000000003</v>
      </c>
      <c r="GO39">
        <v>102.617</v>
      </c>
      <c r="GP39">
        <v>96.646100000000004</v>
      </c>
    </row>
    <row r="40" spans="1:198" x14ac:dyDescent="0.35">
      <c r="A40">
        <v>24</v>
      </c>
      <c r="B40">
        <v>1775504971.0999999</v>
      </c>
      <c r="C40">
        <v>1380.099999904633</v>
      </c>
      <c r="D40" t="s">
        <v>403</v>
      </c>
      <c r="E40" t="s">
        <v>404</v>
      </c>
      <c r="F40">
        <v>60</v>
      </c>
      <c r="G40">
        <v>1775504963.099999</v>
      </c>
      <c r="H40">
        <f t="shared" si="0"/>
        <v>9.409183567368896E-4</v>
      </c>
      <c r="I40">
        <f t="shared" si="1"/>
        <v>0.94091835673688962</v>
      </c>
      <c r="J40">
        <f t="shared" si="2"/>
        <v>-0.20165270242709979</v>
      </c>
      <c r="K40">
        <f t="shared" si="3"/>
        <v>54.443877419354841</v>
      </c>
      <c r="L40">
        <f t="shared" si="4"/>
        <v>63.169764914209161</v>
      </c>
      <c r="M40">
        <f t="shared" si="5"/>
        <v>6.3286019723219713</v>
      </c>
      <c r="N40">
        <f t="shared" si="6"/>
        <v>5.4544073495432954</v>
      </c>
      <c r="O40">
        <f t="shared" si="7"/>
        <v>2.6973495425467342E-2</v>
      </c>
      <c r="P40">
        <f t="shared" si="8"/>
        <v>2.3921075663528484</v>
      </c>
      <c r="Q40">
        <f t="shared" si="9"/>
        <v>2.6805656055091599E-2</v>
      </c>
      <c r="R40">
        <f t="shared" si="10"/>
        <v>1.6768527553926944E-2</v>
      </c>
      <c r="S40">
        <f t="shared" si="11"/>
        <v>0</v>
      </c>
      <c r="T40">
        <f t="shared" si="12"/>
        <v>25.005297137688874</v>
      </c>
      <c r="U40">
        <f t="shared" si="13"/>
        <v>25.33956774193549</v>
      </c>
      <c r="V40">
        <f t="shared" si="14"/>
        <v>3.2446215286940423</v>
      </c>
      <c r="W40">
        <f t="shared" si="15"/>
        <v>-6.7615831656096583</v>
      </c>
      <c r="X40">
        <f t="shared" si="16"/>
        <v>-0.21888301802227556</v>
      </c>
      <c r="Y40">
        <f t="shared" si="17"/>
        <v>3.2371563384082105</v>
      </c>
      <c r="Z40">
        <f t="shared" si="18"/>
        <v>3.4635045467163179</v>
      </c>
      <c r="AA40">
        <f t="shared" si="19"/>
        <v>-41.494499532096832</v>
      </c>
      <c r="AB40">
        <f t="shared" si="20"/>
        <v>-4.9946239265350174</v>
      </c>
      <c r="AC40">
        <f t="shared" si="21"/>
        <v>-0.44307913257884468</v>
      </c>
      <c r="AD40">
        <f t="shared" si="22"/>
        <v>-46.932202591210697</v>
      </c>
      <c r="AE40">
        <v>18</v>
      </c>
      <c r="AF40">
        <v>4</v>
      </c>
      <c r="AG40">
        <f t="shared" si="23"/>
        <v>1</v>
      </c>
      <c r="AH40">
        <f t="shared" si="24"/>
        <v>0</v>
      </c>
      <c r="AI40">
        <f t="shared" si="25"/>
        <v>25724.803281048826</v>
      </c>
      <c r="AJ40">
        <f t="shared" si="26"/>
        <v>0</v>
      </c>
      <c r="AK40">
        <f t="shared" si="27"/>
        <v>0</v>
      </c>
      <c r="AL40">
        <f t="shared" si="28"/>
        <v>0</v>
      </c>
      <c r="AM40">
        <f t="shared" si="29"/>
        <v>0</v>
      </c>
      <c r="AN40">
        <v>3</v>
      </c>
      <c r="AO40">
        <v>0.5</v>
      </c>
      <c r="AP40" t="s">
        <v>331</v>
      </c>
      <c r="AQ40">
        <v>2</v>
      </c>
      <c r="AR40">
        <v>1775504963.099999</v>
      </c>
      <c r="AS40">
        <v>54.443877419354841</v>
      </c>
      <c r="AT40">
        <v>54.353619354838713</v>
      </c>
      <c r="AU40">
        <v>-2.18480935483871</v>
      </c>
      <c r="AV40">
        <v>-2.7506112903225808</v>
      </c>
      <c r="AW40">
        <v>46.676877419354838</v>
      </c>
      <c r="AX40">
        <v>-1.1838093548387101</v>
      </c>
      <c r="AY40">
        <v>499.98454838709671</v>
      </c>
      <c r="AZ40">
        <v>100.14645161290321</v>
      </c>
      <c r="BA40">
        <v>3.7583912903225811E-2</v>
      </c>
      <c r="BB40">
        <v>25.300838709677411</v>
      </c>
      <c r="BC40">
        <v>25.33956774193549</v>
      </c>
      <c r="BD40">
        <v>999.90000000000032</v>
      </c>
      <c r="BE40">
        <v>0</v>
      </c>
      <c r="BF40">
        <v>0</v>
      </c>
      <c r="BG40">
        <v>5003.177419354839</v>
      </c>
      <c r="BH40">
        <v>0.41708716129032247</v>
      </c>
      <c r="BI40">
        <v>0.22961599999999999</v>
      </c>
      <c r="BJ40">
        <v>0.1035621064516129</v>
      </c>
      <c r="BK40">
        <v>54.338483870967742</v>
      </c>
      <c r="BL40">
        <v>54.204525806451613</v>
      </c>
      <c r="BM40">
        <v>0.56635870967741941</v>
      </c>
      <c r="BN40">
        <v>54.353619354838713</v>
      </c>
      <c r="BO40">
        <v>-2.7506112903225808</v>
      </c>
      <c r="BP40">
        <v>-0.2187451290322581</v>
      </c>
      <c r="BQ40">
        <v>-0.27546403225806448</v>
      </c>
      <c r="BR40">
        <v>-99.900000000000034</v>
      </c>
      <c r="BS40">
        <v>-99.900000000000034</v>
      </c>
      <c r="BT40">
        <v>0</v>
      </c>
      <c r="BU40">
        <v>0</v>
      </c>
      <c r="BV40">
        <v>0</v>
      </c>
      <c r="BW40">
        <v>24</v>
      </c>
      <c r="BX40">
        <v>-1</v>
      </c>
      <c r="BY40">
        <v>1775504990.0999999</v>
      </c>
      <c r="BZ40" t="s">
        <v>405</v>
      </c>
      <c r="CA40">
        <v>1775504988.5999999</v>
      </c>
      <c r="CB40">
        <v>1775504990.0999999</v>
      </c>
      <c r="CC40">
        <v>27</v>
      </c>
      <c r="CD40">
        <v>-1.2999999999999999E-2</v>
      </c>
      <c r="CE40">
        <v>-1E-3</v>
      </c>
      <c r="CF40">
        <v>7.7670000000000003</v>
      </c>
      <c r="CG40">
        <v>-1.0009999999999999</v>
      </c>
      <c r="CH40">
        <v>53</v>
      </c>
      <c r="CI40">
        <v>-3</v>
      </c>
      <c r="CJ40">
        <v>0.35</v>
      </c>
      <c r="CK40">
        <v>0.13</v>
      </c>
      <c r="CL40">
        <v>54.523220000000009</v>
      </c>
      <c r="CM40">
        <v>-1.422716532370033</v>
      </c>
      <c r="CN40">
        <v>0.25915306853929682</v>
      </c>
      <c r="CO40">
        <v>-1</v>
      </c>
      <c r="CP40">
        <v>499.99821666666668</v>
      </c>
      <c r="CQ40">
        <v>-8.4933592665096674E-2</v>
      </c>
      <c r="CR40">
        <v>6.5040779942708099E-2</v>
      </c>
      <c r="CS40">
        <v>-1</v>
      </c>
      <c r="CT40">
        <v>0</v>
      </c>
      <c r="CU40">
        <v>0</v>
      </c>
      <c r="CV40" t="s">
        <v>333</v>
      </c>
      <c r="CW40">
        <v>3.1673499999999999</v>
      </c>
      <c r="CX40">
        <v>2.65889</v>
      </c>
      <c r="CY40">
        <v>1.3858499999999999E-2</v>
      </c>
      <c r="CZ40">
        <v>1.5924000000000001E-2</v>
      </c>
      <c r="DA40">
        <v>-1.0596E-2</v>
      </c>
      <c r="DB40">
        <v>-2.7456299999999999E-2</v>
      </c>
      <c r="DC40">
        <v>21373.200000000001</v>
      </c>
      <c r="DD40">
        <v>21652.7</v>
      </c>
      <c r="DE40">
        <v>23200.5</v>
      </c>
      <c r="DF40">
        <v>22351.4</v>
      </c>
      <c r="DG40">
        <v>30226.2</v>
      </c>
      <c r="DH40">
        <v>27380.5</v>
      </c>
      <c r="DI40">
        <v>40760.9</v>
      </c>
      <c r="DJ40">
        <v>37038.199999999997</v>
      </c>
      <c r="DK40">
        <v>2.1030799999999998</v>
      </c>
      <c r="DL40">
        <v>1.86564</v>
      </c>
      <c r="DM40">
        <v>2.2196799999999999E-2</v>
      </c>
      <c r="DN40">
        <v>0</v>
      </c>
      <c r="DO40">
        <v>24.964600000000001</v>
      </c>
      <c r="DP40">
        <v>999.9</v>
      </c>
      <c r="DQ40">
        <v>84.2</v>
      </c>
      <c r="DR40">
        <v>26.7</v>
      </c>
      <c r="DS40">
        <v>29.567399999999999</v>
      </c>
      <c r="DT40">
        <v>30.578199999999999</v>
      </c>
      <c r="DU40">
        <v>8.8942300000000003</v>
      </c>
      <c r="DV40">
        <v>1</v>
      </c>
      <c r="DW40">
        <v>5.3626E-2</v>
      </c>
      <c r="DX40">
        <v>-0.16736999999999999</v>
      </c>
      <c r="DY40">
        <v>20.368400000000001</v>
      </c>
      <c r="DZ40">
        <v>5.2119</v>
      </c>
      <c r="EA40">
        <v>11.8482</v>
      </c>
      <c r="EB40">
        <v>4.9684400000000002</v>
      </c>
      <c r="EC40">
        <v>3.2919999999999998</v>
      </c>
      <c r="ED40">
        <v>894.7</v>
      </c>
      <c r="EE40">
        <v>0</v>
      </c>
      <c r="EF40">
        <v>9999</v>
      </c>
      <c r="EG40">
        <v>113.4</v>
      </c>
      <c r="EH40">
        <v>4.9716699999999996</v>
      </c>
      <c r="EI40">
        <v>1.8717999999999999</v>
      </c>
      <c r="EJ40">
        <v>1.8689</v>
      </c>
      <c r="EK40">
        <v>1.87134</v>
      </c>
      <c r="EL40">
        <v>1.8690500000000001</v>
      </c>
      <c r="EM40">
        <v>1.86802</v>
      </c>
      <c r="EN40">
        <v>1.8698300000000001</v>
      </c>
      <c r="EO40">
        <v>1.87164</v>
      </c>
      <c r="EP40">
        <v>0</v>
      </c>
      <c r="EQ40">
        <v>0</v>
      </c>
      <c r="ER40">
        <v>0</v>
      </c>
      <c r="ES40">
        <v>0</v>
      </c>
      <c r="ET40" t="s">
        <v>334</v>
      </c>
      <c r="EU40" t="s">
        <v>335</v>
      </c>
      <c r="EV40" t="s">
        <v>336</v>
      </c>
      <c r="EW40" t="s">
        <v>336</v>
      </c>
      <c r="EX40" t="s">
        <v>336</v>
      </c>
      <c r="EY40" t="s">
        <v>336</v>
      </c>
      <c r="EZ40">
        <v>0</v>
      </c>
      <c r="FA40">
        <v>100</v>
      </c>
      <c r="FB40">
        <v>100</v>
      </c>
      <c r="FC40">
        <v>7.7670000000000003</v>
      </c>
      <c r="FD40">
        <v>-1.0009999999999999</v>
      </c>
      <c r="FE40">
        <v>7.7803095238095139</v>
      </c>
      <c r="FF40">
        <v>0</v>
      </c>
      <c r="FG40">
        <v>0</v>
      </c>
      <c r="FH40">
        <v>0</v>
      </c>
      <c r="FI40">
        <v>-1.000443</v>
      </c>
      <c r="FJ40">
        <v>0</v>
      </c>
      <c r="FK40">
        <v>0</v>
      </c>
      <c r="FL40">
        <v>0</v>
      </c>
      <c r="FM40">
        <v>-1</v>
      </c>
      <c r="FN40">
        <v>-1</v>
      </c>
      <c r="FO40">
        <v>-1</v>
      </c>
      <c r="FP40">
        <v>-1</v>
      </c>
      <c r="FQ40">
        <v>0.7</v>
      </c>
      <c r="FR40">
        <v>0.7</v>
      </c>
      <c r="FS40">
        <v>0.144043</v>
      </c>
      <c r="FT40">
        <v>4.99756</v>
      </c>
      <c r="FU40">
        <v>1.5979000000000001</v>
      </c>
      <c r="FV40">
        <v>2.17041</v>
      </c>
      <c r="FW40">
        <v>1.5478499999999999</v>
      </c>
      <c r="FX40">
        <v>2.4060100000000002</v>
      </c>
      <c r="FY40">
        <v>31.367999999999999</v>
      </c>
      <c r="FZ40">
        <v>16.189699999999998</v>
      </c>
      <c r="GA40">
        <v>3</v>
      </c>
      <c r="GB40">
        <v>491.91199999999998</v>
      </c>
      <c r="GC40">
        <v>430.66</v>
      </c>
      <c r="GD40">
        <v>25.965399999999999</v>
      </c>
      <c r="GE40">
        <v>27.9084</v>
      </c>
      <c r="GF40">
        <v>30.0001</v>
      </c>
      <c r="GG40">
        <v>28.198699999999999</v>
      </c>
      <c r="GH40">
        <v>28.247299999999999</v>
      </c>
      <c r="GI40">
        <v>-1</v>
      </c>
      <c r="GJ40">
        <v>0</v>
      </c>
      <c r="GK40">
        <v>100</v>
      </c>
      <c r="GL40">
        <v>25.966100000000001</v>
      </c>
      <c r="GM40">
        <v>432.1</v>
      </c>
      <c r="GN40">
        <v>63.216500000000003</v>
      </c>
      <c r="GO40">
        <v>102.613</v>
      </c>
      <c r="GP40">
        <v>96.650199999999998</v>
      </c>
    </row>
    <row r="41" spans="1:198" x14ac:dyDescent="0.35">
      <c r="A41">
        <v>25</v>
      </c>
      <c r="B41">
        <v>1775505031.0999999</v>
      </c>
      <c r="C41">
        <v>1440.099999904633</v>
      </c>
      <c r="D41" t="s">
        <v>406</v>
      </c>
      <c r="E41" t="s">
        <v>407</v>
      </c>
      <c r="F41">
        <v>60</v>
      </c>
      <c r="G41">
        <v>1775505023.099999</v>
      </c>
      <c r="H41">
        <f t="shared" si="0"/>
        <v>9.2119648343924056E-4</v>
      </c>
      <c r="I41">
        <f t="shared" si="1"/>
        <v>0.92119648343924054</v>
      </c>
      <c r="J41">
        <f t="shared" si="2"/>
        <v>0.66700067938774854</v>
      </c>
      <c r="K41">
        <f t="shared" si="3"/>
        <v>54.631758064516127</v>
      </c>
      <c r="L41">
        <f t="shared" si="4"/>
        <v>12.135063370732547</v>
      </c>
      <c r="M41">
        <f t="shared" si="5"/>
        <v>1.2157359137147379</v>
      </c>
      <c r="N41">
        <f t="shared" si="6"/>
        <v>5.4732133058813712</v>
      </c>
      <c r="O41">
        <f t="shared" si="7"/>
        <v>2.6408487094270797E-2</v>
      </c>
      <c r="P41">
        <f t="shared" si="8"/>
        <v>2.3890138908298826</v>
      </c>
      <c r="Q41">
        <f t="shared" si="9"/>
        <v>2.6247375848267397E-2</v>
      </c>
      <c r="R41">
        <f t="shared" si="10"/>
        <v>1.6419003053620998E-2</v>
      </c>
      <c r="S41">
        <f t="shared" si="11"/>
        <v>0</v>
      </c>
      <c r="T41">
        <f t="shared" si="12"/>
        <v>25.010199016434292</v>
      </c>
      <c r="U41">
        <f t="shared" si="13"/>
        <v>25.33495806451613</v>
      </c>
      <c r="V41">
        <f t="shared" si="14"/>
        <v>3.2437322053533983</v>
      </c>
      <c r="W41">
        <f t="shared" si="15"/>
        <v>-6.7752584237743214</v>
      </c>
      <c r="X41">
        <f t="shared" si="16"/>
        <v>-0.21931333471091</v>
      </c>
      <c r="Y41">
        <f t="shared" si="17"/>
        <v>3.2369737210516054</v>
      </c>
      <c r="Z41">
        <f t="shared" si="18"/>
        <v>3.4630455400643085</v>
      </c>
      <c r="AA41">
        <f t="shared" si="19"/>
        <v>-40.624764919670511</v>
      </c>
      <c r="AB41">
        <f t="shared" si="20"/>
        <v>-4.5166030162211781</v>
      </c>
      <c r="AC41">
        <f t="shared" si="21"/>
        <v>-0.40118096252798091</v>
      </c>
      <c r="AD41">
        <f t="shared" si="22"/>
        <v>-45.542548898419668</v>
      </c>
      <c r="AE41">
        <v>19</v>
      </c>
      <c r="AF41">
        <v>4</v>
      </c>
      <c r="AG41">
        <f t="shared" si="23"/>
        <v>1</v>
      </c>
      <c r="AH41">
        <f t="shared" si="24"/>
        <v>0</v>
      </c>
      <c r="AI41">
        <f t="shared" si="25"/>
        <v>25677.554483504009</v>
      </c>
      <c r="AJ41">
        <f t="shared" si="26"/>
        <v>0</v>
      </c>
      <c r="AK41">
        <f t="shared" si="27"/>
        <v>0</v>
      </c>
      <c r="AL41">
        <f t="shared" si="28"/>
        <v>0</v>
      </c>
      <c r="AM41">
        <f t="shared" si="29"/>
        <v>0</v>
      </c>
      <c r="AN41">
        <v>3</v>
      </c>
      <c r="AO41">
        <v>0.5</v>
      </c>
      <c r="AP41" t="s">
        <v>331</v>
      </c>
      <c r="AQ41">
        <v>2</v>
      </c>
      <c r="AR41">
        <v>1775505023.099999</v>
      </c>
      <c r="AS41">
        <v>54.631758064516127</v>
      </c>
      <c r="AT41">
        <v>55.062154838709667</v>
      </c>
      <c r="AU41">
        <v>-2.1891112903225798</v>
      </c>
      <c r="AV41">
        <v>-2.7430396774193548</v>
      </c>
      <c r="AW41">
        <v>46.844758064516128</v>
      </c>
      <c r="AX41">
        <v>-1.1881112903225799</v>
      </c>
      <c r="AY41">
        <v>499.99951612903232</v>
      </c>
      <c r="AZ41">
        <v>100.1461935483871</v>
      </c>
      <c r="BA41">
        <v>3.7536570967741933E-2</v>
      </c>
      <c r="BB41">
        <v>25.299890322580652</v>
      </c>
      <c r="BC41">
        <v>25.33495806451613</v>
      </c>
      <c r="BD41">
        <v>999.90000000000032</v>
      </c>
      <c r="BE41">
        <v>0</v>
      </c>
      <c r="BF41">
        <v>0</v>
      </c>
      <c r="BG41">
        <v>4995.2258064516127</v>
      </c>
      <c r="BH41">
        <v>0.38358335483870959</v>
      </c>
      <c r="BI41">
        <v>0.22961599999999999</v>
      </c>
      <c r="BJ41">
        <v>-0.45051335483870958</v>
      </c>
      <c r="BK41">
        <v>54.492341935483871</v>
      </c>
      <c r="BL41">
        <v>54.911525806451607</v>
      </c>
      <c r="BM41">
        <v>0.55386006451612912</v>
      </c>
      <c r="BN41">
        <v>55.062154838709667</v>
      </c>
      <c r="BO41">
        <v>-2.7430396774193548</v>
      </c>
      <c r="BP41">
        <v>-0.21923790322580641</v>
      </c>
      <c r="BQ41">
        <v>-0.27470474193548378</v>
      </c>
      <c r="BR41">
        <v>-99.900000000000034</v>
      </c>
      <c r="BS41">
        <v>-99.900000000000034</v>
      </c>
      <c r="BT41">
        <v>0</v>
      </c>
      <c r="BU41">
        <v>0</v>
      </c>
      <c r="BV41">
        <v>0</v>
      </c>
      <c r="BW41">
        <v>24</v>
      </c>
      <c r="BX41">
        <v>-0.99139793548387123</v>
      </c>
      <c r="BY41">
        <v>1775505051.0999999</v>
      </c>
      <c r="BZ41" t="s">
        <v>408</v>
      </c>
      <c r="CA41">
        <v>1775505043.0999999</v>
      </c>
      <c r="CB41">
        <v>1775505051.0999999</v>
      </c>
      <c r="CC41">
        <v>28</v>
      </c>
      <c r="CD41">
        <v>2.1000000000000001E-2</v>
      </c>
      <c r="CE41">
        <v>0</v>
      </c>
      <c r="CF41">
        <v>7.7869999999999999</v>
      </c>
      <c r="CG41">
        <v>-1.0009999999999999</v>
      </c>
      <c r="CH41">
        <v>55</v>
      </c>
      <c r="CI41">
        <v>-3</v>
      </c>
      <c r="CJ41">
        <v>0.15</v>
      </c>
      <c r="CK41">
        <v>0.15</v>
      </c>
      <c r="CL41">
        <v>54.738455000000002</v>
      </c>
      <c r="CM41">
        <v>2.439221894970776</v>
      </c>
      <c r="CN41">
        <v>0.37033439277901281</v>
      </c>
      <c r="CO41">
        <v>-1</v>
      </c>
      <c r="CP41">
        <v>499.9871</v>
      </c>
      <c r="CQ41">
        <v>7.8681856072376363E-2</v>
      </c>
      <c r="CR41">
        <v>5.0186219888199129E-2</v>
      </c>
      <c r="CS41">
        <v>-1</v>
      </c>
      <c r="CT41">
        <v>0</v>
      </c>
      <c r="CU41">
        <v>0</v>
      </c>
      <c r="CV41" t="s">
        <v>333</v>
      </c>
      <c r="CW41">
        <v>3.1674699999999998</v>
      </c>
      <c r="CX41">
        <v>2.6587900000000002</v>
      </c>
      <c r="CY41">
        <v>1.4057399999999999E-2</v>
      </c>
      <c r="CZ41">
        <v>1.63687E-2</v>
      </c>
      <c r="DA41">
        <v>-1.06277E-2</v>
      </c>
      <c r="DB41">
        <v>-2.7351299999999999E-2</v>
      </c>
      <c r="DC41">
        <v>21367.599999999999</v>
      </c>
      <c r="DD41">
        <v>21643.599999999999</v>
      </c>
      <c r="DE41">
        <v>23199.1</v>
      </c>
      <c r="DF41">
        <v>22352.1</v>
      </c>
      <c r="DG41">
        <v>30225.5</v>
      </c>
      <c r="DH41">
        <v>27378.7</v>
      </c>
      <c r="DI41">
        <v>40758.699999999997</v>
      </c>
      <c r="DJ41">
        <v>37039.4</v>
      </c>
      <c r="DK41">
        <v>2.1030000000000002</v>
      </c>
      <c r="DL41">
        <v>1.8651599999999999</v>
      </c>
      <c r="DM41">
        <v>2.3067000000000001E-2</v>
      </c>
      <c r="DN41">
        <v>0</v>
      </c>
      <c r="DO41">
        <v>24.959</v>
      </c>
      <c r="DP41">
        <v>999.9</v>
      </c>
      <c r="DQ41">
        <v>84.1</v>
      </c>
      <c r="DR41">
        <v>26.7</v>
      </c>
      <c r="DS41">
        <v>29.530899999999999</v>
      </c>
      <c r="DT41">
        <v>30.638200000000001</v>
      </c>
      <c r="DU41">
        <v>8.4895899999999997</v>
      </c>
      <c r="DV41">
        <v>1</v>
      </c>
      <c r="DW41">
        <v>5.425E-2</v>
      </c>
      <c r="DX41">
        <v>-0.17123099999999999</v>
      </c>
      <c r="DY41">
        <v>20.368400000000001</v>
      </c>
      <c r="DZ41">
        <v>5.2122599999999997</v>
      </c>
      <c r="EA41">
        <v>11.8482</v>
      </c>
      <c r="EB41">
        <v>4.9682399999999998</v>
      </c>
      <c r="EC41">
        <v>3.2920400000000001</v>
      </c>
      <c r="ED41">
        <v>894.7</v>
      </c>
      <c r="EE41">
        <v>0</v>
      </c>
      <c r="EF41">
        <v>9999</v>
      </c>
      <c r="EG41">
        <v>113.4</v>
      </c>
      <c r="EH41">
        <v>4.9716500000000003</v>
      </c>
      <c r="EI41">
        <v>1.8717900000000001</v>
      </c>
      <c r="EJ41">
        <v>1.8689</v>
      </c>
      <c r="EK41">
        <v>1.87134</v>
      </c>
      <c r="EL41">
        <v>1.8690500000000001</v>
      </c>
      <c r="EM41">
        <v>1.86799</v>
      </c>
      <c r="EN41">
        <v>1.86981</v>
      </c>
      <c r="EO41">
        <v>1.87164</v>
      </c>
      <c r="EP41">
        <v>0</v>
      </c>
      <c r="EQ41">
        <v>0</v>
      </c>
      <c r="ER41">
        <v>0</v>
      </c>
      <c r="ES41">
        <v>0</v>
      </c>
      <c r="ET41" t="s">
        <v>334</v>
      </c>
      <c r="EU41" t="s">
        <v>335</v>
      </c>
      <c r="EV41" t="s">
        <v>336</v>
      </c>
      <c r="EW41" t="s">
        <v>336</v>
      </c>
      <c r="EX41" t="s">
        <v>336</v>
      </c>
      <c r="EY41" t="s">
        <v>336</v>
      </c>
      <c r="EZ41">
        <v>0</v>
      </c>
      <c r="FA41">
        <v>100</v>
      </c>
      <c r="FB41">
        <v>100</v>
      </c>
      <c r="FC41">
        <v>7.7869999999999999</v>
      </c>
      <c r="FD41">
        <v>-1.0009999999999999</v>
      </c>
      <c r="FE41">
        <v>7.7668761904761894</v>
      </c>
      <c r="FF41">
        <v>0</v>
      </c>
      <c r="FG41">
        <v>0</v>
      </c>
      <c r="FH41">
        <v>0</v>
      </c>
      <c r="FI41">
        <v>-1.0010680000000001</v>
      </c>
      <c r="FJ41">
        <v>0</v>
      </c>
      <c r="FK41">
        <v>0</v>
      </c>
      <c r="FL41">
        <v>0</v>
      </c>
      <c r="FM41">
        <v>-1</v>
      </c>
      <c r="FN41">
        <v>-1</v>
      </c>
      <c r="FO41">
        <v>-1</v>
      </c>
      <c r="FP41">
        <v>-1</v>
      </c>
      <c r="FQ41">
        <v>0.7</v>
      </c>
      <c r="FR41">
        <v>0.7</v>
      </c>
      <c r="FS41">
        <v>0.142822</v>
      </c>
      <c r="FT41">
        <v>4.99756</v>
      </c>
      <c r="FU41">
        <v>1.5979000000000001</v>
      </c>
      <c r="FV41">
        <v>2.17041</v>
      </c>
      <c r="FW41">
        <v>1.5478499999999999</v>
      </c>
      <c r="FX41">
        <v>2.36084</v>
      </c>
      <c r="FY41">
        <v>31.389800000000001</v>
      </c>
      <c r="FZ41">
        <v>16.189699999999998</v>
      </c>
      <c r="GA41">
        <v>3</v>
      </c>
      <c r="GB41">
        <v>491.94099999999997</v>
      </c>
      <c r="GC41">
        <v>430.46</v>
      </c>
      <c r="GD41">
        <v>25.974799999999998</v>
      </c>
      <c r="GE41">
        <v>27.913799999999998</v>
      </c>
      <c r="GF41">
        <v>30.0002</v>
      </c>
      <c r="GG41">
        <v>28.208200000000001</v>
      </c>
      <c r="GH41">
        <v>28.259</v>
      </c>
      <c r="GI41">
        <v>-1</v>
      </c>
      <c r="GJ41">
        <v>0</v>
      </c>
      <c r="GK41">
        <v>100</v>
      </c>
      <c r="GL41">
        <v>25.9757</v>
      </c>
      <c r="GM41">
        <v>432.1</v>
      </c>
      <c r="GN41">
        <v>63.216500000000003</v>
      </c>
      <c r="GO41">
        <v>102.608</v>
      </c>
      <c r="GP41">
        <v>96.653300000000002</v>
      </c>
    </row>
    <row r="42" spans="1:198" x14ac:dyDescent="0.35">
      <c r="A42">
        <v>26</v>
      </c>
      <c r="B42">
        <v>1775505091.0999999</v>
      </c>
      <c r="C42">
        <v>1500.099999904633</v>
      </c>
      <c r="D42" t="s">
        <v>409</v>
      </c>
      <c r="E42" t="s">
        <v>410</v>
      </c>
      <c r="F42">
        <v>60</v>
      </c>
      <c r="G42">
        <v>1775505083.099999</v>
      </c>
      <c r="H42">
        <f t="shared" si="0"/>
        <v>9.0082096678101688E-4</v>
      </c>
      <c r="I42">
        <f t="shared" si="1"/>
        <v>0.90082096678101686</v>
      </c>
      <c r="J42">
        <f t="shared" si="2"/>
        <v>0.1939498145802668</v>
      </c>
      <c r="K42">
        <f t="shared" si="3"/>
        <v>54.794919354838711</v>
      </c>
      <c r="L42">
        <f t="shared" si="4"/>
        <v>40.050247980289321</v>
      </c>
      <c r="M42">
        <f t="shared" si="5"/>
        <v>4.0123306421768357</v>
      </c>
      <c r="N42">
        <f t="shared" si="6"/>
        <v>5.4894874576364536</v>
      </c>
      <c r="O42">
        <f t="shared" si="7"/>
        <v>2.5813624542381765E-2</v>
      </c>
      <c r="P42">
        <f t="shared" si="8"/>
        <v>2.3922773334696772</v>
      </c>
      <c r="Q42">
        <f t="shared" si="9"/>
        <v>2.5659875587117926E-2</v>
      </c>
      <c r="R42">
        <f t="shared" si="10"/>
        <v>1.6051159516206472E-2</v>
      </c>
      <c r="S42">
        <f t="shared" si="11"/>
        <v>0</v>
      </c>
      <c r="T42">
        <f t="shared" si="12"/>
        <v>25.019136224318796</v>
      </c>
      <c r="U42">
        <f t="shared" si="13"/>
        <v>25.340399999999999</v>
      </c>
      <c r="V42">
        <f t="shared" si="14"/>
        <v>3.2447821150211897</v>
      </c>
      <c r="W42">
        <f t="shared" si="15"/>
        <v>-6.7688200928964894</v>
      </c>
      <c r="X42">
        <f t="shared" si="16"/>
        <v>-0.21913326643021039</v>
      </c>
      <c r="Y42">
        <f t="shared" si="17"/>
        <v>3.2373923877837867</v>
      </c>
      <c r="Z42">
        <f t="shared" si="18"/>
        <v>3.4639153814514003</v>
      </c>
      <c r="AA42">
        <f t="shared" si="19"/>
        <v>-39.726204635042848</v>
      </c>
      <c r="AB42">
        <f t="shared" si="20"/>
        <v>-4.9442214915305227</v>
      </c>
      <c r="AC42">
        <f t="shared" si="21"/>
        <v>-0.43858128441159955</v>
      </c>
      <c r="AD42">
        <f t="shared" si="22"/>
        <v>-45.109007410984965</v>
      </c>
      <c r="AE42">
        <v>19</v>
      </c>
      <c r="AF42">
        <v>4</v>
      </c>
      <c r="AG42">
        <f t="shared" si="23"/>
        <v>1</v>
      </c>
      <c r="AH42">
        <f t="shared" si="24"/>
        <v>0</v>
      </c>
      <c r="AI42">
        <f t="shared" si="25"/>
        <v>25727.358942215949</v>
      </c>
      <c r="AJ42">
        <f t="shared" si="26"/>
        <v>0</v>
      </c>
      <c r="AK42">
        <f t="shared" si="27"/>
        <v>0</v>
      </c>
      <c r="AL42">
        <f t="shared" si="28"/>
        <v>0</v>
      </c>
      <c r="AM42">
        <f t="shared" si="29"/>
        <v>0</v>
      </c>
      <c r="AN42">
        <v>3</v>
      </c>
      <c r="AO42">
        <v>0.5</v>
      </c>
      <c r="AP42" t="s">
        <v>331</v>
      </c>
      <c r="AQ42">
        <v>2</v>
      </c>
      <c r="AR42">
        <v>1775505083.099999</v>
      </c>
      <c r="AS42">
        <v>54.794919354838711</v>
      </c>
      <c r="AT42">
        <v>54.940906451612904</v>
      </c>
      <c r="AU42">
        <v>-2.187342580645161</v>
      </c>
      <c r="AV42">
        <v>-2.7290209677419348</v>
      </c>
      <c r="AW42">
        <v>47.044919354838711</v>
      </c>
      <c r="AX42">
        <v>-1.185342580645161</v>
      </c>
      <c r="AY42">
        <v>499.9967096774194</v>
      </c>
      <c r="AZ42">
        <v>100.14487096774189</v>
      </c>
      <c r="BA42">
        <v>3.7545983870967747E-2</v>
      </c>
      <c r="BB42">
        <v>25.302064516129029</v>
      </c>
      <c r="BC42">
        <v>25.340399999999999</v>
      </c>
      <c r="BD42">
        <v>999.90000000000032</v>
      </c>
      <c r="BE42">
        <v>0</v>
      </c>
      <c r="BF42">
        <v>0</v>
      </c>
      <c r="BG42">
        <v>5003.6935483870966</v>
      </c>
      <c r="BH42">
        <v>0.39825554838709681</v>
      </c>
      <c r="BI42">
        <v>0.22961599999999999</v>
      </c>
      <c r="BJ42">
        <v>-0.1086057974193548</v>
      </c>
      <c r="BK42">
        <v>54.71265806451612</v>
      </c>
      <c r="BL42">
        <v>54.79138064516129</v>
      </c>
      <c r="BM42">
        <v>0.54225032258064509</v>
      </c>
      <c r="BN42">
        <v>54.940906451612904</v>
      </c>
      <c r="BO42">
        <v>-2.7290209677419348</v>
      </c>
      <c r="BP42">
        <v>-0.2189937419354839</v>
      </c>
      <c r="BQ42">
        <v>-0.27329735483870971</v>
      </c>
      <c r="BR42">
        <v>-99.900000000000034</v>
      </c>
      <c r="BS42">
        <v>-99.900000000000034</v>
      </c>
      <c r="BT42">
        <v>0</v>
      </c>
      <c r="BU42">
        <v>0</v>
      </c>
      <c r="BV42">
        <v>0</v>
      </c>
      <c r="BW42">
        <v>24</v>
      </c>
      <c r="BX42">
        <v>-0.99892474193548386</v>
      </c>
      <c r="BY42">
        <v>1775505112.0999999</v>
      </c>
      <c r="BZ42" t="s">
        <v>411</v>
      </c>
      <c r="CA42">
        <v>1775505107.0999999</v>
      </c>
      <c r="CB42">
        <v>1775505112.0999999</v>
      </c>
      <c r="CC42">
        <v>29</v>
      </c>
      <c r="CD42">
        <v>-3.6999999999999998E-2</v>
      </c>
      <c r="CE42">
        <v>-1E-3</v>
      </c>
      <c r="CF42">
        <v>7.75</v>
      </c>
      <c r="CG42">
        <v>-1.002</v>
      </c>
      <c r="CH42">
        <v>55</v>
      </c>
      <c r="CI42">
        <v>-3</v>
      </c>
      <c r="CJ42">
        <v>0.24</v>
      </c>
      <c r="CK42">
        <v>0.11</v>
      </c>
      <c r="CL42">
        <v>54.938848333333333</v>
      </c>
      <c r="CM42">
        <v>0.13510452903597511</v>
      </c>
      <c r="CN42">
        <v>8.072815595496341E-2</v>
      </c>
      <c r="CO42">
        <v>-1</v>
      </c>
      <c r="CP42">
        <v>499.99975000000012</v>
      </c>
      <c r="CQ42">
        <v>-0.10301194776242641</v>
      </c>
      <c r="CR42">
        <v>6.510776323398848E-2</v>
      </c>
      <c r="CS42">
        <v>-1</v>
      </c>
      <c r="CT42">
        <v>0</v>
      </c>
      <c r="CU42">
        <v>0</v>
      </c>
      <c r="CV42" t="s">
        <v>333</v>
      </c>
      <c r="CW42">
        <v>3.16744</v>
      </c>
      <c r="CX42">
        <v>2.6593</v>
      </c>
      <c r="CY42">
        <v>1.40588E-2</v>
      </c>
      <c r="CZ42">
        <v>1.64499E-2</v>
      </c>
      <c r="DA42">
        <v>-1.06091E-2</v>
      </c>
      <c r="DB42">
        <v>-2.7215400000000001E-2</v>
      </c>
      <c r="DC42">
        <v>21366.9</v>
      </c>
      <c r="DD42">
        <v>21642.799999999999</v>
      </c>
      <c r="DE42">
        <v>23198.400000000001</v>
      </c>
      <c r="DF42">
        <v>22353.200000000001</v>
      </c>
      <c r="DG42">
        <v>30224.2</v>
      </c>
      <c r="DH42">
        <v>27376</v>
      </c>
      <c r="DI42">
        <v>40757.800000000003</v>
      </c>
      <c r="DJ42">
        <v>37040.699999999997</v>
      </c>
      <c r="DK42">
        <v>2.1027999999999998</v>
      </c>
      <c r="DL42">
        <v>1.86466</v>
      </c>
      <c r="DM42">
        <v>2.2977600000000001E-2</v>
      </c>
      <c r="DN42">
        <v>0</v>
      </c>
      <c r="DO42">
        <v>24.9604</v>
      </c>
      <c r="DP42">
        <v>999.9</v>
      </c>
      <c r="DQ42">
        <v>84</v>
      </c>
      <c r="DR42">
        <v>26.8</v>
      </c>
      <c r="DS42">
        <v>29.668099999999999</v>
      </c>
      <c r="DT42">
        <v>30.7882</v>
      </c>
      <c r="DU42">
        <v>8.5336499999999997</v>
      </c>
      <c r="DV42">
        <v>1</v>
      </c>
      <c r="DW42">
        <v>5.4636200000000003E-2</v>
      </c>
      <c r="DX42">
        <v>-0.15874099999999999</v>
      </c>
      <c r="DY42">
        <v>20.368400000000001</v>
      </c>
      <c r="DZ42">
        <v>5.2125000000000004</v>
      </c>
      <c r="EA42">
        <v>11.8482</v>
      </c>
      <c r="EB42">
        <v>4.9681600000000001</v>
      </c>
      <c r="EC42">
        <v>3.2919999999999998</v>
      </c>
      <c r="ED42">
        <v>894.7</v>
      </c>
      <c r="EE42">
        <v>0</v>
      </c>
      <c r="EF42">
        <v>9999</v>
      </c>
      <c r="EG42">
        <v>113.4</v>
      </c>
      <c r="EH42">
        <v>4.9716699999999996</v>
      </c>
      <c r="EI42">
        <v>1.8717900000000001</v>
      </c>
      <c r="EJ42">
        <v>1.8689</v>
      </c>
      <c r="EK42">
        <v>1.87134</v>
      </c>
      <c r="EL42">
        <v>1.8690500000000001</v>
      </c>
      <c r="EM42">
        <v>1.8680099999999999</v>
      </c>
      <c r="EN42">
        <v>1.8698600000000001</v>
      </c>
      <c r="EO42">
        <v>1.87164</v>
      </c>
      <c r="EP42">
        <v>0</v>
      </c>
      <c r="EQ42">
        <v>0</v>
      </c>
      <c r="ER42">
        <v>0</v>
      </c>
      <c r="ES42">
        <v>0</v>
      </c>
      <c r="ET42" t="s">
        <v>334</v>
      </c>
      <c r="EU42" t="s">
        <v>335</v>
      </c>
      <c r="EV42" t="s">
        <v>336</v>
      </c>
      <c r="EW42" t="s">
        <v>336</v>
      </c>
      <c r="EX42" t="s">
        <v>336</v>
      </c>
      <c r="EY42" t="s">
        <v>336</v>
      </c>
      <c r="EZ42">
        <v>0</v>
      </c>
      <c r="FA42">
        <v>100</v>
      </c>
      <c r="FB42">
        <v>100</v>
      </c>
      <c r="FC42">
        <v>7.75</v>
      </c>
      <c r="FD42">
        <v>-1.002</v>
      </c>
      <c r="FE42">
        <v>7.7873749999999973</v>
      </c>
      <c r="FF42">
        <v>0</v>
      </c>
      <c r="FG42">
        <v>0</v>
      </c>
      <c r="FH42">
        <v>0</v>
      </c>
      <c r="FI42">
        <v>-1.001428</v>
      </c>
      <c r="FJ42">
        <v>0</v>
      </c>
      <c r="FK42">
        <v>0</v>
      </c>
      <c r="FL42">
        <v>0</v>
      </c>
      <c r="FM42">
        <v>-1</v>
      </c>
      <c r="FN42">
        <v>-1</v>
      </c>
      <c r="FO42">
        <v>-1</v>
      </c>
      <c r="FP42">
        <v>-1</v>
      </c>
      <c r="FQ42">
        <v>0.8</v>
      </c>
      <c r="FR42">
        <v>0.7</v>
      </c>
      <c r="FS42">
        <v>0.144043</v>
      </c>
      <c r="FT42">
        <v>4.99756</v>
      </c>
      <c r="FU42">
        <v>1.5979000000000001</v>
      </c>
      <c r="FV42">
        <v>2.16797</v>
      </c>
      <c r="FW42">
        <v>1.5478499999999999</v>
      </c>
      <c r="FX42">
        <v>2.4108900000000002</v>
      </c>
      <c r="FY42">
        <v>31.433299999999999</v>
      </c>
      <c r="FZ42">
        <v>16.180900000000001</v>
      </c>
      <c r="GA42">
        <v>3</v>
      </c>
      <c r="GB42">
        <v>491.89800000000002</v>
      </c>
      <c r="GC42">
        <v>430.23099999999999</v>
      </c>
      <c r="GD42">
        <v>25.9682</v>
      </c>
      <c r="GE42">
        <v>27.920300000000001</v>
      </c>
      <c r="GF42">
        <v>30.0002</v>
      </c>
      <c r="GG42">
        <v>28.217199999999998</v>
      </c>
      <c r="GH42">
        <v>28.2684</v>
      </c>
      <c r="GI42">
        <v>-1</v>
      </c>
      <c r="GJ42">
        <v>0</v>
      </c>
      <c r="GK42">
        <v>100</v>
      </c>
      <c r="GL42">
        <v>25.9665</v>
      </c>
      <c r="GM42">
        <v>432.1</v>
      </c>
      <c r="GN42">
        <v>63.216500000000003</v>
      </c>
      <c r="GO42">
        <v>102.605</v>
      </c>
      <c r="GP42">
        <v>96.6571</v>
      </c>
    </row>
    <row r="43" spans="1:198" x14ac:dyDescent="0.35">
      <c r="A43">
        <v>27</v>
      </c>
      <c r="B43">
        <v>1775505151.0999999</v>
      </c>
      <c r="C43">
        <v>1560.099999904633</v>
      </c>
      <c r="D43" t="s">
        <v>412</v>
      </c>
      <c r="E43" t="s">
        <v>413</v>
      </c>
      <c r="F43">
        <v>60</v>
      </c>
      <c r="G43">
        <v>1775505143.099999</v>
      </c>
      <c r="H43">
        <f t="shared" si="0"/>
        <v>9.0009919178948372E-4</v>
      </c>
      <c r="I43">
        <f t="shared" si="1"/>
        <v>0.90009919178948372</v>
      </c>
      <c r="J43">
        <f t="shared" si="2"/>
        <v>-0.90624815038456097</v>
      </c>
      <c r="K43">
        <f t="shared" si="3"/>
        <v>54.0253193548387</v>
      </c>
      <c r="L43">
        <f t="shared" si="4"/>
        <v>106.0329346145034</v>
      </c>
      <c r="M43">
        <f t="shared" si="5"/>
        <v>10.622368053734112</v>
      </c>
      <c r="N43">
        <f t="shared" si="6"/>
        <v>5.4122507171382752</v>
      </c>
      <c r="O43">
        <f t="shared" si="7"/>
        <v>2.5796050348193312E-2</v>
      </c>
      <c r="P43">
        <f t="shared" si="8"/>
        <v>2.3905353310239938</v>
      </c>
      <c r="Q43">
        <f t="shared" si="9"/>
        <v>2.5642398830776531E-2</v>
      </c>
      <c r="R43">
        <f t="shared" si="10"/>
        <v>1.6040227833961616E-2</v>
      </c>
      <c r="S43">
        <f t="shared" si="11"/>
        <v>0</v>
      </c>
      <c r="T43">
        <f t="shared" si="12"/>
        <v>25.018918806748832</v>
      </c>
      <c r="U43">
        <f t="shared" si="13"/>
        <v>25.338051612903222</v>
      </c>
      <c r="V43">
        <f t="shared" si="14"/>
        <v>3.2443290055571574</v>
      </c>
      <c r="W43">
        <f t="shared" si="15"/>
        <v>-6.7675393257793646</v>
      </c>
      <c r="X43">
        <f t="shared" si="16"/>
        <v>-0.21908848182606996</v>
      </c>
      <c r="Y43">
        <f t="shared" si="17"/>
        <v>3.2373433131227389</v>
      </c>
      <c r="Z43">
        <f t="shared" si="18"/>
        <v>3.4634174873832273</v>
      </c>
      <c r="AA43">
        <f t="shared" si="19"/>
        <v>-39.694374357916232</v>
      </c>
      <c r="AB43">
        <f t="shared" si="20"/>
        <v>-4.6708077597029547</v>
      </c>
      <c r="AC43">
        <f t="shared" si="21"/>
        <v>-0.41462438834545956</v>
      </c>
      <c r="AD43">
        <f t="shared" si="22"/>
        <v>-44.779806505964643</v>
      </c>
      <c r="AE43">
        <v>19</v>
      </c>
      <c r="AF43">
        <v>4</v>
      </c>
      <c r="AG43">
        <f t="shared" si="23"/>
        <v>1</v>
      </c>
      <c r="AH43">
        <f t="shared" si="24"/>
        <v>0</v>
      </c>
      <c r="AI43">
        <f t="shared" si="25"/>
        <v>25700.827621391883</v>
      </c>
      <c r="AJ43">
        <f t="shared" si="26"/>
        <v>0</v>
      </c>
      <c r="AK43">
        <f t="shared" si="27"/>
        <v>0</v>
      </c>
      <c r="AL43">
        <f t="shared" si="28"/>
        <v>0</v>
      </c>
      <c r="AM43">
        <f t="shared" si="29"/>
        <v>0</v>
      </c>
      <c r="AN43">
        <v>3</v>
      </c>
      <c r="AO43">
        <v>0.5</v>
      </c>
      <c r="AP43" t="s">
        <v>331</v>
      </c>
      <c r="AQ43">
        <v>2</v>
      </c>
      <c r="AR43">
        <v>1775505143.099999</v>
      </c>
      <c r="AS43">
        <v>54.0253193548387</v>
      </c>
      <c r="AT43">
        <v>53.510745161290323</v>
      </c>
      <c r="AU43">
        <v>-2.1869506451612901</v>
      </c>
      <c r="AV43">
        <v>-2.7281935483870972</v>
      </c>
      <c r="AW43">
        <v>46.284319354838701</v>
      </c>
      <c r="AX43">
        <v>-1.1829506451612899</v>
      </c>
      <c r="AY43">
        <v>499.9978709677419</v>
      </c>
      <c r="AZ43">
        <v>100.1422580645161</v>
      </c>
      <c r="BA43">
        <v>3.7635025806451623E-2</v>
      </c>
      <c r="BB43">
        <v>25.301809677419349</v>
      </c>
      <c r="BC43">
        <v>25.338051612903222</v>
      </c>
      <c r="BD43">
        <v>999.90000000000032</v>
      </c>
      <c r="BE43">
        <v>0</v>
      </c>
      <c r="BF43">
        <v>0</v>
      </c>
      <c r="BG43">
        <v>4999.3387096774204</v>
      </c>
      <c r="BH43">
        <v>0.40408077419354838</v>
      </c>
      <c r="BI43">
        <v>0.22961599999999999</v>
      </c>
      <c r="BJ43">
        <v>0.52402530322580643</v>
      </c>
      <c r="BK43">
        <v>53.916932258064527</v>
      </c>
      <c r="BL43">
        <v>53.365141935483862</v>
      </c>
      <c r="BM43">
        <v>0.54279345161290327</v>
      </c>
      <c r="BN43">
        <v>53.510745161290323</v>
      </c>
      <c r="BO43">
        <v>-2.7281935483870972</v>
      </c>
      <c r="BP43">
        <v>-0.21885109677419359</v>
      </c>
      <c r="BQ43">
        <v>-0.27320764516129042</v>
      </c>
      <c r="BR43">
        <v>-99.900000000000034</v>
      </c>
      <c r="BS43">
        <v>-99.900000000000034</v>
      </c>
      <c r="BT43">
        <v>0</v>
      </c>
      <c r="BU43">
        <v>0</v>
      </c>
      <c r="BV43">
        <v>0</v>
      </c>
      <c r="BW43">
        <v>24</v>
      </c>
      <c r="BX43">
        <v>-1</v>
      </c>
      <c r="BY43">
        <v>1775505176.5999999</v>
      </c>
      <c r="BZ43" t="s">
        <v>414</v>
      </c>
      <c r="CA43">
        <v>1775505176.5999999</v>
      </c>
      <c r="CB43">
        <v>1775505171.0999999</v>
      </c>
      <c r="CC43">
        <v>30</v>
      </c>
      <c r="CD43">
        <v>-0.01</v>
      </c>
      <c r="CE43">
        <v>-2E-3</v>
      </c>
      <c r="CF43">
        <v>7.7409999999999997</v>
      </c>
      <c r="CG43">
        <v>-1.004</v>
      </c>
      <c r="CH43">
        <v>55</v>
      </c>
      <c r="CI43">
        <v>-3</v>
      </c>
      <c r="CJ43">
        <v>0.23</v>
      </c>
      <c r="CK43">
        <v>0.15</v>
      </c>
      <c r="CL43">
        <v>54.259311666666669</v>
      </c>
      <c r="CM43">
        <v>-4.6891768824672617</v>
      </c>
      <c r="CN43">
        <v>0.87941883822815359</v>
      </c>
      <c r="CO43">
        <v>-1</v>
      </c>
      <c r="CP43">
        <v>500.01423333333338</v>
      </c>
      <c r="CQ43">
        <v>-0.1948874687404881</v>
      </c>
      <c r="CR43">
        <v>0.10065028012324841</v>
      </c>
      <c r="CS43">
        <v>-1</v>
      </c>
      <c r="CT43">
        <v>0</v>
      </c>
      <c r="CU43">
        <v>0</v>
      </c>
      <c r="CV43" t="s">
        <v>333</v>
      </c>
      <c r="CW43">
        <v>3.1674500000000001</v>
      </c>
      <c r="CX43">
        <v>2.6590199999999999</v>
      </c>
      <c r="CY43">
        <v>1.3740799999999999E-2</v>
      </c>
      <c r="CZ43">
        <v>1.61847E-2</v>
      </c>
      <c r="DA43">
        <v>-1.05655E-2</v>
      </c>
      <c r="DB43">
        <v>-2.71373E-2</v>
      </c>
      <c r="DC43">
        <v>21373.3</v>
      </c>
      <c r="DD43">
        <v>21649.3</v>
      </c>
      <c r="DE43">
        <v>23197.9</v>
      </c>
      <c r="DF43">
        <v>22353.9</v>
      </c>
      <c r="DG43">
        <v>30222.1</v>
      </c>
      <c r="DH43">
        <v>27374.7</v>
      </c>
      <c r="DI43">
        <v>40756.699999999997</v>
      </c>
      <c r="DJ43">
        <v>37041.699999999997</v>
      </c>
      <c r="DK43">
        <v>2.1026799999999999</v>
      </c>
      <c r="DL43">
        <v>1.86412</v>
      </c>
      <c r="DM43">
        <v>2.3210000000000001E-2</v>
      </c>
      <c r="DN43">
        <v>0</v>
      </c>
      <c r="DO43">
        <v>24.9604</v>
      </c>
      <c r="DP43">
        <v>999.9</v>
      </c>
      <c r="DQ43">
        <v>83.9</v>
      </c>
      <c r="DR43">
        <v>26.8</v>
      </c>
      <c r="DS43">
        <v>29.633299999999998</v>
      </c>
      <c r="DT43">
        <v>30.7882</v>
      </c>
      <c r="DU43">
        <v>8.7660300000000007</v>
      </c>
      <c r="DV43">
        <v>1</v>
      </c>
      <c r="DW43">
        <v>5.4985800000000001E-2</v>
      </c>
      <c r="DX43">
        <v>-0.157641</v>
      </c>
      <c r="DY43">
        <v>20.368500000000001</v>
      </c>
      <c r="DZ43">
        <v>5.2130999999999998</v>
      </c>
      <c r="EA43">
        <v>11.8482</v>
      </c>
      <c r="EB43">
        <v>4.9686000000000003</v>
      </c>
      <c r="EC43">
        <v>3.2919999999999998</v>
      </c>
      <c r="ED43">
        <v>894.7</v>
      </c>
      <c r="EE43">
        <v>0</v>
      </c>
      <c r="EF43">
        <v>9999</v>
      </c>
      <c r="EG43">
        <v>113.4</v>
      </c>
      <c r="EH43">
        <v>4.9716699999999996</v>
      </c>
      <c r="EI43">
        <v>1.8717999999999999</v>
      </c>
      <c r="EJ43">
        <v>1.8689</v>
      </c>
      <c r="EK43">
        <v>1.87134</v>
      </c>
      <c r="EL43">
        <v>1.8690500000000001</v>
      </c>
      <c r="EM43">
        <v>1.8680099999999999</v>
      </c>
      <c r="EN43">
        <v>1.8698300000000001</v>
      </c>
      <c r="EO43">
        <v>1.87164</v>
      </c>
      <c r="EP43">
        <v>0</v>
      </c>
      <c r="EQ43">
        <v>0</v>
      </c>
      <c r="ER43">
        <v>0</v>
      </c>
      <c r="ES43">
        <v>0</v>
      </c>
      <c r="ET43" t="s">
        <v>334</v>
      </c>
      <c r="EU43" t="s">
        <v>335</v>
      </c>
      <c r="EV43" t="s">
        <v>336</v>
      </c>
      <c r="EW43" t="s">
        <v>336</v>
      </c>
      <c r="EX43" t="s">
        <v>336</v>
      </c>
      <c r="EY43" t="s">
        <v>336</v>
      </c>
      <c r="EZ43">
        <v>0</v>
      </c>
      <c r="FA43">
        <v>100</v>
      </c>
      <c r="FB43">
        <v>100</v>
      </c>
      <c r="FC43">
        <v>7.7409999999999997</v>
      </c>
      <c r="FD43">
        <v>-1.004</v>
      </c>
      <c r="FE43">
        <v>7.7504450000000062</v>
      </c>
      <c r="FF43">
        <v>0</v>
      </c>
      <c r="FG43">
        <v>0</v>
      </c>
      <c r="FH43">
        <v>0</v>
      </c>
      <c r="FI43">
        <v>-1.0024504999999999</v>
      </c>
      <c r="FJ43">
        <v>0</v>
      </c>
      <c r="FK43">
        <v>0</v>
      </c>
      <c r="FL43">
        <v>0</v>
      </c>
      <c r="FM43">
        <v>-1</v>
      </c>
      <c r="FN43">
        <v>-1</v>
      </c>
      <c r="FO43">
        <v>-1</v>
      </c>
      <c r="FP43">
        <v>-1</v>
      </c>
      <c r="FQ43">
        <v>0.7</v>
      </c>
      <c r="FR43">
        <v>0.7</v>
      </c>
      <c r="FS43">
        <v>0.144043</v>
      </c>
      <c r="FT43">
        <v>4.99756</v>
      </c>
      <c r="FU43">
        <v>1.5979000000000001</v>
      </c>
      <c r="FV43">
        <v>2.16919</v>
      </c>
      <c r="FW43">
        <v>1.5478499999999999</v>
      </c>
      <c r="FX43">
        <v>2.4438499999999999</v>
      </c>
      <c r="FY43">
        <v>31.455200000000001</v>
      </c>
      <c r="FZ43">
        <v>16.180900000000001</v>
      </c>
      <c r="GA43">
        <v>3</v>
      </c>
      <c r="GB43">
        <v>491.9</v>
      </c>
      <c r="GC43">
        <v>429.97899999999998</v>
      </c>
      <c r="GD43">
        <v>25.969899999999999</v>
      </c>
      <c r="GE43">
        <v>27.927199999999999</v>
      </c>
      <c r="GF43">
        <v>30</v>
      </c>
      <c r="GG43">
        <v>28.225999999999999</v>
      </c>
      <c r="GH43">
        <v>28.277799999999999</v>
      </c>
      <c r="GI43">
        <v>-1</v>
      </c>
      <c r="GJ43">
        <v>0</v>
      </c>
      <c r="GK43">
        <v>100</v>
      </c>
      <c r="GL43">
        <v>25.968599999999999</v>
      </c>
      <c r="GM43">
        <v>432.1</v>
      </c>
      <c r="GN43">
        <v>63.216500000000003</v>
      </c>
      <c r="GO43">
        <v>102.602</v>
      </c>
      <c r="GP43">
        <v>96.659899999999993</v>
      </c>
    </row>
    <row r="44" spans="1:198" x14ac:dyDescent="0.35">
      <c r="A44">
        <v>28</v>
      </c>
      <c r="B44">
        <v>1775505211.0999999</v>
      </c>
      <c r="C44">
        <v>1620.099999904633</v>
      </c>
      <c r="D44" t="s">
        <v>415</v>
      </c>
      <c r="E44" t="s">
        <v>416</v>
      </c>
      <c r="F44">
        <v>60</v>
      </c>
      <c r="G44">
        <v>1775505203.349999</v>
      </c>
      <c r="H44">
        <f t="shared" si="0"/>
        <v>9.0705631127519068E-4</v>
      </c>
      <c r="I44">
        <f t="shared" si="1"/>
        <v>0.90705631127519071</v>
      </c>
      <c r="J44">
        <f t="shared" si="2"/>
        <v>-5.3581729526749758E-3</v>
      </c>
      <c r="K44">
        <f t="shared" si="3"/>
        <v>54.770816666666661</v>
      </c>
      <c r="L44">
        <f t="shared" si="4"/>
        <v>52.103908519215523</v>
      </c>
      <c r="M44">
        <f t="shared" si="5"/>
        <v>5.2197305450850227</v>
      </c>
      <c r="N44">
        <f t="shared" si="6"/>
        <v>5.4868994065736576</v>
      </c>
      <c r="O44">
        <f t="shared" si="7"/>
        <v>2.5998944324210682E-2</v>
      </c>
      <c r="P44">
        <f t="shared" si="8"/>
        <v>2.3903113846185526</v>
      </c>
      <c r="Q44">
        <f t="shared" si="9"/>
        <v>2.5842859631555519E-2</v>
      </c>
      <c r="R44">
        <f t="shared" si="10"/>
        <v>1.6165732624258987E-2</v>
      </c>
      <c r="S44">
        <f t="shared" si="11"/>
        <v>0</v>
      </c>
      <c r="T44">
        <f t="shared" si="12"/>
        <v>25.01486429093644</v>
      </c>
      <c r="U44">
        <f t="shared" si="13"/>
        <v>25.337520000000001</v>
      </c>
      <c r="V44">
        <f t="shared" si="14"/>
        <v>3.2442264411987263</v>
      </c>
      <c r="W44">
        <f t="shared" si="15"/>
        <v>-6.7613159004018559</v>
      </c>
      <c r="X44">
        <f t="shared" si="16"/>
        <v>-0.2188630128173458</v>
      </c>
      <c r="Y44">
        <f t="shared" si="17"/>
        <v>3.236988421208626</v>
      </c>
      <c r="Z44">
        <f t="shared" si="18"/>
        <v>3.4630894540160719</v>
      </c>
      <c r="AA44">
        <f t="shared" si="19"/>
        <v>-40.001183327235907</v>
      </c>
      <c r="AB44">
        <f t="shared" si="20"/>
        <v>-4.8393654045440755</v>
      </c>
      <c r="AC44">
        <f t="shared" si="21"/>
        <v>-0.42962225247906016</v>
      </c>
      <c r="AD44">
        <f t="shared" si="22"/>
        <v>-45.270170984259046</v>
      </c>
      <c r="AE44">
        <v>19</v>
      </c>
      <c r="AF44">
        <v>4</v>
      </c>
      <c r="AG44">
        <f t="shared" si="23"/>
        <v>1</v>
      </c>
      <c r="AH44">
        <f t="shared" si="24"/>
        <v>0</v>
      </c>
      <c r="AI44">
        <f t="shared" si="25"/>
        <v>25697.589911091341</v>
      </c>
      <c r="AJ44">
        <f t="shared" si="26"/>
        <v>0</v>
      </c>
      <c r="AK44">
        <f t="shared" si="27"/>
        <v>0</v>
      </c>
      <c r="AL44">
        <f t="shared" si="28"/>
        <v>0</v>
      </c>
      <c r="AM44">
        <f t="shared" si="29"/>
        <v>0</v>
      </c>
      <c r="AN44">
        <v>3</v>
      </c>
      <c r="AO44">
        <v>0.5</v>
      </c>
      <c r="AP44" t="s">
        <v>331</v>
      </c>
      <c r="AQ44">
        <v>2</v>
      </c>
      <c r="AR44">
        <v>1775505203.349999</v>
      </c>
      <c r="AS44">
        <v>54.770816666666661</v>
      </c>
      <c r="AT44">
        <v>54.797409999999999</v>
      </c>
      <c r="AU44">
        <v>-2.184714</v>
      </c>
      <c r="AV44">
        <v>-2.7301389999999999</v>
      </c>
      <c r="AW44">
        <v>47.034816666666657</v>
      </c>
      <c r="AX44">
        <v>-1.1817139999999999</v>
      </c>
      <c r="AY44">
        <v>499.99796666666668</v>
      </c>
      <c r="AZ44">
        <v>100.14149999999999</v>
      </c>
      <c r="BA44">
        <v>3.775129666666667E-2</v>
      </c>
      <c r="BB44">
        <v>25.299966666666659</v>
      </c>
      <c r="BC44">
        <v>25.337520000000001</v>
      </c>
      <c r="BD44">
        <v>999.9000000000002</v>
      </c>
      <c r="BE44">
        <v>0</v>
      </c>
      <c r="BF44">
        <v>0</v>
      </c>
      <c r="BG44">
        <v>4998.8</v>
      </c>
      <c r="BH44">
        <v>0.40175733333333319</v>
      </c>
      <c r="BI44">
        <v>0.23149106666666661</v>
      </c>
      <c r="BJ44">
        <v>-2.1990823999999999E-2</v>
      </c>
      <c r="BK44">
        <v>54.655943333333333</v>
      </c>
      <c r="BL44">
        <v>54.648206666666667</v>
      </c>
      <c r="BM44">
        <v>0.54445433333333326</v>
      </c>
      <c r="BN44">
        <v>54.797409999999999</v>
      </c>
      <c r="BO44">
        <v>-2.7301389999999999</v>
      </c>
      <c r="BP44">
        <v>-0.21887783333333341</v>
      </c>
      <c r="BQ44">
        <v>-0.27340016666666672</v>
      </c>
      <c r="BR44">
        <v>-99.900000000000034</v>
      </c>
      <c r="BS44">
        <v>-99.900000000000034</v>
      </c>
      <c r="BT44">
        <v>0</v>
      </c>
      <c r="BU44">
        <v>0</v>
      </c>
      <c r="BV44">
        <v>0</v>
      </c>
      <c r="BW44">
        <v>24</v>
      </c>
      <c r="BX44">
        <v>-1</v>
      </c>
      <c r="BY44">
        <v>1775505231.0999999</v>
      </c>
      <c r="BZ44" t="s">
        <v>417</v>
      </c>
      <c r="CA44">
        <v>1775505227.0999999</v>
      </c>
      <c r="CB44">
        <v>1775505231.0999999</v>
      </c>
      <c r="CC44">
        <v>31</v>
      </c>
      <c r="CD44">
        <v>-5.0000000000000001E-3</v>
      </c>
      <c r="CE44">
        <v>1E-3</v>
      </c>
      <c r="CF44">
        <v>7.7359999999999998</v>
      </c>
      <c r="CG44">
        <v>-1.0029999999999999</v>
      </c>
      <c r="CH44">
        <v>55</v>
      </c>
      <c r="CI44">
        <v>-3</v>
      </c>
      <c r="CJ44">
        <v>0.3</v>
      </c>
      <c r="CK44">
        <v>0.12</v>
      </c>
      <c r="CL44">
        <v>54.905747540983612</v>
      </c>
      <c r="CM44">
        <v>-0.51612755155993861</v>
      </c>
      <c r="CN44">
        <v>0.12511696639880071</v>
      </c>
      <c r="CO44">
        <v>-1</v>
      </c>
      <c r="CP44">
        <v>500.62604918032793</v>
      </c>
      <c r="CQ44">
        <v>-6.2266166049709888</v>
      </c>
      <c r="CR44">
        <v>1.412261103270497</v>
      </c>
      <c r="CS44">
        <v>-1</v>
      </c>
      <c r="CT44">
        <v>0</v>
      </c>
      <c r="CU44">
        <v>0</v>
      </c>
      <c r="CV44" t="s">
        <v>333</v>
      </c>
      <c r="CW44">
        <v>3.16723</v>
      </c>
      <c r="CX44">
        <v>2.6591399999999998</v>
      </c>
      <c r="CY44">
        <v>1.40167E-2</v>
      </c>
      <c r="CZ44">
        <v>1.6358999999999999E-2</v>
      </c>
      <c r="DA44">
        <v>-1.05833E-2</v>
      </c>
      <c r="DB44">
        <v>-2.7241000000000001E-2</v>
      </c>
      <c r="DC44">
        <v>21366.6</v>
      </c>
      <c r="DD44">
        <v>21646.6</v>
      </c>
      <c r="DE44">
        <v>23197.200000000001</v>
      </c>
      <c r="DF44">
        <v>22355</v>
      </c>
      <c r="DG44">
        <v>30221.8</v>
      </c>
      <c r="DH44">
        <v>27378.6</v>
      </c>
      <c r="DI44">
        <v>40755.599999999999</v>
      </c>
      <c r="DJ44">
        <v>37043.300000000003</v>
      </c>
      <c r="DK44">
        <v>2.1021000000000001</v>
      </c>
      <c r="DL44">
        <v>1.86392</v>
      </c>
      <c r="DM44">
        <v>2.2107399999999999E-2</v>
      </c>
      <c r="DN44">
        <v>0</v>
      </c>
      <c r="DO44">
        <v>24.965</v>
      </c>
      <c r="DP44">
        <v>999.9</v>
      </c>
      <c r="DQ44">
        <v>83.8</v>
      </c>
      <c r="DR44">
        <v>26.8</v>
      </c>
      <c r="DS44">
        <v>29.6021</v>
      </c>
      <c r="DT44">
        <v>30.9682</v>
      </c>
      <c r="DU44">
        <v>8.5857399999999995</v>
      </c>
      <c r="DV44">
        <v>1</v>
      </c>
      <c r="DW44">
        <v>5.5516299999999998E-2</v>
      </c>
      <c r="DX44">
        <v>-0.174124</v>
      </c>
      <c r="DY44">
        <v>20.367999999999999</v>
      </c>
      <c r="DZ44">
        <v>5.2114200000000004</v>
      </c>
      <c r="EA44">
        <v>11.8482</v>
      </c>
      <c r="EB44">
        <v>4.968</v>
      </c>
      <c r="EC44">
        <v>3.2914599999999998</v>
      </c>
      <c r="ED44">
        <v>894.7</v>
      </c>
      <c r="EE44">
        <v>0</v>
      </c>
      <c r="EF44">
        <v>9999</v>
      </c>
      <c r="EG44">
        <v>113.4</v>
      </c>
      <c r="EH44">
        <v>4.9716899999999997</v>
      </c>
      <c r="EI44">
        <v>1.8717999999999999</v>
      </c>
      <c r="EJ44">
        <v>1.8689</v>
      </c>
      <c r="EK44">
        <v>1.87134</v>
      </c>
      <c r="EL44">
        <v>1.8690500000000001</v>
      </c>
      <c r="EM44">
        <v>1.8680099999999999</v>
      </c>
      <c r="EN44">
        <v>1.8698699999999999</v>
      </c>
      <c r="EO44">
        <v>1.87165</v>
      </c>
      <c r="EP44">
        <v>0</v>
      </c>
      <c r="EQ44">
        <v>0</v>
      </c>
      <c r="ER44">
        <v>0</v>
      </c>
      <c r="ES44">
        <v>0</v>
      </c>
      <c r="ET44" t="s">
        <v>334</v>
      </c>
      <c r="EU44" t="s">
        <v>335</v>
      </c>
      <c r="EV44" t="s">
        <v>336</v>
      </c>
      <c r="EW44" t="s">
        <v>336</v>
      </c>
      <c r="EX44" t="s">
        <v>336</v>
      </c>
      <c r="EY44" t="s">
        <v>336</v>
      </c>
      <c r="EZ44">
        <v>0</v>
      </c>
      <c r="FA44">
        <v>100</v>
      </c>
      <c r="FB44">
        <v>100</v>
      </c>
      <c r="FC44">
        <v>7.7359999999999998</v>
      </c>
      <c r="FD44">
        <v>-1.0029999999999999</v>
      </c>
      <c r="FE44">
        <v>7.7405952380952394</v>
      </c>
      <c r="FF44">
        <v>0</v>
      </c>
      <c r="FG44">
        <v>0</v>
      </c>
      <c r="FH44">
        <v>0</v>
      </c>
      <c r="FI44">
        <v>-1.0039709999999999</v>
      </c>
      <c r="FJ44">
        <v>0</v>
      </c>
      <c r="FK44">
        <v>0</v>
      </c>
      <c r="FL44">
        <v>0</v>
      </c>
      <c r="FM44">
        <v>-1</v>
      </c>
      <c r="FN44">
        <v>-1</v>
      </c>
      <c r="FO44">
        <v>-1</v>
      </c>
      <c r="FP44">
        <v>-1</v>
      </c>
      <c r="FQ44">
        <v>0.6</v>
      </c>
      <c r="FR44">
        <v>0.7</v>
      </c>
      <c r="FS44">
        <v>0.144043</v>
      </c>
      <c r="FT44">
        <v>4.99756</v>
      </c>
      <c r="FU44">
        <v>1.5979000000000001</v>
      </c>
      <c r="FV44">
        <v>2.16919</v>
      </c>
      <c r="FW44">
        <v>1.5478499999999999</v>
      </c>
      <c r="FX44">
        <v>2.3803700000000001</v>
      </c>
      <c r="FY44">
        <v>31.477</v>
      </c>
      <c r="FZ44">
        <v>16.180900000000001</v>
      </c>
      <c r="GA44">
        <v>3</v>
      </c>
      <c r="GB44">
        <v>491.64400000000001</v>
      </c>
      <c r="GC44">
        <v>429.91199999999998</v>
      </c>
      <c r="GD44">
        <v>25.949000000000002</v>
      </c>
      <c r="GE44">
        <v>27.9343</v>
      </c>
      <c r="GF44">
        <v>30.0001</v>
      </c>
      <c r="GG44">
        <v>28.235499999999998</v>
      </c>
      <c r="GH44">
        <v>28.2849</v>
      </c>
      <c r="GI44">
        <v>-1</v>
      </c>
      <c r="GJ44">
        <v>0</v>
      </c>
      <c r="GK44">
        <v>100</v>
      </c>
      <c r="GL44">
        <v>25.961500000000001</v>
      </c>
      <c r="GM44">
        <v>432.1</v>
      </c>
      <c r="GN44">
        <v>63.216500000000003</v>
      </c>
      <c r="GO44">
        <v>102.6</v>
      </c>
      <c r="GP44">
        <v>96.664299999999997</v>
      </c>
    </row>
    <row r="45" spans="1:198" x14ac:dyDescent="0.35">
      <c r="A45">
        <v>29</v>
      </c>
      <c r="B45">
        <v>1775505271.0999999</v>
      </c>
      <c r="C45">
        <v>1680.099999904633</v>
      </c>
      <c r="D45" t="s">
        <v>418</v>
      </c>
      <c r="E45" t="s">
        <v>419</v>
      </c>
      <c r="F45">
        <v>60</v>
      </c>
      <c r="G45">
        <v>1775505263.099999</v>
      </c>
      <c r="H45">
        <f t="shared" si="0"/>
        <v>9.0987814795006066E-4</v>
      </c>
      <c r="I45">
        <f t="shared" si="1"/>
        <v>0.90987814795006061</v>
      </c>
      <c r="J45">
        <f t="shared" si="2"/>
        <v>0.11142166285671062</v>
      </c>
      <c r="K45">
        <f t="shared" si="3"/>
        <v>54.612577419354842</v>
      </c>
      <c r="L45">
        <f t="shared" si="4"/>
        <v>44.951667302150192</v>
      </c>
      <c r="M45">
        <f t="shared" si="5"/>
        <v>4.5031124646502274</v>
      </c>
      <c r="N45">
        <f t="shared" si="6"/>
        <v>5.4709111555470349</v>
      </c>
      <c r="O45">
        <f t="shared" si="7"/>
        <v>2.6089483748268104E-2</v>
      </c>
      <c r="P45">
        <f t="shared" si="8"/>
        <v>2.3920112219495024</v>
      </c>
      <c r="Q45">
        <f t="shared" si="9"/>
        <v>2.5932424566444592E-2</v>
      </c>
      <c r="R45">
        <f t="shared" si="10"/>
        <v>1.6221797558414807E-2</v>
      </c>
      <c r="S45">
        <f t="shared" si="11"/>
        <v>0</v>
      </c>
      <c r="T45">
        <f t="shared" si="12"/>
        <v>25.008050758550453</v>
      </c>
      <c r="U45">
        <f t="shared" si="13"/>
        <v>25.326964516129031</v>
      </c>
      <c r="V45">
        <f t="shared" si="14"/>
        <v>3.2421905525904759</v>
      </c>
      <c r="W45">
        <f t="shared" si="15"/>
        <v>-6.7876780122577252</v>
      </c>
      <c r="X45">
        <f t="shared" si="16"/>
        <v>-0.219636483693117</v>
      </c>
      <c r="Y45">
        <f t="shared" si="17"/>
        <v>3.2358117650318725</v>
      </c>
      <c r="Z45">
        <f t="shared" si="18"/>
        <v>3.461827036283593</v>
      </c>
      <c r="AA45">
        <f t="shared" si="19"/>
        <v>-40.125626324597675</v>
      </c>
      <c r="AB45">
        <f t="shared" si="20"/>
        <v>-4.2697613895260327</v>
      </c>
      <c r="AC45">
        <f t="shared" si="21"/>
        <v>-0.37875365075304779</v>
      </c>
      <c r="AD45">
        <f t="shared" si="22"/>
        <v>-44.774141364876755</v>
      </c>
      <c r="AE45">
        <v>18</v>
      </c>
      <c r="AF45">
        <v>4</v>
      </c>
      <c r="AG45">
        <f t="shared" si="23"/>
        <v>1</v>
      </c>
      <c r="AH45">
        <f t="shared" si="24"/>
        <v>0</v>
      </c>
      <c r="AI45">
        <f t="shared" si="25"/>
        <v>25724.23338358906</v>
      </c>
      <c r="AJ45">
        <f t="shared" si="26"/>
        <v>0</v>
      </c>
      <c r="AK45">
        <f t="shared" si="27"/>
        <v>0</v>
      </c>
      <c r="AL45">
        <f t="shared" si="28"/>
        <v>0</v>
      </c>
      <c r="AM45">
        <f t="shared" si="29"/>
        <v>0</v>
      </c>
      <c r="AN45">
        <v>3</v>
      </c>
      <c r="AO45">
        <v>0.5</v>
      </c>
      <c r="AP45" t="s">
        <v>331</v>
      </c>
      <c r="AQ45">
        <v>2</v>
      </c>
      <c r="AR45">
        <v>1775505263.099999</v>
      </c>
      <c r="AS45">
        <v>54.612577419354842</v>
      </c>
      <c r="AT45">
        <v>54.70924193548386</v>
      </c>
      <c r="AU45">
        <v>-2.1924893548387101</v>
      </c>
      <c r="AV45">
        <v>-2.7395964516129032</v>
      </c>
      <c r="AW45">
        <v>46.848577419354832</v>
      </c>
      <c r="AX45">
        <v>-1.18948935483871</v>
      </c>
      <c r="AY45">
        <v>500.01529032258071</v>
      </c>
      <c r="AZ45">
        <v>100.1389032258064</v>
      </c>
      <c r="BA45">
        <v>3.7858503225806459E-2</v>
      </c>
      <c r="BB45">
        <v>25.29385483870967</v>
      </c>
      <c r="BC45">
        <v>25.326964516129031</v>
      </c>
      <c r="BD45">
        <v>999.90000000000032</v>
      </c>
      <c r="BE45">
        <v>0</v>
      </c>
      <c r="BF45">
        <v>0</v>
      </c>
      <c r="BG45">
        <v>5003.3064516129034</v>
      </c>
      <c r="BH45">
        <v>0.40639477419354841</v>
      </c>
      <c r="BI45">
        <v>0.23331922580645159</v>
      </c>
      <c r="BJ45">
        <v>-0.1247230229032258</v>
      </c>
      <c r="BK45">
        <v>54.465116129032268</v>
      </c>
      <c r="BL45">
        <v>54.559770967741933</v>
      </c>
      <c r="BM45">
        <v>0.5475410322580645</v>
      </c>
      <c r="BN45">
        <v>54.70924193548386</v>
      </c>
      <c r="BO45">
        <v>-2.7395964516129032</v>
      </c>
      <c r="BP45">
        <v>-0.21951012903225811</v>
      </c>
      <c r="BQ45">
        <v>-0.27434035483870961</v>
      </c>
      <c r="BR45">
        <v>-99.900000000000034</v>
      </c>
      <c r="BS45">
        <v>-99.900000000000034</v>
      </c>
      <c r="BT45">
        <v>0</v>
      </c>
      <c r="BU45">
        <v>0</v>
      </c>
      <c r="BV45">
        <v>0</v>
      </c>
      <c r="BW45">
        <v>24</v>
      </c>
      <c r="BX45">
        <v>-1</v>
      </c>
      <c r="BY45">
        <v>1775505290.5999999</v>
      </c>
      <c r="BZ45" t="s">
        <v>420</v>
      </c>
      <c r="CA45">
        <v>1775505283.0999999</v>
      </c>
      <c r="CB45">
        <v>1775505290.5999999</v>
      </c>
      <c r="CC45">
        <v>32</v>
      </c>
      <c r="CD45">
        <v>2.8000000000000001E-2</v>
      </c>
      <c r="CE45">
        <v>-1E-3</v>
      </c>
      <c r="CF45">
        <v>7.7640000000000002</v>
      </c>
      <c r="CG45">
        <v>-1.0029999999999999</v>
      </c>
      <c r="CH45">
        <v>55</v>
      </c>
      <c r="CI45">
        <v>-3</v>
      </c>
      <c r="CJ45">
        <v>0.2</v>
      </c>
      <c r="CK45">
        <v>0.14000000000000001</v>
      </c>
      <c r="CL45">
        <v>54.654193442622947</v>
      </c>
      <c r="CM45">
        <v>0.1940884188260962</v>
      </c>
      <c r="CN45">
        <v>0.1061911605546884</v>
      </c>
      <c r="CO45">
        <v>-1</v>
      </c>
      <c r="CP45">
        <v>500.00839344262289</v>
      </c>
      <c r="CQ45">
        <v>-6.87890005278598E-2</v>
      </c>
      <c r="CR45">
        <v>7.731567794025479E-2</v>
      </c>
      <c r="CS45">
        <v>-1</v>
      </c>
      <c r="CT45">
        <v>0</v>
      </c>
      <c r="CU45">
        <v>0</v>
      </c>
      <c r="CV45" t="s">
        <v>333</v>
      </c>
      <c r="CW45">
        <v>3.16737</v>
      </c>
      <c r="CX45">
        <v>2.65882</v>
      </c>
      <c r="CY45">
        <v>1.39805E-2</v>
      </c>
      <c r="CZ45">
        <v>1.6234599999999998E-2</v>
      </c>
      <c r="DA45">
        <v>-1.06401E-2</v>
      </c>
      <c r="DB45">
        <v>-2.73079E-2</v>
      </c>
      <c r="DC45">
        <v>21366.400000000001</v>
      </c>
      <c r="DD45">
        <v>21650.400000000001</v>
      </c>
      <c r="DE45">
        <v>23196</v>
      </c>
      <c r="DF45">
        <v>22356.1</v>
      </c>
      <c r="DG45">
        <v>30222.2</v>
      </c>
      <c r="DH45">
        <v>27381.4</v>
      </c>
      <c r="DI45">
        <v>40753.800000000003</v>
      </c>
      <c r="DJ45">
        <v>37044.6</v>
      </c>
      <c r="DK45">
        <v>2.10256</v>
      </c>
      <c r="DL45">
        <v>1.8633</v>
      </c>
      <c r="DM45">
        <v>2.2876299999999999E-2</v>
      </c>
      <c r="DN45">
        <v>0</v>
      </c>
      <c r="DO45">
        <v>24.956199999999999</v>
      </c>
      <c r="DP45">
        <v>999.9</v>
      </c>
      <c r="DQ45">
        <v>83.7</v>
      </c>
      <c r="DR45">
        <v>26.9</v>
      </c>
      <c r="DS45">
        <v>29.744</v>
      </c>
      <c r="DT45">
        <v>30.728200000000001</v>
      </c>
      <c r="DU45">
        <v>8.5296500000000002</v>
      </c>
      <c r="DV45">
        <v>1</v>
      </c>
      <c r="DW45">
        <v>5.5684999999999998E-2</v>
      </c>
      <c r="DX45">
        <v>-0.20491699999999999</v>
      </c>
      <c r="DY45">
        <v>20.3687</v>
      </c>
      <c r="DZ45">
        <v>5.2130999999999998</v>
      </c>
      <c r="EA45">
        <v>11.8482</v>
      </c>
      <c r="EB45">
        <v>4.9684799999999996</v>
      </c>
      <c r="EC45">
        <v>3.2919999999999998</v>
      </c>
      <c r="ED45">
        <v>894.7</v>
      </c>
      <c r="EE45">
        <v>0</v>
      </c>
      <c r="EF45">
        <v>9999</v>
      </c>
      <c r="EG45">
        <v>113.5</v>
      </c>
      <c r="EH45">
        <v>4.97166</v>
      </c>
      <c r="EI45">
        <v>1.8717999999999999</v>
      </c>
      <c r="EJ45">
        <v>1.8689</v>
      </c>
      <c r="EK45">
        <v>1.87134</v>
      </c>
      <c r="EL45">
        <v>1.8690500000000001</v>
      </c>
      <c r="EM45">
        <v>1.8680099999999999</v>
      </c>
      <c r="EN45">
        <v>1.8698600000000001</v>
      </c>
      <c r="EO45">
        <v>1.87165</v>
      </c>
      <c r="EP45">
        <v>0</v>
      </c>
      <c r="EQ45">
        <v>0</v>
      </c>
      <c r="ER45">
        <v>0</v>
      </c>
      <c r="ES45">
        <v>0</v>
      </c>
      <c r="ET45" t="s">
        <v>334</v>
      </c>
      <c r="EU45" t="s">
        <v>335</v>
      </c>
      <c r="EV45" t="s">
        <v>336</v>
      </c>
      <c r="EW45" t="s">
        <v>336</v>
      </c>
      <c r="EX45" t="s">
        <v>336</v>
      </c>
      <c r="EY45" t="s">
        <v>336</v>
      </c>
      <c r="EZ45">
        <v>0</v>
      </c>
      <c r="FA45">
        <v>100</v>
      </c>
      <c r="FB45">
        <v>100</v>
      </c>
      <c r="FC45">
        <v>7.7640000000000002</v>
      </c>
      <c r="FD45">
        <v>-1.0029999999999999</v>
      </c>
      <c r="FE45">
        <v>7.7359349999999836</v>
      </c>
      <c r="FF45">
        <v>0</v>
      </c>
      <c r="FG45">
        <v>0</v>
      </c>
      <c r="FH45">
        <v>0</v>
      </c>
      <c r="FI45">
        <v>-1.0025655</v>
      </c>
      <c r="FJ45">
        <v>0</v>
      </c>
      <c r="FK45">
        <v>0</v>
      </c>
      <c r="FL45">
        <v>0</v>
      </c>
      <c r="FM45">
        <v>-1</v>
      </c>
      <c r="FN45">
        <v>-1</v>
      </c>
      <c r="FO45">
        <v>-1</v>
      </c>
      <c r="FP45">
        <v>-1</v>
      </c>
      <c r="FQ45">
        <v>0.7</v>
      </c>
      <c r="FR45">
        <v>0.7</v>
      </c>
      <c r="FS45">
        <v>0.144043</v>
      </c>
      <c r="FT45">
        <v>4.99756</v>
      </c>
      <c r="FU45">
        <v>1.5979000000000001</v>
      </c>
      <c r="FV45">
        <v>2.16919</v>
      </c>
      <c r="FW45">
        <v>1.5478499999999999</v>
      </c>
      <c r="FX45">
        <v>2.3767100000000001</v>
      </c>
      <c r="FY45">
        <v>31.498799999999999</v>
      </c>
      <c r="FZ45">
        <v>16.1722</v>
      </c>
      <c r="GA45">
        <v>3</v>
      </c>
      <c r="GB45">
        <v>491.94299999999998</v>
      </c>
      <c r="GC45">
        <v>429.59500000000003</v>
      </c>
      <c r="GD45">
        <v>25.991700000000002</v>
      </c>
      <c r="GE45">
        <v>27.937000000000001</v>
      </c>
      <c r="GF45">
        <v>30.0001</v>
      </c>
      <c r="GG45">
        <v>28.240200000000002</v>
      </c>
      <c r="GH45">
        <v>28.291899999999998</v>
      </c>
      <c r="GI45">
        <v>-1</v>
      </c>
      <c r="GJ45">
        <v>0</v>
      </c>
      <c r="GK45">
        <v>100</v>
      </c>
      <c r="GL45">
        <v>25.9954</v>
      </c>
      <c r="GM45">
        <v>432.1</v>
      </c>
      <c r="GN45">
        <v>63.216500000000003</v>
      </c>
      <c r="GO45">
        <v>102.595</v>
      </c>
      <c r="GP45">
        <v>96.668199999999999</v>
      </c>
    </row>
    <row r="46" spans="1:198" x14ac:dyDescent="0.35">
      <c r="A46">
        <v>30</v>
      </c>
      <c r="B46">
        <v>1775505331.0999999</v>
      </c>
      <c r="C46">
        <v>1740.099999904633</v>
      </c>
      <c r="D46" t="s">
        <v>421</v>
      </c>
      <c r="E46" t="s">
        <v>422</v>
      </c>
      <c r="F46">
        <v>60</v>
      </c>
      <c r="G46">
        <v>1775505323.349999</v>
      </c>
      <c r="H46">
        <f t="shared" si="0"/>
        <v>9.1474048178576454E-4</v>
      </c>
      <c r="I46">
        <f t="shared" si="1"/>
        <v>0.9147404817857645</v>
      </c>
      <c r="J46">
        <f t="shared" si="2"/>
        <v>8.1172372931218539E-2</v>
      </c>
      <c r="K46">
        <f t="shared" si="3"/>
        <v>54.098350000000011</v>
      </c>
      <c r="L46">
        <f t="shared" si="4"/>
        <v>46.303716795724689</v>
      </c>
      <c r="M46">
        <f t="shared" si="5"/>
        <v>4.6384810185034722</v>
      </c>
      <c r="N46">
        <f t="shared" si="6"/>
        <v>5.4193094414944811</v>
      </c>
      <c r="O46">
        <f t="shared" si="7"/>
        <v>2.622449433468569E-2</v>
      </c>
      <c r="P46">
        <f t="shared" si="8"/>
        <v>2.3897994357945271</v>
      </c>
      <c r="Q46">
        <f t="shared" si="9"/>
        <v>2.6065664846445676E-2</v>
      </c>
      <c r="R46">
        <f t="shared" si="10"/>
        <v>1.6305230416488629E-2</v>
      </c>
      <c r="S46">
        <f t="shared" si="11"/>
        <v>0</v>
      </c>
      <c r="T46">
        <f t="shared" si="12"/>
        <v>25.010311971656439</v>
      </c>
      <c r="U46">
        <f t="shared" si="13"/>
        <v>25.328806666666669</v>
      </c>
      <c r="V46">
        <f t="shared" si="14"/>
        <v>3.2425457768881167</v>
      </c>
      <c r="W46">
        <f t="shared" si="15"/>
        <v>-6.7951941996468941</v>
      </c>
      <c r="X46">
        <f t="shared" si="16"/>
        <v>-0.21993243564247961</v>
      </c>
      <c r="Y46">
        <f t="shared" si="17"/>
        <v>3.2365879352485352</v>
      </c>
      <c r="Z46">
        <f t="shared" si="18"/>
        <v>3.4624782125305962</v>
      </c>
      <c r="AA46">
        <f t="shared" si="19"/>
        <v>-40.340055246752215</v>
      </c>
      <c r="AB46">
        <f t="shared" si="20"/>
        <v>-3.9836977732843657</v>
      </c>
      <c r="AC46">
        <f t="shared" si="21"/>
        <v>-0.35371558087062366</v>
      </c>
      <c r="AD46">
        <f t="shared" si="22"/>
        <v>-44.677468600907204</v>
      </c>
      <c r="AE46">
        <v>18</v>
      </c>
      <c r="AF46">
        <v>4</v>
      </c>
      <c r="AG46">
        <f t="shared" si="23"/>
        <v>1</v>
      </c>
      <c r="AH46">
        <f t="shared" si="24"/>
        <v>0</v>
      </c>
      <c r="AI46">
        <f t="shared" si="25"/>
        <v>25690.096965053988</v>
      </c>
      <c r="AJ46">
        <f t="shared" si="26"/>
        <v>0</v>
      </c>
      <c r="AK46">
        <f t="shared" si="27"/>
        <v>0</v>
      </c>
      <c r="AL46">
        <f t="shared" si="28"/>
        <v>0</v>
      </c>
      <c r="AM46">
        <f t="shared" si="29"/>
        <v>0</v>
      </c>
      <c r="AN46">
        <v>3</v>
      </c>
      <c r="AO46">
        <v>0.5</v>
      </c>
      <c r="AP46" t="s">
        <v>331</v>
      </c>
      <c r="AQ46">
        <v>2</v>
      </c>
      <c r="AR46">
        <v>1775505323.349999</v>
      </c>
      <c r="AS46">
        <v>54.098350000000011</v>
      </c>
      <c r="AT46">
        <v>54.176746666666659</v>
      </c>
      <c r="AU46">
        <v>-2.1954793333333331</v>
      </c>
      <c r="AV46">
        <v>-2.745540333333333</v>
      </c>
      <c r="AW46">
        <v>46.379350000000009</v>
      </c>
      <c r="AX46">
        <v>-1.1934793333333329</v>
      </c>
      <c r="AY46">
        <v>499.98933333333332</v>
      </c>
      <c r="AZ46">
        <v>100.1374666666667</v>
      </c>
      <c r="BA46">
        <v>3.7666983333333327E-2</v>
      </c>
      <c r="BB46">
        <v>25.29788666666667</v>
      </c>
      <c r="BC46">
        <v>25.328806666666669</v>
      </c>
      <c r="BD46">
        <v>999.9000000000002</v>
      </c>
      <c r="BE46">
        <v>0</v>
      </c>
      <c r="BF46">
        <v>0</v>
      </c>
      <c r="BG46">
        <v>4997.6833333333334</v>
      </c>
      <c r="BH46">
        <v>0.40150353333333327</v>
      </c>
      <c r="BI46">
        <v>0.22961599999999999</v>
      </c>
      <c r="BJ46">
        <v>-3.3379364000000002E-2</v>
      </c>
      <c r="BK46">
        <v>54.024689999999993</v>
      </c>
      <c r="BL46">
        <v>54.028406666666683</v>
      </c>
      <c r="BM46">
        <v>0.54892913333333337</v>
      </c>
      <c r="BN46">
        <v>54.176746666666659</v>
      </c>
      <c r="BO46">
        <v>-2.745540333333333</v>
      </c>
      <c r="BP46">
        <v>-0.21996289999999999</v>
      </c>
      <c r="BQ46">
        <v>-0.27493133333333331</v>
      </c>
      <c r="BR46">
        <v>-99.900000000000034</v>
      </c>
      <c r="BS46">
        <v>-99.900000000000034</v>
      </c>
      <c r="BT46">
        <v>0</v>
      </c>
      <c r="BU46">
        <v>0</v>
      </c>
      <c r="BV46">
        <v>0</v>
      </c>
      <c r="BW46">
        <v>24</v>
      </c>
      <c r="BX46">
        <v>-1</v>
      </c>
      <c r="BY46">
        <v>1775505350.5999999</v>
      </c>
      <c r="BZ46" t="s">
        <v>423</v>
      </c>
      <c r="CA46">
        <v>1775505348.0999999</v>
      </c>
      <c r="CB46">
        <v>1775505350.5999999</v>
      </c>
      <c r="CC46">
        <v>33</v>
      </c>
      <c r="CD46">
        <v>-4.4999999999999998E-2</v>
      </c>
      <c r="CE46">
        <v>1E-3</v>
      </c>
      <c r="CF46">
        <v>7.7190000000000003</v>
      </c>
      <c r="CG46">
        <v>-1.002</v>
      </c>
      <c r="CH46">
        <v>52</v>
      </c>
      <c r="CI46">
        <v>-3</v>
      </c>
      <c r="CJ46">
        <v>0.33</v>
      </c>
      <c r="CK46">
        <v>0.13</v>
      </c>
      <c r="CL46">
        <v>54.167262295081983</v>
      </c>
      <c r="CM46">
        <v>3.1898677948164547E-2</v>
      </c>
      <c r="CN46">
        <v>4.2973492263900771E-2</v>
      </c>
      <c r="CO46">
        <v>-1</v>
      </c>
      <c r="CP46">
        <v>500.01255737704918</v>
      </c>
      <c r="CQ46">
        <v>-0.26486938128020721</v>
      </c>
      <c r="CR46">
        <v>8.7534447475035082E-2</v>
      </c>
      <c r="CS46">
        <v>-1</v>
      </c>
      <c r="CT46">
        <v>0</v>
      </c>
      <c r="CU46">
        <v>0</v>
      </c>
      <c r="CV46" t="s">
        <v>333</v>
      </c>
      <c r="CW46">
        <v>3.1673399999999998</v>
      </c>
      <c r="CX46">
        <v>2.6590600000000002</v>
      </c>
      <c r="CY46">
        <v>1.38292E-2</v>
      </c>
      <c r="CZ46">
        <v>1.6094500000000001E-2</v>
      </c>
      <c r="DA46">
        <v>-1.06771E-2</v>
      </c>
      <c r="DB46">
        <v>-2.7383899999999999E-2</v>
      </c>
      <c r="DC46">
        <v>21369.3</v>
      </c>
      <c r="DD46">
        <v>21654.6</v>
      </c>
      <c r="DE46">
        <v>23195.7</v>
      </c>
      <c r="DF46">
        <v>22357.3</v>
      </c>
      <c r="DG46">
        <v>30223</v>
      </c>
      <c r="DH46">
        <v>27384.6</v>
      </c>
      <c r="DI46">
        <v>40753.5</v>
      </c>
      <c r="DJ46">
        <v>37046.300000000003</v>
      </c>
      <c r="DK46">
        <v>2.1025999999999998</v>
      </c>
      <c r="DL46">
        <v>1.8629800000000001</v>
      </c>
      <c r="DM46">
        <v>2.31922E-2</v>
      </c>
      <c r="DN46">
        <v>0</v>
      </c>
      <c r="DO46">
        <v>24.947800000000001</v>
      </c>
      <c r="DP46">
        <v>999.9</v>
      </c>
      <c r="DQ46">
        <v>83.6</v>
      </c>
      <c r="DR46">
        <v>26.9</v>
      </c>
      <c r="DS46">
        <v>29.704499999999999</v>
      </c>
      <c r="DT46">
        <v>30.908200000000001</v>
      </c>
      <c r="DU46">
        <v>8.6818899999999992</v>
      </c>
      <c r="DV46">
        <v>1</v>
      </c>
      <c r="DW46">
        <v>5.5711400000000001E-2</v>
      </c>
      <c r="DX46">
        <v>-0.218477</v>
      </c>
      <c r="DY46">
        <v>20.368600000000001</v>
      </c>
      <c r="DZ46">
        <v>5.2138200000000001</v>
      </c>
      <c r="EA46">
        <v>11.8482</v>
      </c>
      <c r="EB46">
        <v>4.9687999999999999</v>
      </c>
      <c r="EC46">
        <v>3.2920199999999999</v>
      </c>
      <c r="ED46">
        <v>894.7</v>
      </c>
      <c r="EE46">
        <v>0</v>
      </c>
      <c r="EF46">
        <v>9999</v>
      </c>
      <c r="EG46">
        <v>113.5</v>
      </c>
      <c r="EH46">
        <v>4.97166</v>
      </c>
      <c r="EI46">
        <v>1.8717999999999999</v>
      </c>
      <c r="EJ46">
        <v>1.8689</v>
      </c>
      <c r="EK46">
        <v>1.87134</v>
      </c>
      <c r="EL46">
        <v>1.8690500000000001</v>
      </c>
      <c r="EM46">
        <v>1.86802</v>
      </c>
      <c r="EN46">
        <v>1.8698699999999999</v>
      </c>
      <c r="EO46">
        <v>1.87165</v>
      </c>
      <c r="EP46">
        <v>0</v>
      </c>
      <c r="EQ46">
        <v>0</v>
      </c>
      <c r="ER46">
        <v>0</v>
      </c>
      <c r="ES46">
        <v>0</v>
      </c>
      <c r="ET46" t="s">
        <v>334</v>
      </c>
      <c r="EU46" t="s">
        <v>335</v>
      </c>
      <c r="EV46" t="s">
        <v>336</v>
      </c>
      <c r="EW46" t="s">
        <v>336</v>
      </c>
      <c r="EX46" t="s">
        <v>336</v>
      </c>
      <c r="EY46" t="s">
        <v>336</v>
      </c>
      <c r="EZ46">
        <v>0</v>
      </c>
      <c r="FA46">
        <v>100</v>
      </c>
      <c r="FB46">
        <v>100</v>
      </c>
      <c r="FC46">
        <v>7.7190000000000003</v>
      </c>
      <c r="FD46">
        <v>-1.002</v>
      </c>
      <c r="FE46">
        <v>7.7640149999999926</v>
      </c>
      <c r="FF46">
        <v>0</v>
      </c>
      <c r="FG46">
        <v>0</v>
      </c>
      <c r="FH46">
        <v>0</v>
      </c>
      <c r="FI46">
        <v>-1.003132857142857</v>
      </c>
      <c r="FJ46">
        <v>0</v>
      </c>
      <c r="FK46">
        <v>0</v>
      </c>
      <c r="FL46">
        <v>0</v>
      </c>
      <c r="FM46">
        <v>-1</v>
      </c>
      <c r="FN46">
        <v>-1</v>
      </c>
      <c r="FO46">
        <v>-1</v>
      </c>
      <c r="FP46">
        <v>-1</v>
      </c>
      <c r="FQ46">
        <v>0.8</v>
      </c>
      <c r="FR46">
        <v>0.7</v>
      </c>
      <c r="FS46">
        <v>0.144043</v>
      </c>
      <c r="FT46">
        <v>4.99756</v>
      </c>
      <c r="FU46">
        <v>1.5979000000000001</v>
      </c>
      <c r="FV46">
        <v>2.16797</v>
      </c>
      <c r="FW46">
        <v>1.5478499999999999</v>
      </c>
      <c r="FX46">
        <v>2.33765</v>
      </c>
      <c r="FY46">
        <v>31.520600000000002</v>
      </c>
      <c r="FZ46">
        <v>16.163399999999999</v>
      </c>
      <c r="GA46">
        <v>3</v>
      </c>
      <c r="GB46">
        <v>492.00299999999999</v>
      </c>
      <c r="GC46">
        <v>429.43900000000002</v>
      </c>
      <c r="GD46">
        <v>26.028300000000002</v>
      </c>
      <c r="GE46">
        <v>27.938199999999998</v>
      </c>
      <c r="GF46">
        <v>30.0001</v>
      </c>
      <c r="GG46">
        <v>28.244900000000001</v>
      </c>
      <c r="GH46">
        <v>28.296700000000001</v>
      </c>
      <c r="GI46">
        <v>-1</v>
      </c>
      <c r="GJ46">
        <v>0</v>
      </c>
      <c r="GK46">
        <v>100</v>
      </c>
      <c r="GL46">
        <v>26.028500000000001</v>
      </c>
      <c r="GM46">
        <v>432.1</v>
      </c>
      <c r="GN46">
        <v>63.216500000000003</v>
      </c>
      <c r="GO46">
        <v>102.59399999999999</v>
      </c>
      <c r="GP46">
        <v>96.673000000000002</v>
      </c>
    </row>
    <row r="47" spans="1:198" x14ac:dyDescent="0.35">
      <c r="A47">
        <v>31</v>
      </c>
      <c r="B47">
        <v>1775505391.0999999</v>
      </c>
      <c r="C47">
        <v>1800.099999904633</v>
      </c>
      <c r="D47" t="s">
        <v>424</v>
      </c>
      <c r="E47" t="s">
        <v>425</v>
      </c>
      <c r="F47">
        <v>60</v>
      </c>
      <c r="G47">
        <v>1775505383.349999</v>
      </c>
      <c r="H47">
        <f t="shared" si="0"/>
        <v>9.0302793759778894E-4</v>
      </c>
      <c r="I47">
        <f t="shared" si="1"/>
        <v>0.90302793759778899</v>
      </c>
      <c r="J47">
        <f t="shared" si="2"/>
        <v>0.74477594733772801</v>
      </c>
      <c r="K47">
        <f t="shared" si="3"/>
        <v>53.874103333333331</v>
      </c>
      <c r="L47">
        <f t="shared" si="4"/>
        <v>5.9187471288345064</v>
      </c>
      <c r="M47">
        <f t="shared" si="5"/>
        <v>0.59290512838537035</v>
      </c>
      <c r="N47">
        <f t="shared" si="6"/>
        <v>5.3967894654398982</v>
      </c>
      <c r="O47">
        <f t="shared" si="7"/>
        <v>2.5882154694085273E-2</v>
      </c>
      <c r="P47">
        <f t="shared" si="8"/>
        <v>2.3929619427826476</v>
      </c>
      <c r="Q47">
        <f t="shared" si="9"/>
        <v>2.5727634880568461E-2</v>
      </c>
      <c r="R47">
        <f t="shared" si="10"/>
        <v>1.6093577769802869E-2</v>
      </c>
      <c r="S47">
        <f t="shared" si="11"/>
        <v>0</v>
      </c>
      <c r="T47">
        <f t="shared" si="12"/>
        <v>25.015589066979594</v>
      </c>
      <c r="U47">
        <f t="shared" si="13"/>
        <v>25.327573333333341</v>
      </c>
      <c r="V47">
        <f t="shared" si="14"/>
        <v>3.2423079478464691</v>
      </c>
      <c r="W47">
        <f t="shared" si="15"/>
        <v>-6.8192614372156983</v>
      </c>
      <c r="X47">
        <f t="shared" si="16"/>
        <v>-0.22072780496655112</v>
      </c>
      <c r="Y47">
        <f t="shared" si="17"/>
        <v>3.2368286067160108</v>
      </c>
      <c r="Z47">
        <f t="shared" si="18"/>
        <v>3.4630357528130205</v>
      </c>
      <c r="AA47">
        <f t="shared" si="19"/>
        <v>-39.823532048062489</v>
      </c>
      <c r="AB47">
        <f t="shared" si="20"/>
        <v>-3.6685962883222172</v>
      </c>
      <c r="AC47">
        <f t="shared" si="21"/>
        <v>-0.32530701509799881</v>
      </c>
      <c r="AD47">
        <f t="shared" si="22"/>
        <v>-43.817435351482708</v>
      </c>
      <c r="AE47">
        <v>18</v>
      </c>
      <c r="AF47">
        <v>4</v>
      </c>
      <c r="AG47">
        <f t="shared" si="23"/>
        <v>1</v>
      </c>
      <c r="AH47">
        <f t="shared" si="24"/>
        <v>0</v>
      </c>
      <c r="AI47">
        <f t="shared" si="25"/>
        <v>25738.417267854617</v>
      </c>
      <c r="AJ47">
        <f t="shared" si="26"/>
        <v>0</v>
      </c>
      <c r="AK47">
        <f t="shared" si="27"/>
        <v>0</v>
      </c>
      <c r="AL47">
        <f t="shared" si="28"/>
        <v>0</v>
      </c>
      <c r="AM47">
        <f t="shared" si="29"/>
        <v>0</v>
      </c>
      <c r="AN47">
        <v>3</v>
      </c>
      <c r="AO47">
        <v>0.5</v>
      </c>
      <c r="AP47" t="s">
        <v>331</v>
      </c>
      <c r="AQ47">
        <v>2</v>
      </c>
      <c r="AR47">
        <v>1775505383.349999</v>
      </c>
      <c r="AS47">
        <v>53.874103333333331</v>
      </c>
      <c r="AT47">
        <v>54.350160000000002</v>
      </c>
      <c r="AU47">
        <v>-2.2034419999999999</v>
      </c>
      <c r="AV47">
        <v>-2.7464539999999991</v>
      </c>
      <c r="AW47">
        <v>46.139103333333331</v>
      </c>
      <c r="AX47">
        <v>-1.202442</v>
      </c>
      <c r="AY47">
        <v>499.99873333333329</v>
      </c>
      <c r="AZ47">
        <v>100.1366666666667</v>
      </c>
      <c r="BA47">
        <v>3.7426849999999998E-2</v>
      </c>
      <c r="BB47">
        <v>25.299136666666659</v>
      </c>
      <c r="BC47">
        <v>25.327573333333341</v>
      </c>
      <c r="BD47">
        <v>999.9000000000002</v>
      </c>
      <c r="BE47">
        <v>0</v>
      </c>
      <c r="BF47">
        <v>0</v>
      </c>
      <c r="BG47">
        <v>5005.8666666666668</v>
      </c>
      <c r="BH47">
        <v>0.39063833333333342</v>
      </c>
      <c r="BI47">
        <v>0.22961599999999999</v>
      </c>
      <c r="BJ47">
        <v>-0.49251790000000012</v>
      </c>
      <c r="BK47">
        <v>53.739150000000002</v>
      </c>
      <c r="BL47">
        <v>54.201296666666657</v>
      </c>
      <c r="BM47">
        <v>0.54153326666666668</v>
      </c>
      <c r="BN47">
        <v>54.350160000000002</v>
      </c>
      <c r="BO47">
        <v>-2.7464539999999991</v>
      </c>
      <c r="BP47">
        <v>-0.22079346666666669</v>
      </c>
      <c r="BQ47">
        <v>-0.27502093333333338</v>
      </c>
      <c r="BR47">
        <v>-99.900000000000034</v>
      </c>
      <c r="BS47">
        <v>-99.900000000000034</v>
      </c>
      <c r="BT47">
        <v>0</v>
      </c>
      <c r="BU47">
        <v>0</v>
      </c>
      <c r="BV47">
        <v>0</v>
      </c>
      <c r="BW47">
        <v>24</v>
      </c>
      <c r="BX47">
        <v>-1</v>
      </c>
      <c r="BY47">
        <v>1775505412.0999999</v>
      </c>
      <c r="BZ47" t="s">
        <v>426</v>
      </c>
      <c r="CA47">
        <v>1775505412.0999999</v>
      </c>
      <c r="CB47">
        <v>1775505410.0999999</v>
      </c>
      <c r="CC47">
        <v>34</v>
      </c>
      <c r="CD47">
        <v>1.6E-2</v>
      </c>
      <c r="CE47">
        <v>1E-3</v>
      </c>
      <c r="CF47">
        <v>7.7350000000000003</v>
      </c>
      <c r="CG47">
        <v>-1.0009999999999999</v>
      </c>
      <c r="CH47">
        <v>55</v>
      </c>
      <c r="CI47">
        <v>-3</v>
      </c>
      <c r="CJ47">
        <v>0.17</v>
      </c>
      <c r="CK47">
        <v>0.12</v>
      </c>
      <c r="CL47">
        <v>53.903601639344259</v>
      </c>
      <c r="CM47">
        <v>2.985786567953387</v>
      </c>
      <c r="CN47">
        <v>0.47208272666661338</v>
      </c>
      <c r="CO47">
        <v>-1</v>
      </c>
      <c r="CP47">
        <v>500.0026885245901</v>
      </c>
      <c r="CQ47">
        <v>-1.9621364357927291E-2</v>
      </c>
      <c r="CR47">
        <v>5.9334158183387803E-2</v>
      </c>
      <c r="CS47">
        <v>-1</v>
      </c>
      <c r="CT47">
        <v>0</v>
      </c>
      <c r="CU47">
        <v>0</v>
      </c>
      <c r="CV47" t="s">
        <v>333</v>
      </c>
      <c r="CW47">
        <v>3.1673100000000001</v>
      </c>
      <c r="CX47">
        <v>2.6583600000000001</v>
      </c>
      <c r="CY47">
        <v>1.38513E-2</v>
      </c>
      <c r="CZ47">
        <v>1.6136000000000001E-2</v>
      </c>
      <c r="DA47">
        <v>-1.07478E-2</v>
      </c>
      <c r="DB47">
        <v>-2.7424E-2</v>
      </c>
      <c r="DC47">
        <v>21368.1</v>
      </c>
      <c r="DD47">
        <v>21654.3</v>
      </c>
      <c r="DE47">
        <v>23194.9</v>
      </c>
      <c r="DF47">
        <v>22357.9</v>
      </c>
      <c r="DG47">
        <v>30224.2</v>
      </c>
      <c r="DH47">
        <v>27386.3</v>
      </c>
      <c r="DI47">
        <v>40752.300000000003</v>
      </c>
      <c r="DJ47">
        <v>37047.1</v>
      </c>
      <c r="DK47">
        <v>2.1028199999999999</v>
      </c>
      <c r="DL47">
        <v>1.8627</v>
      </c>
      <c r="DM47">
        <v>2.3847799999999999E-2</v>
      </c>
      <c r="DN47">
        <v>0</v>
      </c>
      <c r="DO47">
        <v>24.939399999999999</v>
      </c>
      <c r="DP47">
        <v>999.9</v>
      </c>
      <c r="DQ47">
        <v>83.5</v>
      </c>
      <c r="DR47">
        <v>26.9</v>
      </c>
      <c r="DS47">
        <v>29.670300000000001</v>
      </c>
      <c r="DT47">
        <v>30.728200000000001</v>
      </c>
      <c r="DU47">
        <v>8.8822100000000006</v>
      </c>
      <c r="DV47">
        <v>1</v>
      </c>
      <c r="DW47">
        <v>5.5636199999999997E-2</v>
      </c>
      <c r="DX47">
        <v>-0.19301499999999999</v>
      </c>
      <c r="DY47">
        <v>20.3687</v>
      </c>
      <c r="DZ47">
        <v>5.21394</v>
      </c>
      <c r="EA47">
        <v>11.8482</v>
      </c>
      <c r="EB47">
        <v>4.9687599999999996</v>
      </c>
      <c r="EC47">
        <v>3.2919999999999998</v>
      </c>
      <c r="ED47">
        <v>894.7</v>
      </c>
      <c r="EE47">
        <v>0</v>
      </c>
      <c r="EF47">
        <v>9999</v>
      </c>
      <c r="EG47">
        <v>113.5</v>
      </c>
      <c r="EH47">
        <v>4.9716500000000003</v>
      </c>
      <c r="EI47">
        <v>1.8717999999999999</v>
      </c>
      <c r="EJ47">
        <v>1.8689</v>
      </c>
      <c r="EK47">
        <v>1.87134</v>
      </c>
      <c r="EL47">
        <v>1.8690500000000001</v>
      </c>
      <c r="EM47">
        <v>1.8680300000000001</v>
      </c>
      <c r="EN47">
        <v>1.8698900000000001</v>
      </c>
      <c r="EO47">
        <v>1.87165</v>
      </c>
      <c r="EP47">
        <v>0</v>
      </c>
      <c r="EQ47">
        <v>0</v>
      </c>
      <c r="ER47">
        <v>0</v>
      </c>
      <c r="ES47">
        <v>0</v>
      </c>
      <c r="ET47" t="s">
        <v>334</v>
      </c>
      <c r="EU47" t="s">
        <v>335</v>
      </c>
      <c r="EV47" t="s">
        <v>336</v>
      </c>
      <c r="EW47" t="s">
        <v>336</v>
      </c>
      <c r="EX47" t="s">
        <v>336</v>
      </c>
      <c r="EY47" t="s">
        <v>336</v>
      </c>
      <c r="EZ47">
        <v>0</v>
      </c>
      <c r="FA47">
        <v>100</v>
      </c>
      <c r="FB47">
        <v>100</v>
      </c>
      <c r="FC47">
        <v>7.7350000000000003</v>
      </c>
      <c r="FD47">
        <v>-1.0009999999999999</v>
      </c>
      <c r="FE47">
        <v>7.7185300000000083</v>
      </c>
      <c r="FF47">
        <v>0</v>
      </c>
      <c r="FG47">
        <v>0</v>
      </c>
      <c r="FH47">
        <v>0</v>
      </c>
      <c r="FI47">
        <v>-1.0024790476190479</v>
      </c>
      <c r="FJ47">
        <v>0</v>
      </c>
      <c r="FK47">
        <v>0</v>
      </c>
      <c r="FL47">
        <v>0</v>
      </c>
      <c r="FM47">
        <v>-1</v>
      </c>
      <c r="FN47">
        <v>-1</v>
      </c>
      <c r="FO47">
        <v>-1</v>
      </c>
      <c r="FP47">
        <v>-1</v>
      </c>
      <c r="FQ47">
        <v>0.7</v>
      </c>
      <c r="FR47">
        <v>0.7</v>
      </c>
      <c r="FS47">
        <v>0.142822</v>
      </c>
      <c r="FT47">
        <v>4.99756</v>
      </c>
      <c r="FU47">
        <v>1.5979000000000001</v>
      </c>
      <c r="FV47">
        <v>2.16797</v>
      </c>
      <c r="FW47">
        <v>1.5478499999999999</v>
      </c>
      <c r="FX47">
        <v>2.3901400000000002</v>
      </c>
      <c r="FY47">
        <v>31.542400000000001</v>
      </c>
      <c r="FZ47">
        <v>16.163399999999999</v>
      </c>
      <c r="GA47">
        <v>3</v>
      </c>
      <c r="GB47">
        <v>492.12799999999999</v>
      </c>
      <c r="GC47">
        <v>429.29</v>
      </c>
      <c r="GD47">
        <v>25.996500000000001</v>
      </c>
      <c r="GE47">
        <v>27.9358</v>
      </c>
      <c r="GF47">
        <v>30.0001</v>
      </c>
      <c r="GG47">
        <v>28.244900000000001</v>
      </c>
      <c r="GH47">
        <v>28.298999999999999</v>
      </c>
      <c r="GI47">
        <v>-1</v>
      </c>
      <c r="GJ47">
        <v>0</v>
      </c>
      <c r="GK47">
        <v>100</v>
      </c>
      <c r="GL47">
        <v>25.995200000000001</v>
      </c>
      <c r="GM47">
        <v>432.1</v>
      </c>
      <c r="GN47">
        <v>63.216500000000003</v>
      </c>
      <c r="GO47">
        <v>102.59099999999999</v>
      </c>
      <c r="GP47">
        <v>96.675299999999993</v>
      </c>
    </row>
    <row r="48" spans="1:198" x14ac:dyDescent="0.35">
      <c r="A48">
        <v>32</v>
      </c>
      <c r="B48">
        <v>1775505451.0999999</v>
      </c>
      <c r="C48">
        <v>1860.099999904633</v>
      </c>
      <c r="D48" t="s">
        <v>427</v>
      </c>
      <c r="E48" t="s">
        <v>428</v>
      </c>
      <c r="F48">
        <v>60</v>
      </c>
      <c r="G48">
        <v>1775505443.099999</v>
      </c>
      <c r="H48">
        <f t="shared" si="0"/>
        <v>9.1562286912643125E-4</v>
      </c>
      <c r="I48">
        <f t="shared" si="1"/>
        <v>0.9156228691264312</v>
      </c>
      <c r="J48">
        <f t="shared" si="2"/>
        <v>-7.77063184568592E-2</v>
      </c>
      <c r="K48">
        <f t="shared" si="3"/>
        <v>54.702993548387091</v>
      </c>
      <c r="L48">
        <f t="shared" si="4"/>
        <v>56.349787831219899</v>
      </c>
      <c r="M48">
        <f t="shared" si="5"/>
        <v>5.6447626851741903</v>
      </c>
      <c r="N48">
        <f t="shared" si="6"/>
        <v>5.4797973272612968</v>
      </c>
      <c r="O48">
        <f t="shared" si="7"/>
        <v>2.6237901492504854E-2</v>
      </c>
      <c r="P48">
        <f t="shared" si="8"/>
        <v>2.3909771417259114</v>
      </c>
      <c r="Q48">
        <f t="shared" si="9"/>
        <v>2.6078987893617674E-2</v>
      </c>
      <c r="R48">
        <f t="shared" si="10"/>
        <v>1.6313564833983434E-2</v>
      </c>
      <c r="S48">
        <f t="shared" si="11"/>
        <v>0</v>
      </c>
      <c r="T48">
        <f t="shared" si="12"/>
        <v>25.013401474714616</v>
      </c>
      <c r="U48">
        <f t="shared" si="13"/>
        <v>25.332322580645162</v>
      </c>
      <c r="V48">
        <f t="shared" si="14"/>
        <v>3.2432238495652914</v>
      </c>
      <c r="W48">
        <f t="shared" si="15"/>
        <v>-6.8198764216157208</v>
      </c>
      <c r="X48">
        <f t="shared" si="16"/>
        <v>-0.2207737897844306</v>
      </c>
      <c r="Y48">
        <f t="shared" si="17"/>
        <v>3.2372110011360924</v>
      </c>
      <c r="Z48">
        <f t="shared" si="18"/>
        <v>3.463997639349722</v>
      </c>
      <c r="AA48">
        <f t="shared" si="19"/>
        <v>-40.378968528475617</v>
      </c>
      <c r="AB48">
        <f t="shared" si="20"/>
        <v>-4.0217536215411105</v>
      </c>
      <c r="AC48">
        <f t="shared" si="21"/>
        <v>-0.35693081493464462</v>
      </c>
      <c r="AD48">
        <f t="shared" si="22"/>
        <v>-44.757652964951369</v>
      </c>
      <c r="AE48">
        <v>18</v>
      </c>
      <c r="AF48">
        <v>4</v>
      </c>
      <c r="AG48">
        <f t="shared" si="23"/>
        <v>1</v>
      </c>
      <c r="AH48">
        <f t="shared" si="24"/>
        <v>0</v>
      </c>
      <c r="AI48">
        <f t="shared" si="25"/>
        <v>25707.899666835656</v>
      </c>
      <c r="AJ48">
        <f t="shared" si="26"/>
        <v>0</v>
      </c>
      <c r="AK48">
        <f t="shared" si="27"/>
        <v>0</v>
      </c>
      <c r="AL48">
        <f t="shared" si="28"/>
        <v>0</v>
      </c>
      <c r="AM48">
        <f t="shared" si="29"/>
        <v>0</v>
      </c>
      <c r="AN48">
        <v>3</v>
      </c>
      <c r="AO48">
        <v>0.5</v>
      </c>
      <c r="AP48" t="s">
        <v>331</v>
      </c>
      <c r="AQ48">
        <v>2</v>
      </c>
      <c r="AR48">
        <v>1775505443.099999</v>
      </c>
      <c r="AS48">
        <v>54.702993548387091</v>
      </c>
      <c r="AT48">
        <v>54.686422580645157</v>
      </c>
      <c r="AU48">
        <v>-2.2039112903225808</v>
      </c>
      <c r="AV48">
        <v>-2.7544812903225808</v>
      </c>
      <c r="AW48">
        <v>46.970993548387092</v>
      </c>
      <c r="AX48">
        <v>-1.203911290322581</v>
      </c>
      <c r="AY48">
        <v>500.01316129032261</v>
      </c>
      <c r="AZ48">
        <v>100.1359677419355</v>
      </c>
      <c r="BA48">
        <v>3.7660277419354841E-2</v>
      </c>
      <c r="BB48">
        <v>25.301122580645149</v>
      </c>
      <c r="BC48">
        <v>25.332322580645162</v>
      </c>
      <c r="BD48">
        <v>999.90000000000032</v>
      </c>
      <c r="BE48">
        <v>0</v>
      </c>
      <c r="BF48">
        <v>0</v>
      </c>
      <c r="BG48">
        <v>5000.7903225806449</v>
      </c>
      <c r="BH48">
        <v>0.41748864516129042</v>
      </c>
      <c r="BI48">
        <v>0.22961599999999999</v>
      </c>
      <c r="BJ48">
        <v>1.9554875161290321E-2</v>
      </c>
      <c r="BK48">
        <v>54.585599999999992</v>
      </c>
      <c r="BL48">
        <v>54.53620322580646</v>
      </c>
      <c r="BM48">
        <v>0.54933167741935474</v>
      </c>
      <c r="BN48">
        <v>54.686422580645157</v>
      </c>
      <c r="BO48">
        <v>-2.7544812903225808</v>
      </c>
      <c r="BP48">
        <v>-0.22081474193548389</v>
      </c>
      <c r="BQ48">
        <v>-0.2758225483870968</v>
      </c>
      <c r="BR48">
        <v>-99.900000000000034</v>
      </c>
      <c r="BS48">
        <v>-99.900000000000034</v>
      </c>
      <c r="BT48">
        <v>0</v>
      </c>
      <c r="BU48">
        <v>0</v>
      </c>
      <c r="BV48">
        <v>0</v>
      </c>
      <c r="BW48">
        <v>24</v>
      </c>
      <c r="BX48">
        <v>-1</v>
      </c>
      <c r="BY48">
        <v>1775505472.0999999</v>
      </c>
      <c r="BZ48" t="s">
        <v>429</v>
      </c>
      <c r="CA48">
        <v>1775505469.5999999</v>
      </c>
      <c r="CB48">
        <v>1775505472.0999999</v>
      </c>
      <c r="CC48">
        <v>35</v>
      </c>
      <c r="CD48">
        <v>-3.0000000000000001E-3</v>
      </c>
      <c r="CE48">
        <v>1E-3</v>
      </c>
      <c r="CF48">
        <v>7.7320000000000002</v>
      </c>
      <c r="CG48">
        <v>-1</v>
      </c>
      <c r="CH48">
        <v>55</v>
      </c>
      <c r="CI48">
        <v>-3</v>
      </c>
      <c r="CJ48">
        <v>0.3</v>
      </c>
      <c r="CK48">
        <v>0.11</v>
      </c>
      <c r="CL48">
        <v>54.851039344262297</v>
      </c>
      <c r="CM48">
        <v>-1.2243230037017221</v>
      </c>
      <c r="CN48">
        <v>0.18355305060514571</v>
      </c>
      <c r="CO48">
        <v>-1</v>
      </c>
      <c r="CP48">
        <v>500.05804918032788</v>
      </c>
      <c r="CQ48">
        <v>-0.46580433633126672</v>
      </c>
      <c r="CR48">
        <v>0.18920059839692319</v>
      </c>
      <c r="CS48">
        <v>-1</v>
      </c>
      <c r="CT48">
        <v>0</v>
      </c>
      <c r="CU48">
        <v>0</v>
      </c>
      <c r="CV48" t="s">
        <v>333</v>
      </c>
      <c r="CW48">
        <v>3.1672899999999999</v>
      </c>
      <c r="CX48">
        <v>2.6590500000000001</v>
      </c>
      <c r="CY48">
        <v>1.3986999999999999E-2</v>
      </c>
      <c r="CZ48">
        <v>1.6221699999999999E-2</v>
      </c>
      <c r="DA48">
        <v>-1.07858E-2</v>
      </c>
      <c r="DB48">
        <v>-2.7512000000000002E-2</v>
      </c>
      <c r="DC48">
        <v>21364.7</v>
      </c>
      <c r="DD48">
        <v>21653.7</v>
      </c>
      <c r="DE48">
        <v>23194.400000000001</v>
      </c>
      <c r="DF48">
        <v>22359.3</v>
      </c>
      <c r="DG48">
        <v>30224.7</v>
      </c>
      <c r="DH48">
        <v>27390</v>
      </c>
      <c r="DI48">
        <v>40751.4</v>
      </c>
      <c r="DJ48">
        <v>37049</v>
      </c>
      <c r="DK48">
        <v>2.1025</v>
      </c>
      <c r="DL48">
        <v>1.8628</v>
      </c>
      <c r="DM48">
        <v>2.3460399999999999E-2</v>
      </c>
      <c r="DN48">
        <v>0</v>
      </c>
      <c r="DO48">
        <v>24.9373</v>
      </c>
      <c r="DP48">
        <v>999.9</v>
      </c>
      <c r="DQ48">
        <v>83.4</v>
      </c>
      <c r="DR48">
        <v>26.9</v>
      </c>
      <c r="DS48">
        <v>29.6374</v>
      </c>
      <c r="DT48">
        <v>30.8782</v>
      </c>
      <c r="DU48">
        <v>8.7059300000000004</v>
      </c>
      <c r="DV48">
        <v>1</v>
      </c>
      <c r="DW48">
        <v>5.5548800000000002E-2</v>
      </c>
      <c r="DX48">
        <v>-0.18193500000000001</v>
      </c>
      <c r="DY48">
        <v>20.3687</v>
      </c>
      <c r="DZ48">
        <v>5.2135800000000003</v>
      </c>
      <c r="EA48">
        <v>11.8482</v>
      </c>
      <c r="EB48">
        <v>4.9687200000000002</v>
      </c>
      <c r="EC48">
        <v>3.2920199999999999</v>
      </c>
      <c r="ED48">
        <v>894.7</v>
      </c>
      <c r="EE48">
        <v>0</v>
      </c>
      <c r="EF48">
        <v>9999</v>
      </c>
      <c r="EG48">
        <v>113.5</v>
      </c>
      <c r="EH48">
        <v>4.97166</v>
      </c>
      <c r="EI48">
        <v>1.8717999999999999</v>
      </c>
      <c r="EJ48">
        <v>1.8689</v>
      </c>
      <c r="EK48">
        <v>1.87134</v>
      </c>
      <c r="EL48">
        <v>1.8690500000000001</v>
      </c>
      <c r="EM48">
        <v>1.86798</v>
      </c>
      <c r="EN48">
        <v>1.8698399999999999</v>
      </c>
      <c r="EO48">
        <v>1.87164</v>
      </c>
      <c r="EP48">
        <v>0</v>
      </c>
      <c r="EQ48">
        <v>0</v>
      </c>
      <c r="ER48">
        <v>0</v>
      </c>
      <c r="ES48">
        <v>0</v>
      </c>
      <c r="ET48" t="s">
        <v>334</v>
      </c>
      <c r="EU48" t="s">
        <v>335</v>
      </c>
      <c r="EV48" t="s">
        <v>336</v>
      </c>
      <c r="EW48" t="s">
        <v>336</v>
      </c>
      <c r="EX48" t="s">
        <v>336</v>
      </c>
      <c r="EY48" t="s">
        <v>336</v>
      </c>
      <c r="EZ48">
        <v>0</v>
      </c>
      <c r="FA48">
        <v>100</v>
      </c>
      <c r="FB48">
        <v>100</v>
      </c>
      <c r="FC48">
        <v>7.7320000000000002</v>
      </c>
      <c r="FD48">
        <v>-1</v>
      </c>
      <c r="FE48">
        <v>7.7349800000000144</v>
      </c>
      <c r="FF48">
        <v>0</v>
      </c>
      <c r="FG48">
        <v>0</v>
      </c>
      <c r="FH48">
        <v>0</v>
      </c>
      <c r="FI48">
        <v>-1.001239</v>
      </c>
      <c r="FJ48">
        <v>0</v>
      </c>
      <c r="FK48">
        <v>0</v>
      </c>
      <c r="FL48">
        <v>0</v>
      </c>
      <c r="FM48">
        <v>-1</v>
      </c>
      <c r="FN48">
        <v>-1</v>
      </c>
      <c r="FO48">
        <v>-1</v>
      </c>
      <c r="FP48">
        <v>-1</v>
      </c>
      <c r="FQ48">
        <v>0.7</v>
      </c>
      <c r="FR48">
        <v>0.7</v>
      </c>
      <c r="FS48">
        <v>0.144043</v>
      </c>
      <c r="FT48">
        <v>4.99756</v>
      </c>
      <c r="FU48">
        <v>1.5979000000000001</v>
      </c>
      <c r="FV48">
        <v>2.16919</v>
      </c>
      <c r="FW48">
        <v>1.5478499999999999</v>
      </c>
      <c r="FX48">
        <v>2.4145500000000002</v>
      </c>
      <c r="FY48">
        <v>31.564299999999999</v>
      </c>
      <c r="FZ48">
        <v>16.1722</v>
      </c>
      <c r="GA48">
        <v>3</v>
      </c>
      <c r="GB48">
        <v>491.952</v>
      </c>
      <c r="GC48">
        <v>429.35</v>
      </c>
      <c r="GD48">
        <v>25.985199999999999</v>
      </c>
      <c r="GE48">
        <v>27.9345</v>
      </c>
      <c r="GF48">
        <v>30.0001</v>
      </c>
      <c r="GG48">
        <v>28.245699999999999</v>
      </c>
      <c r="GH48">
        <v>28.298999999999999</v>
      </c>
      <c r="GI48">
        <v>-1</v>
      </c>
      <c r="GJ48">
        <v>0</v>
      </c>
      <c r="GK48">
        <v>100</v>
      </c>
      <c r="GL48">
        <v>25.985700000000001</v>
      </c>
      <c r="GM48">
        <v>432.1</v>
      </c>
      <c r="GN48">
        <v>63.216500000000003</v>
      </c>
      <c r="GO48">
        <v>102.58799999999999</v>
      </c>
      <c r="GP48">
        <v>96.680499999999995</v>
      </c>
    </row>
    <row r="49" spans="1:198" x14ac:dyDescent="0.35">
      <c r="A49">
        <v>33</v>
      </c>
      <c r="B49">
        <v>1775505511.0999999</v>
      </c>
      <c r="C49">
        <v>1920.099999904633</v>
      </c>
      <c r="D49" t="s">
        <v>430</v>
      </c>
      <c r="E49" t="s">
        <v>431</v>
      </c>
      <c r="F49">
        <v>60</v>
      </c>
      <c r="G49">
        <v>1775505503.099999</v>
      </c>
      <c r="H49">
        <f t="shared" ref="H49:H80" si="30">(I49)/1000</f>
        <v>9.2948241756484753E-4</v>
      </c>
      <c r="I49">
        <f t="shared" ref="I49:I80" si="31">1000*AY49*AG49*(AU49-AV49)/(100*AN49*(1000-AG49*AU49))</f>
        <v>0.92948241756484751</v>
      </c>
      <c r="J49">
        <f t="shared" ref="J49:J80" si="32">AY49*AG49*(AT49-AS49*(1000-AG49*AV49)/(1000-AG49*AU49))/(100*AN49)</f>
        <v>4.4329322751097931E-2</v>
      </c>
      <c r="K49">
        <f t="shared" ref="K49:K80" si="33">AS49 - IF(AG49&gt;1, J49*AN49*100/(AI49), 0)</f>
        <v>55.151383870967727</v>
      </c>
      <c r="L49">
        <f t="shared" ref="L49:L80" si="34">((R49-H49/2)*K49-J49)/(R49+H49/2)</f>
        <v>49.539015524475538</v>
      </c>
      <c r="M49">
        <f t="shared" ref="M49:M80" si="35">L49*(AZ49+BA49)/1000</f>
        <v>4.9624784183085149</v>
      </c>
      <c r="N49">
        <f t="shared" ref="N49:N80" si="36">(AS49 - IF(AG49&gt;1, J49*AN49*100/(AI49), 0))*(AZ49+BA49)/1000</f>
        <v>5.524686942240626</v>
      </c>
      <c r="O49">
        <f t="shared" ref="O49:O80" si="37">2/((1/Q49-1/P49)+SIGN(Q49)*SQRT((1/Q49-1/P49)*(1/Q49-1/P49) + 4*AO49/((AO49+1)*(AO49+1))*(2*1/Q49*1/P49-1/P49*1/P49)))</f>
        <v>2.6648498161479302E-2</v>
      </c>
      <c r="P49">
        <f t="shared" ref="P49:P80" si="38">IF(LEFT(AP49,1)&lt;&gt;"0",IF(LEFT(AP49,1)="1",3,AQ49),$D$5+$E$5*(BG49*AZ49/($K$5*1000))+$F$5*(BG49*AZ49/($K$5*1000))*MAX(MIN(AN49,$J$5),$I$5)*MAX(MIN(AN49,$J$5),$I$5)+$G$5*MAX(MIN(AN49,$J$5),$I$5)*(BG49*AZ49/($K$5*1000))+$H$5*(BG49*AZ49/($K$5*1000))*(BG49*AZ49/($K$5*1000)))</f>
        <v>2.392415224719362</v>
      </c>
      <c r="Q49">
        <f t="shared" ref="Q49:Q80" si="39">H49*(1000-(1000*0.61365*EXP(17.502*U49/(240.97+U49))/(AZ49+BA49)+AU49)/2)/(1000*0.61365*EXP(17.502*U49/(240.97+U49))/(AZ49+BA49)-AU49)</f>
        <v>2.6484686611055457E-2</v>
      </c>
      <c r="R49">
        <f t="shared" ref="R49:R80" si="40">1/((AO49+1)/(O49/1.6)+1/(P49/1.37)) + AO49/((AO49+1)/(O49/1.6) + AO49/(P49/1.37))</f>
        <v>1.6567562884956887E-2</v>
      </c>
      <c r="S49">
        <f t="shared" ref="S49:S80" si="41">(AJ49*AM49)</f>
        <v>0</v>
      </c>
      <c r="T49">
        <f t="shared" ref="T49:T80" si="42">(BB49+(S49+2*0.95*0.0000000567*(((BB49+$B$7)+273)^4-(BB49+273)^4)-44100*H49)/(1.84*29.3*P49+8*0.95*0.0000000567*(BB49+273)^3))</f>
        <v>25.004122493236764</v>
      </c>
      <c r="U49">
        <f t="shared" ref="U49:U80" si="43">($C$7*BC49+$D$7*BD49+$E$7*T49)</f>
        <v>25.321890322580639</v>
      </c>
      <c r="V49">
        <f t="shared" ref="V49:V80" si="44">0.61365*EXP(17.502*U49/(240.97+U49))</f>
        <v>3.2412122650197221</v>
      </c>
      <c r="W49">
        <f t="shared" ref="W49:W80" si="45">(X49/Y49*100)</f>
        <v>-6.8407362930295257</v>
      </c>
      <c r="X49">
        <f t="shared" ref="X49:X80" si="46">AU49*(AZ49+BA49)/1000</f>
        <v>-0.22138210813356862</v>
      </c>
      <c r="Y49">
        <f t="shared" ref="Y49:Y80" si="47">0.61365*EXP(17.502*BB49/(240.97+BB49))</f>
        <v>3.2362321634755804</v>
      </c>
      <c r="Z49">
        <f t="shared" ref="Z49:Z80" si="48">(V49-AU49*(AZ49+BA49)/1000)</f>
        <v>3.4625943731532907</v>
      </c>
      <c r="AA49">
        <f t="shared" ref="AA49:AA80" si="49">(-H49*44100)</f>
        <v>-40.990174614609778</v>
      </c>
      <c r="AB49">
        <f t="shared" ref="AB49:AB80" si="50">2*29.3*P49*0.92*(BB49-U49)</f>
        <v>-3.3343381781119268</v>
      </c>
      <c r="AC49">
        <f t="shared" ref="AC49:AC80" si="51">2*0.95*0.0000000567*(((BB49+$B$7)+273)^4-(U49+273)^4)</f>
        <v>-0.29572171081569637</v>
      </c>
      <c r="AD49">
        <f t="shared" ref="AD49:AD80" si="52">S49+AC49+AA49+AB49</f>
        <v>-44.620234503537404</v>
      </c>
      <c r="AE49">
        <v>18</v>
      </c>
      <c r="AF49">
        <v>4</v>
      </c>
      <c r="AG49">
        <f t="shared" ref="AG49:AG80" si="53">IF(AE49*$H$13&gt;=AI49,1,(AI49/(AI49-AE49*$H$13)))</f>
        <v>1</v>
      </c>
      <c r="AH49">
        <f t="shared" ref="AH49:AH80" si="54">(AG49-1)*100</f>
        <v>0</v>
      </c>
      <c r="AI49">
        <f t="shared" ref="AI49:AI80" si="55">MAX(0,($B$13+$C$13*BG49)/(1+$D$13*BG49)*AZ49/(BB49+273)*$E$13)</f>
        <v>25730.350574167522</v>
      </c>
      <c r="AJ49">
        <f t="shared" ref="AJ49:AJ80" si="56">$B$11*BH49+$C$11*BI49+$D$11*BT49</f>
        <v>0</v>
      </c>
      <c r="AK49">
        <f t="shared" ref="AK49:AK80" si="57">AJ49*AL49</f>
        <v>0</v>
      </c>
      <c r="AL49">
        <f t="shared" ref="AL49:AL80" si="58">($B$11*$D$9+$C$11*$D$9+$D$11*(BU49*$E$9+BV49*$G$9))/($B$11+$C$11+$D$11)</f>
        <v>0</v>
      </c>
      <c r="AM49">
        <f t="shared" ref="AM49:AM80" si="59">($B$11*$K$9+$C$11*$K$9+$D$11*(BU49*$L$9+BV49*$N$9))/($B$11+$C$11+$D$11)</f>
        <v>0</v>
      </c>
      <c r="AN49">
        <v>3</v>
      </c>
      <c r="AO49">
        <v>0.5</v>
      </c>
      <c r="AP49" t="s">
        <v>331</v>
      </c>
      <c r="AQ49">
        <v>2</v>
      </c>
      <c r="AR49">
        <v>1775505503.099999</v>
      </c>
      <c r="AS49">
        <v>55.151383870967727</v>
      </c>
      <c r="AT49">
        <v>55.208738709677412</v>
      </c>
      <c r="AU49">
        <v>-2.2099948387096768</v>
      </c>
      <c r="AV49">
        <v>-2.7689158064516128</v>
      </c>
      <c r="AW49">
        <v>47.431383870967743</v>
      </c>
      <c r="AX49">
        <v>-1.2129948387096769</v>
      </c>
      <c r="AY49">
        <v>500.00087096774189</v>
      </c>
      <c r="AZ49">
        <v>100.1358387096774</v>
      </c>
      <c r="BA49">
        <v>3.7294845161290308E-2</v>
      </c>
      <c r="BB49">
        <v>25.296038709677418</v>
      </c>
      <c r="BC49">
        <v>25.321890322580639</v>
      </c>
      <c r="BD49">
        <v>999.90000000000032</v>
      </c>
      <c r="BE49">
        <v>0</v>
      </c>
      <c r="BF49">
        <v>0</v>
      </c>
      <c r="BG49">
        <v>5004.5</v>
      </c>
      <c r="BH49">
        <v>0.3883886129032259</v>
      </c>
      <c r="BI49">
        <v>0.22961599999999999</v>
      </c>
      <c r="BJ49">
        <v>-4.5001033225806453E-2</v>
      </c>
      <c r="BK49">
        <v>55.04193225806452</v>
      </c>
      <c r="BL49">
        <v>55.056280645161287</v>
      </c>
      <c r="BM49">
        <v>0.55595938709677428</v>
      </c>
      <c r="BN49">
        <v>55.208738709677412</v>
      </c>
      <c r="BO49">
        <v>-2.7689158064516128</v>
      </c>
      <c r="BP49">
        <v>-0.22159619354838711</v>
      </c>
      <c r="BQ49">
        <v>-0.27726754838709672</v>
      </c>
      <c r="BR49">
        <v>-99.900000000000034</v>
      </c>
      <c r="BS49">
        <v>-99.900000000000034</v>
      </c>
      <c r="BT49">
        <v>0</v>
      </c>
      <c r="BU49">
        <v>0</v>
      </c>
      <c r="BV49">
        <v>0</v>
      </c>
      <c r="BW49">
        <v>24</v>
      </c>
      <c r="BX49">
        <v>-0.99892474193548386</v>
      </c>
      <c r="BY49">
        <v>1775505532.5999999</v>
      </c>
      <c r="BZ49" t="s">
        <v>432</v>
      </c>
      <c r="CA49">
        <v>1775505524.0999999</v>
      </c>
      <c r="CB49">
        <v>1775505532.5999999</v>
      </c>
      <c r="CC49">
        <v>36</v>
      </c>
      <c r="CD49">
        <v>-1.2E-2</v>
      </c>
      <c r="CE49">
        <v>3.0000000000000001E-3</v>
      </c>
      <c r="CF49">
        <v>7.72</v>
      </c>
      <c r="CG49">
        <v>-0.997</v>
      </c>
      <c r="CH49">
        <v>55</v>
      </c>
      <c r="CI49">
        <v>-3</v>
      </c>
      <c r="CJ49">
        <v>0.21</v>
      </c>
      <c r="CK49">
        <v>0.15</v>
      </c>
      <c r="CL49">
        <v>55.290918333333337</v>
      </c>
      <c r="CM49">
        <v>-0.68804812447891694</v>
      </c>
      <c r="CN49">
        <v>0.1055640192674045</v>
      </c>
      <c r="CO49">
        <v>-1</v>
      </c>
      <c r="CP49">
        <v>500.0155166666666</v>
      </c>
      <c r="CQ49">
        <v>-0.18042011669850011</v>
      </c>
      <c r="CR49">
        <v>9.0401786794040359E-2</v>
      </c>
      <c r="CS49">
        <v>-1</v>
      </c>
      <c r="CT49">
        <v>0</v>
      </c>
      <c r="CU49">
        <v>0</v>
      </c>
      <c r="CV49" t="s">
        <v>333</v>
      </c>
      <c r="CW49">
        <v>3.1673200000000001</v>
      </c>
      <c r="CX49">
        <v>2.6586699999999999</v>
      </c>
      <c r="CY49">
        <v>1.4128E-2</v>
      </c>
      <c r="CZ49">
        <v>1.6395900000000001E-2</v>
      </c>
      <c r="DA49">
        <v>-1.08472E-2</v>
      </c>
      <c r="DB49">
        <v>-2.77185E-2</v>
      </c>
      <c r="DC49">
        <v>21361.4</v>
      </c>
      <c r="DD49">
        <v>21651</v>
      </c>
      <c r="DE49">
        <v>23194.1</v>
      </c>
      <c r="DF49">
        <v>22360.400000000001</v>
      </c>
      <c r="DG49">
        <v>30226.3</v>
      </c>
      <c r="DH49">
        <v>27396.799999999999</v>
      </c>
      <c r="DI49">
        <v>40751.1</v>
      </c>
      <c r="DJ49">
        <v>37050.9</v>
      </c>
      <c r="DK49">
        <v>2.1026600000000002</v>
      </c>
      <c r="DL49">
        <v>1.8621799999999999</v>
      </c>
      <c r="DM49">
        <v>2.42531E-2</v>
      </c>
      <c r="DN49">
        <v>0</v>
      </c>
      <c r="DO49">
        <v>24.928899999999999</v>
      </c>
      <c r="DP49">
        <v>999.9</v>
      </c>
      <c r="DQ49">
        <v>83.3</v>
      </c>
      <c r="DR49">
        <v>27</v>
      </c>
      <c r="DS49">
        <v>29.773199999999999</v>
      </c>
      <c r="DT49">
        <v>30.578199999999999</v>
      </c>
      <c r="DU49">
        <v>8.7820499999999999</v>
      </c>
      <c r="DV49">
        <v>1</v>
      </c>
      <c r="DW49">
        <v>5.5138199999999998E-2</v>
      </c>
      <c r="DX49">
        <v>-0.226054</v>
      </c>
      <c r="DY49">
        <v>20.368500000000001</v>
      </c>
      <c r="DZ49">
        <v>5.2129799999999999</v>
      </c>
      <c r="EA49">
        <v>11.8482</v>
      </c>
      <c r="EB49">
        <v>4.9683999999999999</v>
      </c>
      <c r="EC49">
        <v>3.2920400000000001</v>
      </c>
      <c r="ED49">
        <v>894.7</v>
      </c>
      <c r="EE49">
        <v>0</v>
      </c>
      <c r="EF49">
        <v>9999</v>
      </c>
      <c r="EG49">
        <v>113.5</v>
      </c>
      <c r="EH49">
        <v>4.9716800000000001</v>
      </c>
      <c r="EI49">
        <v>1.8717999999999999</v>
      </c>
      <c r="EJ49">
        <v>1.8689</v>
      </c>
      <c r="EK49">
        <v>1.87134</v>
      </c>
      <c r="EL49">
        <v>1.8690500000000001</v>
      </c>
      <c r="EM49">
        <v>1.8680000000000001</v>
      </c>
      <c r="EN49">
        <v>1.8698399999999999</v>
      </c>
      <c r="EO49">
        <v>1.87164</v>
      </c>
      <c r="EP49">
        <v>0</v>
      </c>
      <c r="EQ49">
        <v>0</v>
      </c>
      <c r="ER49">
        <v>0</v>
      </c>
      <c r="ES49">
        <v>0</v>
      </c>
      <c r="ET49" t="s">
        <v>334</v>
      </c>
      <c r="EU49" t="s">
        <v>335</v>
      </c>
      <c r="EV49" t="s">
        <v>336</v>
      </c>
      <c r="EW49" t="s">
        <v>336</v>
      </c>
      <c r="EX49" t="s">
        <v>336</v>
      </c>
      <c r="EY49" t="s">
        <v>336</v>
      </c>
      <c r="EZ49">
        <v>0</v>
      </c>
      <c r="FA49">
        <v>100</v>
      </c>
      <c r="FB49">
        <v>100</v>
      </c>
      <c r="FC49">
        <v>7.72</v>
      </c>
      <c r="FD49">
        <v>-0.997</v>
      </c>
      <c r="FE49">
        <v>7.7323380952380987</v>
      </c>
      <c r="FF49">
        <v>0</v>
      </c>
      <c r="FG49">
        <v>0</v>
      </c>
      <c r="FH49">
        <v>0</v>
      </c>
      <c r="FI49">
        <v>-0.99996049999999981</v>
      </c>
      <c r="FJ49">
        <v>0</v>
      </c>
      <c r="FK49">
        <v>0</v>
      </c>
      <c r="FL49">
        <v>0</v>
      </c>
      <c r="FM49">
        <v>-1</v>
      </c>
      <c r="FN49">
        <v>-1</v>
      </c>
      <c r="FO49">
        <v>-1</v>
      </c>
      <c r="FP49">
        <v>-1</v>
      </c>
      <c r="FQ49">
        <v>0.7</v>
      </c>
      <c r="FR49">
        <v>0.7</v>
      </c>
      <c r="FS49">
        <v>0.142822</v>
      </c>
      <c r="FT49">
        <v>4.99756</v>
      </c>
      <c r="FU49">
        <v>1.5979000000000001</v>
      </c>
      <c r="FV49">
        <v>2.16797</v>
      </c>
      <c r="FW49">
        <v>1.5478499999999999</v>
      </c>
      <c r="FX49">
        <v>2.3559600000000001</v>
      </c>
      <c r="FY49">
        <v>31.586099999999998</v>
      </c>
      <c r="FZ49">
        <v>16.163399999999999</v>
      </c>
      <c r="GA49">
        <v>3</v>
      </c>
      <c r="GB49">
        <v>492.03699999999998</v>
      </c>
      <c r="GC49">
        <v>428.98200000000003</v>
      </c>
      <c r="GD49">
        <v>26.0181</v>
      </c>
      <c r="GE49">
        <v>27.932200000000002</v>
      </c>
      <c r="GF49">
        <v>30.0001</v>
      </c>
      <c r="GG49">
        <v>28.244900000000001</v>
      </c>
      <c r="GH49">
        <v>28.298999999999999</v>
      </c>
      <c r="GI49">
        <v>-1</v>
      </c>
      <c r="GJ49">
        <v>0</v>
      </c>
      <c r="GK49">
        <v>100</v>
      </c>
      <c r="GL49">
        <v>26.019100000000002</v>
      </c>
      <c r="GM49">
        <v>432.1</v>
      </c>
      <c r="GN49">
        <v>63.216500000000003</v>
      </c>
      <c r="GO49">
        <v>102.587</v>
      </c>
      <c r="GP49">
        <v>96.685400000000001</v>
      </c>
    </row>
    <row r="50" spans="1:198" x14ac:dyDescent="0.35">
      <c r="A50">
        <v>34</v>
      </c>
      <c r="B50">
        <v>1775505571.0999999</v>
      </c>
      <c r="C50">
        <v>1980.099999904633</v>
      </c>
      <c r="D50" t="s">
        <v>433</v>
      </c>
      <c r="E50" t="s">
        <v>434</v>
      </c>
      <c r="F50">
        <v>60</v>
      </c>
      <c r="G50">
        <v>1775505563.349999</v>
      </c>
      <c r="H50">
        <f t="shared" si="30"/>
        <v>9.3747792120175977E-4</v>
      </c>
      <c r="I50">
        <f t="shared" si="31"/>
        <v>0.93747792120175977</v>
      </c>
      <c r="J50">
        <f t="shared" si="32"/>
        <v>0.19178855345990603</v>
      </c>
      <c r="K50">
        <f t="shared" si="33"/>
        <v>55.339603333333343</v>
      </c>
      <c r="L50">
        <f t="shared" si="34"/>
        <v>41.148996089014929</v>
      </c>
      <c r="M50">
        <f t="shared" si="35"/>
        <v>4.1221246486667207</v>
      </c>
      <c r="N50">
        <f t="shared" si="36"/>
        <v>5.543676994070581</v>
      </c>
      <c r="O50">
        <f t="shared" si="37"/>
        <v>2.6866491787014762E-2</v>
      </c>
      <c r="P50">
        <f t="shared" si="38"/>
        <v>2.3918915234374656</v>
      </c>
      <c r="Q50">
        <f t="shared" si="39"/>
        <v>2.6699962034535975E-2</v>
      </c>
      <c r="R50">
        <f t="shared" si="40"/>
        <v>1.6702352139149501E-2</v>
      </c>
      <c r="S50">
        <f t="shared" si="41"/>
        <v>0</v>
      </c>
      <c r="T50">
        <f t="shared" si="42"/>
        <v>25.008651857095249</v>
      </c>
      <c r="U50">
        <f t="shared" si="43"/>
        <v>25.32863</v>
      </c>
      <c r="V50">
        <f t="shared" si="44"/>
        <v>3.2425117085495896</v>
      </c>
      <c r="W50">
        <f t="shared" si="45"/>
        <v>-6.8501442176276335</v>
      </c>
      <c r="X50">
        <f t="shared" si="46"/>
        <v>-0.22178019113199474</v>
      </c>
      <c r="Y50">
        <f t="shared" si="47"/>
        <v>3.2375988604923478</v>
      </c>
      <c r="Z50">
        <f t="shared" si="48"/>
        <v>3.4642918996815841</v>
      </c>
      <c r="AA50">
        <f t="shared" si="49"/>
        <v>-41.342776324997608</v>
      </c>
      <c r="AB50">
        <f t="shared" si="50"/>
        <v>-3.2874075454889322</v>
      </c>
      <c r="AC50">
        <f t="shared" si="51"/>
        <v>-0.29164357169861499</v>
      </c>
      <c r="AD50">
        <f t="shared" si="52"/>
        <v>-44.921827442185155</v>
      </c>
      <c r="AE50">
        <v>18</v>
      </c>
      <c r="AF50">
        <v>4</v>
      </c>
      <c r="AG50">
        <f t="shared" si="53"/>
        <v>1</v>
      </c>
      <c r="AH50">
        <f t="shared" si="54"/>
        <v>0</v>
      </c>
      <c r="AI50">
        <f t="shared" si="55"/>
        <v>25721.642683245602</v>
      </c>
      <c r="AJ50">
        <f t="shared" si="56"/>
        <v>0</v>
      </c>
      <c r="AK50">
        <f t="shared" si="57"/>
        <v>0</v>
      </c>
      <c r="AL50">
        <f t="shared" si="58"/>
        <v>0</v>
      </c>
      <c r="AM50">
        <f t="shared" si="59"/>
        <v>0</v>
      </c>
      <c r="AN50">
        <v>3</v>
      </c>
      <c r="AO50">
        <v>0.5</v>
      </c>
      <c r="AP50" t="s">
        <v>331</v>
      </c>
      <c r="AQ50">
        <v>2</v>
      </c>
      <c r="AR50">
        <v>1775505563.349999</v>
      </c>
      <c r="AS50">
        <v>55.339603333333343</v>
      </c>
      <c r="AT50">
        <v>55.485806666666683</v>
      </c>
      <c r="AU50">
        <v>-2.2139146666666671</v>
      </c>
      <c r="AV50">
        <v>-2.7776559999999999</v>
      </c>
      <c r="AW50">
        <v>47.613603333333337</v>
      </c>
      <c r="AX50">
        <v>-1.217914666666666</v>
      </c>
      <c r="AY50">
        <v>499.99176666666682</v>
      </c>
      <c r="AZ50">
        <v>100.1378666666667</v>
      </c>
      <c r="BA50">
        <v>3.7715739999999998E-2</v>
      </c>
      <c r="BB50">
        <v>25.303136666666671</v>
      </c>
      <c r="BC50">
        <v>25.32863</v>
      </c>
      <c r="BD50">
        <v>999.9000000000002</v>
      </c>
      <c r="BE50">
        <v>0</v>
      </c>
      <c r="BF50">
        <v>0</v>
      </c>
      <c r="BG50">
        <v>5003.05</v>
      </c>
      <c r="BH50">
        <v>0.37974799999999997</v>
      </c>
      <c r="BI50">
        <v>0.2334426666666666</v>
      </c>
      <c r="BJ50">
        <v>-0.1518246133333333</v>
      </c>
      <c r="BK50">
        <v>55.211686666666658</v>
      </c>
      <c r="BL50">
        <v>55.332116666666657</v>
      </c>
      <c r="BM50">
        <v>0.56273899999999999</v>
      </c>
      <c r="BN50">
        <v>55.485806666666683</v>
      </c>
      <c r="BO50">
        <v>-2.7776559999999999</v>
      </c>
      <c r="BP50">
        <v>-0.22179706666666671</v>
      </c>
      <c r="BQ50">
        <v>-0.27814853333333339</v>
      </c>
      <c r="BR50">
        <v>-99.900000000000034</v>
      </c>
      <c r="BS50">
        <v>-99.900000000000034</v>
      </c>
      <c r="BT50">
        <v>0</v>
      </c>
      <c r="BU50">
        <v>0</v>
      </c>
      <c r="BV50">
        <v>0</v>
      </c>
      <c r="BW50">
        <v>24</v>
      </c>
      <c r="BX50">
        <v>-1</v>
      </c>
      <c r="BY50">
        <v>1775505590.5999999</v>
      </c>
      <c r="BZ50" t="s">
        <v>435</v>
      </c>
      <c r="CA50">
        <v>1775505586.0999999</v>
      </c>
      <c r="CB50">
        <v>1775505590.5999999</v>
      </c>
      <c r="CC50">
        <v>37</v>
      </c>
      <c r="CD50">
        <v>6.0000000000000001E-3</v>
      </c>
      <c r="CE50">
        <v>1E-3</v>
      </c>
      <c r="CF50">
        <v>7.726</v>
      </c>
      <c r="CG50">
        <v>-0.996</v>
      </c>
      <c r="CH50">
        <v>55</v>
      </c>
      <c r="CI50">
        <v>-3</v>
      </c>
      <c r="CJ50">
        <v>0.21</v>
      </c>
      <c r="CK50">
        <v>0.14000000000000001</v>
      </c>
      <c r="CL50">
        <v>55.444273770491819</v>
      </c>
      <c r="CM50">
        <v>0.1979663670014859</v>
      </c>
      <c r="CN50">
        <v>7.0085701405643921E-2</v>
      </c>
      <c r="CO50">
        <v>-1</v>
      </c>
      <c r="CP50">
        <v>500.02252459016393</v>
      </c>
      <c r="CQ50">
        <v>-0.29795663669979339</v>
      </c>
      <c r="CR50">
        <v>0.1198945720694554</v>
      </c>
      <c r="CS50">
        <v>-1</v>
      </c>
      <c r="CT50">
        <v>0</v>
      </c>
      <c r="CU50">
        <v>0</v>
      </c>
      <c r="CV50" t="s">
        <v>333</v>
      </c>
      <c r="CW50">
        <v>3.16743</v>
      </c>
      <c r="CX50">
        <v>2.6588599999999998</v>
      </c>
      <c r="CY50">
        <v>1.42002E-2</v>
      </c>
      <c r="CZ50">
        <v>1.65148E-2</v>
      </c>
      <c r="DA50">
        <v>-1.0897199999999999E-2</v>
      </c>
      <c r="DB50">
        <v>-2.78096E-2</v>
      </c>
      <c r="DC50">
        <v>21359.7</v>
      </c>
      <c r="DD50">
        <v>21649.599999999999</v>
      </c>
      <c r="DE50">
        <v>23193.9</v>
      </c>
      <c r="DF50">
        <v>22361.599999999999</v>
      </c>
      <c r="DG50">
        <v>30227.5</v>
      </c>
      <c r="DH50">
        <v>27400.3</v>
      </c>
      <c r="DI50">
        <v>40750.6</v>
      </c>
      <c r="DJ50">
        <v>37052.400000000001</v>
      </c>
      <c r="DK50">
        <v>2.1029200000000001</v>
      </c>
      <c r="DL50">
        <v>1.86174</v>
      </c>
      <c r="DM50">
        <v>2.41578E-2</v>
      </c>
      <c r="DN50">
        <v>0</v>
      </c>
      <c r="DO50">
        <v>24.931000000000001</v>
      </c>
      <c r="DP50">
        <v>999.9</v>
      </c>
      <c r="DQ50">
        <v>83.2</v>
      </c>
      <c r="DR50">
        <v>27</v>
      </c>
      <c r="DS50">
        <v>29.7422</v>
      </c>
      <c r="DT50">
        <v>30.908200000000001</v>
      </c>
      <c r="DU50">
        <v>8.5817300000000003</v>
      </c>
      <c r="DV50">
        <v>1</v>
      </c>
      <c r="DW50">
        <v>5.5032499999999998E-2</v>
      </c>
      <c r="DX50">
        <v>-0.17666399999999999</v>
      </c>
      <c r="DY50">
        <v>20.368500000000001</v>
      </c>
      <c r="DZ50">
        <v>5.2121399999999998</v>
      </c>
      <c r="EA50">
        <v>11.8482</v>
      </c>
      <c r="EB50">
        <v>4.9683200000000003</v>
      </c>
      <c r="EC50">
        <v>3.2919999999999998</v>
      </c>
      <c r="ED50">
        <v>894.7</v>
      </c>
      <c r="EE50">
        <v>0</v>
      </c>
      <c r="EF50">
        <v>9999</v>
      </c>
      <c r="EG50">
        <v>113.5</v>
      </c>
      <c r="EH50">
        <v>4.9716699999999996</v>
      </c>
      <c r="EI50">
        <v>1.8717999999999999</v>
      </c>
      <c r="EJ50">
        <v>1.8689</v>
      </c>
      <c r="EK50">
        <v>1.87134</v>
      </c>
      <c r="EL50">
        <v>1.8690500000000001</v>
      </c>
      <c r="EM50">
        <v>1.8680000000000001</v>
      </c>
      <c r="EN50">
        <v>1.8698300000000001</v>
      </c>
      <c r="EO50">
        <v>1.87164</v>
      </c>
      <c r="EP50">
        <v>0</v>
      </c>
      <c r="EQ50">
        <v>0</v>
      </c>
      <c r="ER50">
        <v>0</v>
      </c>
      <c r="ES50">
        <v>0</v>
      </c>
      <c r="ET50" t="s">
        <v>334</v>
      </c>
      <c r="EU50" t="s">
        <v>335</v>
      </c>
      <c r="EV50" t="s">
        <v>336</v>
      </c>
      <c r="EW50" t="s">
        <v>336</v>
      </c>
      <c r="EX50" t="s">
        <v>336</v>
      </c>
      <c r="EY50" t="s">
        <v>336</v>
      </c>
      <c r="EZ50">
        <v>0</v>
      </c>
      <c r="FA50">
        <v>100</v>
      </c>
      <c r="FB50">
        <v>100</v>
      </c>
      <c r="FC50">
        <v>7.726</v>
      </c>
      <c r="FD50">
        <v>-0.996</v>
      </c>
      <c r="FE50">
        <v>7.7203699999999964</v>
      </c>
      <c r="FF50">
        <v>0</v>
      </c>
      <c r="FG50">
        <v>0</v>
      </c>
      <c r="FH50">
        <v>0</v>
      </c>
      <c r="FI50">
        <v>-0.99700190476190453</v>
      </c>
      <c r="FJ50">
        <v>0</v>
      </c>
      <c r="FK50">
        <v>0</v>
      </c>
      <c r="FL50">
        <v>0</v>
      </c>
      <c r="FM50">
        <v>-1</v>
      </c>
      <c r="FN50">
        <v>-1</v>
      </c>
      <c r="FO50">
        <v>-1</v>
      </c>
      <c r="FP50">
        <v>-1</v>
      </c>
      <c r="FQ50">
        <v>0.8</v>
      </c>
      <c r="FR50">
        <v>0.6</v>
      </c>
      <c r="FS50">
        <v>0.144043</v>
      </c>
      <c r="FT50">
        <v>4.99756</v>
      </c>
      <c r="FU50">
        <v>1.5979000000000001</v>
      </c>
      <c r="FV50">
        <v>2.16797</v>
      </c>
      <c r="FW50">
        <v>1.5478499999999999</v>
      </c>
      <c r="FX50">
        <v>2.32544</v>
      </c>
      <c r="FY50">
        <v>31.586099999999998</v>
      </c>
      <c r="FZ50">
        <v>16.154599999999999</v>
      </c>
      <c r="GA50">
        <v>3</v>
      </c>
      <c r="GB50">
        <v>492.185</v>
      </c>
      <c r="GC50">
        <v>428.721</v>
      </c>
      <c r="GD50">
        <v>25.9848</v>
      </c>
      <c r="GE50">
        <v>27.9298</v>
      </c>
      <c r="GF50">
        <v>30.0001</v>
      </c>
      <c r="GG50">
        <v>28.244900000000001</v>
      </c>
      <c r="GH50">
        <v>28.298999999999999</v>
      </c>
      <c r="GI50">
        <v>-1</v>
      </c>
      <c r="GJ50">
        <v>0</v>
      </c>
      <c r="GK50">
        <v>100</v>
      </c>
      <c r="GL50">
        <v>25.981200000000001</v>
      </c>
      <c r="GM50">
        <v>432.1</v>
      </c>
      <c r="GN50">
        <v>63.216500000000003</v>
      </c>
      <c r="GO50">
        <v>102.586</v>
      </c>
      <c r="GP50">
        <v>96.689899999999994</v>
      </c>
    </row>
    <row r="51" spans="1:198" x14ac:dyDescent="0.35">
      <c r="A51">
        <v>35</v>
      </c>
      <c r="B51">
        <v>1775505631.0999999</v>
      </c>
      <c r="C51">
        <v>2040.099999904633</v>
      </c>
      <c r="D51" t="s">
        <v>436</v>
      </c>
      <c r="E51" t="s">
        <v>437</v>
      </c>
      <c r="F51">
        <v>60</v>
      </c>
      <c r="G51">
        <v>1775505623.349999</v>
      </c>
      <c r="H51">
        <f t="shared" si="30"/>
        <v>9.2140691668438546E-4</v>
      </c>
      <c r="I51">
        <f t="shared" si="31"/>
        <v>0.92140691668438546</v>
      </c>
      <c r="J51">
        <f t="shared" si="32"/>
        <v>-0.179290201694944</v>
      </c>
      <c r="K51">
        <f t="shared" si="33"/>
        <v>55.610216666666652</v>
      </c>
      <c r="L51">
        <f t="shared" si="34"/>
        <v>63.197364261709176</v>
      </c>
      <c r="M51">
        <f t="shared" si="35"/>
        <v>6.3308453938925426</v>
      </c>
      <c r="N51">
        <f t="shared" si="36"/>
        <v>5.570796949372828</v>
      </c>
      <c r="O51">
        <f t="shared" si="37"/>
        <v>2.6404482736814484E-2</v>
      </c>
      <c r="P51">
        <f t="shared" si="38"/>
        <v>2.3909581561956701</v>
      </c>
      <c r="Q51">
        <f t="shared" si="39"/>
        <v>2.6243550295709683E-2</v>
      </c>
      <c r="R51">
        <f t="shared" si="40"/>
        <v>1.6416596187657673E-2</v>
      </c>
      <c r="S51">
        <f t="shared" si="41"/>
        <v>0</v>
      </c>
      <c r="T51">
        <f t="shared" si="42"/>
        <v>25.016750456352671</v>
      </c>
      <c r="U51">
        <f t="shared" si="43"/>
        <v>25.335343333333331</v>
      </c>
      <c r="V51">
        <f t="shared" si="44"/>
        <v>3.2438065252936732</v>
      </c>
      <c r="W51">
        <f t="shared" si="45"/>
        <v>-6.8022686706129498</v>
      </c>
      <c r="X51">
        <f t="shared" si="46"/>
        <v>-0.22027148515928208</v>
      </c>
      <c r="Y51">
        <f t="shared" si="47"/>
        <v>3.2382061901038304</v>
      </c>
      <c r="Z51">
        <f t="shared" si="48"/>
        <v>3.4640780104529552</v>
      </c>
      <c r="AA51">
        <f t="shared" si="49"/>
        <v>-40.634045025781397</v>
      </c>
      <c r="AB51">
        <f t="shared" si="50"/>
        <v>-3.7450134853136148</v>
      </c>
      <c r="AC51">
        <f t="shared" si="51"/>
        <v>-0.33238643906696802</v>
      </c>
      <c r="AD51">
        <f t="shared" si="52"/>
        <v>-44.711444950161976</v>
      </c>
      <c r="AE51">
        <v>18</v>
      </c>
      <c r="AF51">
        <v>4</v>
      </c>
      <c r="AG51">
        <f t="shared" si="53"/>
        <v>1</v>
      </c>
      <c r="AH51">
        <f t="shared" si="54"/>
        <v>0</v>
      </c>
      <c r="AI51">
        <f t="shared" si="55"/>
        <v>25707.050339586069</v>
      </c>
      <c r="AJ51">
        <f t="shared" si="56"/>
        <v>0</v>
      </c>
      <c r="AK51">
        <f t="shared" si="57"/>
        <v>0</v>
      </c>
      <c r="AL51">
        <f t="shared" si="58"/>
        <v>0</v>
      </c>
      <c r="AM51">
        <f t="shared" si="59"/>
        <v>0</v>
      </c>
      <c r="AN51">
        <v>3</v>
      </c>
      <c r="AO51">
        <v>0.5</v>
      </c>
      <c r="AP51" t="s">
        <v>331</v>
      </c>
      <c r="AQ51">
        <v>2</v>
      </c>
      <c r="AR51">
        <v>1775505623.349999</v>
      </c>
      <c r="AS51">
        <v>55.610216666666652</v>
      </c>
      <c r="AT51">
        <v>55.533386666666679</v>
      </c>
      <c r="AU51">
        <v>-2.1988496666666659</v>
      </c>
      <c r="AV51">
        <v>-2.752907</v>
      </c>
      <c r="AW51">
        <v>47.847216666666647</v>
      </c>
      <c r="AX51">
        <v>-1.199849666666666</v>
      </c>
      <c r="AY51">
        <v>500.00220000000002</v>
      </c>
      <c r="AZ51">
        <v>100.1388</v>
      </c>
      <c r="BA51">
        <v>3.6982136666666672E-2</v>
      </c>
      <c r="BB51">
        <v>25.306290000000001</v>
      </c>
      <c r="BC51">
        <v>25.335343333333331</v>
      </c>
      <c r="BD51">
        <v>999.9000000000002</v>
      </c>
      <c r="BE51">
        <v>0</v>
      </c>
      <c r="BF51">
        <v>0</v>
      </c>
      <c r="BG51">
        <v>5000.6000000000004</v>
      </c>
      <c r="BH51">
        <v>0.39764886666666671</v>
      </c>
      <c r="BI51">
        <v>0.23344266666666669</v>
      </c>
      <c r="BJ51">
        <v>4.0036616333333337E-2</v>
      </c>
      <c r="BK51">
        <v>55.451656666666658</v>
      </c>
      <c r="BL51">
        <v>55.380929999999999</v>
      </c>
      <c r="BM51">
        <v>0.5568120333333334</v>
      </c>
      <c r="BN51">
        <v>55.533386666666679</v>
      </c>
      <c r="BO51">
        <v>-2.752907</v>
      </c>
      <c r="BP51">
        <v>-0.21991430000000001</v>
      </c>
      <c r="BQ51">
        <v>-0.2756728</v>
      </c>
      <c r="BR51">
        <v>-99.900000000000034</v>
      </c>
      <c r="BS51">
        <v>-99.900000000000034</v>
      </c>
      <c r="BT51">
        <v>0</v>
      </c>
      <c r="BU51">
        <v>0</v>
      </c>
      <c r="BV51">
        <v>0</v>
      </c>
      <c r="BW51">
        <v>24</v>
      </c>
      <c r="BX51">
        <v>-0.99222230000000022</v>
      </c>
      <c r="BY51">
        <v>1775505655.0999999</v>
      </c>
      <c r="BZ51" t="s">
        <v>438</v>
      </c>
      <c r="CA51">
        <v>1775505646.0999999</v>
      </c>
      <c r="CB51">
        <v>1775505655.0999999</v>
      </c>
      <c r="CC51">
        <v>38</v>
      </c>
      <c r="CD51">
        <v>3.6999999999999998E-2</v>
      </c>
      <c r="CE51">
        <v>-3.0000000000000001E-3</v>
      </c>
      <c r="CF51">
        <v>7.7629999999999999</v>
      </c>
      <c r="CG51">
        <v>-0.999</v>
      </c>
      <c r="CH51">
        <v>56</v>
      </c>
      <c r="CI51">
        <v>-3</v>
      </c>
      <c r="CJ51">
        <v>0.16</v>
      </c>
      <c r="CK51">
        <v>0.13</v>
      </c>
      <c r="CL51">
        <v>55.771530000000013</v>
      </c>
      <c r="CM51">
        <v>-1.7388096693524879</v>
      </c>
      <c r="CN51">
        <v>0.30180916337977559</v>
      </c>
      <c r="CO51">
        <v>-1</v>
      </c>
      <c r="CP51">
        <v>499.99588333333332</v>
      </c>
      <c r="CQ51">
        <v>-1.6381217003412031E-2</v>
      </c>
      <c r="CR51">
        <v>5.0226185622865807E-2</v>
      </c>
      <c r="CS51">
        <v>-1</v>
      </c>
      <c r="CT51">
        <v>0</v>
      </c>
      <c r="CU51">
        <v>0</v>
      </c>
      <c r="CV51" t="s">
        <v>333</v>
      </c>
      <c r="CW51">
        <v>3.1673100000000001</v>
      </c>
      <c r="CX51">
        <v>2.6580699999999999</v>
      </c>
      <c r="CY51">
        <v>1.4254599999999999E-2</v>
      </c>
      <c r="CZ51">
        <v>1.6559500000000001E-2</v>
      </c>
      <c r="DA51">
        <v>-1.07327E-2</v>
      </c>
      <c r="DB51">
        <v>-2.74744E-2</v>
      </c>
      <c r="DC51">
        <v>21357.8</v>
      </c>
      <c r="DD51">
        <v>21649</v>
      </c>
      <c r="DE51">
        <v>23193.200000000001</v>
      </c>
      <c r="DF51">
        <v>22362</v>
      </c>
      <c r="DG51">
        <v>30221.599999999999</v>
      </c>
      <c r="DH51">
        <v>27392.2</v>
      </c>
      <c r="DI51">
        <v>40749.4</v>
      </c>
      <c r="DJ51">
        <v>37053.300000000003</v>
      </c>
      <c r="DK51">
        <v>2.1027999999999998</v>
      </c>
      <c r="DL51">
        <v>1.86236</v>
      </c>
      <c r="DM51">
        <v>2.3817999999999999E-2</v>
      </c>
      <c r="DN51">
        <v>0</v>
      </c>
      <c r="DO51">
        <v>24.936499999999999</v>
      </c>
      <c r="DP51">
        <v>999.9</v>
      </c>
      <c r="DQ51">
        <v>83.1</v>
      </c>
      <c r="DR51">
        <v>27</v>
      </c>
      <c r="DS51">
        <v>29.701799999999999</v>
      </c>
      <c r="DT51">
        <v>30.6082</v>
      </c>
      <c r="DU51">
        <v>8.7980800000000006</v>
      </c>
      <c r="DV51">
        <v>1</v>
      </c>
      <c r="DW51">
        <v>5.4784600000000003E-2</v>
      </c>
      <c r="DX51">
        <v>-0.10984099999999999</v>
      </c>
      <c r="DY51">
        <v>20.368200000000002</v>
      </c>
      <c r="DZ51">
        <v>5.2100999999999997</v>
      </c>
      <c r="EA51">
        <v>11.8482</v>
      </c>
      <c r="EB51">
        <v>4.9661999999999997</v>
      </c>
      <c r="EC51">
        <v>3.2919999999999998</v>
      </c>
      <c r="ED51">
        <v>894.7</v>
      </c>
      <c r="EE51">
        <v>0</v>
      </c>
      <c r="EF51">
        <v>9999</v>
      </c>
      <c r="EG51">
        <v>113.6</v>
      </c>
      <c r="EH51">
        <v>4.9716500000000003</v>
      </c>
      <c r="EI51">
        <v>1.8717900000000001</v>
      </c>
      <c r="EJ51">
        <v>1.8689</v>
      </c>
      <c r="EK51">
        <v>1.87134</v>
      </c>
      <c r="EL51">
        <v>1.8690500000000001</v>
      </c>
      <c r="EM51">
        <v>1.86799</v>
      </c>
      <c r="EN51">
        <v>1.86982</v>
      </c>
      <c r="EO51">
        <v>1.87164</v>
      </c>
      <c r="EP51">
        <v>0</v>
      </c>
      <c r="EQ51">
        <v>0</v>
      </c>
      <c r="ER51">
        <v>0</v>
      </c>
      <c r="ES51">
        <v>0</v>
      </c>
      <c r="ET51" t="s">
        <v>334</v>
      </c>
      <c r="EU51" t="s">
        <v>335</v>
      </c>
      <c r="EV51" t="s">
        <v>336</v>
      </c>
      <c r="EW51" t="s">
        <v>336</v>
      </c>
      <c r="EX51" t="s">
        <v>336</v>
      </c>
      <c r="EY51" t="s">
        <v>336</v>
      </c>
      <c r="EZ51">
        <v>0</v>
      </c>
      <c r="FA51">
        <v>100</v>
      </c>
      <c r="FB51">
        <v>100</v>
      </c>
      <c r="FC51">
        <v>7.7629999999999999</v>
      </c>
      <c r="FD51">
        <v>-0.999</v>
      </c>
      <c r="FE51">
        <v>7.7262100000000089</v>
      </c>
      <c r="FF51">
        <v>0</v>
      </c>
      <c r="FG51">
        <v>0</v>
      </c>
      <c r="FH51">
        <v>0</v>
      </c>
      <c r="FI51">
        <v>-0.99624428571428547</v>
      </c>
      <c r="FJ51">
        <v>0</v>
      </c>
      <c r="FK51">
        <v>0</v>
      </c>
      <c r="FL51">
        <v>0</v>
      </c>
      <c r="FM51">
        <v>-1</v>
      </c>
      <c r="FN51">
        <v>-1</v>
      </c>
      <c r="FO51">
        <v>-1</v>
      </c>
      <c r="FP51">
        <v>-1</v>
      </c>
      <c r="FQ51">
        <v>0.8</v>
      </c>
      <c r="FR51">
        <v>0.7</v>
      </c>
      <c r="FS51">
        <v>0.142822</v>
      </c>
      <c r="FT51">
        <v>4.99756</v>
      </c>
      <c r="FU51">
        <v>1.5979000000000001</v>
      </c>
      <c r="FV51">
        <v>2.16797</v>
      </c>
      <c r="FW51">
        <v>1.5478499999999999</v>
      </c>
      <c r="FX51">
        <v>2.3547400000000001</v>
      </c>
      <c r="FY51">
        <v>31.629799999999999</v>
      </c>
      <c r="FZ51">
        <v>16.154599999999999</v>
      </c>
      <c r="GA51">
        <v>3</v>
      </c>
      <c r="GB51">
        <v>492.11700000000002</v>
      </c>
      <c r="GC51">
        <v>429.10599999999999</v>
      </c>
      <c r="GD51">
        <v>25.930700000000002</v>
      </c>
      <c r="GE51">
        <v>27.932200000000002</v>
      </c>
      <c r="GF51">
        <v>30.0001</v>
      </c>
      <c r="GG51">
        <v>28.244900000000001</v>
      </c>
      <c r="GH51">
        <v>28.301400000000001</v>
      </c>
      <c r="GI51">
        <v>-1</v>
      </c>
      <c r="GJ51">
        <v>0</v>
      </c>
      <c r="GK51">
        <v>100</v>
      </c>
      <c r="GL51">
        <v>25.9252</v>
      </c>
      <c r="GM51">
        <v>432.1</v>
      </c>
      <c r="GN51">
        <v>63.216500000000003</v>
      </c>
      <c r="GO51">
        <v>102.583</v>
      </c>
      <c r="GP51">
        <v>96.691999999999993</v>
      </c>
    </row>
    <row r="52" spans="1:198" x14ac:dyDescent="0.35">
      <c r="A52">
        <v>36</v>
      </c>
      <c r="B52">
        <v>1775505691.0999999</v>
      </c>
      <c r="C52">
        <v>2100.099999904633</v>
      </c>
      <c r="D52" t="s">
        <v>439</v>
      </c>
      <c r="E52" t="s">
        <v>440</v>
      </c>
      <c r="F52">
        <v>60</v>
      </c>
      <c r="G52">
        <v>1775505683.099999</v>
      </c>
      <c r="H52">
        <f t="shared" si="30"/>
        <v>9.4819073843161795E-4</v>
      </c>
      <c r="I52">
        <f t="shared" si="31"/>
        <v>0.94819073843161794</v>
      </c>
      <c r="J52">
        <f t="shared" si="32"/>
        <v>0.88253425689563925</v>
      </c>
      <c r="K52">
        <f t="shared" si="33"/>
        <v>53.257154838709667</v>
      </c>
      <c r="L52">
        <f t="shared" si="34"/>
        <v>-0.42869940759111269</v>
      </c>
      <c r="M52">
        <f t="shared" si="35"/>
        <v>-4.2945019782482774E-2</v>
      </c>
      <c r="N52">
        <f t="shared" si="36"/>
        <v>5.3350425207225065</v>
      </c>
      <c r="O52">
        <f t="shared" si="37"/>
        <v>2.7195054303453984E-2</v>
      </c>
      <c r="P52">
        <f t="shared" si="38"/>
        <v>2.3884509618361633</v>
      </c>
      <c r="Q52">
        <f t="shared" si="39"/>
        <v>2.7024196364934298E-2</v>
      </c>
      <c r="R52">
        <f t="shared" si="40"/>
        <v>1.6905384029367344E-2</v>
      </c>
      <c r="S52">
        <f t="shared" si="41"/>
        <v>0</v>
      </c>
      <c r="T52">
        <f t="shared" si="42"/>
        <v>24.992627176132988</v>
      </c>
      <c r="U52">
        <f t="shared" si="43"/>
        <v>25.3210129032258</v>
      </c>
      <c r="V52">
        <f t="shared" si="44"/>
        <v>3.2410431276552423</v>
      </c>
      <c r="W52">
        <f t="shared" si="45"/>
        <v>-6.8245203838224464</v>
      </c>
      <c r="X52">
        <f t="shared" si="46"/>
        <v>-0.22078948109941482</v>
      </c>
      <c r="Y52">
        <f t="shared" si="47"/>
        <v>3.2352380633633562</v>
      </c>
      <c r="Z52">
        <f t="shared" si="48"/>
        <v>3.4618326087546571</v>
      </c>
      <c r="AA52">
        <f t="shared" si="49"/>
        <v>-41.81521156483435</v>
      </c>
      <c r="AB52">
        <f t="shared" si="50"/>
        <v>-3.8808461612965224</v>
      </c>
      <c r="AC52">
        <f t="shared" si="51"/>
        <v>-0.34475218449504158</v>
      </c>
      <c r="AD52">
        <f t="shared" si="52"/>
        <v>-46.040809910625917</v>
      </c>
      <c r="AE52">
        <v>18</v>
      </c>
      <c r="AF52">
        <v>4</v>
      </c>
      <c r="AG52">
        <f t="shared" si="53"/>
        <v>1</v>
      </c>
      <c r="AH52">
        <f t="shared" si="54"/>
        <v>0</v>
      </c>
      <c r="AI52">
        <f t="shared" si="55"/>
        <v>25670.065277437468</v>
      </c>
      <c r="AJ52">
        <f t="shared" si="56"/>
        <v>0</v>
      </c>
      <c r="AK52">
        <f t="shared" si="57"/>
        <v>0</v>
      </c>
      <c r="AL52">
        <f t="shared" si="58"/>
        <v>0</v>
      </c>
      <c r="AM52">
        <f t="shared" si="59"/>
        <v>0</v>
      </c>
      <c r="AN52">
        <v>3</v>
      </c>
      <c r="AO52">
        <v>0.5</v>
      </c>
      <c r="AP52" t="s">
        <v>331</v>
      </c>
      <c r="AQ52">
        <v>2</v>
      </c>
      <c r="AR52">
        <v>1775505683.099999</v>
      </c>
      <c r="AS52">
        <v>53.257154838709667</v>
      </c>
      <c r="AT52">
        <v>53.816974193548397</v>
      </c>
      <c r="AU52">
        <v>-2.2040348387096769</v>
      </c>
      <c r="AV52">
        <v>-2.7742032258064522</v>
      </c>
      <c r="AW52">
        <v>45.524154838709677</v>
      </c>
      <c r="AX52">
        <v>-1.209034838709677</v>
      </c>
      <c r="AY52">
        <v>499.99996774193539</v>
      </c>
      <c r="AZ52">
        <v>100.13751612903231</v>
      </c>
      <c r="BA52">
        <v>3.7615961290322582E-2</v>
      </c>
      <c r="BB52">
        <v>25.29087419354838</v>
      </c>
      <c r="BC52">
        <v>25.3210129032258</v>
      </c>
      <c r="BD52">
        <v>999.90000000000032</v>
      </c>
      <c r="BE52">
        <v>0</v>
      </c>
      <c r="BF52">
        <v>0</v>
      </c>
      <c r="BG52">
        <v>4994.2096774193551</v>
      </c>
      <c r="BH52">
        <v>0.37741803225806458</v>
      </c>
      <c r="BI52">
        <v>0.22961599999999999</v>
      </c>
      <c r="BJ52">
        <v>-0.52958815161290329</v>
      </c>
      <c r="BK52">
        <v>53.169996774193542</v>
      </c>
      <c r="BL52">
        <v>53.668093548387098</v>
      </c>
      <c r="BM52">
        <v>0.56620635483870962</v>
      </c>
      <c r="BN52">
        <v>53.816974193548397</v>
      </c>
      <c r="BO52">
        <v>-2.7742032258064522</v>
      </c>
      <c r="BP52">
        <v>-0.22110348387096779</v>
      </c>
      <c r="BQ52">
        <v>-0.27780187096774189</v>
      </c>
      <c r="BR52">
        <v>-99.900000000000034</v>
      </c>
      <c r="BS52">
        <v>-99.900000000000034</v>
      </c>
      <c r="BT52">
        <v>0</v>
      </c>
      <c r="BU52">
        <v>0</v>
      </c>
      <c r="BV52">
        <v>0</v>
      </c>
      <c r="BW52">
        <v>24</v>
      </c>
      <c r="BX52">
        <v>-1</v>
      </c>
      <c r="BY52">
        <v>1775505714.0999999</v>
      </c>
      <c r="BZ52" t="s">
        <v>441</v>
      </c>
      <c r="CA52">
        <v>1775505708.0999999</v>
      </c>
      <c r="CB52">
        <v>1775505714.0999999</v>
      </c>
      <c r="CC52">
        <v>39</v>
      </c>
      <c r="CD52">
        <v>-0.03</v>
      </c>
      <c r="CE52">
        <v>4.0000000000000001E-3</v>
      </c>
      <c r="CF52">
        <v>7.7329999999999997</v>
      </c>
      <c r="CG52">
        <v>-0.995</v>
      </c>
      <c r="CH52">
        <v>55</v>
      </c>
      <c r="CI52">
        <v>-3</v>
      </c>
      <c r="CJ52">
        <v>0.2</v>
      </c>
      <c r="CK52">
        <v>0.13</v>
      </c>
      <c r="CL52">
        <v>53.403593442622949</v>
      </c>
      <c r="CM52">
        <v>3.86706885245906</v>
      </c>
      <c r="CN52">
        <v>0.65197565525023049</v>
      </c>
      <c r="CO52">
        <v>-1</v>
      </c>
      <c r="CP52">
        <v>500.28636065573772</v>
      </c>
      <c r="CQ52">
        <v>-3.1434923320999921</v>
      </c>
      <c r="CR52">
        <v>0.93994065094796486</v>
      </c>
      <c r="CS52">
        <v>-1</v>
      </c>
      <c r="CT52">
        <v>0</v>
      </c>
      <c r="CU52">
        <v>0</v>
      </c>
      <c r="CV52" t="s">
        <v>333</v>
      </c>
      <c r="CW52">
        <v>3.1672899999999999</v>
      </c>
      <c r="CX52">
        <v>2.6585200000000002</v>
      </c>
      <c r="CY52">
        <v>1.3775900000000001E-2</v>
      </c>
      <c r="CZ52">
        <v>1.6407499999999998E-2</v>
      </c>
      <c r="DA52">
        <v>-1.0837100000000001E-2</v>
      </c>
      <c r="DB52">
        <v>-2.77903E-2</v>
      </c>
      <c r="DC52">
        <v>21367.9</v>
      </c>
      <c r="DD52">
        <v>21653.1</v>
      </c>
      <c r="DE52">
        <v>23192.9</v>
      </c>
      <c r="DF52">
        <v>22362.799999999999</v>
      </c>
      <c r="DG52">
        <v>30224.400000000001</v>
      </c>
      <c r="DH52">
        <v>27401.3</v>
      </c>
      <c r="DI52">
        <v>40748.9</v>
      </c>
      <c r="DJ52">
        <v>37054.400000000001</v>
      </c>
      <c r="DK52">
        <v>2.1023999999999998</v>
      </c>
      <c r="DL52">
        <v>1.86192</v>
      </c>
      <c r="DM52">
        <v>2.3180200000000001E-2</v>
      </c>
      <c r="DN52">
        <v>0</v>
      </c>
      <c r="DO52">
        <v>24.934699999999999</v>
      </c>
      <c r="DP52">
        <v>999.9</v>
      </c>
      <c r="DQ52">
        <v>83</v>
      </c>
      <c r="DR52">
        <v>27</v>
      </c>
      <c r="DS52">
        <v>29.665900000000001</v>
      </c>
      <c r="DT52">
        <v>30.848199999999999</v>
      </c>
      <c r="DU52">
        <v>8.6338100000000004</v>
      </c>
      <c r="DV52">
        <v>1</v>
      </c>
      <c r="DW52">
        <v>5.5178900000000003E-2</v>
      </c>
      <c r="DX52">
        <v>-0.23028799999999999</v>
      </c>
      <c r="DY52">
        <v>20.367599999999999</v>
      </c>
      <c r="DZ52">
        <v>5.20974</v>
      </c>
      <c r="EA52">
        <v>11.8482</v>
      </c>
      <c r="EB52">
        <v>4.9679200000000003</v>
      </c>
      <c r="EC52">
        <v>3.2915000000000001</v>
      </c>
      <c r="ED52">
        <v>894.7</v>
      </c>
      <c r="EE52">
        <v>0</v>
      </c>
      <c r="EF52">
        <v>9999</v>
      </c>
      <c r="EG52">
        <v>113.6</v>
      </c>
      <c r="EH52">
        <v>4.97166</v>
      </c>
      <c r="EI52">
        <v>1.8717900000000001</v>
      </c>
      <c r="EJ52">
        <v>1.8689</v>
      </c>
      <c r="EK52">
        <v>1.87134</v>
      </c>
      <c r="EL52">
        <v>1.8690500000000001</v>
      </c>
      <c r="EM52">
        <v>1.86799</v>
      </c>
      <c r="EN52">
        <v>1.8698300000000001</v>
      </c>
      <c r="EO52">
        <v>1.87164</v>
      </c>
      <c r="EP52">
        <v>0</v>
      </c>
      <c r="EQ52">
        <v>0</v>
      </c>
      <c r="ER52">
        <v>0</v>
      </c>
      <c r="ES52">
        <v>0</v>
      </c>
      <c r="ET52" t="s">
        <v>334</v>
      </c>
      <c r="EU52" t="s">
        <v>335</v>
      </c>
      <c r="EV52" t="s">
        <v>336</v>
      </c>
      <c r="EW52" t="s">
        <v>336</v>
      </c>
      <c r="EX52" t="s">
        <v>336</v>
      </c>
      <c r="EY52" t="s">
        <v>336</v>
      </c>
      <c r="EZ52">
        <v>0</v>
      </c>
      <c r="FA52">
        <v>100</v>
      </c>
      <c r="FB52">
        <v>100</v>
      </c>
      <c r="FC52">
        <v>7.7329999999999997</v>
      </c>
      <c r="FD52">
        <v>-0.995</v>
      </c>
      <c r="FE52">
        <v>7.7632300000000072</v>
      </c>
      <c r="FF52">
        <v>0</v>
      </c>
      <c r="FG52">
        <v>0</v>
      </c>
      <c r="FH52">
        <v>0</v>
      </c>
      <c r="FI52">
        <v>-0.99896249999999998</v>
      </c>
      <c r="FJ52">
        <v>0</v>
      </c>
      <c r="FK52">
        <v>0</v>
      </c>
      <c r="FL52">
        <v>0</v>
      </c>
      <c r="FM52">
        <v>-1</v>
      </c>
      <c r="FN52">
        <v>-1</v>
      </c>
      <c r="FO52">
        <v>-1</v>
      </c>
      <c r="FP52">
        <v>-1</v>
      </c>
      <c r="FQ52">
        <v>0.8</v>
      </c>
      <c r="FR52">
        <v>0.6</v>
      </c>
      <c r="FS52">
        <v>0.144043</v>
      </c>
      <c r="FT52">
        <v>4.99756</v>
      </c>
      <c r="FU52">
        <v>1.5979000000000001</v>
      </c>
      <c r="FV52">
        <v>2.16675</v>
      </c>
      <c r="FW52">
        <v>1.5478499999999999</v>
      </c>
      <c r="FX52">
        <v>2.3156699999999999</v>
      </c>
      <c r="FY52">
        <v>31.651700000000002</v>
      </c>
      <c r="FZ52">
        <v>16.154599999999999</v>
      </c>
      <c r="GA52">
        <v>3</v>
      </c>
      <c r="GB52">
        <v>491.92599999999999</v>
      </c>
      <c r="GC52">
        <v>428.86200000000002</v>
      </c>
      <c r="GD52">
        <v>25.990600000000001</v>
      </c>
      <c r="GE52">
        <v>27.9345</v>
      </c>
      <c r="GF52">
        <v>30.0001</v>
      </c>
      <c r="GG52">
        <v>28.249700000000001</v>
      </c>
      <c r="GH52">
        <v>28.303699999999999</v>
      </c>
      <c r="GI52">
        <v>-1</v>
      </c>
      <c r="GJ52">
        <v>0</v>
      </c>
      <c r="GK52">
        <v>100</v>
      </c>
      <c r="GL52">
        <v>25.997699999999998</v>
      </c>
      <c r="GM52">
        <v>432.1</v>
      </c>
      <c r="GN52">
        <v>63.216500000000003</v>
      </c>
      <c r="GO52">
        <v>102.58199999999999</v>
      </c>
      <c r="GP52">
        <v>96.695099999999996</v>
      </c>
    </row>
    <row r="53" spans="1:198" x14ac:dyDescent="0.35">
      <c r="A53">
        <v>37</v>
      </c>
      <c r="B53">
        <v>1775505751.0999999</v>
      </c>
      <c r="C53">
        <v>2160.099999904633</v>
      </c>
      <c r="D53" t="s">
        <v>442</v>
      </c>
      <c r="E53" t="s">
        <v>443</v>
      </c>
      <c r="F53">
        <v>60</v>
      </c>
      <c r="G53">
        <v>1775505743.099999</v>
      </c>
      <c r="H53">
        <f t="shared" si="30"/>
        <v>9.7230021201945218E-4</v>
      </c>
      <c r="I53">
        <f t="shared" si="31"/>
        <v>0.97230021201945216</v>
      </c>
      <c r="J53">
        <f t="shared" si="32"/>
        <v>-0.27425306483481304</v>
      </c>
      <c r="K53">
        <f t="shared" si="33"/>
        <v>55.182254838709667</v>
      </c>
      <c r="L53">
        <f t="shared" si="34"/>
        <v>67.564901998779519</v>
      </c>
      <c r="M53">
        <f t="shared" si="35"/>
        <v>6.7684112411212105</v>
      </c>
      <c r="N53">
        <f t="shared" si="36"/>
        <v>5.527961751021035</v>
      </c>
      <c r="O53">
        <f t="shared" si="37"/>
        <v>2.7880235839008831E-2</v>
      </c>
      <c r="P53">
        <f t="shared" si="38"/>
        <v>2.3905579733144298</v>
      </c>
      <c r="Q53">
        <f t="shared" si="39"/>
        <v>2.7700847706657223E-2</v>
      </c>
      <c r="R53">
        <f t="shared" si="40"/>
        <v>1.7329050787930612E-2</v>
      </c>
      <c r="S53">
        <f t="shared" si="41"/>
        <v>0</v>
      </c>
      <c r="T53">
        <f t="shared" si="42"/>
        <v>24.992709274632759</v>
      </c>
      <c r="U53">
        <f t="shared" si="43"/>
        <v>25.323303225806448</v>
      </c>
      <c r="V53">
        <f t="shared" si="44"/>
        <v>3.2414846421308923</v>
      </c>
      <c r="W53">
        <f t="shared" si="45"/>
        <v>-6.8500427746680446</v>
      </c>
      <c r="X53">
        <f t="shared" si="46"/>
        <v>-0.22171298165609496</v>
      </c>
      <c r="Y53">
        <f t="shared" si="47"/>
        <v>3.2366656523081239</v>
      </c>
      <c r="Z53">
        <f t="shared" si="48"/>
        <v>3.463197623786987</v>
      </c>
      <c r="AA53">
        <f t="shared" si="49"/>
        <v>-42.878439350057839</v>
      </c>
      <c r="AB53">
        <f t="shared" si="50"/>
        <v>-3.2236570010986356</v>
      </c>
      <c r="AC53">
        <f t="shared" si="51"/>
        <v>-0.286132817316685</v>
      </c>
      <c r="AD53">
        <f t="shared" si="52"/>
        <v>-46.38822916847316</v>
      </c>
      <c r="AE53">
        <v>18</v>
      </c>
      <c r="AF53">
        <v>4</v>
      </c>
      <c r="AG53">
        <f t="shared" si="53"/>
        <v>1</v>
      </c>
      <c r="AH53">
        <f t="shared" si="54"/>
        <v>0</v>
      </c>
      <c r="AI53">
        <f t="shared" si="55"/>
        <v>25701.598855564967</v>
      </c>
      <c r="AJ53">
        <f t="shared" si="56"/>
        <v>0</v>
      </c>
      <c r="AK53">
        <f t="shared" si="57"/>
        <v>0</v>
      </c>
      <c r="AL53">
        <f t="shared" si="58"/>
        <v>0</v>
      </c>
      <c r="AM53">
        <f t="shared" si="59"/>
        <v>0</v>
      </c>
      <c r="AN53">
        <v>3</v>
      </c>
      <c r="AO53">
        <v>0.5</v>
      </c>
      <c r="AP53" t="s">
        <v>331</v>
      </c>
      <c r="AQ53">
        <v>2</v>
      </c>
      <c r="AR53">
        <v>1775505743.099999</v>
      </c>
      <c r="AS53">
        <v>55.182254838709667</v>
      </c>
      <c r="AT53">
        <v>55.049893548387111</v>
      </c>
      <c r="AU53">
        <v>-2.2132248387096771</v>
      </c>
      <c r="AV53">
        <v>-2.7979035483870969</v>
      </c>
      <c r="AW53">
        <v>47.465254838709683</v>
      </c>
      <c r="AX53">
        <v>-1.220224838709677</v>
      </c>
      <c r="AY53">
        <v>499.99364516129032</v>
      </c>
      <c r="AZ53">
        <v>100.13922580645161</v>
      </c>
      <c r="BA53">
        <v>3.7212564516129032E-2</v>
      </c>
      <c r="BB53">
        <v>25.29829032258063</v>
      </c>
      <c r="BC53">
        <v>25.323303225806448</v>
      </c>
      <c r="BD53">
        <v>999.90000000000032</v>
      </c>
      <c r="BE53">
        <v>0</v>
      </c>
      <c r="BF53">
        <v>0</v>
      </c>
      <c r="BG53">
        <v>4999.5483870967746</v>
      </c>
      <c r="BH53">
        <v>0.41295896774193558</v>
      </c>
      <c r="BI53">
        <v>0.22961599999999999</v>
      </c>
      <c r="BJ53">
        <v>0.14862585806451609</v>
      </c>
      <c r="BK53">
        <v>55.0765064516129</v>
      </c>
      <c r="BL53">
        <v>54.896296774193551</v>
      </c>
      <c r="BM53">
        <v>0.58257767741935484</v>
      </c>
      <c r="BN53">
        <v>55.049893548387111</v>
      </c>
      <c r="BO53">
        <v>-2.7979035483870969</v>
      </c>
      <c r="BP53">
        <v>-0.22184119354838711</v>
      </c>
      <c r="BQ53">
        <v>-0.28018006451612909</v>
      </c>
      <c r="BR53">
        <v>-99.900000000000034</v>
      </c>
      <c r="BS53">
        <v>-99.900000000000034</v>
      </c>
      <c r="BT53">
        <v>0</v>
      </c>
      <c r="BU53">
        <v>0</v>
      </c>
      <c r="BV53">
        <v>0</v>
      </c>
      <c r="BW53">
        <v>24</v>
      </c>
      <c r="BX53">
        <v>-0.98924741935483884</v>
      </c>
      <c r="BY53">
        <v>1775505771.5999999</v>
      </c>
      <c r="BZ53" t="s">
        <v>444</v>
      </c>
      <c r="CA53">
        <v>1775505771.0999999</v>
      </c>
      <c r="CB53">
        <v>1775505771.5999999</v>
      </c>
      <c r="CC53">
        <v>40</v>
      </c>
      <c r="CD53">
        <v>-1.6E-2</v>
      </c>
      <c r="CE53">
        <v>2E-3</v>
      </c>
      <c r="CF53">
        <v>7.7169999999999996</v>
      </c>
      <c r="CG53">
        <v>-0.99299999999999999</v>
      </c>
      <c r="CH53">
        <v>55</v>
      </c>
      <c r="CI53">
        <v>-3</v>
      </c>
      <c r="CJ53">
        <v>0.23</v>
      </c>
      <c r="CK53">
        <v>0.14000000000000001</v>
      </c>
      <c r="CL53">
        <v>55.313001639344257</v>
      </c>
      <c r="CM53">
        <v>-1.803431200423157</v>
      </c>
      <c r="CN53">
        <v>0.29714287036230319</v>
      </c>
      <c r="CO53">
        <v>-1</v>
      </c>
      <c r="CP53">
        <v>500.12483606557367</v>
      </c>
      <c r="CQ53">
        <v>-1.5699947117929449</v>
      </c>
      <c r="CR53">
        <v>0.50461025961538963</v>
      </c>
      <c r="CS53">
        <v>-1</v>
      </c>
      <c r="CT53">
        <v>0</v>
      </c>
      <c r="CU53">
        <v>0</v>
      </c>
      <c r="CV53" t="s">
        <v>333</v>
      </c>
      <c r="CW53">
        <v>3.1673300000000002</v>
      </c>
      <c r="CX53">
        <v>2.6586500000000002</v>
      </c>
      <c r="CY53">
        <v>1.4090099999999999E-2</v>
      </c>
      <c r="CZ53">
        <v>1.6363200000000001E-2</v>
      </c>
      <c r="DA53">
        <v>-1.09345E-2</v>
      </c>
      <c r="DB53">
        <v>-2.8067999999999999E-2</v>
      </c>
      <c r="DC53">
        <v>21360.7</v>
      </c>
      <c r="DD53">
        <v>21655.200000000001</v>
      </c>
      <c r="DE53">
        <v>23192.5</v>
      </c>
      <c r="DF53">
        <v>22364</v>
      </c>
      <c r="DG53">
        <v>30226.799999999999</v>
      </c>
      <c r="DH53">
        <v>27410</v>
      </c>
      <c r="DI53">
        <v>40748.300000000003</v>
      </c>
      <c r="DJ53">
        <v>37056.300000000003</v>
      </c>
      <c r="DK53">
        <v>2.1025999999999998</v>
      </c>
      <c r="DL53">
        <v>1.8613599999999999</v>
      </c>
      <c r="DM53">
        <v>2.46584E-2</v>
      </c>
      <c r="DN53">
        <v>0</v>
      </c>
      <c r="DO53">
        <v>24.923300000000001</v>
      </c>
      <c r="DP53">
        <v>999.9</v>
      </c>
      <c r="DQ53">
        <v>82.9</v>
      </c>
      <c r="DR53">
        <v>27.1</v>
      </c>
      <c r="DS53">
        <v>29.805299999999999</v>
      </c>
      <c r="DT53">
        <v>31.088200000000001</v>
      </c>
      <c r="DU53">
        <v>8.7740399999999994</v>
      </c>
      <c r="DV53">
        <v>1</v>
      </c>
      <c r="DW53">
        <v>5.4991900000000003E-2</v>
      </c>
      <c r="DX53">
        <v>-0.248638</v>
      </c>
      <c r="DY53">
        <v>20.368200000000002</v>
      </c>
      <c r="DZ53">
        <v>5.2130999999999998</v>
      </c>
      <c r="EA53">
        <v>11.8482</v>
      </c>
      <c r="EB53">
        <v>4.9686399999999997</v>
      </c>
      <c r="EC53">
        <v>3.2919999999999998</v>
      </c>
      <c r="ED53">
        <v>894.7</v>
      </c>
      <c r="EE53">
        <v>0</v>
      </c>
      <c r="EF53">
        <v>9999</v>
      </c>
      <c r="EG53">
        <v>113.6</v>
      </c>
      <c r="EH53">
        <v>4.97166</v>
      </c>
      <c r="EI53">
        <v>1.8717999999999999</v>
      </c>
      <c r="EJ53">
        <v>1.8689</v>
      </c>
      <c r="EK53">
        <v>1.87134</v>
      </c>
      <c r="EL53">
        <v>1.8690500000000001</v>
      </c>
      <c r="EM53">
        <v>1.8680099999999999</v>
      </c>
      <c r="EN53">
        <v>1.8698600000000001</v>
      </c>
      <c r="EO53">
        <v>1.87164</v>
      </c>
      <c r="EP53">
        <v>0</v>
      </c>
      <c r="EQ53">
        <v>0</v>
      </c>
      <c r="ER53">
        <v>0</v>
      </c>
      <c r="ES53">
        <v>0</v>
      </c>
      <c r="ET53" t="s">
        <v>334</v>
      </c>
      <c r="EU53" t="s">
        <v>335</v>
      </c>
      <c r="EV53" t="s">
        <v>336</v>
      </c>
      <c r="EW53" t="s">
        <v>336</v>
      </c>
      <c r="EX53" t="s">
        <v>336</v>
      </c>
      <c r="EY53" t="s">
        <v>336</v>
      </c>
      <c r="EZ53">
        <v>0</v>
      </c>
      <c r="FA53">
        <v>100</v>
      </c>
      <c r="FB53">
        <v>100</v>
      </c>
      <c r="FC53">
        <v>7.7169999999999996</v>
      </c>
      <c r="FD53">
        <v>-0.99299999999999999</v>
      </c>
      <c r="FE53">
        <v>7.7332650000000029</v>
      </c>
      <c r="FF53">
        <v>0</v>
      </c>
      <c r="FG53">
        <v>0</v>
      </c>
      <c r="FH53">
        <v>0</v>
      </c>
      <c r="FI53">
        <v>-0.99510150000000031</v>
      </c>
      <c r="FJ53">
        <v>0</v>
      </c>
      <c r="FK53">
        <v>0</v>
      </c>
      <c r="FL53">
        <v>0</v>
      </c>
      <c r="FM53">
        <v>-1</v>
      </c>
      <c r="FN53">
        <v>-1</v>
      </c>
      <c r="FO53">
        <v>-1</v>
      </c>
      <c r="FP53">
        <v>-1</v>
      </c>
      <c r="FQ53">
        <v>0.7</v>
      </c>
      <c r="FR53">
        <v>0.6</v>
      </c>
      <c r="FS53">
        <v>0.142822</v>
      </c>
      <c r="FT53">
        <v>4.99756</v>
      </c>
      <c r="FU53">
        <v>1.5979000000000001</v>
      </c>
      <c r="FV53">
        <v>2.16675</v>
      </c>
      <c r="FW53">
        <v>1.5478499999999999</v>
      </c>
      <c r="FX53">
        <v>2.3596200000000001</v>
      </c>
      <c r="FY53">
        <v>31.651700000000002</v>
      </c>
      <c r="FZ53">
        <v>16.145900000000001</v>
      </c>
      <c r="GA53">
        <v>3</v>
      </c>
      <c r="GB53">
        <v>492.02199999999999</v>
      </c>
      <c r="GC53">
        <v>428.51299999999998</v>
      </c>
      <c r="GD53">
        <v>26.054200000000002</v>
      </c>
      <c r="GE53">
        <v>27.932200000000002</v>
      </c>
      <c r="GF53">
        <v>30</v>
      </c>
      <c r="GG53">
        <v>28.247299999999999</v>
      </c>
      <c r="GH53">
        <v>28.301400000000001</v>
      </c>
      <c r="GI53">
        <v>-1</v>
      </c>
      <c r="GJ53">
        <v>0</v>
      </c>
      <c r="GK53">
        <v>100</v>
      </c>
      <c r="GL53">
        <v>26.0532</v>
      </c>
      <c r="GM53">
        <v>432.1</v>
      </c>
      <c r="GN53">
        <v>63.216500000000003</v>
      </c>
      <c r="GO53">
        <v>102.58</v>
      </c>
      <c r="GP53">
        <v>96.700100000000006</v>
      </c>
    </row>
    <row r="54" spans="1:198" x14ac:dyDescent="0.35">
      <c r="A54">
        <v>38</v>
      </c>
      <c r="B54">
        <v>1775505811.0999999</v>
      </c>
      <c r="C54">
        <v>2220.099999904633</v>
      </c>
      <c r="D54" t="s">
        <v>445</v>
      </c>
      <c r="E54" t="s">
        <v>446</v>
      </c>
      <c r="F54">
        <v>60</v>
      </c>
      <c r="G54">
        <v>1775505803.349999</v>
      </c>
      <c r="H54">
        <f t="shared" si="30"/>
        <v>9.9740426659789623E-4</v>
      </c>
      <c r="I54">
        <f t="shared" si="31"/>
        <v>0.99740426659789627</v>
      </c>
      <c r="J54">
        <f t="shared" si="32"/>
        <v>0.49978019681785563</v>
      </c>
      <c r="K54">
        <f t="shared" si="33"/>
        <v>55.299446666666668</v>
      </c>
      <c r="L54">
        <f t="shared" si="34"/>
        <v>24.921514023322615</v>
      </c>
      <c r="M54">
        <f t="shared" si="35"/>
        <v>2.4965468130834241</v>
      </c>
      <c r="N54">
        <f t="shared" si="36"/>
        <v>5.5396978374485277</v>
      </c>
      <c r="O54">
        <f t="shared" si="37"/>
        <v>2.8592257750679799E-2</v>
      </c>
      <c r="P54">
        <f t="shared" si="38"/>
        <v>2.3888120149925411</v>
      </c>
      <c r="Q54">
        <f t="shared" si="39"/>
        <v>2.8403486542559628E-2</v>
      </c>
      <c r="R54">
        <f t="shared" si="40"/>
        <v>1.77690354174748E-2</v>
      </c>
      <c r="S54">
        <f t="shared" si="41"/>
        <v>0</v>
      </c>
      <c r="T54">
        <f t="shared" si="42"/>
        <v>24.990216766260492</v>
      </c>
      <c r="U54">
        <f t="shared" si="43"/>
        <v>25.329496666666671</v>
      </c>
      <c r="V54">
        <f t="shared" si="44"/>
        <v>3.2426788392441215</v>
      </c>
      <c r="W54">
        <f t="shared" si="45"/>
        <v>-6.8576873958403546</v>
      </c>
      <c r="X54">
        <f t="shared" si="46"/>
        <v>-0.22203444632859809</v>
      </c>
      <c r="Y54">
        <f t="shared" si="47"/>
        <v>3.237745226813296</v>
      </c>
      <c r="Z54">
        <f t="shared" si="48"/>
        <v>3.4647132855727194</v>
      </c>
      <c r="AA54">
        <f t="shared" si="49"/>
        <v>-43.985528156967227</v>
      </c>
      <c r="AB54">
        <f t="shared" si="50"/>
        <v>-3.2969122138184086</v>
      </c>
      <c r="AC54">
        <f t="shared" si="51"/>
        <v>-0.29286623310670584</v>
      </c>
      <c r="AD54">
        <f t="shared" si="52"/>
        <v>-47.575306603892344</v>
      </c>
      <c r="AE54">
        <v>18</v>
      </c>
      <c r="AF54">
        <v>4</v>
      </c>
      <c r="AG54">
        <f t="shared" si="53"/>
        <v>1</v>
      </c>
      <c r="AH54">
        <f t="shared" si="54"/>
        <v>0</v>
      </c>
      <c r="AI54">
        <f t="shared" si="55"/>
        <v>25674.410705843173</v>
      </c>
      <c r="AJ54">
        <f t="shared" si="56"/>
        <v>0</v>
      </c>
      <c r="AK54">
        <f t="shared" si="57"/>
        <v>0</v>
      </c>
      <c r="AL54">
        <f t="shared" si="58"/>
        <v>0</v>
      </c>
      <c r="AM54">
        <f t="shared" si="59"/>
        <v>0</v>
      </c>
      <c r="AN54">
        <v>3</v>
      </c>
      <c r="AO54">
        <v>0.5</v>
      </c>
      <c r="AP54" t="s">
        <v>331</v>
      </c>
      <c r="AQ54">
        <v>2</v>
      </c>
      <c r="AR54">
        <v>1775505803.349999</v>
      </c>
      <c r="AS54">
        <v>55.299446666666668</v>
      </c>
      <c r="AT54">
        <v>55.632423333333328</v>
      </c>
      <c r="AU54">
        <v>-2.2164353333333331</v>
      </c>
      <c r="AV54">
        <v>-2.816231333333334</v>
      </c>
      <c r="AW54">
        <v>47.581446666666672</v>
      </c>
      <c r="AX54">
        <v>-1.2264353333333331</v>
      </c>
      <c r="AY54">
        <v>499.9774666666666</v>
      </c>
      <c r="AZ54">
        <v>100.1389666666667</v>
      </c>
      <c r="BA54">
        <v>3.7403466666666663E-2</v>
      </c>
      <c r="BB54">
        <v>25.30389666666667</v>
      </c>
      <c r="BC54">
        <v>25.329496666666671</v>
      </c>
      <c r="BD54">
        <v>999.9000000000002</v>
      </c>
      <c r="BE54">
        <v>0</v>
      </c>
      <c r="BF54">
        <v>0</v>
      </c>
      <c r="BG54">
        <v>4995.0666666666666</v>
      </c>
      <c r="BH54">
        <v>0.4141493</v>
      </c>
      <c r="BI54">
        <v>0.22961599999999999</v>
      </c>
      <c r="BJ54">
        <v>-0.33355020000000002</v>
      </c>
      <c r="BK54">
        <v>55.176420000000007</v>
      </c>
      <c r="BL54">
        <v>55.476180000000006</v>
      </c>
      <c r="BM54">
        <v>0.59706683333333321</v>
      </c>
      <c r="BN54">
        <v>55.632423333333328</v>
      </c>
      <c r="BO54">
        <v>-2.816231333333334</v>
      </c>
      <c r="BP54">
        <v>-0.2222248</v>
      </c>
      <c r="BQ54">
        <v>-0.28201446666666657</v>
      </c>
      <c r="BR54">
        <v>-99.900000000000034</v>
      </c>
      <c r="BS54">
        <v>-99.900000000000034</v>
      </c>
      <c r="BT54">
        <v>0</v>
      </c>
      <c r="BU54">
        <v>0</v>
      </c>
      <c r="BV54">
        <v>0</v>
      </c>
      <c r="BW54">
        <v>24</v>
      </c>
      <c r="BX54">
        <v>-0.99444450000000006</v>
      </c>
      <c r="BY54">
        <v>1775505831.5999999</v>
      </c>
      <c r="BZ54" t="s">
        <v>447</v>
      </c>
      <c r="CA54">
        <v>1775505830.0999999</v>
      </c>
      <c r="CB54">
        <v>1775505831.5999999</v>
      </c>
      <c r="CC54">
        <v>41</v>
      </c>
      <c r="CD54">
        <v>1E-3</v>
      </c>
      <c r="CE54">
        <v>3.0000000000000001E-3</v>
      </c>
      <c r="CF54">
        <v>7.718</v>
      </c>
      <c r="CG54">
        <v>-0.99</v>
      </c>
      <c r="CH54">
        <v>55</v>
      </c>
      <c r="CI54">
        <v>-3</v>
      </c>
      <c r="CJ54">
        <v>0.28999999999999998</v>
      </c>
      <c r="CK54">
        <v>0.13</v>
      </c>
      <c r="CL54">
        <v>55.449206666666669</v>
      </c>
      <c r="CM54">
        <v>1.4086566268407661</v>
      </c>
      <c r="CN54">
        <v>0.20942936825786551</v>
      </c>
      <c r="CO54">
        <v>-1</v>
      </c>
      <c r="CP54">
        <v>500.00138333333342</v>
      </c>
      <c r="CQ54">
        <v>-0.17833287024179409</v>
      </c>
      <c r="CR54">
        <v>7.0060709784837819E-2</v>
      </c>
      <c r="CS54">
        <v>-1</v>
      </c>
      <c r="CT54">
        <v>0</v>
      </c>
      <c r="CU54">
        <v>0</v>
      </c>
      <c r="CV54" t="s">
        <v>333</v>
      </c>
      <c r="CW54">
        <v>3.1673499999999999</v>
      </c>
      <c r="CX54">
        <v>2.6589999999999998</v>
      </c>
      <c r="CY54">
        <v>1.42503E-2</v>
      </c>
      <c r="CZ54">
        <v>1.66246E-2</v>
      </c>
      <c r="DA54">
        <v>-1.09826E-2</v>
      </c>
      <c r="DB54">
        <v>-2.8333400000000002E-2</v>
      </c>
      <c r="DC54">
        <v>21357.1</v>
      </c>
      <c r="DD54">
        <v>21650.7</v>
      </c>
      <c r="DE54">
        <v>23192.400000000001</v>
      </c>
      <c r="DF54">
        <v>22365.3</v>
      </c>
      <c r="DG54">
        <v>30228.2</v>
      </c>
      <c r="DH54">
        <v>27418.2</v>
      </c>
      <c r="DI54">
        <v>40748.1</v>
      </c>
      <c r="DJ54">
        <v>37058</v>
      </c>
      <c r="DK54">
        <v>2.1028199999999999</v>
      </c>
      <c r="DL54">
        <v>1.8612200000000001</v>
      </c>
      <c r="DM54">
        <v>2.5051799999999999E-2</v>
      </c>
      <c r="DN54">
        <v>0</v>
      </c>
      <c r="DO54">
        <v>24.918399999999998</v>
      </c>
      <c r="DP54">
        <v>999.9</v>
      </c>
      <c r="DQ54">
        <v>82.8</v>
      </c>
      <c r="DR54">
        <v>27.1</v>
      </c>
      <c r="DS54">
        <v>29.771000000000001</v>
      </c>
      <c r="DT54">
        <v>30.908200000000001</v>
      </c>
      <c r="DU54">
        <v>8.7419899999999995</v>
      </c>
      <c r="DV54">
        <v>1</v>
      </c>
      <c r="DW54">
        <v>5.45E-2</v>
      </c>
      <c r="DX54">
        <v>-0.17635500000000001</v>
      </c>
      <c r="DY54">
        <v>20.368500000000001</v>
      </c>
      <c r="DZ54">
        <v>5.2119</v>
      </c>
      <c r="EA54">
        <v>11.8482</v>
      </c>
      <c r="EB54">
        <v>4.9683999999999999</v>
      </c>
      <c r="EC54">
        <v>3.2919999999999998</v>
      </c>
      <c r="ED54">
        <v>894.7</v>
      </c>
      <c r="EE54">
        <v>0</v>
      </c>
      <c r="EF54">
        <v>9999</v>
      </c>
      <c r="EG54">
        <v>113.6</v>
      </c>
      <c r="EH54">
        <v>4.9716500000000003</v>
      </c>
      <c r="EI54">
        <v>1.8717999999999999</v>
      </c>
      <c r="EJ54">
        <v>1.8689</v>
      </c>
      <c r="EK54">
        <v>1.87134</v>
      </c>
      <c r="EL54">
        <v>1.8690500000000001</v>
      </c>
      <c r="EM54">
        <v>1.8680000000000001</v>
      </c>
      <c r="EN54">
        <v>1.8698600000000001</v>
      </c>
      <c r="EO54">
        <v>1.87164</v>
      </c>
      <c r="EP54">
        <v>0</v>
      </c>
      <c r="EQ54">
        <v>0</v>
      </c>
      <c r="ER54">
        <v>0</v>
      </c>
      <c r="ES54">
        <v>0</v>
      </c>
      <c r="ET54" t="s">
        <v>334</v>
      </c>
      <c r="EU54" t="s">
        <v>335</v>
      </c>
      <c r="EV54" t="s">
        <v>336</v>
      </c>
      <c r="EW54" t="s">
        <v>336</v>
      </c>
      <c r="EX54" t="s">
        <v>336</v>
      </c>
      <c r="EY54" t="s">
        <v>336</v>
      </c>
      <c r="EZ54">
        <v>0</v>
      </c>
      <c r="FA54">
        <v>100</v>
      </c>
      <c r="FB54">
        <v>100</v>
      </c>
      <c r="FC54">
        <v>7.718</v>
      </c>
      <c r="FD54">
        <v>-0.99</v>
      </c>
      <c r="FE54">
        <v>7.7174250000000058</v>
      </c>
      <c r="FF54">
        <v>0</v>
      </c>
      <c r="FG54">
        <v>0</v>
      </c>
      <c r="FH54">
        <v>0</v>
      </c>
      <c r="FI54">
        <v>-0.99272857142857185</v>
      </c>
      <c r="FJ54">
        <v>0</v>
      </c>
      <c r="FK54">
        <v>0</v>
      </c>
      <c r="FL54">
        <v>0</v>
      </c>
      <c r="FM54">
        <v>-1</v>
      </c>
      <c r="FN54">
        <v>-1</v>
      </c>
      <c r="FO54">
        <v>-1</v>
      </c>
      <c r="FP54">
        <v>-1</v>
      </c>
      <c r="FQ54">
        <v>0.7</v>
      </c>
      <c r="FR54">
        <v>0.7</v>
      </c>
      <c r="FS54">
        <v>0.142822</v>
      </c>
      <c r="FT54">
        <v>4.99756</v>
      </c>
      <c r="FU54">
        <v>1.5979000000000001</v>
      </c>
      <c r="FV54">
        <v>2.16675</v>
      </c>
      <c r="FW54">
        <v>1.5478499999999999</v>
      </c>
      <c r="FX54">
        <v>2.36816</v>
      </c>
      <c r="FY54">
        <v>31.6736</v>
      </c>
      <c r="FZ54">
        <v>16.154599999999999</v>
      </c>
      <c r="GA54">
        <v>3</v>
      </c>
      <c r="GB54">
        <v>492.12799999999999</v>
      </c>
      <c r="GC54">
        <v>428.41300000000001</v>
      </c>
      <c r="GD54">
        <v>25.981000000000002</v>
      </c>
      <c r="GE54">
        <v>27.9298</v>
      </c>
      <c r="GF54">
        <v>30.0001</v>
      </c>
      <c r="GG54">
        <v>28.244900000000001</v>
      </c>
      <c r="GH54">
        <v>28.298999999999999</v>
      </c>
      <c r="GI54">
        <v>-1</v>
      </c>
      <c r="GJ54">
        <v>0</v>
      </c>
      <c r="GK54">
        <v>100</v>
      </c>
      <c r="GL54">
        <v>25.977699999999999</v>
      </c>
      <c r="GM54">
        <v>432.1</v>
      </c>
      <c r="GN54">
        <v>63.216500000000003</v>
      </c>
      <c r="GO54">
        <v>102.58</v>
      </c>
      <c r="GP54">
        <v>96.704999999999998</v>
      </c>
    </row>
    <row r="55" spans="1:198" x14ac:dyDescent="0.35">
      <c r="A55">
        <v>39</v>
      </c>
      <c r="B55">
        <v>1775505871.5</v>
      </c>
      <c r="C55">
        <v>2280.5</v>
      </c>
      <c r="D55" t="s">
        <v>448</v>
      </c>
      <c r="E55" t="s">
        <v>449</v>
      </c>
      <c r="F55">
        <v>60</v>
      </c>
      <c r="G55">
        <v>1775505863.512903</v>
      </c>
      <c r="H55">
        <f t="shared" si="30"/>
        <v>1.0172361330560403E-3</v>
      </c>
      <c r="I55">
        <f t="shared" si="31"/>
        <v>1.0172361330560402</v>
      </c>
      <c r="J55">
        <f t="shared" si="32"/>
        <v>-0.2074751270020784</v>
      </c>
      <c r="K55">
        <f t="shared" si="33"/>
        <v>54.721406451612893</v>
      </c>
      <c r="L55">
        <f t="shared" si="34"/>
        <v>62.866815922596416</v>
      </c>
      <c r="M55">
        <f t="shared" si="35"/>
        <v>6.2977868897615341</v>
      </c>
      <c r="N55">
        <f t="shared" si="36"/>
        <v>5.4818070723446759</v>
      </c>
      <c r="O55">
        <f t="shared" si="37"/>
        <v>2.9174803542800287E-2</v>
      </c>
      <c r="P55">
        <f t="shared" si="38"/>
        <v>2.3879495501894925</v>
      </c>
      <c r="Q55">
        <f t="shared" si="39"/>
        <v>2.8978219899464884E-2</v>
      </c>
      <c r="R55">
        <f t="shared" si="40"/>
        <v>1.8128939154953345E-2</v>
      </c>
      <c r="S55">
        <f t="shared" si="41"/>
        <v>0</v>
      </c>
      <c r="T55">
        <f t="shared" si="42"/>
        <v>24.979898471937219</v>
      </c>
      <c r="U55">
        <f t="shared" si="43"/>
        <v>25.32346129032258</v>
      </c>
      <c r="V55">
        <f t="shared" si="44"/>
        <v>3.2415151147866421</v>
      </c>
      <c r="W55">
        <f t="shared" si="45"/>
        <v>-6.8593551530838441</v>
      </c>
      <c r="X55">
        <f t="shared" si="46"/>
        <v>-0.22203594979589053</v>
      </c>
      <c r="Y55">
        <f t="shared" si="47"/>
        <v>3.2369799323784409</v>
      </c>
      <c r="Z55">
        <f t="shared" si="48"/>
        <v>3.4635510645825325</v>
      </c>
      <c r="AA55">
        <f t="shared" si="49"/>
        <v>-44.860113467771377</v>
      </c>
      <c r="AB55">
        <f t="shared" si="50"/>
        <v>-3.0303531499525058</v>
      </c>
      <c r="AC55">
        <f t="shared" si="51"/>
        <v>-0.2692713391285706</v>
      </c>
      <c r="AD55">
        <f t="shared" si="52"/>
        <v>-48.159737956852453</v>
      </c>
      <c r="AE55">
        <v>18</v>
      </c>
      <c r="AF55">
        <v>4</v>
      </c>
      <c r="AG55">
        <f t="shared" si="53"/>
        <v>1</v>
      </c>
      <c r="AH55">
        <f t="shared" si="54"/>
        <v>0</v>
      </c>
      <c r="AI55">
        <f t="shared" si="55"/>
        <v>25661.550177183577</v>
      </c>
      <c r="AJ55">
        <f t="shared" si="56"/>
        <v>0</v>
      </c>
      <c r="AK55">
        <f t="shared" si="57"/>
        <v>0</v>
      </c>
      <c r="AL55">
        <f t="shared" si="58"/>
        <v>0</v>
      </c>
      <c r="AM55">
        <f t="shared" si="59"/>
        <v>0</v>
      </c>
      <c r="AN55">
        <v>3</v>
      </c>
      <c r="AO55">
        <v>0.5</v>
      </c>
      <c r="AP55" t="s">
        <v>331</v>
      </c>
      <c r="AQ55">
        <v>2</v>
      </c>
      <c r="AR55">
        <v>1775505863.512903</v>
      </c>
      <c r="AS55">
        <v>54.721406451612893</v>
      </c>
      <c r="AT55">
        <v>54.630319354838718</v>
      </c>
      <c r="AU55">
        <v>-2.2164441935483872</v>
      </c>
      <c r="AV55">
        <v>-2.8281438709677409</v>
      </c>
      <c r="AW55">
        <v>46.992406451612887</v>
      </c>
      <c r="AX55">
        <v>-1.226444193548387</v>
      </c>
      <c r="AY55">
        <v>499.99574193548392</v>
      </c>
      <c r="AZ55">
        <v>100.1391290322581</v>
      </c>
      <c r="BA55">
        <v>3.7518970967741941E-2</v>
      </c>
      <c r="BB55">
        <v>25.299922580645159</v>
      </c>
      <c r="BC55">
        <v>25.32346129032258</v>
      </c>
      <c r="BD55">
        <v>999.90000000000032</v>
      </c>
      <c r="BE55">
        <v>0</v>
      </c>
      <c r="BF55">
        <v>0</v>
      </c>
      <c r="BG55">
        <v>4992.8387096774204</v>
      </c>
      <c r="BH55">
        <v>0.40099890322580639</v>
      </c>
      <c r="BI55">
        <v>0.22961599999999999</v>
      </c>
      <c r="BJ55">
        <v>8.0015843419354832E-2</v>
      </c>
      <c r="BK55">
        <v>54.589358064516126</v>
      </c>
      <c r="BL55">
        <v>54.476261290322583</v>
      </c>
      <c r="BM55">
        <v>0.61192087096774184</v>
      </c>
      <c r="BN55">
        <v>54.630319354838718</v>
      </c>
      <c r="BO55">
        <v>-2.8281438709677409</v>
      </c>
      <c r="BP55">
        <v>-0.2219306129032258</v>
      </c>
      <c r="BQ55">
        <v>-0.28320777419354842</v>
      </c>
      <c r="BR55">
        <v>-99.900000000000034</v>
      </c>
      <c r="BS55">
        <v>-99.900000000000034</v>
      </c>
      <c r="BT55">
        <v>0</v>
      </c>
      <c r="BU55">
        <v>0</v>
      </c>
      <c r="BV55">
        <v>0</v>
      </c>
      <c r="BW55">
        <v>24</v>
      </c>
      <c r="BX55">
        <v>-1</v>
      </c>
      <c r="BY55">
        <v>1775505892.5</v>
      </c>
      <c r="BZ55" t="s">
        <v>450</v>
      </c>
      <c r="CA55">
        <v>1775505892</v>
      </c>
      <c r="CB55">
        <v>1775505892.5</v>
      </c>
      <c r="CC55">
        <v>42</v>
      </c>
      <c r="CD55">
        <v>1.0999999999999999E-2</v>
      </c>
      <c r="CE55">
        <v>0</v>
      </c>
      <c r="CF55">
        <v>7.7290000000000001</v>
      </c>
      <c r="CG55">
        <v>-0.99</v>
      </c>
      <c r="CH55">
        <v>55</v>
      </c>
      <c r="CI55">
        <v>-3</v>
      </c>
      <c r="CJ55">
        <v>0.28000000000000003</v>
      </c>
      <c r="CK55">
        <v>0.15</v>
      </c>
      <c r="CL55">
        <v>54.852316393442621</v>
      </c>
      <c r="CM55">
        <v>-1.801586082680334</v>
      </c>
      <c r="CN55">
        <v>0.28448088828044099</v>
      </c>
      <c r="CO55">
        <v>-1</v>
      </c>
      <c r="CP55">
        <v>500.00247540983611</v>
      </c>
      <c r="CQ55">
        <v>-7.3312024444980126E-2</v>
      </c>
      <c r="CR55">
        <v>7.1269657985865917E-2</v>
      </c>
      <c r="CS55">
        <v>-1</v>
      </c>
      <c r="CT55">
        <v>0</v>
      </c>
      <c r="CU55">
        <v>0</v>
      </c>
      <c r="CV55" t="s">
        <v>333</v>
      </c>
      <c r="CW55">
        <v>3.1671900000000002</v>
      </c>
      <c r="CX55">
        <v>2.6590500000000001</v>
      </c>
      <c r="CY55">
        <v>1.3948199999999999E-2</v>
      </c>
      <c r="CZ55">
        <v>1.6028299999999999E-2</v>
      </c>
      <c r="DA55">
        <v>-1.09827E-2</v>
      </c>
      <c r="DB55">
        <v>-2.84067E-2</v>
      </c>
      <c r="DC55">
        <v>21363.5</v>
      </c>
      <c r="DD55">
        <v>21665.200000000001</v>
      </c>
      <c r="DE55">
        <v>23192.1</v>
      </c>
      <c r="DF55">
        <v>22366.7</v>
      </c>
      <c r="DG55">
        <v>30227.7</v>
      </c>
      <c r="DH55">
        <v>27421.599999999999</v>
      </c>
      <c r="DI55">
        <v>40747.5</v>
      </c>
      <c r="DJ55">
        <v>37060</v>
      </c>
      <c r="DK55">
        <v>2.1029599999999999</v>
      </c>
      <c r="DL55">
        <v>1.8612</v>
      </c>
      <c r="DM55">
        <v>2.42203E-2</v>
      </c>
      <c r="DN55">
        <v>0</v>
      </c>
      <c r="DO55">
        <v>24.918399999999998</v>
      </c>
      <c r="DP55">
        <v>999.9</v>
      </c>
      <c r="DQ55">
        <v>82.7</v>
      </c>
      <c r="DR55">
        <v>27.1</v>
      </c>
      <c r="DS55">
        <v>29.7319</v>
      </c>
      <c r="DT55">
        <v>30.758199999999999</v>
      </c>
      <c r="DU55">
        <v>9.0665099999999992</v>
      </c>
      <c r="DV55">
        <v>1</v>
      </c>
      <c r="DW55">
        <v>5.4042699999999999E-2</v>
      </c>
      <c r="DX55">
        <v>-0.174876</v>
      </c>
      <c r="DY55">
        <v>20.368300000000001</v>
      </c>
      <c r="DZ55">
        <v>5.2110599999999998</v>
      </c>
      <c r="EA55">
        <v>11.8482</v>
      </c>
      <c r="EB55">
        <v>4.9678000000000004</v>
      </c>
      <c r="EC55">
        <v>3.2919999999999998</v>
      </c>
      <c r="ED55">
        <v>894.7</v>
      </c>
      <c r="EE55">
        <v>0</v>
      </c>
      <c r="EF55">
        <v>9999</v>
      </c>
      <c r="EG55">
        <v>113.6</v>
      </c>
      <c r="EH55">
        <v>4.9716500000000003</v>
      </c>
      <c r="EI55">
        <v>1.8717999999999999</v>
      </c>
      <c r="EJ55">
        <v>1.8689</v>
      </c>
      <c r="EK55">
        <v>1.87134</v>
      </c>
      <c r="EL55">
        <v>1.8690500000000001</v>
      </c>
      <c r="EM55">
        <v>1.8680000000000001</v>
      </c>
      <c r="EN55">
        <v>1.8698600000000001</v>
      </c>
      <c r="EO55">
        <v>1.87165</v>
      </c>
      <c r="EP55">
        <v>0</v>
      </c>
      <c r="EQ55">
        <v>0</v>
      </c>
      <c r="ER55">
        <v>0</v>
      </c>
      <c r="ES55">
        <v>0</v>
      </c>
      <c r="ET55" t="s">
        <v>334</v>
      </c>
      <c r="EU55" t="s">
        <v>335</v>
      </c>
      <c r="EV55" t="s">
        <v>336</v>
      </c>
      <c r="EW55" t="s">
        <v>336</v>
      </c>
      <c r="EX55" t="s">
        <v>336</v>
      </c>
      <c r="EY55" t="s">
        <v>336</v>
      </c>
      <c r="EZ55">
        <v>0</v>
      </c>
      <c r="FA55">
        <v>100</v>
      </c>
      <c r="FB55">
        <v>100</v>
      </c>
      <c r="FC55">
        <v>7.7290000000000001</v>
      </c>
      <c r="FD55">
        <v>-0.99</v>
      </c>
      <c r="FE55">
        <v>7.7179300000000097</v>
      </c>
      <c r="FF55">
        <v>0</v>
      </c>
      <c r="FG55">
        <v>0</v>
      </c>
      <c r="FH55">
        <v>0</v>
      </c>
      <c r="FI55">
        <v>-0.98977904761904734</v>
      </c>
      <c r="FJ55">
        <v>0</v>
      </c>
      <c r="FK55">
        <v>0</v>
      </c>
      <c r="FL55">
        <v>0</v>
      </c>
      <c r="FM55">
        <v>-1</v>
      </c>
      <c r="FN55">
        <v>-1</v>
      </c>
      <c r="FO55">
        <v>-1</v>
      </c>
      <c r="FP55">
        <v>-1</v>
      </c>
      <c r="FQ55">
        <v>0.7</v>
      </c>
      <c r="FR55">
        <v>0.7</v>
      </c>
      <c r="FS55">
        <v>0.142822</v>
      </c>
      <c r="FT55">
        <v>4.99756</v>
      </c>
      <c r="FU55">
        <v>1.5979000000000001</v>
      </c>
      <c r="FV55">
        <v>2.16675</v>
      </c>
      <c r="FW55">
        <v>1.5478499999999999</v>
      </c>
      <c r="FX55">
        <v>2.4352999999999998</v>
      </c>
      <c r="FY55">
        <v>31.695499999999999</v>
      </c>
      <c r="FZ55">
        <v>16.145900000000001</v>
      </c>
      <c r="GA55">
        <v>3</v>
      </c>
      <c r="GB55">
        <v>492.18900000000002</v>
      </c>
      <c r="GC55">
        <v>428.38400000000001</v>
      </c>
      <c r="GD55">
        <v>25.951899999999998</v>
      </c>
      <c r="GE55">
        <v>27.9251</v>
      </c>
      <c r="GF55">
        <v>30</v>
      </c>
      <c r="GG55">
        <v>28.242599999999999</v>
      </c>
      <c r="GH55">
        <v>28.296700000000001</v>
      </c>
      <c r="GI55">
        <v>-1</v>
      </c>
      <c r="GJ55">
        <v>0</v>
      </c>
      <c r="GK55">
        <v>100</v>
      </c>
      <c r="GL55">
        <v>25.952000000000002</v>
      </c>
      <c r="GM55">
        <v>432.1</v>
      </c>
      <c r="GN55">
        <v>63.216500000000003</v>
      </c>
      <c r="GO55">
        <v>102.57899999999999</v>
      </c>
      <c r="GP55">
        <v>96.710400000000007</v>
      </c>
    </row>
    <row r="56" spans="1:198" x14ac:dyDescent="0.35">
      <c r="A56">
        <v>40</v>
      </c>
      <c r="B56">
        <v>1775505931.5</v>
      </c>
      <c r="C56">
        <v>2340.5</v>
      </c>
      <c r="D56" t="s">
        <v>451</v>
      </c>
      <c r="E56" t="s">
        <v>452</v>
      </c>
      <c r="F56">
        <v>60</v>
      </c>
      <c r="G56">
        <v>1775505923.5</v>
      </c>
      <c r="H56">
        <f t="shared" si="30"/>
        <v>1.0337169321446478E-3</v>
      </c>
      <c r="I56">
        <f t="shared" si="31"/>
        <v>1.0337169321446478</v>
      </c>
      <c r="J56">
        <f t="shared" si="32"/>
        <v>0.58339655591235151</v>
      </c>
      <c r="K56">
        <f t="shared" si="33"/>
        <v>54.574096774193563</v>
      </c>
      <c r="L56">
        <f t="shared" si="34"/>
        <v>20.79018724632996</v>
      </c>
      <c r="M56">
        <f t="shared" si="35"/>
        <v>2.0827332937740768</v>
      </c>
      <c r="N56">
        <f t="shared" si="36"/>
        <v>5.4671603955527663</v>
      </c>
      <c r="O56">
        <f t="shared" si="37"/>
        <v>2.9648139097624662E-2</v>
      </c>
      <c r="P56">
        <f t="shared" si="38"/>
        <v>2.3907934618258211</v>
      </c>
      <c r="Q56">
        <f t="shared" si="39"/>
        <v>2.9445388544351688E-2</v>
      </c>
      <c r="R56">
        <f t="shared" si="40"/>
        <v>1.8421468469614205E-2</v>
      </c>
      <c r="S56">
        <f t="shared" si="41"/>
        <v>0</v>
      </c>
      <c r="T56">
        <f t="shared" si="42"/>
        <v>24.977656685443737</v>
      </c>
      <c r="U56">
        <f t="shared" si="43"/>
        <v>25.327758064516129</v>
      </c>
      <c r="V56">
        <f t="shared" si="44"/>
        <v>3.2423435693950413</v>
      </c>
      <c r="W56">
        <f t="shared" si="45"/>
        <v>-6.8426189437802707</v>
      </c>
      <c r="X56">
        <f t="shared" si="46"/>
        <v>-0.2215282907772341</v>
      </c>
      <c r="Y56">
        <f t="shared" si="47"/>
        <v>3.2374781147004605</v>
      </c>
      <c r="Z56">
        <f t="shared" si="48"/>
        <v>3.4638718601722753</v>
      </c>
      <c r="AA56">
        <f t="shared" si="49"/>
        <v>-45.586916707578965</v>
      </c>
      <c r="AB56">
        <f t="shared" si="50"/>
        <v>-3.2543266510678612</v>
      </c>
      <c r="AC56">
        <f t="shared" si="51"/>
        <v>-0.28883921132219509</v>
      </c>
      <c r="AD56">
        <f t="shared" si="52"/>
        <v>-49.130082569969026</v>
      </c>
      <c r="AE56">
        <v>18</v>
      </c>
      <c r="AF56">
        <v>4</v>
      </c>
      <c r="AG56">
        <f t="shared" si="53"/>
        <v>1</v>
      </c>
      <c r="AH56">
        <f t="shared" si="54"/>
        <v>0</v>
      </c>
      <c r="AI56">
        <f t="shared" si="55"/>
        <v>25704.753513484146</v>
      </c>
      <c r="AJ56">
        <f t="shared" si="56"/>
        <v>0</v>
      </c>
      <c r="AK56">
        <f t="shared" si="57"/>
        <v>0</v>
      </c>
      <c r="AL56">
        <f t="shared" si="58"/>
        <v>0</v>
      </c>
      <c r="AM56">
        <f t="shared" si="59"/>
        <v>0</v>
      </c>
      <c r="AN56">
        <v>3</v>
      </c>
      <c r="AO56">
        <v>0.5</v>
      </c>
      <c r="AP56" t="s">
        <v>331</v>
      </c>
      <c r="AQ56">
        <v>2</v>
      </c>
      <c r="AR56">
        <v>1775505923.5</v>
      </c>
      <c r="AS56">
        <v>54.574096774193563</v>
      </c>
      <c r="AT56">
        <v>54.957974193548381</v>
      </c>
      <c r="AU56">
        <v>-2.2113319354838712</v>
      </c>
      <c r="AV56">
        <v>-2.8329190322580651</v>
      </c>
      <c r="AW56">
        <v>46.86809677419356</v>
      </c>
      <c r="AX56">
        <v>-1.223331935483871</v>
      </c>
      <c r="AY56">
        <v>500.01174193548388</v>
      </c>
      <c r="AZ56">
        <v>100.1413548387096</v>
      </c>
      <c r="BA56">
        <v>3.7314506451612897E-2</v>
      </c>
      <c r="BB56">
        <v>25.302509677419351</v>
      </c>
      <c r="BC56">
        <v>25.327758064516129</v>
      </c>
      <c r="BD56">
        <v>999.90000000000032</v>
      </c>
      <c r="BE56">
        <v>0</v>
      </c>
      <c r="BF56">
        <v>0</v>
      </c>
      <c r="BG56">
        <v>5000.0483870967746</v>
      </c>
      <c r="BH56">
        <v>0.38333432258064509</v>
      </c>
      <c r="BI56">
        <v>0.23331922580645159</v>
      </c>
      <c r="BJ56">
        <v>-0.36089154838709658</v>
      </c>
      <c r="BK56">
        <v>54.476535483870983</v>
      </c>
      <c r="BL56">
        <v>54.802729032258057</v>
      </c>
      <c r="BM56">
        <v>0.62007761290322572</v>
      </c>
      <c r="BN56">
        <v>54.957974193548381</v>
      </c>
      <c r="BO56">
        <v>-2.8329190322580651</v>
      </c>
      <c r="BP56">
        <v>-0.22159699999999999</v>
      </c>
      <c r="BQ56">
        <v>-0.28369241935483869</v>
      </c>
      <c r="BR56">
        <v>-99.900000000000034</v>
      </c>
      <c r="BS56">
        <v>-99.900000000000034</v>
      </c>
      <c r="BT56">
        <v>0</v>
      </c>
      <c r="BU56">
        <v>0</v>
      </c>
      <c r="BV56">
        <v>0</v>
      </c>
      <c r="BW56">
        <v>24</v>
      </c>
      <c r="BX56">
        <v>-1</v>
      </c>
      <c r="BY56">
        <v>1775505952</v>
      </c>
      <c r="BZ56" t="s">
        <v>453</v>
      </c>
      <c r="CA56">
        <v>1775505950.5</v>
      </c>
      <c r="CB56">
        <v>1775505952</v>
      </c>
      <c r="CC56">
        <v>43</v>
      </c>
      <c r="CD56">
        <v>-2.3E-2</v>
      </c>
      <c r="CE56">
        <v>2E-3</v>
      </c>
      <c r="CF56">
        <v>7.7060000000000004</v>
      </c>
      <c r="CG56">
        <v>-0.98799999999999999</v>
      </c>
      <c r="CH56">
        <v>55</v>
      </c>
      <c r="CI56">
        <v>-3</v>
      </c>
      <c r="CJ56">
        <v>0.28000000000000003</v>
      </c>
      <c r="CK56">
        <v>0.13</v>
      </c>
      <c r="CL56">
        <v>54.809793333333332</v>
      </c>
      <c r="CM56">
        <v>1.04471019727712</v>
      </c>
      <c r="CN56">
        <v>0.19495335071641001</v>
      </c>
      <c r="CO56">
        <v>-1</v>
      </c>
      <c r="CP56">
        <v>500.03349999999989</v>
      </c>
      <c r="CQ56">
        <v>-0.25176326757356282</v>
      </c>
      <c r="CR56">
        <v>0.135016480475532</v>
      </c>
      <c r="CS56">
        <v>-1</v>
      </c>
      <c r="CT56">
        <v>0</v>
      </c>
      <c r="CU56">
        <v>0</v>
      </c>
      <c r="CV56" t="s">
        <v>333</v>
      </c>
      <c r="CW56">
        <v>3.1672799999999999</v>
      </c>
      <c r="CX56">
        <v>2.6587999999999998</v>
      </c>
      <c r="CY56">
        <v>1.4061199999999999E-2</v>
      </c>
      <c r="CZ56">
        <v>1.6524199999999999E-2</v>
      </c>
      <c r="DA56">
        <v>-1.0944600000000001E-2</v>
      </c>
      <c r="DB56">
        <v>-2.8505599999999999E-2</v>
      </c>
      <c r="DC56">
        <v>21360.799999999999</v>
      </c>
      <c r="DD56">
        <v>21655.200000000001</v>
      </c>
      <c r="DE56">
        <v>23191.9</v>
      </c>
      <c r="DF56">
        <v>22367.599999999999</v>
      </c>
      <c r="DG56">
        <v>30226.400000000001</v>
      </c>
      <c r="DH56">
        <v>27425.1</v>
      </c>
      <c r="DI56">
        <v>40747.300000000003</v>
      </c>
      <c r="DJ56">
        <v>37061.199999999997</v>
      </c>
      <c r="DK56">
        <v>2.1029800000000001</v>
      </c>
      <c r="DL56">
        <v>1.8613999999999999</v>
      </c>
      <c r="DM56">
        <v>2.5019E-2</v>
      </c>
      <c r="DN56">
        <v>0</v>
      </c>
      <c r="DO56">
        <v>24.921600000000002</v>
      </c>
      <c r="DP56">
        <v>999.9</v>
      </c>
      <c r="DQ56">
        <v>82.6</v>
      </c>
      <c r="DR56">
        <v>27.1</v>
      </c>
      <c r="DS56">
        <v>29.6967</v>
      </c>
      <c r="DT56">
        <v>30.758199999999999</v>
      </c>
      <c r="DU56">
        <v>8.9382999999999999</v>
      </c>
      <c r="DV56">
        <v>1</v>
      </c>
      <c r="DW56">
        <v>5.3786599999999997E-2</v>
      </c>
      <c r="DX56">
        <v>-0.175959</v>
      </c>
      <c r="DY56">
        <v>20.368400000000001</v>
      </c>
      <c r="DZ56">
        <v>5.2121399999999998</v>
      </c>
      <c r="EA56">
        <v>11.8482</v>
      </c>
      <c r="EB56">
        <v>4.9678399999999998</v>
      </c>
      <c r="EC56">
        <v>3.2920199999999999</v>
      </c>
      <c r="ED56">
        <v>894.7</v>
      </c>
      <c r="EE56">
        <v>0</v>
      </c>
      <c r="EF56">
        <v>9999</v>
      </c>
      <c r="EG56">
        <v>113.6</v>
      </c>
      <c r="EH56">
        <v>4.9716899999999997</v>
      </c>
      <c r="EI56">
        <v>1.8717999999999999</v>
      </c>
      <c r="EJ56">
        <v>1.8689</v>
      </c>
      <c r="EK56">
        <v>1.87134</v>
      </c>
      <c r="EL56">
        <v>1.8690500000000001</v>
      </c>
      <c r="EM56">
        <v>1.8680000000000001</v>
      </c>
      <c r="EN56">
        <v>1.8698699999999999</v>
      </c>
      <c r="EO56">
        <v>1.87164</v>
      </c>
      <c r="EP56">
        <v>0</v>
      </c>
      <c r="EQ56">
        <v>0</v>
      </c>
      <c r="ER56">
        <v>0</v>
      </c>
      <c r="ES56">
        <v>0</v>
      </c>
      <c r="ET56" t="s">
        <v>334</v>
      </c>
      <c r="EU56" t="s">
        <v>335</v>
      </c>
      <c r="EV56" t="s">
        <v>336</v>
      </c>
      <c r="EW56" t="s">
        <v>336</v>
      </c>
      <c r="EX56" t="s">
        <v>336</v>
      </c>
      <c r="EY56" t="s">
        <v>336</v>
      </c>
      <c r="EZ56">
        <v>0</v>
      </c>
      <c r="FA56">
        <v>100</v>
      </c>
      <c r="FB56">
        <v>100</v>
      </c>
      <c r="FC56">
        <v>7.7060000000000004</v>
      </c>
      <c r="FD56">
        <v>-0.98799999999999999</v>
      </c>
      <c r="FE56">
        <v>7.728990476190468</v>
      </c>
      <c r="FF56">
        <v>0</v>
      </c>
      <c r="FG56">
        <v>0</v>
      </c>
      <c r="FH56">
        <v>0</v>
      </c>
      <c r="FI56">
        <v>-0.98950949999999982</v>
      </c>
      <c r="FJ56">
        <v>0</v>
      </c>
      <c r="FK56">
        <v>0</v>
      </c>
      <c r="FL56">
        <v>0</v>
      </c>
      <c r="FM56">
        <v>-1</v>
      </c>
      <c r="FN56">
        <v>-1</v>
      </c>
      <c r="FO56">
        <v>-1</v>
      </c>
      <c r="FP56">
        <v>-1</v>
      </c>
      <c r="FQ56">
        <v>0.7</v>
      </c>
      <c r="FR56">
        <v>0.7</v>
      </c>
      <c r="FS56">
        <v>0.144043</v>
      </c>
      <c r="FT56">
        <v>4.99756</v>
      </c>
      <c r="FU56">
        <v>1.5979000000000001</v>
      </c>
      <c r="FV56">
        <v>2.16553</v>
      </c>
      <c r="FW56">
        <v>1.5478499999999999</v>
      </c>
      <c r="FX56">
        <v>2.4426299999999999</v>
      </c>
      <c r="FY56">
        <v>31.7392</v>
      </c>
      <c r="FZ56">
        <v>16.145900000000001</v>
      </c>
      <c r="GA56">
        <v>3</v>
      </c>
      <c r="GB56">
        <v>492.17500000000001</v>
      </c>
      <c r="GC56">
        <v>428.48500000000001</v>
      </c>
      <c r="GD56">
        <v>25.972300000000001</v>
      </c>
      <c r="GE56">
        <v>27.922699999999999</v>
      </c>
      <c r="GF56">
        <v>30.0001</v>
      </c>
      <c r="GG56">
        <v>28.2393</v>
      </c>
      <c r="GH56">
        <v>28.2943</v>
      </c>
      <c r="GI56">
        <v>-1</v>
      </c>
      <c r="GJ56">
        <v>0</v>
      </c>
      <c r="GK56">
        <v>100</v>
      </c>
      <c r="GL56">
        <v>25.970700000000001</v>
      </c>
      <c r="GM56">
        <v>432.1</v>
      </c>
      <c r="GN56">
        <v>63.216500000000003</v>
      </c>
      <c r="GO56">
        <v>102.578</v>
      </c>
      <c r="GP56">
        <v>96.713899999999995</v>
      </c>
    </row>
    <row r="57" spans="1:198" x14ac:dyDescent="0.35">
      <c r="A57">
        <v>41</v>
      </c>
      <c r="B57">
        <v>1775505991.5</v>
      </c>
      <c r="C57">
        <v>2400.5</v>
      </c>
      <c r="D57" t="s">
        <v>454</v>
      </c>
      <c r="E57" t="s">
        <v>455</v>
      </c>
      <c r="F57">
        <v>60</v>
      </c>
      <c r="G57">
        <v>1775505983.75</v>
      </c>
      <c r="H57">
        <f t="shared" si="30"/>
        <v>1.0222873390176082E-3</v>
      </c>
      <c r="I57">
        <f t="shared" si="31"/>
        <v>1.0222873390176082</v>
      </c>
      <c r="J57">
        <f t="shared" si="32"/>
        <v>-1.2871366822372084E-2</v>
      </c>
      <c r="K57">
        <f t="shared" si="33"/>
        <v>54.704953333333343</v>
      </c>
      <c r="L57">
        <f t="shared" si="34"/>
        <v>52.406886426280145</v>
      </c>
      <c r="M57">
        <f t="shared" si="35"/>
        <v>5.250063812559552</v>
      </c>
      <c r="N57">
        <f t="shared" si="36"/>
        <v>5.4802816089274451</v>
      </c>
      <c r="O57">
        <f t="shared" si="37"/>
        <v>2.9327411664352553E-2</v>
      </c>
      <c r="P57">
        <f t="shared" si="38"/>
        <v>2.3879260506766533</v>
      </c>
      <c r="Q57">
        <f t="shared" si="39"/>
        <v>2.9128771670550588E-2</v>
      </c>
      <c r="R57">
        <f t="shared" si="40"/>
        <v>1.8223217031524967E-2</v>
      </c>
      <c r="S57">
        <f t="shared" si="41"/>
        <v>0</v>
      </c>
      <c r="T57">
        <f t="shared" si="42"/>
        <v>24.974869626952433</v>
      </c>
      <c r="U57">
        <f t="shared" si="43"/>
        <v>25.325023333333331</v>
      </c>
      <c r="V57">
        <f t="shared" si="44"/>
        <v>3.2418162685652097</v>
      </c>
      <c r="W57">
        <f t="shared" si="45"/>
        <v>-6.8287010665415746</v>
      </c>
      <c r="X57">
        <f t="shared" si="46"/>
        <v>-0.22099850921816871</v>
      </c>
      <c r="Y57">
        <f t="shared" si="47"/>
        <v>3.2363184017673565</v>
      </c>
      <c r="Z57">
        <f t="shared" si="48"/>
        <v>3.4628147777833784</v>
      </c>
      <c r="AA57">
        <f t="shared" si="49"/>
        <v>-45.082871650676523</v>
      </c>
      <c r="AB57">
        <f t="shared" si="50"/>
        <v>-3.6737496619944205</v>
      </c>
      <c r="AC57">
        <f t="shared" si="51"/>
        <v>-0.32644244974119768</v>
      </c>
      <c r="AD57">
        <f t="shared" si="52"/>
        <v>-49.083063762412145</v>
      </c>
      <c r="AE57">
        <v>18</v>
      </c>
      <c r="AF57">
        <v>4</v>
      </c>
      <c r="AG57">
        <f t="shared" si="53"/>
        <v>1</v>
      </c>
      <c r="AH57">
        <f t="shared" si="54"/>
        <v>0</v>
      </c>
      <c r="AI57">
        <f t="shared" si="55"/>
        <v>25661.396387303976</v>
      </c>
      <c r="AJ57">
        <f t="shared" si="56"/>
        <v>0</v>
      </c>
      <c r="AK57">
        <f t="shared" si="57"/>
        <v>0</v>
      </c>
      <c r="AL57">
        <f t="shared" si="58"/>
        <v>0</v>
      </c>
      <c r="AM57">
        <f t="shared" si="59"/>
        <v>0</v>
      </c>
      <c r="AN57">
        <v>3</v>
      </c>
      <c r="AO57">
        <v>0.5</v>
      </c>
      <c r="AP57" t="s">
        <v>331</v>
      </c>
      <c r="AQ57">
        <v>2</v>
      </c>
      <c r="AR57">
        <v>1775505983.75</v>
      </c>
      <c r="AS57">
        <v>54.704953333333343</v>
      </c>
      <c r="AT57">
        <v>54.730786666666667</v>
      </c>
      <c r="AU57">
        <v>-2.2060386666666671</v>
      </c>
      <c r="AV57">
        <v>-2.8208033333333331</v>
      </c>
      <c r="AW57">
        <v>46.976953333333327</v>
      </c>
      <c r="AX57">
        <v>-1.217038666666667</v>
      </c>
      <c r="AY57">
        <v>499.96816666666672</v>
      </c>
      <c r="AZ57">
        <v>100.1413666666667</v>
      </c>
      <c r="BA57">
        <v>3.7525279999999987E-2</v>
      </c>
      <c r="BB57">
        <v>25.29648666666667</v>
      </c>
      <c r="BC57">
        <v>25.325023333333331</v>
      </c>
      <c r="BD57">
        <v>999.9000000000002</v>
      </c>
      <c r="BE57">
        <v>0</v>
      </c>
      <c r="BF57">
        <v>0</v>
      </c>
      <c r="BG57">
        <v>4992.666666666667</v>
      </c>
      <c r="BH57">
        <v>0.39124656666666668</v>
      </c>
      <c r="BI57">
        <v>0.22961599999999999</v>
      </c>
      <c r="BJ57">
        <v>-4.7991069999999997E-2</v>
      </c>
      <c r="BK57">
        <v>54.562496666666661</v>
      </c>
      <c r="BL57">
        <v>54.576833333333333</v>
      </c>
      <c r="BM57">
        <v>0.61617430000000006</v>
      </c>
      <c r="BN57">
        <v>54.730786666666667</v>
      </c>
      <c r="BO57">
        <v>-2.8208033333333331</v>
      </c>
      <c r="BP57">
        <v>-0.22077459999999999</v>
      </c>
      <c r="BQ57">
        <v>-0.28247899999999998</v>
      </c>
      <c r="BR57">
        <v>-99.900000000000034</v>
      </c>
      <c r="BS57">
        <v>-99.900000000000034</v>
      </c>
      <c r="BT57">
        <v>0</v>
      </c>
      <c r="BU57">
        <v>0</v>
      </c>
      <c r="BV57">
        <v>0</v>
      </c>
      <c r="BW57">
        <v>24</v>
      </c>
      <c r="BX57">
        <v>-1</v>
      </c>
      <c r="BY57">
        <v>1775506011.5</v>
      </c>
      <c r="BZ57" t="s">
        <v>456</v>
      </c>
      <c r="CA57">
        <v>1775506007.5</v>
      </c>
      <c r="CB57">
        <v>1775506011.5</v>
      </c>
      <c r="CC57">
        <v>44</v>
      </c>
      <c r="CD57">
        <v>2.1999999999999999E-2</v>
      </c>
      <c r="CE57">
        <v>-2E-3</v>
      </c>
      <c r="CF57">
        <v>7.7279999999999998</v>
      </c>
      <c r="CG57">
        <v>-0.98899999999999999</v>
      </c>
      <c r="CH57">
        <v>55</v>
      </c>
      <c r="CI57">
        <v>-3</v>
      </c>
      <c r="CJ57">
        <v>0.21</v>
      </c>
      <c r="CK57">
        <v>0.14000000000000001</v>
      </c>
      <c r="CL57">
        <v>54.859178333333332</v>
      </c>
      <c r="CM57">
        <v>-1.073229119199655</v>
      </c>
      <c r="CN57">
        <v>0.20212359592723361</v>
      </c>
      <c r="CO57">
        <v>-1</v>
      </c>
      <c r="CP57">
        <v>500.01076666666671</v>
      </c>
      <c r="CQ57">
        <v>-0.29757599333163309</v>
      </c>
      <c r="CR57">
        <v>0.10566935327815111</v>
      </c>
      <c r="CS57">
        <v>-1</v>
      </c>
      <c r="CT57">
        <v>0</v>
      </c>
      <c r="CU57">
        <v>0</v>
      </c>
      <c r="CV57" t="s">
        <v>333</v>
      </c>
      <c r="CW57">
        <v>3.16743</v>
      </c>
      <c r="CX57">
        <v>2.6585299999999998</v>
      </c>
      <c r="CY57">
        <v>1.39939E-2</v>
      </c>
      <c r="CZ57">
        <v>1.6455299999999999E-2</v>
      </c>
      <c r="DA57">
        <v>-1.0911000000000001E-2</v>
      </c>
      <c r="DB57">
        <v>-2.8349599999999999E-2</v>
      </c>
      <c r="DC57">
        <v>21362.1</v>
      </c>
      <c r="DD57">
        <v>21657.4</v>
      </c>
      <c r="DE57">
        <v>23191.7</v>
      </c>
      <c r="DF57">
        <v>22368.3</v>
      </c>
      <c r="DG57">
        <v>30225.200000000001</v>
      </c>
      <c r="DH57">
        <v>27422</v>
      </c>
      <c r="DI57">
        <v>40747</v>
      </c>
      <c r="DJ57">
        <v>37062.6</v>
      </c>
      <c r="DK57">
        <v>2.1032000000000002</v>
      </c>
      <c r="DL57">
        <v>1.8606799999999999</v>
      </c>
      <c r="DM57">
        <v>2.4449800000000001E-2</v>
      </c>
      <c r="DN57">
        <v>0</v>
      </c>
      <c r="DO57">
        <v>24.922499999999999</v>
      </c>
      <c r="DP57">
        <v>999.9</v>
      </c>
      <c r="DQ57">
        <v>82.5</v>
      </c>
      <c r="DR57">
        <v>27.1</v>
      </c>
      <c r="DS57">
        <v>29.660900000000002</v>
      </c>
      <c r="DT57">
        <v>30.6982</v>
      </c>
      <c r="DU57">
        <v>8.6658600000000003</v>
      </c>
      <c r="DV57">
        <v>1</v>
      </c>
      <c r="DW57">
        <v>5.35833E-2</v>
      </c>
      <c r="DX57">
        <v>-0.20869499999999999</v>
      </c>
      <c r="DY57">
        <v>20.368300000000001</v>
      </c>
      <c r="DZ57">
        <v>5.2129799999999999</v>
      </c>
      <c r="EA57">
        <v>11.8482</v>
      </c>
      <c r="EB57">
        <v>4.9682399999999998</v>
      </c>
      <c r="EC57">
        <v>3.2919999999999998</v>
      </c>
      <c r="ED57">
        <v>894.7</v>
      </c>
      <c r="EE57">
        <v>0</v>
      </c>
      <c r="EF57">
        <v>9999</v>
      </c>
      <c r="EG57">
        <v>113.7</v>
      </c>
      <c r="EH57">
        <v>4.9716500000000003</v>
      </c>
      <c r="EI57">
        <v>1.8717999999999999</v>
      </c>
      <c r="EJ57">
        <v>1.8689</v>
      </c>
      <c r="EK57">
        <v>1.87134</v>
      </c>
      <c r="EL57">
        <v>1.8690500000000001</v>
      </c>
      <c r="EM57">
        <v>1.8680099999999999</v>
      </c>
      <c r="EN57">
        <v>1.8698300000000001</v>
      </c>
      <c r="EO57">
        <v>1.87165</v>
      </c>
      <c r="EP57">
        <v>0</v>
      </c>
      <c r="EQ57">
        <v>0</v>
      </c>
      <c r="ER57">
        <v>0</v>
      </c>
      <c r="ES57">
        <v>0</v>
      </c>
      <c r="ET57" t="s">
        <v>334</v>
      </c>
      <c r="EU57" t="s">
        <v>335</v>
      </c>
      <c r="EV57" t="s">
        <v>336</v>
      </c>
      <c r="EW57" t="s">
        <v>336</v>
      </c>
      <c r="EX57" t="s">
        <v>336</v>
      </c>
      <c r="EY57" t="s">
        <v>336</v>
      </c>
      <c r="EZ57">
        <v>0</v>
      </c>
      <c r="FA57">
        <v>100</v>
      </c>
      <c r="FB57">
        <v>100</v>
      </c>
      <c r="FC57">
        <v>7.7279999999999998</v>
      </c>
      <c r="FD57">
        <v>-0.98899999999999999</v>
      </c>
      <c r="FE57">
        <v>7.7058350000000004</v>
      </c>
      <c r="FF57">
        <v>0</v>
      </c>
      <c r="FG57">
        <v>0</v>
      </c>
      <c r="FH57">
        <v>0</v>
      </c>
      <c r="FI57">
        <v>-0.98759095238095185</v>
      </c>
      <c r="FJ57">
        <v>0</v>
      </c>
      <c r="FK57">
        <v>0</v>
      </c>
      <c r="FL57">
        <v>0</v>
      </c>
      <c r="FM57">
        <v>-1</v>
      </c>
      <c r="FN57">
        <v>-1</v>
      </c>
      <c r="FO57">
        <v>-1</v>
      </c>
      <c r="FP57">
        <v>-1</v>
      </c>
      <c r="FQ57">
        <v>0.7</v>
      </c>
      <c r="FR57">
        <v>0.7</v>
      </c>
      <c r="FS57">
        <v>0.144043</v>
      </c>
      <c r="FT57">
        <v>4.99756</v>
      </c>
      <c r="FU57">
        <v>1.5979000000000001</v>
      </c>
      <c r="FV57">
        <v>2.16675</v>
      </c>
      <c r="FW57">
        <v>1.5478499999999999</v>
      </c>
      <c r="FX57">
        <v>2.32178</v>
      </c>
      <c r="FY57">
        <v>31.7392</v>
      </c>
      <c r="FZ57">
        <v>16.1371</v>
      </c>
      <c r="GA57">
        <v>3</v>
      </c>
      <c r="GB57">
        <v>492.286</v>
      </c>
      <c r="GC57">
        <v>428.04700000000003</v>
      </c>
      <c r="GD57">
        <v>25.9771</v>
      </c>
      <c r="GE57">
        <v>27.920300000000001</v>
      </c>
      <c r="GF57">
        <v>30.0002</v>
      </c>
      <c r="GG57">
        <v>28.237400000000001</v>
      </c>
      <c r="GH57">
        <v>28.2926</v>
      </c>
      <c r="GI57">
        <v>-1</v>
      </c>
      <c r="GJ57">
        <v>0</v>
      </c>
      <c r="GK57">
        <v>100</v>
      </c>
      <c r="GL57">
        <v>25.9803</v>
      </c>
      <c r="GM57">
        <v>432.1</v>
      </c>
      <c r="GN57">
        <v>63.216500000000003</v>
      </c>
      <c r="GO57">
        <v>102.577</v>
      </c>
      <c r="GP57">
        <v>96.717399999999998</v>
      </c>
    </row>
    <row r="58" spans="1:198" x14ac:dyDescent="0.35">
      <c r="A58">
        <v>42</v>
      </c>
      <c r="B58">
        <v>1775506051.5</v>
      </c>
      <c r="C58">
        <v>2460.5</v>
      </c>
      <c r="D58" t="s">
        <v>457</v>
      </c>
      <c r="E58" t="s">
        <v>458</v>
      </c>
      <c r="F58">
        <v>60</v>
      </c>
      <c r="G58">
        <v>1775506043.5</v>
      </c>
      <c r="H58">
        <f t="shared" si="30"/>
        <v>1.0279872541551342E-3</v>
      </c>
      <c r="I58">
        <f t="shared" si="31"/>
        <v>1.0279872541551343</v>
      </c>
      <c r="J58">
        <f t="shared" si="32"/>
        <v>0.4966908070425215</v>
      </c>
      <c r="K58">
        <f t="shared" si="33"/>
        <v>55.797964516129028</v>
      </c>
      <c r="L58">
        <f t="shared" si="34"/>
        <v>26.379297582053145</v>
      </c>
      <c r="M58">
        <f t="shared" si="35"/>
        <v>2.6426784710279358</v>
      </c>
      <c r="N58">
        <f t="shared" si="36"/>
        <v>5.5898410143519115</v>
      </c>
      <c r="O58">
        <f t="shared" si="37"/>
        <v>2.9482763424045318E-2</v>
      </c>
      <c r="P58">
        <f t="shared" si="38"/>
        <v>2.3905052479989952</v>
      </c>
      <c r="Q58">
        <f t="shared" si="39"/>
        <v>2.9282236174643698E-2</v>
      </c>
      <c r="R58">
        <f t="shared" si="40"/>
        <v>1.8319300370045786E-2</v>
      </c>
      <c r="S58">
        <f t="shared" si="41"/>
        <v>0</v>
      </c>
      <c r="T58">
        <f t="shared" si="42"/>
        <v>24.974468579520487</v>
      </c>
      <c r="U58">
        <f t="shared" si="43"/>
        <v>25.326403225806452</v>
      </c>
      <c r="V58">
        <f t="shared" si="44"/>
        <v>3.2420823250018396</v>
      </c>
      <c r="W58">
        <f t="shared" si="45"/>
        <v>-6.8542692565071759</v>
      </c>
      <c r="X58">
        <f t="shared" si="46"/>
        <v>-0.2218401154155141</v>
      </c>
      <c r="Y58">
        <f t="shared" si="47"/>
        <v>3.2365246697145396</v>
      </c>
      <c r="Z58">
        <f t="shared" si="48"/>
        <v>3.4639224404173539</v>
      </c>
      <c r="AA58">
        <f t="shared" si="49"/>
        <v>-45.33423790824142</v>
      </c>
      <c r="AB58">
        <f t="shared" si="50"/>
        <v>-3.7174755131388877</v>
      </c>
      <c r="AC58">
        <f t="shared" si="51"/>
        <v>-0.32997551148933868</v>
      </c>
      <c r="AD58">
        <f t="shared" si="52"/>
        <v>-49.381688932869643</v>
      </c>
      <c r="AE58">
        <v>18</v>
      </c>
      <c r="AF58">
        <v>4</v>
      </c>
      <c r="AG58">
        <f t="shared" si="53"/>
        <v>1</v>
      </c>
      <c r="AH58">
        <f t="shared" si="54"/>
        <v>0</v>
      </c>
      <c r="AI58">
        <f t="shared" si="55"/>
        <v>25700.718073348195</v>
      </c>
      <c r="AJ58">
        <f t="shared" si="56"/>
        <v>0</v>
      </c>
      <c r="AK58">
        <f t="shared" si="57"/>
        <v>0</v>
      </c>
      <c r="AL58">
        <f t="shared" si="58"/>
        <v>0</v>
      </c>
      <c r="AM58">
        <f t="shared" si="59"/>
        <v>0</v>
      </c>
      <c r="AN58">
        <v>3</v>
      </c>
      <c r="AO58">
        <v>0.5</v>
      </c>
      <c r="AP58" t="s">
        <v>331</v>
      </c>
      <c r="AQ58">
        <v>2</v>
      </c>
      <c r="AR58">
        <v>1775506043.5</v>
      </c>
      <c r="AS58">
        <v>55.797964516129028</v>
      </c>
      <c r="AT58">
        <v>56.130396774193557</v>
      </c>
      <c r="AU58">
        <v>-2.2144148387096769</v>
      </c>
      <c r="AV58">
        <v>-2.8325767741935488</v>
      </c>
      <c r="AW58">
        <v>48.096964516129027</v>
      </c>
      <c r="AX58">
        <v>-1.2284148387096769</v>
      </c>
      <c r="AY58">
        <v>499.99696774193552</v>
      </c>
      <c r="AZ58">
        <v>100.1426451612903</v>
      </c>
      <c r="BA58">
        <v>3.7371490322580643E-2</v>
      </c>
      <c r="BB58">
        <v>25.297558064516132</v>
      </c>
      <c r="BC58">
        <v>25.326403225806452</v>
      </c>
      <c r="BD58">
        <v>999.90000000000032</v>
      </c>
      <c r="BE58">
        <v>0</v>
      </c>
      <c r="BF58">
        <v>0</v>
      </c>
      <c r="BG58">
        <v>4999.2419354838712</v>
      </c>
      <c r="BH58">
        <v>0.42766232258064518</v>
      </c>
      <c r="BI58">
        <v>0.22961599999999999</v>
      </c>
      <c r="BJ58">
        <v>-0.30579128709677422</v>
      </c>
      <c r="BK58">
        <v>55.701090322580662</v>
      </c>
      <c r="BL58">
        <v>55.971858064516127</v>
      </c>
      <c r="BM58">
        <v>0.61505461290322572</v>
      </c>
      <c r="BN58">
        <v>56.130396774193557</v>
      </c>
      <c r="BO58">
        <v>-2.8325767741935488</v>
      </c>
      <c r="BP58">
        <v>-0.2220684516129032</v>
      </c>
      <c r="BQ58">
        <v>-0.28366174193548388</v>
      </c>
      <c r="BR58">
        <v>-99.900000000000034</v>
      </c>
      <c r="BS58">
        <v>-99.900000000000034</v>
      </c>
      <c r="BT58">
        <v>0</v>
      </c>
      <c r="BU58">
        <v>0</v>
      </c>
      <c r="BV58">
        <v>0</v>
      </c>
      <c r="BW58">
        <v>24</v>
      </c>
      <c r="BX58">
        <v>-1</v>
      </c>
      <c r="BY58">
        <v>1775506072.5</v>
      </c>
      <c r="BZ58" t="s">
        <v>459</v>
      </c>
      <c r="CA58">
        <v>1775506068.5</v>
      </c>
      <c r="CB58">
        <v>1775506072.5</v>
      </c>
      <c r="CC58">
        <v>45</v>
      </c>
      <c r="CD58">
        <v>-2.7E-2</v>
      </c>
      <c r="CE58">
        <v>3.0000000000000001E-3</v>
      </c>
      <c r="CF58">
        <v>7.7009999999999996</v>
      </c>
      <c r="CG58">
        <v>-0.98599999999999999</v>
      </c>
      <c r="CH58">
        <v>57</v>
      </c>
      <c r="CI58">
        <v>-3</v>
      </c>
      <c r="CJ58">
        <v>0.08</v>
      </c>
      <c r="CK58">
        <v>0.14000000000000001</v>
      </c>
      <c r="CL58">
        <v>56.135565573770492</v>
      </c>
      <c r="CM58">
        <v>-0.30827244844006157</v>
      </c>
      <c r="CN58">
        <v>0.28316161166908038</v>
      </c>
      <c r="CO58">
        <v>-1</v>
      </c>
      <c r="CP58">
        <v>500.00081967213112</v>
      </c>
      <c r="CQ58">
        <v>-0.14408884188265589</v>
      </c>
      <c r="CR58">
        <v>8.25347434436106E-2</v>
      </c>
      <c r="CS58">
        <v>-1</v>
      </c>
      <c r="CT58">
        <v>0</v>
      </c>
      <c r="CU58">
        <v>0</v>
      </c>
      <c r="CV58" t="s">
        <v>333</v>
      </c>
      <c r="CW58">
        <v>3.1672899999999999</v>
      </c>
      <c r="CX58">
        <v>2.6588599999999998</v>
      </c>
      <c r="CY58">
        <v>1.4412299999999999E-2</v>
      </c>
      <c r="CZ58">
        <v>1.6928499999999999E-2</v>
      </c>
      <c r="DA58">
        <v>-1.1028E-2</v>
      </c>
      <c r="DB58">
        <v>-2.8534E-2</v>
      </c>
      <c r="DC58">
        <v>21352.9</v>
      </c>
      <c r="DD58">
        <v>21648</v>
      </c>
      <c r="DE58">
        <v>23191.5</v>
      </c>
      <c r="DF58">
        <v>22369.3</v>
      </c>
      <c r="DG58">
        <v>30228.3</v>
      </c>
      <c r="DH58">
        <v>27428</v>
      </c>
      <c r="DI58">
        <v>40746.400000000001</v>
      </c>
      <c r="DJ58">
        <v>37064.1</v>
      </c>
      <c r="DK58">
        <v>2.1031200000000001</v>
      </c>
      <c r="DL58">
        <v>1.8604000000000001</v>
      </c>
      <c r="DM58">
        <v>2.51293E-2</v>
      </c>
      <c r="DN58">
        <v>0</v>
      </c>
      <c r="DO58">
        <v>24.9163</v>
      </c>
      <c r="DP58">
        <v>999.9</v>
      </c>
      <c r="DQ58">
        <v>82.4</v>
      </c>
      <c r="DR58">
        <v>27.2</v>
      </c>
      <c r="DS58">
        <v>29.7972</v>
      </c>
      <c r="DT58">
        <v>30.8782</v>
      </c>
      <c r="DU58">
        <v>8.9102599999999992</v>
      </c>
      <c r="DV58">
        <v>1</v>
      </c>
      <c r="DW58">
        <v>5.3134099999999997E-2</v>
      </c>
      <c r="DX58">
        <v>-0.233294</v>
      </c>
      <c r="DY58">
        <v>20.368300000000001</v>
      </c>
      <c r="DZ58">
        <v>5.2112999999999996</v>
      </c>
      <c r="EA58">
        <v>11.8482</v>
      </c>
      <c r="EB58">
        <v>4.96828</v>
      </c>
      <c r="EC58">
        <v>3.2919999999999998</v>
      </c>
      <c r="ED58">
        <v>894.7</v>
      </c>
      <c r="EE58">
        <v>0</v>
      </c>
      <c r="EF58">
        <v>9999</v>
      </c>
      <c r="EG58">
        <v>113.7</v>
      </c>
      <c r="EH58">
        <v>4.9716699999999996</v>
      </c>
      <c r="EI58">
        <v>1.8717999999999999</v>
      </c>
      <c r="EJ58">
        <v>1.8689</v>
      </c>
      <c r="EK58">
        <v>1.87134</v>
      </c>
      <c r="EL58">
        <v>1.8690500000000001</v>
      </c>
      <c r="EM58">
        <v>1.8680300000000001</v>
      </c>
      <c r="EN58">
        <v>1.8698699999999999</v>
      </c>
      <c r="EO58">
        <v>1.8716999999999999</v>
      </c>
      <c r="EP58">
        <v>0</v>
      </c>
      <c r="EQ58">
        <v>0</v>
      </c>
      <c r="ER58">
        <v>0</v>
      </c>
      <c r="ES58">
        <v>0</v>
      </c>
      <c r="ET58" t="s">
        <v>334</v>
      </c>
      <c r="EU58" t="s">
        <v>335</v>
      </c>
      <c r="EV58" t="s">
        <v>336</v>
      </c>
      <c r="EW58" t="s">
        <v>336</v>
      </c>
      <c r="EX58" t="s">
        <v>336</v>
      </c>
      <c r="EY58" t="s">
        <v>336</v>
      </c>
      <c r="EZ58">
        <v>0</v>
      </c>
      <c r="FA58">
        <v>100</v>
      </c>
      <c r="FB58">
        <v>100</v>
      </c>
      <c r="FC58">
        <v>7.7009999999999996</v>
      </c>
      <c r="FD58">
        <v>-0.98599999999999999</v>
      </c>
      <c r="FE58">
        <v>7.7276549999999986</v>
      </c>
      <c r="FF58">
        <v>0</v>
      </c>
      <c r="FG58">
        <v>0</v>
      </c>
      <c r="FH58">
        <v>0</v>
      </c>
      <c r="FI58">
        <v>-0.98910700000000018</v>
      </c>
      <c r="FJ58">
        <v>0</v>
      </c>
      <c r="FK58">
        <v>0</v>
      </c>
      <c r="FL58">
        <v>0</v>
      </c>
      <c r="FM58">
        <v>-1</v>
      </c>
      <c r="FN58">
        <v>-1</v>
      </c>
      <c r="FO58">
        <v>-1</v>
      </c>
      <c r="FP58">
        <v>-1</v>
      </c>
      <c r="FQ58">
        <v>0.7</v>
      </c>
      <c r="FR58">
        <v>0.7</v>
      </c>
      <c r="FS58">
        <v>0.142822</v>
      </c>
      <c r="FT58">
        <v>4.99756</v>
      </c>
      <c r="FU58">
        <v>1.5979000000000001</v>
      </c>
      <c r="FV58">
        <v>2.16553</v>
      </c>
      <c r="FW58">
        <v>1.5478499999999999</v>
      </c>
      <c r="FX58">
        <v>2.3718300000000001</v>
      </c>
      <c r="FY58">
        <v>31.783000000000001</v>
      </c>
      <c r="FZ58">
        <v>16.1371</v>
      </c>
      <c r="GA58">
        <v>3</v>
      </c>
      <c r="GB58">
        <v>492.20600000000002</v>
      </c>
      <c r="GC58">
        <v>427.85899999999998</v>
      </c>
      <c r="GD58">
        <v>26.017900000000001</v>
      </c>
      <c r="GE58">
        <v>27.915600000000001</v>
      </c>
      <c r="GF58">
        <v>30</v>
      </c>
      <c r="GG58">
        <v>28.2331</v>
      </c>
      <c r="GH58">
        <v>28.2896</v>
      </c>
      <c r="GI58">
        <v>-1</v>
      </c>
      <c r="GJ58">
        <v>0</v>
      </c>
      <c r="GK58">
        <v>100</v>
      </c>
      <c r="GL58">
        <v>26.0185</v>
      </c>
      <c r="GM58">
        <v>432.1</v>
      </c>
      <c r="GN58">
        <v>63.216500000000003</v>
      </c>
      <c r="GO58">
        <v>102.57599999999999</v>
      </c>
      <c r="GP58">
        <v>96.721500000000006</v>
      </c>
    </row>
    <row r="59" spans="1:198" x14ac:dyDescent="0.35">
      <c r="A59">
        <v>43</v>
      </c>
      <c r="B59">
        <v>1775506111.5</v>
      </c>
      <c r="C59">
        <v>2520.5</v>
      </c>
      <c r="D59" t="s">
        <v>460</v>
      </c>
      <c r="E59" t="s">
        <v>461</v>
      </c>
      <c r="F59">
        <v>60</v>
      </c>
      <c r="G59">
        <v>1775506103.5</v>
      </c>
      <c r="H59">
        <f t="shared" si="30"/>
        <v>1.0516247097790495E-3</v>
      </c>
      <c r="I59">
        <f t="shared" si="31"/>
        <v>1.0516247097790494</v>
      </c>
      <c r="J59">
        <f t="shared" si="32"/>
        <v>0.23988279305875798</v>
      </c>
      <c r="K59">
        <f t="shared" si="33"/>
        <v>57.498848387096771</v>
      </c>
      <c r="L59">
        <f t="shared" si="34"/>
        <v>41.913548898054231</v>
      </c>
      <c r="M59">
        <f t="shared" si="35"/>
        <v>4.1989833290376763</v>
      </c>
      <c r="N59">
        <f t="shared" si="36"/>
        <v>5.7603498669016915</v>
      </c>
      <c r="O59">
        <f t="shared" si="37"/>
        <v>3.0172991693008799E-2</v>
      </c>
      <c r="P59">
        <f t="shared" si="38"/>
        <v>2.3890603303851266</v>
      </c>
      <c r="Q59">
        <f t="shared" si="39"/>
        <v>2.9962875387948621E-2</v>
      </c>
      <c r="R59">
        <f t="shared" si="40"/>
        <v>1.8745553140373065E-2</v>
      </c>
      <c r="S59">
        <f t="shared" si="41"/>
        <v>0</v>
      </c>
      <c r="T59">
        <f t="shared" si="42"/>
        <v>24.96620732758052</v>
      </c>
      <c r="U59">
        <f t="shared" si="43"/>
        <v>25.319612903225799</v>
      </c>
      <c r="V59">
        <f t="shared" si="44"/>
        <v>3.2407732700350418</v>
      </c>
      <c r="W59">
        <f t="shared" si="45"/>
        <v>-6.8719843175847686</v>
      </c>
      <c r="X59">
        <f t="shared" si="46"/>
        <v>-0.22240488941693803</v>
      </c>
      <c r="Y59">
        <f t="shared" si="47"/>
        <v>3.2363998393859048</v>
      </c>
      <c r="Z59">
        <f t="shared" si="48"/>
        <v>3.4631781594519797</v>
      </c>
      <c r="AA59">
        <f t="shared" si="49"/>
        <v>-46.376649701256085</v>
      </c>
      <c r="AB59">
        <f t="shared" si="50"/>
        <v>-2.9241532467811688</v>
      </c>
      <c r="AC59">
        <f t="shared" si="51"/>
        <v>-0.2597048516004225</v>
      </c>
      <c r="AD59">
        <f t="shared" si="52"/>
        <v>-49.560507799637676</v>
      </c>
      <c r="AE59">
        <v>18</v>
      </c>
      <c r="AF59">
        <v>4</v>
      </c>
      <c r="AG59">
        <f t="shared" si="53"/>
        <v>1</v>
      </c>
      <c r="AH59">
        <f t="shared" si="54"/>
        <v>0</v>
      </c>
      <c r="AI59">
        <f t="shared" si="55"/>
        <v>25678.581173993371</v>
      </c>
      <c r="AJ59">
        <f t="shared" si="56"/>
        <v>0</v>
      </c>
      <c r="AK59">
        <f t="shared" si="57"/>
        <v>0</v>
      </c>
      <c r="AL59">
        <f t="shared" si="58"/>
        <v>0</v>
      </c>
      <c r="AM59">
        <f t="shared" si="59"/>
        <v>0</v>
      </c>
      <c r="AN59">
        <v>3</v>
      </c>
      <c r="AO59">
        <v>0.5</v>
      </c>
      <c r="AP59" t="s">
        <v>331</v>
      </c>
      <c r="AQ59">
        <v>2</v>
      </c>
      <c r="AR59">
        <v>1775506103.5</v>
      </c>
      <c r="AS59">
        <v>57.498848387096771</v>
      </c>
      <c r="AT59">
        <v>57.679064516129039</v>
      </c>
      <c r="AU59">
        <v>-2.2200083870967742</v>
      </c>
      <c r="AV59">
        <v>-2.8524054838709669</v>
      </c>
      <c r="AW59">
        <v>49.764848387096769</v>
      </c>
      <c r="AX59">
        <v>-1.2370083870967741</v>
      </c>
      <c r="AY59">
        <v>499.98299999999989</v>
      </c>
      <c r="AZ59">
        <v>100.1447096774194</v>
      </c>
      <c r="BA59">
        <v>3.7294458064516131E-2</v>
      </c>
      <c r="BB59">
        <v>25.29690967741935</v>
      </c>
      <c r="BC59">
        <v>25.319612903225799</v>
      </c>
      <c r="BD59">
        <v>999.90000000000032</v>
      </c>
      <c r="BE59">
        <v>0</v>
      </c>
      <c r="BF59">
        <v>0</v>
      </c>
      <c r="BG59">
        <v>4995.4193548387093</v>
      </c>
      <c r="BH59">
        <v>0.40420245161290319</v>
      </c>
      <c r="BI59">
        <v>0.22961599999999999</v>
      </c>
      <c r="BJ59">
        <v>-0.2136934451612903</v>
      </c>
      <c r="BK59">
        <v>57.337906451612909</v>
      </c>
      <c r="BL59">
        <v>57.515012903225802</v>
      </c>
      <c r="BM59">
        <v>0.62928600000000001</v>
      </c>
      <c r="BN59">
        <v>57.679064516129039</v>
      </c>
      <c r="BO59">
        <v>-2.8524054838709669</v>
      </c>
      <c r="BP59">
        <v>-0.22263351612903221</v>
      </c>
      <c r="BQ59">
        <v>-0.28565319354838709</v>
      </c>
      <c r="BR59">
        <v>-99.900000000000034</v>
      </c>
      <c r="BS59">
        <v>-99.900000000000034</v>
      </c>
      <c r="BT59">
        <v>0</v>
      </c>
      <c r="BU59">
        <v>0</v>
      </c>
      <c r="BV59">
        <v>0</v>
      </c>
      <c r="BW59">
        <v>24</v>
      </c>
      <c r="BX59">
        <v>-0.98602164516129054</v>
      </c>
      <c r="BY59">
        <v>1775506133</v>
      </c>
      <c r="BZ59" t="s">
        <v>462</v>
      </c>
      <c r="CA59">
        <v>1775506126.5</v>
      </c>
      <c r="CB59">
        <v>1775506133</v>
      </c>
      <c r="CC59">
        <v>46</v>
      </c>
      <c r="CD59">
        <v>3.4000000000000002E-2</v>
      </c>
      <c r="CE59">
        <v>3.0000000000000001E-3</v>
      </c>
      <c r="CF59">
        <v>7.734</v>
      </c>
      <c r="CG59">
        <v>-0.98299999999999998</v>
      </c>
      <c r="CH59">
        <v>57</v>
      </c>
      <c r="CI59">
        <v>-3</v>
      </c>
      <c r="CJ59">
        <v>0.27</v>
      </c>
      <c r="CK59">
        <v>0.13</v>
      </c>
      <c r="CL59">
        <v>57.665408196721309</v>
      </c>
      <c r="CM59">
        <v>0.24956953992586889</v>
      </c>
      <c r="CN59">
        <v>0.11053067120521839</v>
      </c>
      <c r="CO59">
        <v>-1</v>
      </c>
      <c r="CP59">
        <v>500.02255737704922</v>
      </c>
      <c r="CQ59">
        <v>-0.41695399259641408</v>
      </c>
      <c r="CR59">
        <v>0.1378191407618429</v>
      </c>
      <c r="CS59">
        <v>-1</v>
      </c>
      <c r="CT59">
        <v>0</v>
      </c>
      <c r="CU59">
        <v>0</v>
      </c>
      <c r="CV59" t="s">
        <v>333</v>
      </c>
      <c r="CW59">
        <v>3.1673800000000001</v>
      </c>
      <c r="CX59">
        <v>2.65869</v>
      </c>
      <c r="CY59">
        <v>1.48413E-2</v>
      </c>
      <c r="CZ59">
        <v>1.71177E-2</v>
      </c>
      <c r="DA59">
        <v>-1.1092400000000001E-2</v>
      </c>
      <c r="DB59">
        <v>-2.87741E-2</v>
      </c>
      <c r="DC59">
        <v>21343.5</v>
      </c>
      <c r="DD59">
        <v>21644.799999999999</v>
      </c>
      <c r="DE59">
        <v>23191.3</v>
      </c>
      <c r="DF59">
        <v>22370.3</v>
      </c>
      <c r="DG59">
        <v>30230.1</v>
      </c>
      <c r="DH59">
        <v>27435.5</v>
      </c>
      <c r="DI59">
        <v>40746.300000000003</v>
      </c>
      <c r="DJ59">
        <v>37065.699999999997</v>
      </c>
      <c r="DK59">
        <v>2.1034000000000002</v>
      </c>
      <c r="DL59">
        <v>1.8602000000000001</v>
      </c>
      <c r="DM59">
        <v>2.4977300000000001E-2</v>
      </c>
      <c r="DN59">
        <v>0</v>
      </c>
      <c r="DO59">
        <v>24.912099999999999</v>
      </c>
      <c r="DP59">
        <v>999.9</v>
      </c>
      <c r="DQ59">
        <v>82.3</v>
      </c>
      <c r="DR59">
        <v>27.2</v>
      </c>
      <c r="DS59">
        <v>29.761399999999998</v>
      </c>
      <c r="DT59">
        <v>31.1782</v>
      </c>
      <c r="DU59">
        <v>8.8381399999999992</v>
      </c>
      <c r="DV59">
        <v>1</v>
      </c>
      <c r="DW59">
        <v>5.2678900000000001E-2</v>
      </c>
      <c r="DX59">
        <v>-0.22813900000000001</v>
      </c>
      <c r="DY59">
        <v>20.368200000000002</v>
      </c>
      <c r="DZ59">
        <v>5.2122599999999997</v>
      </c>
      <c r="EA59">
        <v>11.8482</v>
      </c>
      <c r="EB59">
        <v>4.9678000000000004</v>
      </c>
      <c r="EC59">
        <v>3.2919999999999998</v>
      </c>
      <c r="ED59">
        <v>894.7</v>
      </c>
      <c r="EE59">
        <v>0</v>
      </c>
      <c r="EF59">
        <v>9999</v>
      </c>
      <c r="EG59">
        <v>113.7</v>
      </c>
      <c r="EH59">
        <v>4.97166</v>
      </c>
      <c r="EI59">
        <v>1.8717999999999999</v>
      </c>
      <c r="EJ59">
        <v>1.8689</v>
      </c>
      <c r="EK59">
        <v>1.87134</v>
      </c>
      <c r="EL59">
        <v>1.8690500000000001</v>
      </c>
      <c r="EM59">
        <v>1.86799</v>
      </c>
      <c r="EN59">
        <v>1.86988</v>
      </c>
      <c r="EO59">
        <v>1.8716600000000001</v>
      </c>
      <c r="EP59">
        <v>0</v>
      </c>
      <c r="EQ59">
        <v>0</v>
      </c>
      <c r="ER59">
        <v>0</v>
      </c>
      <c r="ES59">
        <v>0</v>
      </c>
      <c r="ET59" t="s">
        <v>334</v>
      </c>
      <c r="EU59" t="s">
        <v>335</v>
      </c>
      <c r="EV59" t="s">
        <v>336</v>
      </c>
      <c r="EW59" t="s">
        <v>336</v>
      </c>
      <c r="EX59" t="s">
        <v>336</v>
      </c>
      <c r="EY59" t="s">
        <v>336</v>
      </c>
      <c r="EZ59">
        <v>0</v>
      </c>
      <c r="FA59">
        <v>100</v>
      </c>
      <c r="FB59">
        <v>100</v>
      </c>
      <c r="FC59">
        <v>7.734</v>
      </c>
      <c r="FD59">
        <v>-0.98299999999999998</v>
      </c>
      <c r="FE59">
        <v>7.7005250000000061</v>
      </c>
      <c r="FF59">
        <v>0</v>
      </c>
      <c r="FG59">
        <v>0</v>
      </c>
      <c r="FH59">
        <v>0</v>
      </c>
      <c r="FI59">
        <v>-0.98611000000000004</v>
      </c>
      <c r="FJ59">
        <v>0</v>
      </c>
      <c r="FK59">
        <v>0</v>
      </c>
      <c r="FL59">
        <v>0</v>
      </c>
      <c r="FM59">
        <v>-1</v>
      </c>
      <c r="FN59">
        <v>-1</v>
      </c>
      <c r="FO59">
        <v>-1</v>
      </c>
      <c r="FP59">
        <v>-1</v>
      </c>
      <c r="FQ59">
        <v>0.7</v>
      </c>
      <c r="FR59">
        <v>0.7</v>
      </c>
      <c r="FS59">
        <v>0.142822</v>
      </c>
      <c r="FT59">
        <v>4.99756</v>
      </c>
      <c r="FU59">
        <v>1.5979000000000001</v>
      </c>
      <c r="FV59">
        <v>2.16675</v>
      </c>
      <c r="FW59">
        <v>1.5478499999999999</v>
      </c>
      <c r="FX59">
        <v>2.3645</v>
      </c>
      <c r="FY59">
        <v>31.8049</v>
      </c>
      <c r="FZ59">
        <v>16.1371</v>
      </c>
      <c r="GA59">
        <v>3</v>
      </c>
      <c r="GB59">
        <v>492.32799999999997</v>
      </c>
      <c r="GC59">
        <v>427.70699999999999</v>
      </c>
      <c r="GD59">
        <v>26.002300000000002</v>
      </c>
      <c r="GE59">
        <v>27.910799999999998</v>
      </c>
      <c r="GF59">
        <v>30.0001</v>
      </c>
      <c r="GG59">
        <v>28.228400000000001</v>
      </c>
      <c r="GH59">
        <v>28.2849</v>
      </c>
      <c r="GI59">
        <v>-1</v>
      </c>
      <c r="GJ59">
        <v>0</v>
      </c>
      <c r="GK59">
        <v>100</v>
      </c>
      <c r="GL59">
        <v>26.003</v>
      </c>
      <c r="GM59">
        <v>432.1</v>
      </c>
      <c r="GN59">
        <v>63.216500000000003</v>
      </c>
      <c r="GO59">
        <v>102.575</v>
      </c>
      <c r="GP59">
        <v>96.725700000000003</v>
      </c>
    </row>
    <row r="60" spans="1:198" x14ac:dyDescent="0.35">
      <c r="A60">
        <v>44</v>
      </c>
      <c r="B60">
        <v>1775506171.5</v>
      </c>
      <c r="C60">
        <v>2580.5</v>
      </c>
      <c r="D60" t="s">
        <v>463</v>
      </c>
      <c r="E60" t="s">
        <v>464</v>
      </c>
      <c r="F60">
        <v>60</v>
      </c>
      <c r="G60">
        <v>1775506163.75</v>
      </c>
      <c r="H60">
        <f t="shared" si="30"/>
        <v>1.0538624692994173E-3</v>
      </c>
      <c r="I60">
        <f t="shared" si="31"/>
        <v>1.0538624692994172</v>
      </c>
      <c r="J60">
        <f t="shared" si="32"/>
        <v>0.81293973000665942</v>
      </c>
      <c r="K60">
        <f t="shared" si="33"/>
        <v>56.560220000000001</v>
      </c>
      <c r="L60">
        <f t="shared" si="34"/>
        <v>11.378439654396967</v>
      </c>
      <c r="M60">
        <f t="shared" si="35"/>
        <v>1.1399183948297167</v>
      </c>
      <c r="N60">
        <f t="shared" si="36"/>
        <v>5.6663336232311039</v>
      </c>
      <c r="O60">
        <f t="shared" si="37"/>
        <v>3.023674656730322E-2</v>
      </c>
      <c r="P60">
        <f t="shared" si="38"/>
        <v>2.3901740157431295</v>
      </c>
      <c r="Q60">
        <f t="shared" si="39"/>
        <v>3.0025842307202271E-2</v>
      </c>
      <c r="R60">
        <f t="shared" si="40"/>
        <v>1.8784977602180609E-2</v>
      </c>
      <c r="S60">
        <f t="shared" si="41"/>
        <v>0</v>
      </c>
      <c r="T60">
        <f t="shared" si="42"/>
        <v>24.966532681400132</v>
      </c>
      <c r="U60">
        <f t="shared" si="43"/>
        <v>25.319813333333329</v>
      </c>
      <c r="V60">
        <f t="shared" si="44"/>
        <v>3.2408119028250777</v>
      </c>
      <c r="W60">
        <f t="shared" si="45"/>
        <v>-6.8735958566609119</v>
      </c>
      <c r="X60">
        <f t="shared" si="46"/>
        <v>-0.2224687831754574</v>
      </c>
      <c r="Y60">
        <f t="shared" si="47"/>
        <v>3.2365706075062919</v>
      </c>
      <c r="Z60">
        <f t="shared" si="48"/>
        <v>3.4632806860005352</v>
      </c>
      <c r="AA60">
        <f t="shared" si="49"/>
        <v>-46.4753348961043</v>
      </c>
      <c r="AB60">
        <f t="shared" si="50"/>
        <v>-2.8370470048329297</v>
      </c>
      <c r="AC60">
        <f t="shared" si="51"/>
        <v>-0.25185259850063535</v>
      </c>
      <c r="AD60">
        <f t="shared" si="52"/>
        <v>-49.564234499437866</v>
      </c>
      <c r="AE60">
        <v>18</v>
      </c>
      <c r="AF60">
        <v>4</v>
      </c>
      <c r="AG60">
        <f t="shared" si="53"/>
        <v>1</v>
      </c>
      <c r="AH60">
        <f t="shared" si="54"/>
        <v>0</v>
      </c>
      <c r="AI60">
        <f t="shared" si="55"/>
        <v>25695.530482313341</v>
      </c>
      <c r="AJ60">
        <f t="shared" si="56"/>
        <v>0</v>
      </c>
      <c r="AK60">
        <f t="shared" si="57"/>
        <v>0</v>
      </c>
      <c r="AL60">
        <f t="shared" si="58"/>
        <v>0</v>
      </c>
      <c r="AM60">
        <f t="shared" si="59"/>
        <v>0</v>
      </c>
      <c r="AN60">
        <v>3</v>
      </c>
      <c r="AO60">
        <v>0.5</v>
      </c>
      <c r="AP60" t="s">
        <v>331</v>
      </c>
      <c r="AQ60">
        <v>2</v>
      </c>
      <c r="AR60">
        <v>1775506163.75</v>
      </c>
      <c r="AS60">
        <v>56.560220000000001</v>
      </c>
      <c r="AT60">
        <v>57.083759999999991</v>
      </c>
      <c r="AU60">
        <v>-2.2206393333333332</v>
      </c>
      <c r="AV60">
        <v>-2.8543756666666669</v>
      </c>
      <c r="AW60">
        <v>48.806220000000003</v>
      </c>
      <c r="AX60">
        <v>-1.238639333333333</v>
      </c>
      <c r="AY60">
        <v>499.98840000000001</v>
      </c>
      <c r="AZ60">
        <v>100.1451</v>
      </c>
      <c r="BA60">
        <v>3.7212290000000002E-2</v>
      </c>
      <c r="BB60">
        <v>25.29779666666667</v>
      </c>
      <c r="BC60">
        <v>25.319813333333329</v>
      </c>
      <c r="BD60">
        <v>999.9000000000002</v>
      </c>
      <c r="BE60">
        <v>0</v>
      </c>
      <c r="BF60">
        <v>0</v>
      </c>
      <c r="BG60">
        <v>4998.2666666666664</v>
      </c>
      <c r="BH60">
        <v>0.40057726666666671</v>
      </c>
      <c r="BI60">
        <v>0.22961599999999999</v>
      </c>
      <c r="BJ60">
        <v>-0.54308085333333322</v>
      </c>
      <c r="BK60">
        <v>56.415333333333329</v>
      </c>
      <c r="BL60">
        <v>56.921289999999999</v>
      </c>
      <c r="BM60">
        <v>0.63245609999999997</v>
      </c>
      <c r="BN60">
        <v>57.083759999999991</v>
      </c>
      <c r="BO60">
        <v>-2.8543756666666669</v>
      </c>
      <c r="BP60">
        <v>-0.2225143</v>
      </c>
      <c r="BQ60">
        <v>-0.28585169999999999</v>
      </c>
      <c r="BR60">
        <v>-99.900000000000034</v>
      </c>
      <c r="BS60">
        <v>-99.900000000000034</v>
      </c>
      <c r="BT60">
        <v>0</v>
      </c>
      <c r="BU60">
        <v>0</v>
      </c>
      <c r="BV60">
        <v>0</v>
      </c>
      <c r="BW60">
        <v>24</v>
      </c>
      <c r="BX60">
        <v>-1</v>
      </c>
      <c r="BY60">
        <v>1775506194.5</v>
      </c>
      <c r="BZ60" t="s">
        <v>465</v>
      </c>
      <c r="CA60">
        <v>1775506194</v>
      </c>
      <c r="CB60">
        <v>1775506194.5</v>
      </c>
      <c r="CC60">
        <v>47</v>
      </c>
      <c r="CD60">
        <v>1.9E-2</v>
      </c>
      <c r="CE60">
        <v>1E-3</v>
      </c>
      <c r="CF60">
        <v>7.7539999999999996</v>
      </c>
      <c r="CG60">
        <v>-0.98199999999999998</v>
      </c>
      <c r="CH60">
        <v>59</v>
      </c>
      <c r="CI60">
        <v>-3</v>
      </c>
      <c r="CJ60">
        <v>0.38</v>
      </c>
      <c r="CK60">
        <v>0.13</v>
      </c>
      <c r="CL60">
        <v>56.532601666666658</v>
      </c>
      <c r="CM60">
        <v>4.6364082245068809</v>
      </c>
      <c r="CN60">
        <v>0.80199650528990585</v>
      </c>
      <c r="CO60">
        <v>-1</v>
      </c>
      <c r="CP60">
        <v>500.0459166666667</v>
      </c>
      <c r="CQ60">
        <v>-0.66324090024971305</v>
      </c>
      <c r="CR60">
        <v>0.19240809855327889</v>
      </c>
      <c r="CS60">
        <v>-1</v>
      </c>
      <c r="CT60">
        <v>0</v>
      </c>
      <c r="CU60">
        <v>0</v>
      </c>
      <c r="CV60" t="s">
        <v>333</v>
      </c>
      <c r="CW60">
        <v>3.1672899999999999</v>
      </c>
      <c r="CX60">
        <v>2.6587700000000001</v>
      </c>
      <c r="CY60">
        <v>1.4678099999999999E-2</v>
      </c>
      <c r="CZ60">
        <v>1.71819E-2</v>
      </c>
      <c r="DA60">
        <v>-1.1107000000000001E-2</v>
      </c>
      <c r="DB60">
        <v>-2.8791899999999999E-2</v>
      </c>
      <c r="DC60">
        <v>21347.1</v>
      </c>
      <c r="DD60">
        <v>21644.2</v>
      </c>
      <c r="DE60">
        <v>23191.4</v>
      </c>
      <c r="DF60">
        <v>22371.1</v>
      </c>
      <c r="DG60">
        <v>30230.7</v>
      </c>
      <c r="DH60">
        <v>27436.7</v>
      </c>
      <c r="DI60">
        <v>40746.5</v>
      </c>
      <c r="DJ60">
        <v>37066.699999999997</v>
      </c>
      <c r="DK60">
        <v>2.1030600000000002</v>
      </c>
      <c r="DL60">
        <v>1.8599000000000001</v>
      </c>
      <c r="DM60">
        <v>2.49803E-2</v>
      </c>
      <c r="DN60">
        <v>0</v>
      </c>
      <c r="DO60">
        <v>24.91</v>
      </c>
      <c r="DP60">
        <v>999.9</v>
      </c>
      <c r="DQ60">
        <v>82.3</v>
      </c>
      <c r="DR60">
        <v>27.2</v>
      </c>
      <c r="DS60">
        <v>29.758199999999999</v>
      </c>
      <c r="DT60">
        <v>30.9682</v>
      </c>
      <c r="DU60">
        <v>9.0504800000000003</v>
      </c>
      <c r="DV60">
        <v>1</v>
      </c>
      <c r="DW60">
        <v>5.2296700000000002E-2</v>
      </c>
      <c r="DX60">
        <v>-0.23419599999999999</v>
      </c>
      <c r="DY60">
        <v>20.368400000000001</v>
      </c>
      <c r="DZ60">
        <v>5.2129799999999999</v>
      </c>
      <c r="EA60">
        <v>11.8482</v>
      </c>
      <c r="EB60">
        <v>4.9687999999999999</v>
      </c>
      <c r="EC60">
        <v>3.2919999999999998</v>
      </c>
      <c r="ED60">
        <v>894.7</v>
      </c>
      <c r="EE60">
        <v>0</v>
      </c>
      <c r="EF60">
        <v>9999</v>
      </c>
      <c r="EG60">
        <v>113.7</v>
      </c>
      <c r="EH60">
        <v>4.9716699999999996</v>
      </c>
      <c r="EI60">
        <v>1.8717999999999999</v>
      </c>
      <c r="EJ60">
        <v>1.8689100000000001</v>
      </c>
      <c r="EK60">
        <v>1.87134</v>
      </c>
      <c r="EL60">
        <v>1.8690500000000001</v>
      </c>
      <c r="EM60">
        <v>1.8680000000000001</v>
      </c>
      <c r="EN60">
        <v>1.8698900000000001</v>
      </c>
      <c r="EO60">
        <v>1.87164</v>
      </c>
      <c r="EP60">
        <v>0</v>
      </c>
      <c r="EQ60">
        <v>0</v>
      </c>
      <c r="ER60">
        <v>0</v>
      </c>
      <c r="ES60">
        <v>0</v>
      </c>
      <c r="ET60" t="s">
        <v>334</v>
      </c>
      <c r="EU60" t="s">
        <v>335</v>
      </c>
      <c r="EV60" t="s">
        <v>336</v>
      </c>
      <c r="EW60" t="s">
        <v>336</v>
      </c>
      <c r="EX60" t="s">
        <v>336</v>
      </c>
      <c r="EY60" t="s">
        <v>336</v>
      </c>
      <c r="EZ60">
        <v>0</v>
      </c>
      <c r="FA60">
        <v>100</v>
      </c>
      <c r="FB60">
        <v>100</v>
      </c>
      <c r="FC60">
        <v>7.7539999999999996</v>
      </c>
      <c r="FD60">
        <v>-0.98199999999999998</v>
      </c>
      <c r="FE60">
        <v>7.7344599999999843</v>
      </c>
      <c r="FF60">
        <v>0</v>
      </c>
      <c r="FG60">
        <v>0</v>
      </c>
      <c r="FH60">
        <v>0</v>
      </c>
      <c r="FI60">
        <v>-0.98327999999999927</v>
      </c>
      <c r="FJ60">
        <v>0</v>
      </c>
      <c r="FK60">
        <v>0</v>
      </c>
      <c r="FL60">
        <v>0</v>
      </c>
      <c r="FM60">
        <v>-1</v>
      </c>
      <c r="FN60">
        <v>-1</v>
      </c>
      <c r="FO60">
        <v>-1</v>
      </c>
      <c r="FP60">
        <v>-1</v>
      </c>
      <c r="FQ60">
        <v>0.8</v>
      </c>
      <c r="FR60">
        <v>0.6</v>
      </c>
      <c r="FS60">
        <v>0.142822</v>
      </c>
      <c r="FT60">
        <v>4.99756</v>
      </c>
      <c r="FU60">
        <v>1.5979000000000001</v>
      </c>
      <c r="FV60">
        <v>2.16553</v>
      </c>
      <c r="FW60">
        <v>1.5478499999999999</v>
      </c>
      <c r="FX60">
        <v>2.4169900000000002</v>
      </c>
      <c r="FY60">
        <v>31.826899999999998</v>
      </c>
      <c r="FZ60">
        <v>16.1371</v>
      </c>
      <c r="GA60">
        <v>3</v>
      </c>
      <c r="GB60">
        <v>492.09699999999998</v>
      </c>
      <c r="GC60">
        <v>427.49599999999998</v>
      </c>
      <c r="GD60">
        <v>26.009</v>
      </c>
      <c r="GE60">
        <v>27.903700000000001</v>
      </c>
      <c r="GF60">
        <v>30.0001</v>
      </c>
      <c r="GG60">
        <v>28.223600000000001</v>
      </c>
      <c r="GH60">
        <v>28.280200000000001</v>
      </c>
      <c r="GI60">
        <v>-1</v>
      </c>
      <c r="GJ60">
        <v>0</v>
      </c>
      <c r="GK60">
        <v>100</v>
      </c>
      <c r="GL60">
        <v>26.009599999999999</v>
      </c>
      <c r="GM60">
        <v>432.1</v>
      </c>
      <c r="GN60">
        <v>63.216500000000003</v>
      </c>
      <c r="GO60">
        <v>102.57599999999999</v>
      </c>
      <c r="GP60">
        <v>96.728700000000003</v>
      </c>
    </row>
    <row r="61" spans="1:198" x14ac:dyDescent="0.35">
      <c r="A61">
        <v>45</v>
      </c>
      <c r="B61">
        <v>1775506231.5</v>
      </c>
      <c r="C61">
        <v>2640.5</v>
      </c>
      <c r="D61" t="s">
        <v>466</v>
      </c>
      <c r="E61" t="s">
        <v>467</v>
      </c>
      <c r="F61">
        <v>60</v>
      </c>
      <c r="G61">
        <v>1775506223.5</v>
      </c>
      <c r="H61">
        <f t="shared" si="30"/>
        <v>1.0665717594862483E-3</v>
      </c>
      <c r="I61">
        <f t="shared" si="31"/>
        <v>1.0665717594862483</v>
      </c>
      <c r="J61">
        <f t="shared" si="32"/>
        <v>0.27902869644237027</v>
      </c>
      <c r="K61">
        <f t="shared" si="33"/>
        <v>58.586209677419369</v>
      </c>
      <c r="L61">
        <f t="shared" si="34"/>
        <v>41.115937033000094</v>
      </c>
      <c r="M61">
        <f t="shared" si="35"/>
        <v>4.1191638465439784</v>
      </c>
      <c r="N61">
        <f t="shared" si="36"/>
        <v>5.8694076852870891</v>
      </c>
      <c r="O61">
        <f t="shared" si="37"/>
        <v>3.0609362420666027E-2</v>
      </c>
      <c r="P61">
        <f t="shared" si="38"/>
        <v>2.3901624133091786</v>
      </c>
      <c r="Q61">
        <f t="shared" si="39"/>
        <v>3.0393247074386894E-2</v>
      </c>
      <c r="R61">
        <f t="shared" si="40"/>
        <v>1.9015069210681843E-2</v>
      </c>
      <c r="S61">
        <f t="shared" si="41"/>
        <v>0</v>
      </c>
      <c r="T61">
        <f t="shared" si="42"/>
        <v>24.963555977122592</v>
      </c>
      <c r="U61">
        <f t="shared" si="43"/>
        <v>25.315406451612901</v>
      </c>
      <c r="V61">
        <f t="shared" si="44"/>
        <v>3.2399625716941283</v>
      </c>
      <c r="W61">
        <f t="shared" si="45"/>
        <v>-6.8833513016832164</v>
      </c>
      <c r="X61">
        <f t="shared" si="46"/>
        <v>-0.22279803584253541</v>
      </c>
      <c r="Y61">
        <f t="shared" si="47"/>
        <v>3.2367668898150472</v>
      </c>
      <c r="Z61">
        <f t="shared" si="48"/>
        <v>3.4627606075366635</v>
      </c>
      <c r="AA61">
        <f t="shared" si="49"/>
        <v>-47.035814593343552</v>
      </c>
      <c r="AB61">
        <f t="shared" si="50"/>
        <v>-2.1378030209121515</v>
      </c>
      <c r="AC61">
        <f t="shared" si="51"/>
        <v>-0.18977644269882843</v>
      </c>
      <c r="AD61">
        <f t="shared" si="52"/>
        <v>-49.363394056954533</v>
      </c>
      <c r="AE61">
        <v>18</v>
      </c>
      <c r="AF61">
        <v>4</v>
      </c>
      <c r="AG61">
        <f t="shared" si="53"/>
        <v>1</v>
      </c>
      <c r="AH61">
        <f t="shared" si="54"/>
        <v>0</v>
      </c>
      <c r="AI61">
        <f t="shared" si="55"/>
        <v>25695.204469386812</v>
      </c>
      <c r="AJ61">
        <f t="shared" si="56"/>
        <v>0</v>
      </c>
      <c r="AK61">
        <f t="shared" si="57"/>
        <v>0</v>
      </c>
      <c r="AL61">
        <f t="shared" si="58"/>
        <v>0</v>
      </c>
      <c r="AM61">
        <f t="shared" si="59"/>
        <v>0</v>
      </c>
      <c r="AN61">
        <v>3</v>
      </c>
      <c r="AO61">
        <v>0.5</v>
      </c>
      <c r="AP61" t="s">
        <v>331</v>
      </c>
      <c r="AQ61">
        <v>2</v>
      </c>
      <c r="AR61">
        <v>1775506223.5</v>
      </c>
      <c r="AS61">
        <v>58.586209677419369</v>
      </c>
      <c r="AT61">
        <v>58.791116129032261</v>
      </c>
      <c r="AU61">
        <v>-2.2238858064516132</v>
      </c>
      <c r="AV61">
        <v>-2.8652438709677419</v>
      </c>
      <c r="AW61">
        <v>50.788209677419367</v>
      </c>
      <c r="AX61">
        <v>-1.241885806451613</v>
      </c>
      <c r="AY61">
        <v>500.00635483870968</v>
      </c>
      <c r="AZ61">
        <v>100.1466129032258</v>
      </c>
      <c r="BA61">
        <v>3.7504103225806447E-2</v>
      </c>
      <c r="BB61">
        <v>25.298816129032272</v>
      </c>
      <c r="BC61">
        <v>25.315406451612901</v>
      </c>
      <c r="BD61">
        <v>999.90000000000032</v>
      </c>
      <c r="BE61">
        <v>0</v>
      </c>
      <c r="BF61">
        <v>0</v>
      </c>
      <c r="BG61">
        <v>4998.1612903225796</v>
      </c>
      <c r="BH61">
        <v>0.38216280645161288</v>
      </c>
      <c r="BI61">
        <v>0.22961599999999999</v>
      </c>
      <c r="BJ61">
        <v>-0.24916041935483871</v>
      </c>
      <c r="BK61">
        <v>58.412029032258069</v>
      </c>
      <c r="BL61">
        <v>58.623138709677413</v>
      </c>
      <c r="BM61">
        <v>0.64109254838709673</v>
      </c>
      <c r="BN61">
        <v>58.791116129032261</v>
      </c>
      <c r="BO61">
        <v>-2.8652438709677419</v>
      </c>
      <c r="BP61">
        <v>-0.22274119354838709</v>
      </c>
      <c r="BQ61">
        <v>-0.28694438709677422</v>
      </c>
      <c r="BR61">
        <v>-99.900000000000034</v>
      </c>
      <c r="BS61">
        <v>-99.900000000000034</v>
      </c>
      <c r="BT61">
        <v>0</v>
      </c>
      <c r="BU61">
        <v>0</v>
      </c>
      <c r="BV61">
        <v>0</v>
      </c>
      <c r="BW61">
        <v>24</v>
      </c>
      <c r="BX61">
        <v>-1</v>
      </c>
      <c r="BY61">
        <v>1775506252</v>
      </c>
      <c r="BZ61" t="s">
        <v>468</v>
      </c>
      <c r="CA61">
        <v>1775506246.5</v>
      </c>
      <c r="CB61">
        <v>1775506252</v>
      </c>
      <c r="CC61">
        <v>48</v>
      </c>
      <c r="CD61">
        <v>4.3999999999999997E-2</v>
      </c>
      <c r="CE61">
        <v>0</v>
      </c>
      <c r="CF61">
        <v>7.798</v>
      </c>
      <c r="CG61">
        <v>-0.98199999999999998</v>
      </c>
      <c r="CH61">
        <v>59</v>
      </c>
      <c r="CI61">
        <v>-3</v>
      </c>
      <c r="CJ61">
        <v>0.28000000000000003</v>
      </c>
      <c r="CK61">
        <v>0.12</v>
      </c>
      <c r="CL61">
        <v>58.75436666666667</v>
      </c>
      <c r="CM61">
        <v>0.13671731036413109</v>
      </c>
      <c r="CN61">
        <v>0.11458188871816601</v>
      </c>
      <c r="CO61">
        <v>-1</v>
      </c>
      <c r="CP61">
        <v>500.21910000000003</v>
      </c>
      <c r="CQ61">
        <v>-2.292996943596219</v>
      </c>
      <c r="CR61">
        <v>0.73486181694248021</v>
      </c>
      <c r="CS61">
        <v>-1</v>
      </c>
      <c r="CT61">
        <v>0</v>
      </c>
      <c r="CU61">
        <v>0</v>
      </c>
      <c r="CV61" t="s">
        <v>333</v>
      </c>
      <c r="CW61">
        <v>3.1673499999999999</v>
      </c>
      <c r="CX61">
        <v>2.6585800000000002</v>
      </c>
      <c r="CY61">
        <v>1.51758E-2</v>
      </c>
      <c r="CZ61">
        <v>1.75236E-2</v>
      </c>
      <c r="DA61">
        <v>-1.11533E-2</v>
      </c>
      <c r="DB61">
        <v>-2.8918599999999999E-2</v>
      </c>
      <c r="DC61">
        <v>21336</v>
      </c>
      <c r="DD61">
        <v>21637.3</v>
      </c>
      <c r="DE61">
        <v>23191.1</v>
      </c>
      <c r="DF61">
        <v>22371.8</v>
      </c>
      <c r="DG61">
        <v>30231.8</v>
      </c>
      <c r="DH61">
        <v>27440.7</v>
      </c>
      <c r="DI61">
        <v>40746.1</v>
      </c>
      <c r="DJ61">
        <v>37067.599999999999</v>
      </c>
      <c r="DK61">
        <v>2.1031399999999998</v>
      </c>
      <c r="DL61">
        <v>1.8601000000000001</v>
      </c>
      <c r="DM61">
        <v>2.4503500000000001E-2</v>
      </c>
      <c r="DN61">
        <v>0</v>
      </c>
      <c r="DO61">
        <v>24.9084</v>
      </c>
      <c r="DP61">
        <v>999.9</v>
      </c>
      <c r="DQ61">
        <v>82.2</v>
      </c>
      <c r="DR61">
        <v>27.2</v>
      </c>
      <c r="DS61">
        <v>29.723099999999999</v>
      </c>
      <c r="DT61">
        <v>30.8782</v>
      </c>
      <c r="DU61">
        <v>8.8140999999999998</v>
      </c>
      <c r="DV61">
        <v>1</v>
      </c>
      <c r="DW61">
        <v>5.1888200000000002E-2</v>
      </c>
      <c r="DX61">
        <v>-0.23543600000000001</v>
      </c>
      <c r="DY61">
        <v>20.368400000000001</v>
      </c>
      <c r="DZ61">
        <v>5.2112999999999996</v>
      </c>
      <c r="EA61">
        <v>11.8482</v>
      </c>
      <c r="EB61">
        <v>4.9684799999999996</v>
      </c>
      <c r="EC61">
        <v>3.2919999999999998</v>
      </c>
      <c r="ED61">
        <v>894.7</v>
      </c>
      <c r="EE61">
        <v>0</v>
      </c>
      <c r="EF61">
        <v>9999</v>
      </c>
      <c r="EG61">
        <v>113.7</v>
      </c>
      <c r="EH61">
        <v>4.9716399999999998</v>
      </c>
      <c r="EI61">
        <v>1.8717999999999999</v>
      </c>
      <c r="EJ61">
        <v>1.8689</v>
      </c>
      <c r="EK61">
        <v>1.87134</v>
      </c>
      <c r="EL61">
        <v>1.8690500000000001</v>
      </c>
      <c r="EM61">
        <v>1.8680099999999999</v>
      </c>
      <c r="EN61">
        <v>1.86985</v>
      </c>
      <c r="EO61">
        <v>1.87165</v>
      </c>
      <c r="EP61">
        <v>0</v>
      </c>
      <c r="EQ61">
        <v>0</v>
      </c>
      <c r="ER61">
        <v>0</v>
      </c>
      <c r="ES61">
        <v>0</v>
      </c>
      <c r="ET61" t="s">
        <v>334</v>
      </c>
      <c r="EU61" t="s">
        <v>335</v>
      </c>
      <c r="EV61" t="s">
        <v>336</v>
      </c>
      <c r="EW61" t="s">
        <v>336</v>
      </c>
      <c r="EX61" t="s">
        <v>336</v>
      </c>
      <c r="EY61" t="s">
        <v>336</v>
      </c>
      <c r="EZ61">
        <v>0</v>
      </c>
      <c r="FA61">
        <v>100</v>
      </c>
      <c r="FB61">
        <v>100</v>
      </c>
      <c r="FC61">
        <v>7.798</v>
      </c>
      <c r="FD61">
        <v>-0.98199999999999998</v>
      </c>
      <c r="FE61">
        <v>7.7537333333333152</v>
      </c>
      <c r="FF61">
        <v>0</v>
      </c>
      <c r="FG61">
        <v>0</v>
      </c>
      <c r="FH61">
        <v>0</v>
      </c>
      <c r="FI61">
        <v>-0.98226500000000039</v>
      </c>
      <c r="FJ61">
        <v>0</v>
      </c>
      <c r="FK61">
        <v>0</v>
      </c>
      <c r="FL61">
        <v>0</v>
      </c>
      <c r="FM61">
        <v>-1</v>
      </c>
      <c r="FN61">
        <v>-1</v>
      </c>
      <c r="FO61">
        <v>-1</v>
      </c>
      <c r="FP61">
        <v>-1</v>
      </c>
      <c r="FQ61">
        <v>0.6</v>
      </c>
      <c r="FR61">
        <v>0.6</v>
      </c>
      <c r="FS61">
        <v>0.142822</v>
      </c>
      <c r="FT61">
        <v>4.99756</v>
      </c>
      <c r="FU61">
        <v>1.5979000000000001</v>
      </c>
      <c r="FV61">
        <v>2.16797</v>
      </c>
      <c r="FW61">
        <v>1.5478499999999999</v>
      </c>
      <c r="FX61">
        <v>2.3584000000000001</v>
      </c>
      <c r="FY61">
        <v>31.848800000000001</v>
      </c>
      <c r="FZ61">
        <v>16.128399999999999</v>
      </c>
      <c r="GA61">
        <v>3</v>
      </c>
      <c r="GB61">
        <v>492.10500000000002</v>
      </c>
      <c r="GC61">
        <v>427.58</v>
      </c>
      <c r="GD61">
        <v>26.008600000000001</v>
      </c>
      <c r="GE61">
        <v>27.898900000000001</v>
      </c>
      <c r="GF61">
        <v>30</v>
      </c>
      <c r="GG61">
        <v>28.218900000000001</v>
      </c>
      <c r="GH61">
        <v>28.275500000000001</v>
      </c>
      <c r="GI61">
        <v>-1</v>
      </c>
      <c r="GJ61">
        <v>0</v>
      </c>
      <c r="GK61">
        <v>100</v>
      </c>
      <c r="GL61">
        <v>26.011600000000001</v>
      </c>
      <c r="GM61">
        <v>432.1</v>
      </c>
      <c r="GN61">
        <v>63.216500000000003</v>
      </c>
      <c r="GO61">
        <v>102.575</v>
      </c>
      <c r="GP61">
        <v>96.731200000000001</v>
      </c>
    </row>
    <row r="62" spans="1:198" x14ac:dyDescent="0.35">
      <c r="A62">
        <v>46</v>
      </c>
      <c r="B62">
        <v>1775506291.5</v>
      </c>
      <c r="C62">
        <v>2700.5</v>
      </c>
      <c r="D62" t="s">
        <v>469</v>
      </c>
      <c r="E62" t="s">
        <v>470</v>
      </c>
      <c r="F62">
        <v>60</v>
      </c>
      <c r="G62">
        <v>1775506283.75</v>
      </c>
      <c r="H62">
        <f t="shared" si="30"/>
        <v>1.0761672457963848E-3</v>
      </c>
      <c r="I62">
        <f t="shared" si="31"/>
        <v>1.0761672457963849</v>
      </c>
      <c r="J62">
        <f t="shared" si="32"/>
        <v>0.16474758310618262</v>
      </c>
      <c r="K62">
        <f t="shared" si="33"/>
        <v>58.658763333333333</v>
      </c>
      <c r="L62">
        <f t="shared" si="34"/>
        <v>47.10094018968136</v>
      </c>
      <c r="M62">
        <f t="shared" si="35"/>
        <v>4.7188123634324581</v>
      </c>
      <c r="N62">
        <f t="shared" si="36"/>
        <v>5.8767340211529744</v>
      </c>
      <c r="O62">
        <f t="shared" si="37"/>
        <v>3.087312152810966E-2</v>
      </c>
      <c r="P62">
        <f t="shared" si="38"/>
        <v>2.3903830358075897</v>
      </c>
      <c r="Q62">
        <f t="shared" si="39"/>
        <v>3.065330019663182E-2</v>
      </c>
      <c r="R62">
        <f t="shared" si="40"/>
        <v>1.9177932105340027E-2</v>
      </c>
      <c r="S62">
        <f t="shared" si="41"/>
        <v>0</v>
      </c>
      <c r="T62">
        <f t="shared" si="42"/>
        <v>24.966684028841058</v>
      </c>
      <c r="U62">
        <f t="shared" si="43"/>
        <v>25.32489</v>
      </c>
      <c r="V62">
        <f t="shared" si="44"/>
        <v>3.2417905616369089</v>
      </c>
      <c r="W62">
        <f t="shared" si="45"/>
        <v>-6.8709803193200329</v>
      </c>
      <c r="X62">
        <f t="shared" si="46"/>
        <v>-0.22247851168210006</v>
      </c>
      <c r="Y62">
        <f t="shared" si="47"/>
        <v>3.2379442429274343</v>
      </c>
      <c r="Z62">
        <f t="shared" si="48"/>
        <v>3.4642690733190089</v>
      </c>
      <c r="AA62">
        <f t="shared" si="49"/>
        <v>-47.458975539620567</v>
      </c>
      <c r="AB62">
        <f t="shared" si="50"/>
        <v>-2.5722517913188838</v>
      </c>
      <c r="AC62">
        <f t="shared" si="51"/>
        <v>-0.22834003821544133</v>
      </c>
      <c r="AD62">
        <f t="shared" si="52"/>
        <v>-50.259567369154894</v>
      </c>
      <c r="AE62">
        <v>18</v>
      </c>
      <c r="AF62">
        <v>4</v>
      </c>
      <c r="AG62">
        <f t="shared" si="53"/>
        <v>1</v>
      </c>
      <c r="AH62">
        <f t="shared" si="54"/>
        <v>0</v>
      </c>
      <c r="AI62">
        <f t="shared" si="55"/>
        <v>25698.003540486392</v>
      </c>
      <c r="AJ62">
        <f t="shared" si="56"/>
        <v>0</v>
      </c>
      <c r="AK62">
        <f t="shared" si="57"/>
        <v>0</v>
      </c>
      <c r="AL62">
        <f t="shared" si="58"/>
        <v>0</v>
      </c>
      <c r="AM62">
        <f t="shared" si="59"/>
        <v>0</v>
      </c>
      <c r="AN62">
        <v>3</v>
      </c>
      <c r="AO62">
        <v>0.5</v>
      </c>
      <c r="AP62" t="s">
        <v>331</v>
      </c>
      <c r="AQ62">
        <v>2</v>
      </c>
      <c r="AR62">
        <v>1775506283.75</v>
      </c>
      <c r="AS62">
        <v>58.658763333333333</v>
      </c>
      <c r="AT62">
        <v>58.795490000000001</v>
      </c>
      <c r="AU62">
        <v>-2.220674666666667</v>
      </c>
      <c r="AV62">
        <v>-2.8678189999999999</v>
      </c>
      <c r="AW62">
        <v>50.927763333333331</v>
      </c>
      <c r="AX62">
        <v>-1.239674666666666</v>
      </c>
      <c r="AY62">
        <v>499.99220000000003</v>
      </c>
      <c r="AZ62">
        <v>100.1478666666667</v>
      </c>
      <c r="BA62">
        <v>3.7232493333333339E-2</v>
      </c>
      <c r="BB62">
        <v>25.304930000000009</v>
      </c>
      <c r="BC62">
        <v>25.32489</v>
      </c>
      <c r="BD62">
        <v>999.9000000000002</v>
      </c>
      <c r="BE62">
        <v>0</v>
      </c>
      <c r="BF62">
        <v>0</v>
      </c>
      <c r="BG62">
        <v>4998.666666666667</v>
      </c>
      <c r="BH62">
        <v>0.39124680000000001</v>
      </c>
      <c r="BI62">
        <v>0.23344266666666669</v>
      </c>
      <c r="BJ62">
        <v>-6.9598996666666663E-2</v>
      </c>
      <c r="BK62">
        <v>58.595696666666669</v>
      </c>
      <c r="BL62">
        <v>58.627369999999999</v>
      </c>
      <c r="BM62">
        <v>0.64589379999999996</v>
      </c>
      <c r="BN62">
        <v>58.795490000000001</v>
      </c>
      <c r="BO62">
        <v>-2.8678189999999999</v>
      </c>
      <c r="BP62">
        <v>-0.22252103333333331</v>
      </c>
      <c r="BQ62">
        <v>-0.28720593333333327</v>
      </c>
      <c r="BR62">
        <v>-99.900000000000034</v>
      </c>
      <c r="BS62">
        <v>-99.900000000000034</v>
      </c>
      <c r="BT62">
        <v>0</v>
      </c>
      <c r="BU62">
        <v>0</v>
      </c>
      <c r="BV62">
        <v>0</v>
      </c>
      <c r="BW62">
        <v>24</v>
      </c>
      <c r="BX62">
        <v>-1</v>
      </c>
      <c r="BY62">
        <v>1775506312.5</v>
      </c>
      <c r="BZ62" t="s">
        <v>471</v>
      </c>
      <c r="CA62">
        <v>1775506310</v>
      </c>
      <c r="CB62">
        <v>1775506312.5</v>
      </c>
      <c r="CC62">
        <v>49</v>
      </c>
      <c r="CD62">
        <v>-6.7000000000000004E-2</v>
      </c>
      <c r="CE62">
        <v>2E-3</v>
      </c>
      <c r="CF62">
        <v>7.7309999999999999</v>
      </c>
      <c r="CG62">
        <v>-0.98099999999999998</v>
      </c>
      <c r="CH62">
        <v>57</v>
      </c>
      <c r="CI62">
        <v>-3</v>
      </c>
      <c r="CJ62">
        <v>0.33</v>
      </c>
      <c r="CK62">
        <v>0.12</v>
      </c>
      <c r="CL62">
        <v>58.810519672131129</v>
      </c>
      <c r="CM62">
        <v>-0.15699249074567909</v>
      </c>
      <c r="CN62">
        <v>0.1356701989815588</v>
      </c>
      <c r="CO62">
        <v>-1</v>
      </c>
      <c r="CP62">
        <v>500.01650819672142</v>
      </c>
      <c r="CQ62">
        <v>-0.25286303543048111</v>
      </c>
      <c r="CR62">
        <v>0.1026400080099837</v>
      </c>
      <c r="CS62">
        <v>-1</v>
      </c>
      <c r="CT62">
        <v>0</v>
      </c>
      <c r="CU62">
        <v>0</v>
      </c>
      <c r="CV62" t="s">
        <v>333</v>
      </c>
      <c r="CW62">
        <v>3.16743</v>
      </c>
      <c r="CX62">
        <v>2.65869</v>
      </c>
      <c r="CY62">
        <v>1.5148099999999999E-2</v>
      </c>
      <c r="CZ62">
        <v>1.7405299999999999E-2</v>
      </c>
      <c r="DA62">
        <v>-1.11298E-2</v>
      </c>
      <c r="DB62">
        <v>-2.89746E-2</v>
      </c>
      <c r="DC62">
        <v>21336.400000000001</v>
      </c>
      <c r="DD62">
        <v>21640.7</v>
      </c>
      <c r="DE62">
        <v>23190.9</v>
      </c>
      <c r="DF62">
        <v>22372.6</v>
      </c>
      <c r="DG62">
        <v>30230.799999999999</v>
      </c>
      <c r="DH62">
        <v>27443</v>
      </c>
      <c r="DI62">
        <v>40745.699999999997</v>
      </c>
      <c r="DJ62">
        <v>37068.699999999997</v>
      </c>
      <c r="DK62">
        <v>2.1034999999999999</v>
      </c>
      <c r="DL62">
        <v>1.8601799999999999</v>
      </c>
      <c r="DM62">
        <v>2.4825300000000002E-2</v>
      </c>
      <c r="DN62">
        <v>0</v>
      </c>
      <c r="DO62">
        <v>24.91</v>
      </c>
      <c r="DP62">
        <v>999.9</v>
      </c>
      <c r="DQ62">
        <v>82.1</v>
      </c>
      <c r="DR62">
        <v>27.3</v>
      </c>
      <c r="DS62">
        <v>29.863</v>
      </c>
      <c r="DT62">
        <v>30.6982</v>
      </c>
      <c r="DU62">
        <v>8.9823699999999995</v>
      </c>
      <c r="DV62">
        <v>1</v>
      </c>
      <c r="DW62">
        <v>5.1445100000000001E-2</v>
      </c>
      <c r="DX62">
        <v>-0.19159300000000001</v>
      </c>
      <c r="DY62">
        <v>20.368500000000001</v>
      </c>
      <c r="DZ62">
        <v>5.2125000000000004</v>
      </c>
      <c r="EA62">
        <v>11.8482</v>
      </c>
      <c r="EB62">
        <v>4.9676799999999997</v>
      </c>
      <c r="EC62">
        <v>3.2919999999999998</v>
      </c>
      <c r="ED62">
        <v>894.7</v>
      </c>
      <c r="EE62">
        <v>0</v>
      </c>
      <c r="EF62">
        <v>9999</v>
      </c>
      <c r="EG62">
        <v>113.7</v>
      </c>
      <c r="EH62">
        <v>4.9716399999999998</v>
      </c>
      <c r="EI62">
        <v>1.8717999999999999</v>
      </c>
      <c r="EJ62">
        <v>1.8689</v>
      </c>
      <c r="EK62">
        <v>1.87134</v>
      </c>
      <c r="EL62">
        <v>1.8690500000000001</v>
      </c>
      <c r="EM62">
        <v>1.8680000000000001</v>
      </c>
      <c r="EN62">
        <v>1.8698399999999999</v>
      </c>
      <c r="EO62">
        <v>1.8716600000000001</v>
      </c>
      <c r="EP62">
        <v>0</v>
      </c>
      <c r="EQ62">
        <v>0</v>
      </c>
      <c r="ER62">
        <v>0</v>
      </c>
      <c r="ES62">
        <v>0</v>
      </c>
      <c r="ET62" t="s">
        <v>334</v>
      </c>
      <c r="EU62" t="s">
        <v>335</v>
      </c>
      <c r="EV62" t="s">
        <v>336</v>
      </c>
      <c r="EW62" t="s">
        <v>336</v>
      </c>
      <c r="EX62" t="s">
        <v>336</v>
      </c>
      <c r="EY62" t="s">
        <v>336</v>
      </c>
      <c r="EZ62">
        <v>0</v>
      </c>
      <c r="FA62">
        <v>100</v>
      </c>
      <c r="FB62">
        <v>100</v>
      </c>
      <c r="FC62">
        <v>7.7309999999999999</v>
      </c>
      <c r="FD62">
        <v>-0.98099999999999998</v>
      </c>
      <c r="FE62">
        <v>7.7981349999999949</v>
      </c>
      <c r="FF62">
        <v>0</v>
      </c>
      <c r="FG62">
        <v>0</v>
      </c>
      <c r="FH62">
        <v>0</v>
      </c>
      <c r="FI62">
        <v>-0.98224952380952346</v>
      </c>
      <c r="FJ62">
        <v>0</v>
      </c>
      <c r="FK62">
        <v>0</v>
      </c>
      <c r="FL62">
        <v>0</v>
      </c>
      <c r="FM62">
        <v>-1</v>
      </c>
      <c r="FN62">
        <v>-1</v>
      </c>
      <c r="FO62">
        <v>-1</v>
      </c>
      <c r="FP62">
        <v>-1</v>
      </c>
      <c r="FQ62">
        <v>0.8</v>
      </c>
      <c r="FR62">
        <v>0.7</v>
      </c>
      <c r="FS62">
        <v>0.142822</v>
      </c>
      <c r="FT62">
        <v>4.99756</v>
      </c>
      <c r="FU62">
        <v>1.5979000000000001</v>
      </c>
      <c r="FV62">
        <v>2.16675</v>
      </c>
      <c r="FW62">
        <v>1.5478499999999999</v>
      </c>
      <c r="FX62">
        <v>2.4389599999999998</v>
      </c>
      <c r="FY62">
        <v>31.870699999999999</v>
      </c>
      <c r="FZ62">
        <v>16.128399999999999</v>
      </c>
      <c r="GA62">
        <v>3</v>
      </c>
      <c r="GB62">
        <v>492.27300000000002</v>
      </c>
      <c r="GC62">
        <v>427.59300000000002</v>
      </c>
      <c r="GD62">
        <v>25.990400000000001</v>
      </c>
      <c r="GE62">
        <v>27.894200000000001</v>
      </c>
      <c r="GF62">
        <v>30.0001</v>
      </c>
      <c r="GG62">
        <v>28.214200000000002</v>
      </c>
      <c r="GH62">
        <v>28.270800000000001</v>
      </c>
      <c r="GI62">
        <v>-1</v>
      </c>
      <c r="GJ62">
        <v>0</v>
      </c>
      <c r="GK62">
        <v>100</v>
      </c>
      <c r="GL62">
        <v>25.987200000000001</v>
      </c>
      <c r="GM62">
        <v>432.1</v>
      </c>
      <c r="GN62">
        <v>63.216500000000003</v>
      </c>
      <c r="GO62">
        <v>102.57299999999999</v>
      </c>
      <c r="GP62">
        <v>96.734399999999994</v>
      </c>
    </row>
    <row r="63" spans="1:198" x14ac:dyDescent="0.35">
      <c r="A63">
        <v>47</v>
      </c>
      <c r="B63">
        <v>1775506351.5</v>
      </c>
      <c r="C63">
        <v>2760.5</v>
      </c>
      <c r="D63" t="s">
        <v>472</v>
      </c>
      <c r="E63" t="s">
        <v>473</v>
      </c>
      <c r="F63">
        <v>60</v>
      </c>
      <c r="G63">
        <v>1775506343.5</v>
      </c>
      <c r="H63">
        <f t="shared" si="30"/>
        <v>1.0557783502231982E-3</v>
      </c>
      <c r="I63">
        <f t="shared" si="31"/>
        <v>1.0557783502231981</v>
      </c>
      <c r="J63">
        <f t="shared" si="32"/>
        <v>0.70633498305976306</v>
      </c>
      <c r="K63">
        <f t="shared" si="33"/>
        <v>57.193316129032247</v>
      </c>
      <c r="L63">
        <f t="shared" si="34"/>
        <v>17.556537255907749</v>
      </c>
      <c r="M63">
        <f t="shared" si="35"/>
        <v>1.75891392438148</v>
      </c>
      <c r="N63">
        <f t="shared" si="36"/>
        <v>5.729952248246196</v>
      </c>
      <c r="O63">
        <f t="shared" si="37"/>
        <v>3.0286225039258534E-2</v>
      </c>
      <c r="P63">
        <f t="shared" si="38"/>
        <v>2.3942018606990345</v>
      </c>
      <c r="Q63">
        <f t="shared" si="39"/>
        <v>3.0074985875970486E-2</v>
      </c>
      <c r="R63">
        <f t="shared" si="40"/>
        <v>1.8815722233385974E-2</v>
      </c>
      <c r="S63">
        <f t="shared" si="41"/>
        <v>0</v>
      </c>
      <c r="T63">
        <f t="shared" si="42"/>
        <v>24.964162162976393</v>
      </c>
      <c r="U63">
        <f t="shared" si="43"/>
        <v>25.316725806451611</v>
      </c>
      <c r="V63">
        <f t="shared" si="44"/>
        <v>3.2402168284029291</v>
      </c>
      <c r="W63">
        <f t="shared" si="45"/>
        <v>-6.9170230457009154</v>
      </c>
      <c r="X63">
        <f t="shared" si="46"/>
        <v>-0.22384396590318853</v>
      </c>
      <c r="Y63">
        <f t="shared" si="47"/>
        <v>3.2361315615727575</v>
      </c>
      <c r="Z63">
        <f t="shared" si="48"/>
        <v>3.4640607943061177</v>
      </c>
      <c r="AA63">
        <f t="shared" si="49"/>
        <v>-46.55982524484304</v>
      </c>
      <c r="AB63">
        <f t="shared" si="50"/>
        <v>-2.7376647917574677</v>
      </c>
      <c r="AC63">
        <f t="shared" si="51"/>
        <v>-0.24261475485644257</v>
      </c>
      <c r="AD63">
        <f t="shared" si="52"/>
        <v>-49.540104791456947</v>
      </c>
      <c r="AE63">
        <v>18</v>
      </c>
      <c r="AF63">
        <v>4</v>
      </c>
      <c r="AG63">
        <f t="shared" si="53"/>
        <v>1</v>
      </c>
      <c r="AH63">
        <f t="shared" si="54"/>
        <v>0</v>
      </c>
      <c r="AI63">
        <f t="shared" si="55"/>
        <v>25757.232873353609</v>
      </c>
      <c r="AJ63">
        <f t="shared" si="56"/>
        <v>0</v>
      </c>
      <c r="AK63">
        <f t="shared" si="57"/>
        <v>0</v>
      </c>
      <c r="AL63">
        <f t="shared" si="58"/>
        <v>0</v>
      </c>
      <c r="AM63">
        <f t="shared" si="59"/>
        <v>0</v>
      </c>
      <c r="AN63">
        <v>3</v>
      </c>
      <c r="AO63">
        <v>0.5</v>
      </c>
      <c r="AP63" t="s">
        <v>331</v>
      </c>
      <c r="AQ63">
        <v>2</v>
      </c>
      <c r="AR63">
        <v>1775506343.5</v>
      </c>
      <c r="AS63">
        <v>57.193316129032247</v>
      </c>
      <c r="AT63">
        <v>57.653338709677421</v>
      </c>
      <c r="AU63">
        <v>-2.2342906451612898</v>
      </c>
      <c r="AV63">
        <v>-2.8691612903225812</v>
      </c>
      <c r="AW63">
        <v>49.443316129032247</v>
      </c>
      <c r="AX63">
        <v>-1.2522906451612901</v>
      </c>
      <c r="AY63">
        <v>500.00922580645158</v>
      </c>
      <c r="AZ63">
        <v>100.1485161290322</v>
      </c>
      <c r="BA63">
        <v>3.7181012903225813E-2</v>
      </c>
      <c r="BB63">
        <v>25.295516129032251</v>
      </c>
      <c r="BC63">
        <v>25.316725806451611</v>
      </c>
      <c r="BD63">
        <v>999.90000000000032</v>
      </c>
      <c r="BE63">
        <v>0</v>
      </c>
      <c r="BF63">
        <v>0</v>
      </c>
      <c r="BG63">
        <v>5008.4677419354839</v>
      </c>
      <c r="BH63">
        <v>0.42837129032258059</v>
      </c>
      <c r="BI63">
        <v>0.23331922580645159</v>
      </c>
      <c r="BJ63">
        <v>-0.47853603225806463</v>
      </c>
      <c r="BK63">
        <v>57.04743548387097</v>
      </c>
      <c r="BL63">
        <v>57.488406451612903</v>
      </c>
      <c r="BM63">
        <v>0.63635838709677428</v>
      </c>
      <c r="BN63">
        <v>57.653338709677421</v>
      </c>
      <c r="BO63">
        <v>-2.8691612903225812</v>
      </c>
      <c r="BP63">
        <v>-0.2236121612903226</v>
      </c>
      <c r="BQ63">
        <v>-0.28734235483870968</v>
      </c>
      <c r="BR63">
        <v>-99.900000000000034</v>
      </c>
      <c r="BS63">
        <v>-99.900000000000034</v>
      </c>
      <c r="BT63">
        <v>0</v>
      </c>
      <c r="BU63">
        <v>0</v>
      </c>
      <c r="BV63">
        <v>0</v>
      </c>
      <c r="BW63">
        <v>24</v>
      </c>
      <c r="BX63">
        <v>-1</v>
      </c>
      <c r="BY63">
        <v>1775506372</v>
      </c>
      <c r="BZ63" t="s">
        <v>474</v>
      </c>
      <c r="CA63">
        <v>1775506366.5</v>
      </c>
      <c r="CB63">
        <v>1775506372</v>
      </c>
      <c r="CC63">
        <v>50</v>
      </c>
      <c r="CD63">
        <v>1.7999999999999999E-2</v>
      </c>
      <c r="CE63">
        <v>-1E-3</v>
      </c>
      <c r="CF63">
        <v>7.75</v>
      </c>
      <c r="CG63">
        <v>-0.98199999999999998</v>
      </c>
      <c r="CH63">
        <v>57</v>
      </c>
      <c r="CI63">
        <v>-3</v>
      </c>
      <c r="CJ63">
        <v>0.24</v>
      </c>
      <c r="CK63">
        <v>0.13</v>
      </c>
      <c r="CL63">
        <v>57.395011666666669</v>
      </c>
      <c r="CM63">
        <v>1.386182717421498</v>
      </c>
      <c r="CN63">
        <v>0.33541533163709453</v>
      </c>
      <c r="CO63">
        <v>-1</v>
      </c>
      <c r="CP63">
        <v>500.03264999999999</v>
      </c>
      <c r="CQ63">
        <v>-0.33868407891047347</v>
      </c>
      <c r="CR63">
        <v>0.15224189359918891</v>
      </c>
      <c r="CS63">
        <v>-1</v>
      </c>
      <c r="CT63">
        <v>0</v>
      </c>
      <c r="CU63">
        <v>0</v>
      </c>
      <c r="CV63" t="s">
        <v>333</v>
      </c>
      <c r="CW63">
        <v>3.1672899999999999</v>
      </c>
      <c r="CX63">
        <v>2.6583700000000001</v>
      </c>
      <c r="CY63">
        <v>1.4844100000000001E-2</v>
      </c>
      <c r="CZ63">
        <v>1.72579E-2</v>
      </c>
      <c r="DA63">
        <v>-1.12485E-2</v>
      </c>
      <c r="DB63">
        <v>-2.8980700000000002E-2</v>
      </c>
      <c r="DC63">
        <v>21343</v>
      </c>
      <c r="DD63">
        <v>21644.7</v>
      </c>
      <c r="DE63">
        <v>23190.9</v>
      </c>
      <c r="DF63">
        <v>22373.4</v>
      </c>
      <c r="DG63">
        <v>30234.400000000001</v>
      </c>
      <c r="DH63">
        <v>27444.1</v>
      </c>
      <c r="DI63">
        <v>40745.800000000003</v>
      </c>
      <c r="DJ63">
        <v>37070</v>
      </c>
      <c r="DK63">
        <v>2.1035200000000001</v>
      </c>
      <c r="DL63">
        <v>1.85938</v>
      </c>
      <c r="DM63">
        <v>2.48939E-2</v>
      </c>
      <c r="DN63">
        <v>0</v>
      </c>
      <c r="DO63">
        <v>24.903400000000001</v>
      </c>
      <c r="DP63">
        <v>999.9</v>
      </c>
      <c r="DQ63">
        <v>82</v>
      </c>
      <c r="DR63">
        <v>27.3</v>
      </c>
      <c r="DS63">
        <v>29.821899999999999</v>
      </c>
      <c r="DT63">
        <v>30.668199999999999</v>
      </c>
      <c r="DU63">
        <v>8.8501600000000007</v>
      </c>
      <c r="DV63">
        <v>1</v>
      </c>
      <c r="DW63">
        <v>5.1006099999999999E-2</v>
      </c>
      <c r="DX63">
        <v>-0.25448399999999999</v>
      </c>
      <c r="DY63">
        <v>20.368400000000001</v>
      </c>
      <c r="DZ63">
        <v>5.2120199999999999</v>
      </c>
      <c r="EA63">
        <v>11.8482</v>
      </c>
      <c r="EB63">
        <v>4.9678399999999998</v>
      </c>
      <c r="EC63">
        <v>3.2919999999999998</v>
      </c>
      <c r="ED63">
        <v>894.7</v>
      </c>
      <c r="EE63">
        <v>0</v>
      </c>
      <c r="EF63">
        <v>9999</v>
      </c>
      <c r="EG63">
        <v>113.8</v>
      </c>
      <c r="EH63">
        <v>4.9716399999999998</v>
      </c>
      <c r="EI63">
        <v>1.8717999999999999</v>
      </c>
      <c r="EJ63">
        <v>1.8689</v>
      </c>
      <c r="EK63">
        <v>1.87134</v>
      </c>
      <c r="EL63">
        <v>1.8690500000000001</v>
      </c>
      <c r="EM63">
        <v>1.8680000000000001</v>
      </c>
      <c r="EN63">
        <v>1.8698600000000001</v>
      </c>
      <c r="EO63">
        <v>1.8716600000000001</v>
      </c>
      <c r="EP63">
        <v>0</v>
      </c>
      <c r="EQ63">
        <v>0</v>
      </c>
      <c r="ER63">
        <v>0</v>
      </c>
      <c r="ES63">
        <v>0</v>
      </c>
      <c r="ET63" t="s">
        <v>334</v>
      </c>
      <c r="EU63" t="s">
        <v>335</v>
      </c>
      <c r="EV63" t="s">
        <v>336</v>
      </c>
      <c r="EW63" t="s">
        <v>336</v>
      </c>
      <c r="EX63" t="s">
        <v>336</v>
      </c>
      <c r="EY63" t="s">
        <v>336</v>
      </c>
      <c r="EZ63">
        <v>0</v>
      </c>
      <c r="FA63">
        <v>100</v>
      </c>
      <c r="FB63">
        <v>100</v>
      </c>
      <c r="FC63">
        <v>7.75</v>
      </c>
      <c r="FD63">
        <v>-0.98199999999999998</v>
      </c>
      <c r="FE63">
        <v>7.7314952380952278</v>
      </c>
      <c r="FF63">
        <v>0</v>
      </c>
      <c r="FG63">
        <v>0</v>
      </c>
      <c r="FH63">
        <v>0</v>
      </c>
      <c r="FI63">
        <v>-0.98051250000000012</v>
      </c>
      <c r="FJ63">
        <v>0</v>
      </c>
      <c r="FK63">
        <v>0</v>
      </c>
      <c r="FL63">
        <v>0</v>
      </c>
      <c r="FM63">
        <v>-1</v>
      </c>
      <c r="FN63">
        <v>-1</v>
      </c>
      <c r="FO63">
        <v>-1</v>
      </c>
      <c r="FP63">
        <v>-1</v>
      </c>
      <c r="FQ63">
        <v>0.7</v>
      </c>
      <c r="FR63">
        <v>0.7</v>
      </c>
      <c r="FS63">
        <v>0.144043</v>
      </c>
      <c r="FT63">
        <v>4.99756</v>
      </c>
      <c r="FU63">
        <v>1.5979000000000001</v>
      </c>
      <c r="FV63">
        <v>2.16797</v>
      </c>
      <c r="FW63">
        <v>1.5478499999999999</v>
      </c>
      <c r="FX63">
        <v>2.3864700000000001</v>
      </c>
      <c r="FY63">
        <v>31.892700000000001</v>
      </c>
      <c r="FZ63">
        <v>16.128399999999999</v>
      </c>
      <c r="GA63">
        <v>3</v>
      </c>
      <c r="GB63">
        <v>492.24700000000001</v>
      </c>
      <c r="GC63">
        <v>427.08600000000001</v>
      </c>
      <c r="GD63">
        <v>26.015499999999999</v>
      </c>
      <c r="GE63">
        <v>27.889500000000002</v>
      </c>
      <c r="GF63">
        <v>30.0001</v>
      </c>
      <c r="GG63">
        <v>28.209399999999999</v>
      </c>
      <c r="GH63">
        <v>28.266100000000002</v>
      </c>
      <c r="GI63">
        <v>-1</v>
      </c>
      <c r="GJ63">
        <v>0</v>
      </c>
      <c r="GK63">
        <v>100</v>
      </c>
      <c r="GL63">
        <v>26.018000000000001</v>
      </c>
      <c r="GM63">
        <v>432.1</v>
      </c>
      <c r="GN63">
        <v>63.216500000000003</v>
      </c>
      <c r="GO63">
        <v>102.574</v>
      </c>
      <c r="GP63">
        <v>96.737799999999993</v>
      </c>
    </row>
    <row r="64" spans="1:198" x14ac:dyDescent="0.35">
      <c r="A64">
        <v>48</v>
      </c>
      <c r="B64">
        <v>1775506411.5</v>
      </c>
      <c r="C64">
        <v>2820.5</v>
      </c>
      <c r="D64" t="s">
        <v>475</v>
      </c>
      <c r="E64" t="s">
        <v>476</v>
      </c>
      <c r="F64">
        <v>60</v>
      </c>
      <c r="G64">
        <v>1775506403.75</v>
      </c>
      <c r="H64">
        <f t="shared" si="30"/>
        <v>1.058381040858663E-3</v>
      </c>
      <c r="I64">
        <f t="shared" si="31"/>
        <v>1.0583810408586629</v>
      </c>
      <c r="J64">
        <f t="shared" si="32"/>
        <v>2.1724936828084653E-2</v>
      </c>
      <c r="K64">
        <f t="shared" si="33"/>
        <v>56.358693333333328</v>
      </c>
      <c r="L64">
        <f t="shared" si="34"/>
        <v>52.16201164607498</v>
      </c>
      <c r="M64">
        <f t="shared" si="35"/>
        <v>5.2259733208842283</v>
      </c>
      <c r="N64">
        <f t="shared" si="36"/>
        <v>5.6464277060154009</v>
      </c>
      <c r="O64">
        <f t="shared" si="37"/>
        <v>3.0359417927405544E-2</v>
      </c>
      <c r="P64">
        <f t="shared" si="38"/>
        <v>2.3930893559287378</v>
      </c>
      <c r="Q64">
        <f t="shared" si="39"/>
        <v>3.0147062455910398E-2</v>
      </c>
      <c r="R64">
        <f t="shared" si="40"/>
        <v>1.8860869389692902E-2</v>
      </c>
      <c r="S64">
        <f t="shared" si="41"/>
        <v>0</v>
      </c>
      <c r="T64">
        <f t="shared" si="42"/>
        <v>24.968795527467879</v>
      </c>
      <c r="U64">
        <f t="shared" si="43"/>
        <v>25.320003333333339</v>
      </c>
      <c r="V64">
        <f t="shared" si="44"/>
        <v>3.2408485255892936</v>
      </c>
      <c r="W64">
        <f t="shared" si="45"/>
        <v>-6.903784971684229</v>
      </c>
      <c r="X64">
        <f t="shared" si="46"/>
        <v>-0.2234898750353114</v>
      </c>
      <c r="Y64">
        <f t="shared" si="47"/>
        <v>3.2372079366891029</v>
      </c>
      <c r="Z64">
        <f t="shared" si="48"/>
        <v>3.4643384006246052</v>
      </c>
      <c r="AA64">
        <f t="shared" si="49"/>
        <v>-46.674603901867037</v>
      </c>
      <c r="AB64">
        <f t="shared" si="50"/>
        <v>-2.4379767563333448</v>
      </c>
      <c r="AC64">
        <f t="shared" si="51"/>
        <v>-0.21616616318704709</v>
      </c>
      <c r="AD64">
        <f t="shared" si="52"/>
        <v>-49.328746821387426</v>
      </c>
      <c r="AE64">
        <v>18</v>
      </c>
      <c r="AF64">
        <v>4</v>
      </c>
      <c r="AG64">
        <f t="shared" si="53"/>
        <v>1</v>
      </c>
      <c r="AH64">
        <f t="shared" si="54"/>
        <v>0</v>
      </c>
      <c r="AI64">
        <f t="shared" si="55"/>
        <v>25739.667679854778</v>
      </c>
      <c r="AJ64">
        <f t="shared" si="56"/>
        <v>0</v>
      </c>
      <c r="AK64">
        <f t="shared" si="57"/>
        <v>0</v>
      </c>
      <c r="AL64">
        <f t="shared" si="58"/>
        <v>0</v>
      </c>
      <c r="AM64">
        <f t="shared" si="59"/>
        <v>0</v>
      </c>
      <c r="AN64">
        <v>3</v>
      </c>
      <c r="AO64">
        <v>0.5</v>
      </c>
      <c r="AP64" t="s">
        <v>331</v>
      </c>
      <c r="AQ64">
        <v>2</v>
      </c>
      <c r="AR64">
        <v>1775506403.75</v>
      </c>
      <c r="AS64">
        <v>56.358693333333328</v>
      </c>
      <c r="AT64">
        <v>56.407516666666673</v>
      </c>
      <c r="AU64">
        <v>-2.230719666666666</v>
      </c>
      <c r="AV64">
        <v>-2.8671516666666661</v>
      </c>
      <c r="AW64">
        <v>48.634693333333331</v>
      </c>
      <c r="AX64">
        <v>-1.247719666666667</v>
      </c>
      <c r="AY64">
        <v>500.0103666666667</v>
      </c>
      <c r="AZ64">
        <v>100.1499</v>
      </c>
      <c r="BA64">
        <v>3.7442396666666662E-2</v>
      </c>
      <c r="BB64">
        <v>25.301106666666669</v>
      </c>
      <c r="BC64">
        <v>25.320003333333339</v>
      </c>
      <c r="BD64">
        <v>999.9000000000002</v>
      </c>
      <c r="BE64">
        <v>0</v>
      </c>
      <c r="BF64">
        <v>0</v>
      </c>
      <c r="BG64">
        <v>5005.5333333333338</v>
      </c>
      <c r="BH64">
        <v>0.39239253333333329</v>
      </c>
      <c r="BI64">
        <v>0.22961599999999999</v>
      </c>
      <c r="BJ64">
        <v>-2.2927715333333331E-2</v>
      </c>
      <c r="BK64">
        <v>56.259159999999987</v>
      </c>
      <c r="BL64">
        <v>56.246239999999993</v>
      </c>
      <c r="BM64">
        <v>0.63789686666666656</v>
      </c>
      <c r="BN64">
        <v>56.407516666666673</v>
      </c>
      <c r="BO64">
        <v>-2.8671516666666661</v>
      </c>
      <c r="BP64">
        <v>-0.22325980000000001</v>
      </c>
      <c r="BQ64">
        <v>-0.28714516666666667</v>
      </c>
      <c r="BR64">
        <v>-99.900000000000034</v>
      </c>
      <c r="BS64">
        <v>-99.900000000000034</v>
      </c>
      <c r="BT64">
        <v>0</v>
      </c>
      <c r="BU64">
        <v>0</v>
      </c>
      <c r="BV64">
        <v>0</v>
      </c>
      <c r="BW64">
        <v>24</v>
      </c>
      <c r="BX64">
        <v>-1</v>
      </c>
      <c r="BY64">
        <v>1775506433</v>
      </c>
      <c r="BZ64" t="s">
        <v>477</v>
      </c>
      <c r="CA64">
        <v>1775506423.5</v>
      </c>
      <c r="CB64">
        <v>1775506433</v>
      </c>
      <c r="CC64">
        <v>51</v>
      </c>
      <c r="CD64">
        <v>-2.5999999999999999E-2</v>
      </c>
      <c r="CE64">
        <v>-1E-3</v>
      </c>
      <c r="CF64">
        <v>7.7240000000000002</v>
      </c>
      <c r="CG64">
        <v>-0.98299999999999998</v>
      </c>
      <c r="CH64">
        <v>56</v>
      </c>
      <c r="CI64">
        <v>-3</v>
      </c>
      <c r="CJ64">
        <v>0.34</v>
      </c>
      <c r="CK64">
        <v>0.14000000000000001</v>
      </c>
      <c r="CL64">
        <v>56.587179999999996</v>
      </c>
      <c r="CM64">
        <v>-1.318066129480258</v>
      </c>
      <c r="CN64">
        <v>0.27470145722220007</v>
      </c>
      <c r="CO64">
        <v>-1</v>
      </c>
      <c r="CP64">
        <v>500.02263333333332</v>
      </c>
      <c r="CQ64">
        <v>-0.20833787163037579</v>
      </c>
      <c r="CR64">
        <v>0.1007218888270504</v>
      </c>
      <c r="CS64">
        <v>-1</v>
      </c>
      <c r="CT64">
        <v>0</v>
      </c>
      <c r="CU64">
        <v>0</v>
      </c>
      <c r="CV64" t="s">
        <v>333</v>
      </c>
      <c r="CW64">
        <v>3.1673300000000002</v>
      </c>
      <c r="CX64">
        <v>2.65869</v>
      </c>
      <c r="CY64">
        <v>1.4497299999999999E-2</v>
      </c>
      <c r="CZ64">
        <v>1.6756799999999999E-2</v>
      </c>
      <c r="DA64">
        <v>-1.11994E-2</v>
      </c>
      <c r="DB64">
        <v>-2.8925900000000001E-2</v>
      </c>
      <c r="DC64">
        <v>21350.5</v>
      </c>
      <c r="DD64">
        <v>21656.400000000001</v>
      </c>
      <c r="DE64">
        <v>23190.799999999999</v>
      </c>
      <c r="DF64">
        <v>22374</v>
      </c>
      <c r="DG64">
        <v>30232.9</v>
      </c>
      <c r="DH64">
        <v>27443.4</v>
      </c>
      <c r="DI64">
        <v>40745.699999999997</v>
      </c>
      <c r="DJ64">
        <v>37071.1</v>
      </c>
      <c r="DK64">
        <v>2.1034799999999998</v>
      </c>
      <c r="DL64">
        <v>1.85982</v>
      </c>
      <c r="DM64">
        <v>2.5767100000000001E-2</v>
      </c>
      <c r="DN64">
        <v>0</v>
      </c>
      <c r="DO64">
        <v>24.891100000000002</v>
      </c>
      <c r="DP64">
        <v>999.9</v>
      </c>
      <c r="DQ64">
        <v>81.900000000000006</v>
      </c>
      <c r="DR64">
        <v>27.3</v>
      </c>
      <c r="DS64">
        <v>29.790099999999999</v>
      </c>
      <c r="DT64">
        <v>30.878299999999999</v>
      </c>
      <c r="DU64">
        <v>9.1025600000000004</v>
      </c>
      <c r="DV64">
        <v>1</v>
      </c>
      <c r="DW64">
        <v>5.0678899999999999E-2</v>
      </c>
      <c r="DX64">
        <v>-0.23319599999999999</v>
      </c>
      <c r="DY64">
        <v>20.3687</v>
      </c>
      <c r="DZ64">
        <v>5.2111799999999997</v>
      </c>
      <c r="EA64">
        <v>11.8482</v>
      </c>
      <c r="EB64">
        <v>4.9687200000000002</v>
      </c>
      <c r="EC64">
        <v>3.2919999999999998</v>
      </c>
      <c r="ED64">
        <v>894.7</v>
      </c>
      <c r="EE64">
        <v>0</v>
      </c>
      <c r="EF64">
        <v>9999</v>
      </c>
      <c r="EG64">
        <v>113.8</v>
      </c>
      <c r="EH64">
        <v>4.9716699999999996</v>
      </c>
      <c r="EI64">
        <v>1.8717999999999999</v>
      </c>
      <c r="EJ64">
        <v>1.8689</v>
      </c>
      <c r="EK64">
        <v>1.87134</v>
      </c>
      <c r="EL64">
        <v>1.8690500000000001</v>
      </c>
      <c r="EM64">
        <v>1.8680600000000001</v>
      </c>
      <c r="EN64">
        <v>1.8698600000000001</v>
      </c>
      <c r="EO64">
        <v>1.87165</v>
      </c>
      <c r="EP64">
        <v>0</v>
      </c>
      <c r="EQ64">
        <v>0</v>
      </c>
      <c r="ER64">
        <v>0</v>
      </c>
      <c r="ES64">
        <v>0</v>
      </c>
      <c r="ET64" t="s">
        <v>334</v>
      </c>
      <c r="EU64" t="s">
        <v>335</v>
      </c>
      <c r="EV64" t="s">
        <v>336</v>
      </c>
      <c r="EW64" t="s">
        <v>336</v>
      </c>
      <c r="EX64" t="s">
        <v>336</v>
      </c>
      <c r="EY64" t="s">
        <v>336</v>
      </c>
      <c r="EZ64">
        <v>0</v>
      </c>
      <c r="FA64">
        <v>100</v>
      </c>
      <c r="FB64">
        <v>100</v>
      </c>
      <c r="FC64">
        <v>7.7240000000000002</v>
      </c>
      <c r="FD64">
        <v>-0.98299999999999998</v>
      </c>
      <c r="FE64">
        <v>7.7498899999999793</v>
      </c>
      <c r="FF64">
        <v>0</v>
      </c>
      <c r="FG64">
        <v>0</v>
      </c>
      <c r="FH64">
        <v>0</v>
      </c>
      <c r="FI64">
        <v>-0.98153619047619034</v>
      </c>
      <c r="FJ64">
        <v>0</v>
      </c>
      <c r="FK64">
        <v>0</v>
      </c>
      <c r="FL64">
        <v>0</v>
      </c>
      <c r="FM64">
        <v>-1</v>
      </c>
      <c r="FN64">
        <v>-1</v>
      </c>
      <c r="FO64">
        <v>-1</v>
      </c>
      <c r="FP64">
        <v>-1</v>
      </c>
      <c r="FQ64">
        <v>0.8</v>
      </c>
      <c r="FR64">
        <v>0.7</v>
      </c>
      <c r="FS64">
        <v>0.142822</v>
      </c>
      <c r="FT64">
        <v>4.99756</v>
      </c>
      <c r="FU64">
        <v>1.5979000000000001</v>
      </c>
      <c r="FV64">
        <v>2.16553</v>
      </c>
      <c r="FW64">
        <v>1.5478499999999999</v>
      </c>
      <c r="FX64">
        <v>2.4377399999999998</v>
      </c>
      <c r="FY64">
        <v>31.9146</v>
      </c>
      <c r="FZ64">
        <v>16.128399999999999</v>
      </c>
      <c r="GA64">
        <v>3</v>
      </c>
      <c r="GB64">
        <v>492.18700000000001</v>
      </c>
      <c r="GC64">
        <v>427.31200000000001</v>
      </c>
      <c r="GD64">
        <v>26.008199999999999</v>
      </c>
      <c r="GE64">
        <v>27.884699999999999</v>
      </c>
      <c r="GF64">
        <v>30</v>
      </c>
      <c r="GG64">
        <v>28.204699999999999</v>
      </c>
      <c r="GH64">
        <v>28.261399999999998</v>
      </c>
      <c r="GI64">
        <v>-1</v>
      </c>
      <c r="GJ64">
        <v>0</v>
      </c>
      <c r="GK64">
        <v>100</v>
      </c>
      <c r="GL64">
        <v>26.0106</v>
      </c>
      <c r="GM64">
        <v>432.1</v>
      </c>
      <c r="GN64">
        <v>63.216500000000003</v>
      </c>
      <c r="GO64">
        <v>102.57299999999999</v>
      </c>
      <c r="GP64">
        <v>96.740399999999994</v>
      </c>
    </row>
    <row r="65" spans="1:198" x14ac:dyDescent="0.35">
      <c r="A65">
        <v>49</v>
      </c>
      <c r="B65">
        <v>1775506471.5</v>
      </c>
      <c r="C65">
        <v>2880.5</v>
      </c>
      <c r="D65" t="s">
        <v>478</v>
      </c>
      <c r="E65" t="s">
        <v>479</v>
      </c>
      <c r="F65">
        <v>60</v>
      </c>
      <c r="G65">
        <v>1775506463.75</v>
      </c>
      <c r="H65">
        <f t="shared" si="30"/>
        <v>1.0578592729244317E-3</v>
      </c>
      <c r="I65">
        <f t="shared" si="31"/>
        <v>1.0578592729244318</v>
      </c>
      <c r="J65">
        <f t="shared" si="32"/>
        <v>0.49854028023149843</v>
      </c>
      <c r="K65">
        <f t="shared" si="33"/>
        <v>55.913699999999992</v>
      </c>
      <c r="L65">
        <f t="shared" si="34"/>
        <v>27.143339157441769</v>
      </c>
      <c r="M65">
        <f t="shared" si="35"/>
        <v>2.7194430360820561</v>
      </c>
      <c r="N65">
        <f t="shared" si="36"/>
        <v>5.6018944907481369</v>
      </c>
      <c r="O65">
        <f t="shared" si="37"/>
        <v>3.0350553435364115E-2</v>
      </c>
      <c r="P65">
        <f t="shared" si="38"/>
        <v>2.3894745149720817</v>
      </c>
      <c r="Q65">
        <f t="shared" si="39"/>
        <v>3.0138002845351768E-2</v>
      </c>
      <c r="R65">
        <f t="shared" si="40"/>
        <v>1.885522440011345E-2</v>
      </c>
      <c r="S65">
        <f t="shared" si="41"/>
        <v>0</v>
      </c>
      <c r="T65">
        <f t="shared" si="42"/>
        <v>24.973155788458708</v>
      </c>
      <c r="U65">
        <f t="shared" si="43"/>
        <v>25.322176666666671</v>
      </c>
      <c r="V65">
        <f t="shared" si="44"/>
        <v>3.2412674643360257</v>
      </c>
      <c r="W65">
        <f t="shared" si="45"/>
        <v>-6.8684832103790585</v>
      </c>
      <c r="X65">
        <f t="shared" si="46"/>
        <v>-0.22240868092195437</v>
      </c>
      <c r="Y65">
        <f t="shared" si="47"/>
        <v>3.2381047475790519</v>
      </c>
      <c r="Z65">
        <f t="shared" si="48"/>
        <v>3.4636761452579803</v>
      </c>
      <c r="AA65">
        <f t="shared" si="49"/>
        <v>-46.651593935967441</v>
      </c>
      <c r="AB65">
        <f t="shared" si="50"/>
        <v>-2.1143877588398432</v>
      </c>
      <c r="AC65">
        <f t="shared" si="51"/>
        <v>-0.18776481617335733</v>
      </c>
      <c r="AD65">
        <f t="shared" si="52"/>
        <v>-48.953746510980636</v>
      </c>
      <c r="AE65">
        <v>18</v>
      </c>
      <c r="AF65">
        <v>4</v>
      </c>
      <c r="AG65">
        <f t="shared" si="53"/>
        <v>1</v>
      </c>
      <c r="AH65">
        <f t="shared" si="54"/>
        <v>0</v>
      </c>
      <c r="AI65">
        <f t="shared" si="55"/>
        <v>25683.900182989852</v>
      </c>
      <c r="AJ65">
        <f t="shared" si="56"/>
        <v>0</v>
      </c>
      <c r="AK65">
        <f t="shared" si="57"/>
        <v>0</v>
      </c>
      <c r="AL65">
        <f t="shared" si="58"/>
        <v>0</v>
      </c>
      <c r="AM65">
        <f t="shared" si="59"/>
        <v>0</v>
      </c>
      <c r="AN65">
        <v>3</v>
      </c>
      <c r="AO65">
        <v>0.5</v>
      </c>
      <c r="AP65" t="s">
        <v>331</v>
      </c>
      <c r="AQ65">
        <v>2</v>
      </c>
      <c r="AR65">
        <v>1775506463.75</v>
      </c>
      <c r="AS65">
        <v>55.913699999999992</v>
      </c>
      <c r="AT65">
        <v>56.24832</v>
      </c>
      <c r="AU65">
        <v>-2.2199083333333332</v>
      </c>
      <c r="AV65">
        <v>-2.8560453333333342</v>
      </c>
      <c r="AW65">
        <v>48.137700000000002</v>
      </c>
      <c r="AX65">
        <v>-1.2379083333333329</v>
      </c>
      <c r="AY65">
        <v>499.99023333333338</v>
      </c>
      <c r="AZ65">
        <v>100.1511</v>
      </c>
      <c r="BA65">
        <v>3.7127406666666668E-2</v>
      </c>
      <c r="BB65">
        <v>25.305763333333338</v>
      </c>
      <c r="BC65">
        <v>25.322176666666671</v>
      </c>
      <c r="BD65">
        <v>999.9000000000002</v>
      </c>
      <c r="BE65">
        <v>0</v>
      </c>
      <c r="BF65">
        <v>0</v>
      </c>
      <c r="BG65">
        <v>4996.166666666667</v>
      </c>
      <c r="BH65">
        <v>0.39972096666666668</v>
      </c>
      <c r="BI65">
        <v>0.2334426666666666</v>
      </c>
      <c r="BJ65">
        <v>-0.38683183333333332</v>
      </c>
      <c r="BK65">
        <v>55.737706666666668</v>
      </c>
      <c r="BL65">
        <v>56.088116666666657</v>
      </c>
      <c r="BM65">
        <v>0.6353852333333333</v>
      </c>
      <c r="BN65">
        <v>56.24832</v>
      </c>
      <c r="BO65">
        <v>-2.8560453333333342</v>
      </c>
      <c r="BP65">
        <v>-0.22240163333333329</v>
      </c>
      <c r="BQ65">
        <v>-0.28603616666666659</v>
      </c>
      <c r="BR65">
        <v>-99.900000000000034</v>
      </c>
      <c r="BS65">
        <v>-99.900000000000034</v>
      </c>
      <c r="BT65">
        <v>0</v>
      </c>
      <c r="BU65">
        <v>0</v>
      </c>
      <c r="BV65">
        <v>0</v>
      </c>
      <c r="BW65">
        <v>24</v>
      </c>
      <c r="BX65">
        <v>-1</v>
      </c>
      <c r="BY65">
        <v>1775506493.5</v>
      </c>
      <c r="BZ65" t="s">
        <v>480</v>
      </c>
      <c r="CA65">
        <v>1775506486.5</v>
      </c>
      <c r="CB65">
        <v>1775506493.5</v>
      </c>
      <c r="CC65">
        <v>52</v>
      </c>
      <c r="CD65">
        <v>5.1999999999999998E-2</v>
      </c>
      <c r="CE65">
        <v>0</v>
      </c>
      <c r="CF65">
        <v>7.7759999999999998</v>
      </c>
      <c r="CG65">
        <v>-0.98199999999999998</v>
      </c>
      <c r="CH65">
        <v>56</v>
      </c>
      <c r="CI65">
        <v>-3</v>
      </c>
      <c r="CJ65">
        <v>0.2</v>
      </c>
      <c r="CK65">
        <v>0.1</v>
      </c>
      <c r="CL65">
        <v>55.974719999999998</v>
      </c>
      <c r="CM65">
        <v>1.9754900805780491</v>
      </c>
      <c r="CN65">
        <v>0.31621629717647382</v>
      </c>
      <c r="CO65">
        <v>-1</v>
      </c>
      <c r="CP65">
        <v>500.00866666666673</v>
      </c>
      <c r="CQ65">
        <v>-0.20911141983840811</v>
      </c>
      <c r="CR65">
        <v>9.233862800704036E-2</v>
      </c>
      <c r="CS65">
        <v>-1</v>
      </c>
      <c r="CT65">
        <v>0</v>
      </c>
      <c r="CU65">
        <v>0</v>
      </c>
      <c r="CV65" t="s">
        <v>333</v>
      </c>
      <c r="CW65">
        <v>3.1673800000000001</v>
      </c>
      <c r="CX65">
        <v>2.6584599999999998</v>
      </c>
      <c r="CY65">
        <v>1.4413499999999999E-2</v>
      </c>
      <c r="CZ65">
        <v>1.67835E-2</v>
      </c>
      <c r="DA65">
        <v>-1.1073599999999999E-2</v>
      </c>
      <c r="DB65">
        <v>-2.8837700000000001E-2</v>
      </c>
      <c r="DC65">
        <v>21351.8</v>
      </c>
      <c r="DD65">
        <v>21656.400000000001</v>
      </c>
      <c r="DE65">
        <v>23190.2</v>
      </c>
      <c r="DF65">
        <v>22374.7</v>
      </c>
      <c r="DG65">
        <v>30228.3</v>
      </c>
      <c r="DH65">
        <v>27441.7</v>
      </c>
      <c r="DI65">
        <v>40744.6</v>
      </c>
      <c r="DJ65">
        <v>37071.9</v>
      </c>
      <c r="DK65">
        <v>2.1033200000000001</v>
      </c>
      <c r="DL65">
        <v>1.85964</v>
      </c>
      <c r="DM65">
        <v>2.6223099999999999E-2</v>
      </c>
      <c r="DN65">
        <v>0</v>
      </c>
      <c r="DO65">
        <v>24.899000000000001</v>
      </c>
      <c r="DP65">
        <v>999.9</v>
      </c>
      <c r="DQ65">
        <v>81.8</v>
      </c>
      <c r="DR65">
        <v>27.3</v>
      </c>
      <c r="DS65">
        <v>29.751300000000001</v>
      </c>
      <c r="DT65">
        <v>30.848299999999998</v>
      </c>
      <c r="DU65">
        <v>8.9463100000000004</v>
      </c>
      <c r="DV65">
        <v>1</v>
      </c>
      <c r="DW65">
        <v>5.0243900000000001E-2</v>
      </c>
      <c r="DX65">
        <v>-0.19042500000000001</v>
      </c>
      <c r="DY65">
        <v>20.368400000000001</v>
      </c>
      <c r="DZ65">
        <v>5.2110599999999998</v>
      </c>
      <c r="EA65">
        <v>11.8482</v>
      </c>
      <c r="EB65">
        <v>4.9676799999999997</v>
      </c>
      <c r="EC65">
        <v>3.2919999999999998</v>
      </c>
      <c r="ED65">
        <v>894.7</v>
      </c>
      <c r="EE65">
        <v>0</v>
      </c>
      <c r="EF65">
        <v>9999</v>
      </c>
      <c r="EG65">
        <v>113.8</v>
      </c>
      <c r="EH65">
        <v>4.9716399999999998</v>
      </c>
      <c r="EI65">
        <v>1.8717999999999999</v>
      </c>
      <c r="EJ65">
        <v>1.8689100000000001</v>
      </c>
      <c r="EK65">
        <v>1.87134</v>
      </c>
      <c r="EL65">
        <v>1.8690500000000001</v>
      </c>
      <c r="EM65">
        <v>1.8680099999999999</v>
      </c>
      <c r="EN65">
        <v>1.8698699999999999</v>
      </c>
      <c r="EO65">
        <v>1.87165</v>
      </c>
      <c r="EP65">
        <v>0</v>
      </c>
      <c r="EQ65">
        <v>0</v>
      </c>
      <c r="ER65">
        <v>0</v>
      </c>
      <c r="ES65">
        <v>0</v>
      </c>
      <c r="ET65" t="s">
        <v>334</v>
      </c>
      <c r="EU65" t="s">
        <v>335</v>
      </c>
      <c r="EV65" t="s">
        <v>336</v>
      </c>
      <c r="EW65" t="s">
        <v>336</v>
      </c>
      <c r="EX65" t="s">
        <v>336</v>
      </c>
      <c r="EY65" t="s">
        <v>336</v>
      </c>
      <c r="EZ65">
        <v>0</v>
      </c>
      <c r="FA65">
        <v>100</v>
      </c>
      <c r="FB65">
        <v>100</v>
      </c>
      <c r="FC65">
        <v>7.7759999999999998</v>
      </c>
      <c r="FD65">
        <v>-0.98199999999999998</v>
      </c>
      <c r="FE65">
        <v>7.7237699999999947</v>
      </c>
      <c r="FF65">
        <v>0</v>
      </c>
      <c r="FG65">
        <v>0</v>
      </c>
      <c r="FH65">
        <v>0</v>
      </c>
      <c r="FI65">
        <v>-0.98275142857142872</v>
      </c>
      <c r="FJ65">
        <v>0</v>
      </c>
      <c r="FK65">
        <v>0</v>
      </c>
      <c r="FL65">
        <v>0</v>
      </c>
      <c r="FM65">
        <v>-1</v>
      </c>
      <c r="FN65">
        <v>-1</v>
      </c>
      <c r="FO65">
        <v>-1</v>
      </c>
      <c r="FP65">
        <v>-1</v>
      </c>
      <c r="FQ65">
        <v>0.8</v>
      </c>
      <c r="FR65">
        <v>0.6</v>
      </c>
      <c r="FS65">
        <v>0.142822</v>
      </c>
      <c r="FT65">
        <v>4.99756</v>
      </c>
      <c r="FU65">
        <v>1.5979000000000001</v>
      </c>
      <c r="FV65">
        <v>2.16553</v>
      </c>
      <c r="FW65">
        <v>1.5478499999999999</v>
      </c>
      <c r="FX65">
        <v>2.36816</v>
      </c>
      <c r="FY65">
        <v>31.9146</v>
      </c>
      <c r="FZ65">
        <v>16.128399999999999</v>
      </c>
      <c r="GA65">
        <v>3</v>
      </c>
      <c r="GB65">
        <v>492.07799999999997</v>
      </c>
      <c r="GC65">
        <v>427.18900000000002</v>
      </c>
      <c r="GD65">
        <v>25.998799999999999</v>
      </c>
      <c r="GE65">
        <v>27.8813</v>
      </c>
      <c r="GF65">
        <v>30.0001</v>
      </c>
      <c r="GG65">
        <v>28.202300000000001</v>
      </c>
      <c r="GH65">
        <v>28.259</v>
      </c>
      <c r="GI65">
        <v>-1</v>
      </c>
      <c r="GJ65">
        <v>0</v>
      </c>
      <c r="GK65">
        <v>100</v>
      </c>
      <c r="GL65">
        <v>25.993099999999998</v>
      </c>
      <c r="GM65">
        <v>432.1</v>
      </c>
      <c r="GN65">
        <v>63.216500000000003</v>
      </c>
      <c r="GO65">
        <v>102.571</v>
      </c>
      <c r="GP65">
        <v>96.742800000000003</v>
      </c>
    </row>
    <row r="66" spans="1:198" x14ac:dyDescent="0.35">
      <c r="A66">
        <v>50</v>
      </c>
      <c r="B66">
        <v>1775506531.5</v>
      </c>
      <c r="C66">
        <v>2940.5</v>
      </c>
      <c r="D66" t="s">
        <v>481</v>
      </c>
      <c r="E66" t="s">
        <v>482</v>
      </c>
      <c r="F66">
        <v>60</v>
      </c>
      <c r="G66">
        <v>1775506523.5</v>
      </c>
      <c r="H66">
        <f t="shared" si="30"/>
        <v>1.0607873243078012E-3</v>
      </c>
      <c r="I66">
        <f t="shared" si="31"/>
        <v>1.0607873243078012</v>
      </c>
      <c r="J66">
        <f t="shared" si="32"/>
        <v>0.7601822167082225</v>
      </c>
      <c r="K66">
        <f t="shared" si="33"/>
        <v>56.329929032258057</v>
      </c>
      <c r="L66">
        <f t="shared" si="34"/>
        <v>14.166528180580833</v>
      </c>
      <c r="M66">
        <f t="shared" si="35"/>
        <v>1.41932963560837</v>
      </c>
      <c r="N66">
        <f t="shared" si="36"/>
        <v>5.6436366502835096</v>
      </c>
      <c r="O66">
        <f t="shared" si="37"/>
        <v>3.0449166963001335E-2</v>
      </c>
      <c r="P66">
        <f t="shared" si="38"/>
        <v>2.3920548624523543</v>
      </c>
      <c r="Q66">
        <f t="shared" si="39"/>
        <v>3.0235467185073743E-2</v>
      </c>
      <c r="R66">
        <f t="shared" si="40"/>
        <v>1.8916241923271928E-2</v>
      </c>
      <c r="S66">
        <f t="shared" si="41"/>
        <v>0</v>
      </c>
      <c r="T66">
        <f t="shared" si="42"/>
        <v>24.963425611120179</v>
      </c>
      <c r="U66">
        <f t="shared" si="43"/>
        <v>25.312422580645158</v>
      </c>
      <c r="V66">
        <f t="shared" si="44"/>
        <v>3.2393876055325239</v>
      </c>
      <c r="W66">
        <f t="shared" si="45"/>
        <v>-6.882575327111276</v>
      </c>
      <c r="X66">
        <f t="shared" si="46"/>
        <v>-0.22274389545251008</v>
      </c>
      <c r="Y66">
        <f t="shared" si="47"/>
        <v>3.2363451886257693</v>
      </c>
      <c r="Z66">
        <f t="shared" si="48"/>
        <v>3.4621315009850342</v>
      </c>
      <c r="AA66">
        <f t="shared" si="49"/>
        <v>-46.78072100197403</v>
      </c>
      <c r="AB66">
        <f t="shared" si="50"/>
        <v>-2.0371592940743146</v>
      </c>
      <c r="AC66">
        <f t="shared" si="51"/>
        <v>-0.18069435364465486</v>
      </c>
      <c r="AD66">
        <f t="shared" si="52"/>
        <v>-48.998574649692998</v>
      </c>
      <c r="AE66">
        <v>18</v>
      </c>
      <c r="AF66">
        <v>4</v>
      </c>
      <c r="AG66">
        <f t="shared" si="53"/>
        <v>1</v>
      </c>
      <c r="AH66">
        <f t="shared" si="54"/>
        <v>0</v>
      </c>
      <c r="AI66">
        <f t="shared" si="55"/>
        <v>25724.158489839305</v>
      </c>
      <c r="AJ66">
        <f t="shared" si="56"/>
        <v>0</v>
      </c>
      <c r="AK66">
        <f t="shared" si="57"/>
        <v>0</v>
      </c>
      <c r="AL66">
        <f t="shared" si="58"/>
        <v>0</v>
      </c>
      <c r="AM66">
        <f t="shared" si="59"/>
        <v>0</v>
      </c>
      <c r="AN66">
        <v>3</v>
      </c>
      <c r="AO66">
        <v>0.5</v>
      </c>
      <c r="AP66" t="s">
        <v>331</v>
      </c>
      <c r="AQ66">
        <v>2</v>
      </c>
      <c r="AR66">
        <v>1775506523.5</v>
      </c>
      <c r="AS66">
        <v>56.329929032258057</v>
      </c>
      <c r="AT66">
        <v>56.821896774193547</v>
      </c>
      <c r="AU66">
        <v>-2.2232380645161292</v>
      </c>
      <c r="AV66">
        <v>-2.8611332258064528</v>
      </c>
      <c r="AW66">
        <v>48.576929032258057</v>
      </c>
      <c r="AX66">
        <v>-1.2402380645161291</v>
      </c>
      <c r="AY66">
        <v>499.99393548387098</v>
      </c>
      <c r="AZ66">
        <v>100.1514838709677</v>
      </c>
      <c r="BA66">
        <v>3.746980322580646E-2</v>
      </c>
      <c r="BB66">
        <v>25.296625806451608</v>
      </c>
      <c r="BC66">
        <v>25.312422580645158</v>
      </c>
      <c r="BD66">
        <v>999.90000000000032</v>
      </c>
      <c r="BE66">
        <v>0</v>
      </c>
      <c r="BF66">
        <v>0</v>
      </c>
      <c r="BG66">
        <v>5002.7903225806449</v>
      </c>
      <c r="BH66">
        <v>0.39544912903225821</v>
      </c>
      <c r="BI66">
        <v>0.22961599999999999</v>
      </c>
      <c r="BJ66">
        <v>-0.4689772806451612</v>
      </c>
      <c r="BK66">
        <v>56.227948387096767</v>
      </c>
      <c r="BL66">
        <v>56.659787096774203</v>
      </c>
      <c r="BM66">
        <v>0.63846448387096777</v>
      </c>
      <c r="BN66">
        <v>56.821896774193547</v>
      </c>
      <c r="BO66">
        <v>-2.8611332258064528</v>
      </c>
      <c r="BP66">
        <v>-0.22260325806451611</v>
      </c>
      <c r="BQ66">
        <v>-0.28654645161290321</v>
      </c>
      <c r="BR66">
        <v>-99.900000000000034</v>
      </c>
      <c r="BS66">
        <v>-99.900000000000034</v>
      </c>
      <c r="BT66">
        <v>0</v>
      </c>
      <c r="BU66">
        <v>0</v>
      </c>
      <c r="BV66">
        <v>0</v>
      </c>
      <c r="BW66">
        <v>24</v>
      </c>
      <c r="BX66">
        <v>-0.98924741935483895</v>
      </c>
      <c r="BY66">
        <v>1775506555.5</v>
      </c>
      <c r="BZ66" t="s">
        <v>483</v>
      </c>
      <c r="CA66">
        <v>1775506543.5</v>
      </c>
      <c r="CB66">
        <v>1775506555.5</v>
      </c>
      <c r="CC66">
        <v>53</v>
      </c>
      <c r="CD66">
        <v>-2.3E-2</v>
      </c>
      <c r="CE66">
        <v>0</v>
      </c>
      <c r="CF66">
        <v>7.7530000000000001</v>
      </c>
      <c r="CG66">
        <v>-0.98299999999999998</v>
      </c>
      <c r="CH66">
        <v>55</v>
      </c>
      <c r="CI66">
        <v>-3</v>
      </c>
      <c r="CJ66">
        <v>0.28999999999999998</v>
      </c>
      <c r="CK66">
        <v>0.12</v>
      </c>
      <c r="CL66">
        <v>56.449886666666671</v>
      </c>
      <c r="CM66">
        <v>2.802986607390987</v>
      </c>
      <c r="CN66">
        <v>0.42617341285235327</v>
      </c>
      <c r="CO66">
        <v>-1</v>
      </c>
      <c r="CP66">
        <v>500.10163333333333</v>
      </c>
      <c r="CQ66">
        <v>-1.319346485134633</v>
      </c>
      <c r="CR66">
        <v>0.42409255934158019</v>
      </c>
      <c r="CS66">
        <v>-1</v>
      </c>
      <c r="CT66">
        <v>0</v>
      </c>
      <c r="CU66">
        <v>0</v>
      </c>
      <c r="CV66" t="s">
        <v>333</v>
      </c>
      <c r="CW66">
        <v>3.1673800000000001</v>
      </c>
      <c r="CX66">
        <v>2.6587000000000001</v>
      </c>
      <c r="CY66">
        <v>1.45705E-2</v>
      </c>
      <c r="CZ66">
        <v>1.68349E-2</v>
      </c>
      <c r="DA66">
        <v>-1.1131200000000001E-2</v>
      </c>
      <c r="DB66">
        <v>-2.8854500000000002E-2</v>
      </c>
      <c r="DC66">
        <v>21348.1</v>
      </c>
      <c r="DD66">
        <v>21655.599999999999</v>
      </c>
      <c r="DE66">
        <v>23189.9</v>
      </c>
      <c r="DF66">
        <v>22375</v>
      </c>
      <c r="DG66">
        <v>30229.599999999999</v>
      </c>
      <c r="DH66">
        <v>27442.5</v>
      </c>
      <c r="DI66">
        <v>40744.1</v>
      </c>
      <c r="DJ66">
        <v>37072.400000000001</v>
      </c>
      <c r="DK66">
        <v>2.1034600000000001</v>
      </c>
      <c r="DL66">
        <v>1.85944</v>
      </c>
      <c r="DM66">
        <v>2.47449E-2</v>
      </c>
      <c r="DN66">
        <v>0</v>
      </c>
      <c r="DO66">
        <v>24.901299999999999</v>
      </c>
      <c r="DP66">
        <v>999.9</v>
      </c>
      <c r="DQ66">
        <v>81.7</v>
      </c>
      <c r="DR66">
        <v>27.3</v>
      </c>
      <c r="DS66">
        <v>29.716699999999999</v>
      </c>
      <c r="DT66">
        <v>30.5183</v>
      </c>
      <c r="DU66">
        <v>8.9783600000000003</v>
      </c>
      <c r="DV66">
        <v>1</v>
      </c>
      <c r="DW66">
        <v>5.0314999999999999E-2</v>
      </c>
      <c r="DX66">
        <v>-0.23308300000000001</v>
      </c>
      <c r="DY66">
        <v>20.368500000000001</v>
      </c>
      <c r="DZ66">
        <v>5.2123799999999996</v>
      </c>
      <c r="EA66">
        <v>11.8482</v>
      </c>
      <c r="EB66">
        <v>4.968</v>
      </c>
      <c r="EC66">
        <v>3.2919999999999998</v>
      </c>
      <c r="ED66">
        <v>894.7</v>
      </c>
      <c r="EE66">
        <v>0</v>
      </c>
      <c r="EF66">
        <v>9999</v>
      </c>
      <c r="EG66">
        <v>113.8</v>
      </c>
      <c r="EH66">
        <v>4.97166</v>
      </c>
      <c r="EI66">
        <v>1.8717999999999999</v>
      </c>
      <c r="EJ66">
        <v>1.8689</v>
      </c>
      <c r="EK66">
        <v>1.87134</v>
      </c>
      <c r="EL66">
        <v>1.8690500000000001</v>
      </c>
      <c r="EM66">
        <v>1.86802</v>
      </c>
      <c r="EN66">
        <v>1.86988</v>
      </c>
      <c r="EO66">
        <v>1.8716600000000001</v>
      </c>
      <c r="EP66">
        <v>0</v>
      </c>
      <c r="EQ66">
        <v>0</v>
      </c>
      <c r="ER66">
        <v>0</v>
      </c>
      <c r="ES66">
        <v>0</v>
      </c>
      <c r="ET66" t="s">
        <v>334</v>
      </c>
      <c r="EU66" t="s">
        <v>335</v>
      </c>
      <c r="EV66" t="s">
        <v>336</v>
      </c>
      <c r="EW66" t="s">
        <v>336</v>
      </c>
      <c r="EX66" t="s">
        <v>336</v>
      </c>
      <c r="EY66" t="s">
        <v>336</v>
      </c>
      <c r="EZ66">
        <v>0</v>
      </c>
      <c r="FA66">
        <v>100</v>
      </c>
      <c r="FB66">
        <v>100</v>
      </c>
      <c r="FC66">
        <v>7.7530000000000001</v>
      </c>
      <c r="FD66">
        <v>-0.98299999999999998</v>
      </c>
      <c r="FE66">
        <v>7.7759900000000002</v>
      </c>
      <c r="FF66">
        <v>0</v>
      </c>
      <c r="FG66">
        <v>0</v>
      </c>
      <c r="FH66">
        <v>0</v>
      </c>
      <c r="FI66">
        <v>-0.98243049999999998</v>
      </c>
      <c r="FJ66">
        <v>0</v>
      </c>
      <c r="FK66">
        <v>0</v>
      </c>
      <c r="FL66">
        <v>0</v>
      </c>
      <c r="FM66">
        <v>-1</v>
      </c>
      <c r="FN66">
        <v>-1</v>
      </c>
      <c r="FO66">
        <v>-1</v>
      </c>
      <c r="FP66">
        <v>-1</v>
      </c>
      <c r="FQ66">
        <v>0.8</v>
      </c>
      <c r="FR66">
        <v>0.6</v>
      </c>
      <c r="FS66">
        <v>0.142822</v>
      </c>
      <c r="FT66">
        <v>4.99756</v>
      </c>
      <c r="FU66">
        <v>1.5979000000000001</v>
      </c>
      <c r="FV66">
        <v>2.16553</v>
      </c>
      <c r="FW66">
        <v>1.5478499999999999</v>
      </c>
      <c r="FX66">
        <v>2.3779300000000001</v>
      </c>
      <c r="FY66">
        <v>31.958500000000001</v>
      </c>
      <c r="FZ66">
        <v>16.119599999999998</v>
      </c>
      <c r="GA66">
        <v>3</v>
      </c>
      <c r="GB66">
        <v>492.13799999999998</v>
      </c>
      <c r="GC66">
        <v>427.05399999999997</v>
      </c>
      <c r="GD66">
        <v>25.994599999999998</v>
      </c>
      <c r="GE66">
        <v>27.882300000000001</v>
      </c>
      <c r="GF66">
        <v>30.0001</v>
      </c>
      <c r="GG66">
        <v>28.1999</v>
      </c>
      <c r="GH66">
        <v>28.256699999999999</v>
      </c>
      <c r="GI66">
        <v>-1</v>
      </c>
      <c r="GJ66">
        <v>0</v>
      </c>
      <c r="GK66">
        <v>100</v>
      </c>
      <c r="GL66">
        <v>25.991900000000001</v>
      </c>
      <c r="GM66">
        <v>432.1</v>
      </c>
      <c r="GN66">
        <v>63.216500000000003</v>
      </c>
      <c r="GO66">
        <v>102.569</v>
      </c>
      <c r="GP66">
        <v>96.744200000000006</v>
      </c>
    </row>
    <row r="67" spans="1:198" x14ac:dyDescent="0.35">
      <c r="A67">
        <v>51</v>
      </c>
      <c r="B67">
        <v>1775506591.5</v>
      </c>
      <c r="C67">
        <v>3000.5</v>
      </c>
      <c r="D67" t="s">
        <v>484</v>
      </c>
      <c r="E67" t="s">
        <v>485</v>
      </c>
      <c r="F67">
        <v>60</v>
      </c>
      <c r="G67">
        <v>1775506583.5</v>
      </c>
      <c r="H67">
        <f t="shared" si="30"/>
        <v>1.0654250009043747E-3</v>
      </c>
      <c r="I67">
        <f t="shared" si="31"/>
        <v>1.0654250009043746</v>
      </c>
      <c r="J67">
        <f t="shared" si="32"/>
        <v>0.33398923568673294</v>
      </c>
      <c r="K67">
        <f t="shared" si="33"/>
        <v>55.544761290322569</v>
      </c>
      <c r="L67">
        <f t="shared" si="34"/>
        <v>35.406898093882511</v>
      </c>
      <c r="M67">
        <f t="shared" si="35"/>
        <v>3.547405116744986</v>
      </c>
      <c r="N67">
        <f t="shared" si="36"/>
        <v>5.5650108034658086</v>
      </c>
      <c r="O67">
        <f t="shared" si="37"/>
        <v>3.0570454192080172E-2</v>
      </c>
      <c r="P67">
        <f t="shared" si="38"/>
        <v>2.3914666165633225</v>
      </c>
      <c r="Q67">
        <f t="shared" si="39"/>
        <v>3.0355002494207112E-2</v>
      </c>
      <c r="R67">
        <f t="shared" si="40"/>
        <v>1.8991107340781608E-2</v>
      </c>
      <c r="S67">
        <f t="shared" si="41"/>
        <v>0</v>
      </c>
      <c r="T67">
        <f t="shared" si="42"/>
        <v>24.96373571726798</v>
      </c>
      <c r="U67">
        <f t="shared" si="43"/>
        <v>25.321964516129039</v>
      </c>
      <c r="V67">
        <f t="shared" si="44"/>
        <v>3.2412265674299028</v>
      </c>
      <c r="W67">
        <f t="shared" si="45"/>
        <v>-6.8691346510043036</v>
      </c>
      <c r="X67">
        <f t="shared" si="46"/>
        <v>-0.22233326832779032</v>
      </c>
      <c r="Y67">
        <f t="shared" si="47"/>
        <v>3.2366998118938319</v>
      </c>
      <c r="Z67">
        <f t="shared" si="48"/>
        <v>3.4635598357576933</v>
      </c>
      <c r="AA67">
        <f t="shared" si="49"/>
        <v>-46.985242539882925</v>
      </c>
      <c r="AB67">
        <f t="shared" si="50"/>
        <v>-3.0294096842681522</v>
      </c>
      <c r="AC67">
        <f t="shared" si="51"/>
        <v>-0.26878762840310266</v>
      </c>
      <c r="AD67">
        <f t="shared" si="52"/>
        <v>-50.283439852554181</v>
      </c>
      <c r="AE67">
        <v>18</v>
      </c>
      <c r="AF67">
        <v>4</v>
      </c>
      <c r="AG67">
        <f t="shared" si="53"/>
        <v>1</v>
      </c>
      <c r="AH67">
        <f t="shared" si="54"/>
        <v>0</v>
      </c>
      <c r="AI67">
        <f t="shared" si="55"/>
        <v>25714.957226708353</v>
      </c>
      <c r="AJ67">
        <f t="shared" si="56"/>
        <v>0</v>
      </c>
      <c r="AK67">
        <f t="shared" si="57"/>
        <v>0</v>
      </c>
      <c r="AL67">
        <f t="shared" si="58"/>
        <v>0</v>
      </c>
      <c r="AM67">
        <f t="shared" si="59"/>
        <v>0</v>
      </c>
      <c r="AN67">
        <v>3</v>
      </c>
      <c r="AO67">
        <v>0.5</v>
      </c>
      <c r="AP67" t="s">
        <v>331</v>
      </c>
      <c r="AQ67">
        <v>2</v>
      </c>
      <c r="AR67">
        <v>1775506583.5</v>
      </c>
      <c r="AS67">
        <v>55.544761290322569</v>
      </c>
      <c r="AT67">
        <v>55.780654838709673</v>
      </c>
      <c r="AU67">
        <v>-2.2191238709677421</v>
      </c>
      <c r="AV67">
        <v>-2.859777741935484</v>
      </c>
      <c r="AW67">
        <v>47.785761290322569</v>
      </c>
      <c r="AX67">
        <v>-1.2351238709677419</v>
      </c>
      <c r="AY67">
        <v>500.01538709677419</v>
      </c>
      <c r="AZ67">
        <v>100.1524838709677</v>
      </c>
      <c r="BA67">
        <v>3.7177119354838709E-2</v>
      </c>
      <c r="BB67">
        <v>25.29846774193549</v>
      </c>
      <c r="BC67">
        <v>25.321964516129039</v>
      </c>
      <c r="BD67">
        <v>999.90000000000032</v>
      </c>
      <c r="BE67">
        <v>0</v>
      </c>
      <c r="BF67">
        <v>0</v>
      </c>
      <c r="BG67">
        <v>5001.2258064516127</v>
      </c>
      <c r="BH67">
        <v>0.41021441935483871</v>
      </c>
      <c r="BI67">
        <v>0.22961599999999999</v>
      </c>
      <c r="BJ67">
        <v>-0.24201390322580649</v>
      </c>
      <c r="BK67">
        <v>55.415719354838707</v>
      </c>
      <c r="BL67">
        <v>55.621590322580637</v>
      </c>
      <c r="BM67">
        <v>0.64173525806451637</v>
      </c>
      <c r="BN67">
        <v>55.780654838709673</v>
      </c>
      <c r="BO67">
        <v>-2.859777741935484</v>
      </c>
      <c r="BP67">
        <v>-0.22214277419354839</v>
      </c>
      <c r="BQ67">
        <v>-0.2864141290322581</v>
      </c>
      <c r="BR67">
        <v>-99.900000000000034</v>
      </c>
      <c r="BS67">
        <v>-99.900000000000034</v>
      </c>
      <c r="BT67">
        <v>0</v>
      </c>
      <c r="BU67">
        <v>0</v>
      </c>
      <c r="BV67">
        <v>0</v>
      </c>
      <c r="BW67">
        <v>24</v>
      </c>
      <c r="BX67">
        <v>-1</v>
      </c>
      <c r="BY67">
        <v>1775506611.5</v>
      </c>
      <c r="BZ67" t="s">
        <v>486</v>
      </c>
      <c r="CA67">
        <v>1775506607</v>
      </c>
      <c r="CB67">
        <v>1775506611.5</v>
      </c>
      <c r="CC67">
        <v>54</v>
      </c>
      <c r="CD67">
        <v>6.0000000000000001E-3</v>
      </c>
      <c r="CE67">
        <v>-1E-3</v>
      </c>
      <c r="CF67">
        <v>7.7590000000000003</v>
      </c>
      <c r="CG67">
        <v>-0.98399999999999999</v>
      </c>
      <c r="CH67">
        <v>56</v>
      </c>
      <c r="CI67">
        <v>-3</v>
      </c>
      <c r="CJ67">
        <v>0.43</v>
      </c>
      <c r="CK67">
        <v>0.09</v>
      </c>
      <c r="CL67">
        <v>55.728540983606571</v>
      </c>
      <c r="CM67">
        <v>0.41680359598088029</v>
      </c>
      <c r="CN67">
        <v>7.1446225053828763E-2</v>
      </c>
      <c r="CO67">
        <v>-1</v>
      </c>
      <c r="CP67">
        <v>500.34662295081972</v>
      </c>
      <c r="CQ67">
        <v>-3.7323617133795022</v>
      </c>
      <c r="CR67">
        <v>1.0589974715357759</v>
      </c>
      <c r="CS67">
        <v>-1</v>
      </c>
      <c r="CT67">
        <v>0</v>
      </c>
      <c r="CU67">
        <v>0</v>
      </c>
      <c r="CV67" t="s">
        <v>333</v>
      </c>
      <c r="CW67">
        <v>3.1673100000000001</v>
      </c>
      <c r="CX67">
        <v>2.6584699999999999</v>
      </c>
      <c r="CY67">
        <v>1.42893E-2</v>
      </c>
      <c r="CZ67">
        <v>1.6655E-2</v>
      </c>
      <c r="DA67">
        <v>-1.10741E-2</v>
      </c>
      <c r="DB67">
        <v>-2.8857000000000001E-2</v>
      </c>
      <c r="DC67">
        <v>21353.7</v>
      </c>
      <c r="DD67">
        <v>21659.9</v>
      </c>
      <c r="DE67">
        <v>23189.3</v>
      </c>
      <c r="DF67">
        <v>22375.3</v>
      </c>
      <c r="DG67">
        <v>30227.200000000001</v>
      </c>
      <c r="DH67">
        <v>27443</v>
      </c>
      <c r="DI67">
        <v>40743.1</v>
      </c>
      <c r="DJ67">
        <v>37073</v>
      </c>
      <c r="DK67">
        <v>2.10338</v>
      </c>
      <c r="DL67">
        <v>1.8594200000000001</v>
      </c>
      <c r="DM67">
        <v>2.57194E-2</v>
      </c>
      <c r="DN67">
        <v>0</v>
      </c>
      <c r="DO67">
        <v>24.897400000000001</v>
      </c>
      <c r="DP67">
        <v>999.9</v>
      </c>
      <c r="DQ67">
        <v>81.7</v>
      </c>
      <c r="DR67">
        <v>27.4</v>
      </c>
      <c r="DS67">
        <v>29.887499999999999</v>
      </c>
      <c r="DT67">
        <v>30.9983</v>
      </c>
      <c r="DU67">
        <v>9.0224399999999996</v>
      </c>
      <c r="DV67">
        <v>1</v>
      </c>
      <c r="DW67">
        <v>5.0365899999999998E-2</v>
      </c>
      <c r="DX67">
        <v>-0.23652100000000001</v>
      </c>
      <c r="DY67">
        <v>20.367699999999999</v>
      </c>
      <c r="DZ67">
        <v>5.2103400000000004</v>
      </c>
      <c r="EA67">
        <v>11.8482</v>
      </c>
      <c r="EB67">
        <v>4.9679200000000003</v>
      </c>
      <c r="EC67">
        <v>3.2914599999999998</v>
      </c>
      <c r="ED67">
        <v>894.7</v>
      </c>
      <c r="EE67">
        <v>0</v>
      </c>
      <c r="EF67">
        <v>9999</v>
      </c>
      <c r="EG67">
        <v>113.8</v>
      </c>
      <c r="EH67">
        <v>4.9716300000000002</v>
      </c>
      <c r="EI67">
        <v>1.8717999999999999</v>
      </c>
      <c r="EJ67">
        <v>1.8689</v>
      </c>
      <c r="EK67">
        <v>1.87134</v>
      </c>
      <c r="EL67">
        <v>1.8690500000000001</v>
      </c>
      <c r="EM67">
        <v>1.86805</v>
      </c>
      <c r="EN67">
        <v>1.86985</v>
      </c>
      <c r="EO67">
        <v>1.87164</v>
      </c>
      <c r="EP67">
        <v>0</v>
      </c>
      <c r="EQ67">
        <v>0</v>
      </c>
      <c r="ER67">
        <v>0</v>
      </c>
      <c r="ES67">
        <v>0</v>
      </c>
      <c r="ET67" t="s">
        <v>334</v>
      </c>
      <c r="EU67" t="s">
        <v>335</v>
      </c>
      <c r="EV67" t="s">
        <v>336</v>
      </c>
      <c r="EW67" t="s">
        <v>336</v>
      </c>
      <c r="EX67" t="s">
        <v>336</v>
      </c>
      <c r="EY67" t="s">
        <v>336</v>
      </c>
      <c r="EZ67">
        <v>0</v>
      </c>
      <c r="FA67">
        <v>100</v>
      </c>
      <c r="FB67">
        <v>100</v>
      </c>
      <c r="FC67">
        <v>7.7590000000000003</v>
      </c>
      <c r="FD67">
        <v>-0.98399999999999999</v>
      </c>
      <c r="FE67">
        <v>7.7528799999999984</v>
      </c>
      <c r="FF67">
        <v>0</v>
      </c>
      <c r="FG67">
        <v>0</v>
      </c>
      <c r="FH67">
        <v>0</v>
      </c>
      <c r="FI67">
        <v>-0.98291849999999981</v>
      </c>
      <c r="FJ67">
        <v>0</v>
      </c>
      <c r="FK67">
        <v>0</v>
      </c>
      <c r="FL67">
        <v>0</v>
      </c>
      <c r="FM67">
        <v>-1</v>
      </c>
      <c r="FN67">
        <v>-1</v>
      </c>
      <c r="FO67">
        <v>-1</v>
      </c>
      <c r="FP67">
        <v>-1</v>
      </c>
      <c r="FQ67">
        <v>0.8</v>
      </c>
      <c r="FR67">
        <v>0.6</v>
      </c>
      <c r="FS67">
        <v>0.142822</v>
      </c>
      <c r="FT67">
        <v>4.99756</v>
      </c>
      <c r="FU67">
        <v>1.5979000000000001</v>
      </c>
      <c r="FV67">
        <v>2.16553</v>
      </c>
      <c r="FW67">
        <v>1.5478499999999999</v>
      </c>
      <c r="FX67">
        <v>2.3962400000000001</v>
      </c>
      <c r="FY67">
        <v>31.958500000000001</v>
      </c>
      <c r="FZ67">
        <v>16.119599999999998</v>
      </c>
      <c r="GA67">
        <v>3</v>
      </c>
      <c r="GB67">
        <v>492.07499999999999</v>
      </c>
      <c r="GC67">
        <v>427.02499999999998</v>
      </c>
      <c r="GD67">
        <v>26.019100000000002</v>
      </c>
      <c r="GE67">
        <v>27.879899999999999</v>
      </c>
      <c r="GF67">
        <v>30.0001</v>
      </c>
      <c r="GG67">
        <v>28.197700000000001</v>
      </c>
      <c r="GH67">
        <v>28.254300000000001</v>
      </c>
      <c r="GI67">
        <v>-1</v>
      </c>
      <c r="GJ67">
        <v>0</v>
      </c>
      <c r="GK67">
        <v>100</v>
      </c>
      <c r="GL67">
        <v>26.019400000000001</v>
      </c>
      <c r="GM67">
        <v>432.1</v>
      </c>
      <c r="GN67">
        <v>63.216500000000003</v>
      </c>
      <c r="GO67">
        <v>102.56699999999999</v>
      </c>
      <c r="GP67">
        <v>96.745800000000003</v>
      </c>
    </row>
    <row r="68" spans="1:198" x14ac:dyDescent="0.35">
      <c r="A68">
        <v>52</v>
      </c>
      <c r="B68">
        <v>1775506651.5</v>
      </c>
      <c r="C68">
        <v>3060.5</v>
      </c>
      <c r="D68" t="s">
        <v>487</v>
      </c>
      <c r="E68" t="s">
        <v>488</v>
      </c>
      <c r="F68">
        <v>60</v>
      </c>
      <c r="G68">
        <v>1775506643.5</v>
      </c>
      <c r="H68">
        <f t="shared" si="30"/>
        <v>1.062162352680454E-3</v>
      </c>
      <c r="I68">
        <f t="shared" si="31"/>
        <v>1.062162352680454</v>
      </c>
      <c r="J68">
        <f t="shared" si="32"/>
        <v>0.13622487109354472</v>
      </c>
      <c r="K68">
        <f t="shared" si="33"/>
        <v>55.464538709677427</v>
      </c>
      <c r="L68">
        <f t="shared" si="34"/>
        <v>45.440602431889857</v>
      </c>
      <c r="M68">
        <f t="shared" si="35"/>
        <v>4.5526992796250836</v>
      </c>
      <c r="N68">
        <f t="shared" si="36"/>
        <v>5.5569986292935702</v>
      </c>
      <c r="O68">
        <f t="shared" si="37"/>
        <v>3.0481352436620934E-2</v>
      </c>
      <c r="P68">
        <f t="shared" si="38"/>
        <v>2.3905218316311649</v>
      </c>
      <c r="Q68">
        <f t="shared" si="39"/>
        <v>3.0267066071631172E-2</v>
      </c>
      <c r="R68">
        <f t="shared" si="40"/>
        <v>1.8936043375535054E-2</v>
      </c>
      <c r="S68">
        <f t="shared" si="41"/>
        <v>0</v>
      </c>
      <c r="T68">
        <f t="shared" si="42"/>
        <v>24.967692077263315</v>
      </c>
      <c r="U68">
        <f t="shared" si="43"/>
        <v>25.31952903225806</v>
      </c>
      <c r="V68">
        <f t="shared" si="44"/>
        <v>3.2407571040727925</v>
      </c>
      <c r="W68">
        <f t="shared" si="45"/>
        <v>-6.8653503646437937</v>
      </c>
      <c r="X68">
        <f t="shared" si="46"/>
        <v>-0.22225112273740502</v>
      </c>
      <c r="Y68">
        <f t="shared" si="47"/>
        <v>3.2372874060730688</v>
      </c>
      <c r="Z68">
        <f t="shared" si="48"/>
        <v>3.4630082268101976</v>
      </c>
      <c r="AA68">
        <f t="shared" si="49"/>
        <v>-46.841359753208025</v>
      </c>
      <c r="AB68">
        <f t="shared" si="50"/>
        <v>-2.3210478384067619</v>
      </c>
      <c r="AC68">
        <f t="shared" si="51"/>
        <v>-0.20601949170120895</v>
      </c>
      <c r="AD68">
        <f t="shared" si="52"/>
        <v>-49.368427083315993</v>
      </c>
      <c r="AE68">
        <v>18</v>
      </c>
      <c r="AF68">
        <v>4</v>
      </c>
      <c r="AG68">
        <f t="shared" si="53"/>
        <v>1</v>
      </c>
      <c r="AH68">
        <f t="shared" si="54"/>
        <v>0</v>
      </c>
      <c r="AI68">
        <f t="shared" si="55"/>
        <v>25700.220668608996</v>
      </c>
      <c r="AJ68">
        <f t="shared" si="56"/>
        <v>0</v>
      </c>
      <c r="AK68">
        <f t="shared" si="57"/>
        <v>0</v>
      </c>
      <c r="AL68">
        <f t="shared" si="58"/>
        <v>0</v>
      </c>
      <c r="AM68">
        <f t="shared" si="59"/>
        <v>0</v>
      </c>
      <c r="AN68">
        <v>3</v>
      </c>
      <c r="AO68">
        <v>0.5</v>
      </c>
      <c r="AP68" t="s">
        <v>331</v>
      </c>
      <c r="AQ68">
        <v>2</v>
      </c>
      <c r="AR68">
        <v>1775506643.5</v>
      </c>
      <c r="AS68">
        <v>55.464538709677427</v>
      </c>
      <c r="AT68">
        <v>55.581619354838708</v>
      </c>
      <c r="AU68">
        <v>-2.218293870967742</v>
      </c>
      <c r="AV68">
        <v>-2.856995806451613</v>
      </c>
      <c r="AW68">
        <v>47.694538709677417</v>
      </c>
      <c r="AX68">
        <v>-1.234293870967742</v>
      </c>
      <c r="AY68">
        <v>500.00719354838708</v>
      </c>
      <c r="AZ68">
        <v>100.1528709677419</v>
      </c>
      <c r="BA68">
        <v>3.7246151612903233E-2</v>
      </c>
      <c r="BB68">
        <v>25.3015193548387</v>
      </c>
      <c r="BC68">
        <v>25.31952903225806</v>
      </c>
      <c r="BD68">
        <v>999.90000000000032</v>
      </c>
      <c r="BE68">
        <v>0</v>
      </c>
      <c r="BF68">
        <v>0</v>
      </c>
      <c r="BG68">
        <v>4998.7741935483873</v>
      </c>
      <c r="BH68">
        <v>0.41464993548387102</v>
      </c>
      <c r="BI68">
        <v>0.23331922580645159</v>
      </c>
      <c r="BJ68">
        <v>-0.1280029780645161</v>
      </c>
      <c r="BK68">
        <v>55.33089677419354</v>
      </c>
      <c r="BL68">
        <v>55.423274193548387</v>
      </c>
      <c r="BM68">
        <v>0.63897945161290326</v>
      </c>
      <c r="BN68">
        <v>55.581619354838708</v>
      </c>
      <c r="BO68">
        <v>-2.856995806451613</v>
      </c>
      <c r="BP68">
        <v>-0.22214077419354841</v>
      </c>
      <c r="BQ68">
        <v>-0.28613638709677419</v>
      </c>
      <c r="BR68">
        <v>-99.900000000000034</v>
      </c>
      <c r="BS68">
        <v>-99.900000000000034</v>
      </c>
      <c r="BT68">
        <v>0</v>
      </c>
      <c r="BU68">
        <v>0</v>
      </c>
      <c r="BV68">
        <v>0</v>
      </c>
      <c r="BW68">
        <v>24</v>
      </c>
      <c r="BX68">
        <v>-1</v>
      </c>
      <c r="BY68">
        <v>1775506671.5</v>
      </c>
      <c r="BZ68" t="s">
        <v>489</v>
      </c>
      <c r="CA68">
        <v>1775506665.5</v>
      </c>
      <c r="CB68">
        <v>1775506671.5</v>
      </c>
      <c r="CC68">
        <v>55</v>
      </c>
      <c r="CD68">
        <v>1.0999999999999999E-2</v>
      </c>
      <c r="CE68">
        <v>0</v>
      </c>
      <c r="CF68">
        <v>7.77</v>
      </c>
      <c r="CG68">
        <v>-0.98399999999999999</v>
      </c>
      <c r="CH68">
        <v>56</v>
      </c>
      <c r="CI68">
        <v>-3</v>
      </c>
      <c r="CJ68">
        <v>0.37</v>
      </c>
      <c r="CK68">
        <v>0.09</v>
      </c>
      <c r="CL68">
        <v>55.628757377049183</v>
      </c>
      <c r="CM68">
        <v>-0.31868598625057798</v>
      </c>
      <c r="CN68">
        <v>0.1136853342892761</v>
      </c>
      <c r="CO68">
        <v>-1</v>
      </c>
      <c r="CP68">
        <v>500.00416393442617</v>
      </c>
      <c r="CQ68">
        <v>-3.0828133262570952E-2</v>
      </c>
      <c r="CR68">
        <v>9.0148362291636072E-2</v>
      </c>
      <c r="CS68">
        <v>-1</v>
      </c>
      <c r="CT68">
        <v>0</v>
      </c>
      <c r="CU68">
        <v>0</v>
      </c>
      <c r="CV68" t="s">
        <v>333</v>
      </c>
      <c r="CW68">
        <v>3.1673200000000001</v>
      </c>
      <c r="CX68">
        <v>2.6585999999999999</v>
      </c>
      <c r="CY68">
        <v>1.42452E-2</v>
      </c>
      <c r="CZ68">
        <v>1.6607400000000001E-2</v>
      </c>
      <c r="DA68">
        <v>-1.10671E-2</v>
      </c>
      <c r="DB68">
        <v>-2.8810100000000002E-2</v>
      </c>
      <c r="DC68">
        <v>21354.400000000001</v>
      </c>
      <c r="DD68">
        <v>21661.200000000001</v>
      </c>
      <c r="DE68">
        <v>23189.1</v>
      </c>
      <c r="DF68">
        <v>22375.599999999999</v>
      </c>
      <c r="DG68">
        <v>30226.7</v>
      </c>
      <c r="DH68">
        <v>27441.9</v>
      </c>
      <c r="DI68">
        <v>40742.699999999997</v>
      </c>
      <c r="DJ68">
        <v>37073.1</v>
      </c>
      <c r="DK68">
        <v>2.1035599999999999</v>
      </c>
      <c r="DL68">
        <v>1.85944</v>
      </c>
      <c r="DM68">
        <v>2.5409500000000002E-2</v>
      </c>
      <c r="DN68">
        <v>0</v>
      </c>
      <c r="DO68">
        <v>24.8995</v>
      </c>
      <c r="DP68">
        <v>999.9</v>
      </c>
      <c r="DQ68">
        <v>81.599999999999994</v>
      </c>
      <c r="DR68">
        <v>27.4</v>
      </c>
      <c r="DS68">
        <v>29.853000000000002</v>
      </c>
      <c r="DT68">
        <v>30.728300000000001</v>
      </c>
      <c r="DU68">
        <v>8.9102599999999992</v>
      </c>
      <c r="DV68">
        <v>1</v>
      </c>
      <c r="DW68">
        <v>5.0510199999999998E-2</v>
      </c>
      <c r="DX68">
        <v>-0.213728</v>
      </c>
      <c r="DY68">
        <v>20.368500000000001</v>
      </c>
      <c r="DZ68">
        <v>5.2123799999999996</v>
      </c>
      <c r="EA68">
        <v>11.8482</v>
      </c>
      <c r="EB68">
        <v>4.96828</v>
      </c>
      <c r="EC68">
        <v>3.2919999999999998</v>
      </c>
      <c r="ED68">
        <v>894.7</v>
      </c>
      <c r="EE68">
        <v>0</v>
      </c>
      <c r="EF68">
        <v>9999</v>
      </c>
      <c r="EG68">
        <v>113.8</v>
      </c>
      <c r="EH68">
        <v>4.9716699999999996</v>
      </c>
      <c r="EI68">
        <v>1.87181</v>
      </c>
      <c r="EJ68">
        <v>1.8689</v>
      </c>
      <c r="EK68">
        <v>1.87134</v>
      </c>
      <c r="EL68">
        <v>1.86907</v>
      </c>
      <c r="EM68">
        <v>1.8680699999999999</v>
      </c>
      <c r="EN68">
        <v>1.86995</v>
      </c>
      <c r="EO68">
        <v>1.8716600000000001</v>
      </c>
      <c r="EP68">
        <v>0</v>
      </c>
      <c r="EQ68">
        <v>0</v>
      </c>
      <c r="ER68">
        <v>0</v>
      </c>
      <c r="ES68">
        <v>0</v>
      </c>
      <c r="ET68" t="s">
        <v>334</v>
      </c>
      <c r="EU68" t="s">
        <v>335</v>
      </c>
      <c r="EV68" t="s">
        <v>336</v>
      </c>
      <c r="EW68" t="s">
        <v>336</v>
      </c>
      <c r="EX68" t="s">
        <v>336</v>
      </c>
      <c r="EY68" t="s">
        <v>336</v>
      </c>
      <c r="EZ68">
        <v>0</v>
      </c>
      <c r="FA68">
        <v>100</v>
      </c>
      <c r="FB68">
        <v>100</v>
      </c>
      <c r="FC68">
        <v>7.77</v>
      </c>
      <c r="FD68">
        <v>-0.98399999999999999</v>
      </c>
      <c r="FE68">
        <v>7.7590809523809696</v>
      </c>
      <c r="FF68">
        <v>0</v>
      </c>
      <c r="FG68">
        <v>0</v>
      </c>
      <c r="FH68">
        <v>0</v>
      </c>
      <c r="FI68">
        <v>-0.98372299999999968</v>
      </c>
      <c r="FJ68">
        <v>0</v>
      </c>
      <c r="FK68">
        <v>0</v>
      </c>
      <c r="FL68">
        <v>0</v>
      </c>
      <c r="FM68">
        <v>-1</v>
      </c>
      <c r="FN68">
        <v>-1</v>
      </c>
      <c r="FO68">
        <v>-1</v>
      </c>
      <c r="FP68">
        <v>-1</v>
      </c>
      <c r="FQ68">
        <v>0.7</v>
      </c>
      <c r="FR68">
        <v>0.7</v>
      </c>
      <c r="FS68">
        <v>0.142822</v>
      </c>
      <c r="FT68">
        <v>4.99756</v>
      </c>
      <c r="FU68">
        <v>1.5979000000000001</v>
      </c>
      <c r="FV68">
        <v>2.16431</v>
      </c>
      <c r="FW68">
        <v>1.5478499999999999</v>
      </c>
      <c r="FX68">
        <v>2.3974600000000001</v>
      </c>
      <c r="FY68">
        <v>31.980499999999999</v>
      </c>
      <c r="FZ68">
        <v>16.110900000000001</v>
      </c>
      <c r="GA68">
        <v>3</v>
      </c>
      <c r="GB68">
        <v>492.17700000000002</v>
      </c>
      <c r="GC68">
        <v>427.03699999999998</v>
      </c>
      <c r="GD68">
        <v>26.0047</v>
      </c>
      <c r="GE68">
        <v>27.879899999999999</v>
      </c>
      <c r="GF68">
        <v>30.0001</v>
      </c>
      <c r="GG68">
        <v>28.197600000000001</v>
      </c>
      <c r="GH68">
        <v>28.254300000000001</v>
      </c>
      <c r="GI68">
        <v>-1</v>
      </c>
      <c r="GJ68">
        <v>0</v>
      </c>
      <c r="GK68">
        <v>100</v>
      </c>
      <c r="GL68">
        <v>26.004200000000001</v>
      </c>
      <c r="GM68">
        <v>432.1</v>
      </c>
      <c r="GN68">
        <v>63.216500000000003</v>
      </c>
      <c r="GO68">
        <v>102.566</v>
      </c>
      <c r="GP68">
        <v>96.746200000000002</v>
      </c>
    </row>
    <row r="69" spans="1:198" x14ac:dyDescent="0.35">
      <c r="A69">
        <v>53</v>
      </c>
      <c r="B69">
        <v>1775506711.5</v>
      </c>
      <c r="C69">
        <v>3120.5</v>
      </c>
      <c r="D69" t="s">
        <v>490</v>
      </c>
      <c r="E69" t="s">
        <v>491</v>
      </c>
      <c r="F69">
        <v>60</v>
      </c>
      <c r="G69">
        <v>1775506703.5</v>
      </c>
      <c r="H69">
        <f t="shared" si="30"/>
        <v>1.0557971181733316E-3</v>
      </c>
      <c r="I69">
        <f t="shared" si="31"/>
        <v>1.0557971181733317</v>
      </c>
      <c r="J69">
        <f t="shared" si="32"/>
        <v>-0.59278576080450562</v>
      </c>
      <c r="K69">
        <f t="shared" si="33"/>
        <v>55.326919354838722</v>
      </c>
      <c r="L69">
        <f t="shared" si="34"/>
        <v>82.931671419666458</v>
      </c>
      <c r="M69">
        <f t="shared" si="35"/>
        <v>8.3089836191370932</v>
      </c>
      <c r="N69">
        <f t="shared" si="36"/>
        <v>5.5432437179562015</v>
      </c>
      <c r="O69">
        <f t="shared" si="37"/>
        <v>3.0309797644791109E-2</v>
      </c>
      <c r="P69">
        <f t="shared" si="38"/>
        <v>2.3896314230289613</v>
      </c>
      <c r="Q69">
        <f t="shared" si="39"/>
        <v>3.0097829175076321E-2</v>
      </c>
      <c r="R69">
        <f t="shared" si="40"/>
        <v>1.883006406768592E-2</v>
      </c>
      <c r="S69">
        <f t="shared" si="41"/>
        <v>0</v>
      </c>
      <c r="T69">
        <f t="shared" si="42"/>
        <v>24.967075140748594</v>
      </c>
      <c r="U69">
        <f t="shared" si="43"/>
        <v>25.312190322580641</v>
      </c>
      <c r="V69">
        <f t="shared" si="44"/>
        <v>3.2393428551495771</v>
      </c>
      <c r="W69">
        <f t="shared" si="45"/>
        <v>-6.8683449303874902</v>
      </c>
      <c r="X69">
        <f t="shared" si="46"/>
        <v>-0.22231495946411681</v>
      </c>
      <c r="Y69">
        <f t="shared" si="47"/>
        <v>3.2368053980593325</v>
      </c>
      <c r="Z69">
        <f t="shared" si="48"/>
        <v>3.461657814613694</v>
      </c>
      <c r="AA69">
        <f t="shared" si="49"/>
        <v>-46.560652911443924</v>
      </c>
      <c r="AB69">
        <f t="shared" si="50"/>
        <v>-1.6972288422337276</v>
      </c>
      <c r="AC69">
        <f t="shared" si="51"/>
        <v>-0.15069711010717235</v>
      </c>
      <c r="AD69">
        <f t="shared" si="52"/>
        <v>-48.408578863784825</v>
      </c>
      <c r="AE69">
        <v>18</v>
      </c>
      <c r="AF69">
        <v>4</v>
      </c>
      <c r="AG69">
        <f t="shared" si="53"/>
        <v>1</v>
      </c>
      <c r="AH69">
        <f t="shared" si="54"/>
        <v>0</v>
      </c>
      <c r="AI69">
        <f t="shared" si="55"/>
        <v>25686.786486100889</v>
      </c>
      <c r="AJ69">
        <f t="shared" si="56"/>
        <v>0</v>
      </c>
      <c r="AK69">
        <f t="shared" si="57"/>
        <v>0</v>
      </c>
      <c r="AL69">
        <f t="shared" si="58"/>
        <v>0</v>
      </c>
      <c r="AM69">
        <f t="shared" si="59"/>
        <v>0</v>
      </c>
      <c r="AN69">
        <v>3</v>
      </c>
      <c r="AO69">
        <v>0.5</v>
      </c>
      <c r="AP69" t="s">
        <v>331</v>
      </c>
      <c r="AQ69">
        <v>2</v>
      </c>
      <c r="AR69">
        <v>1775506703.5</v>
      </c>
      <c r="AS69">
        <v>55.326919354838722</v>
      </c>
      <c r="AT69">
        <v>55.006293548387092</v>
      </c>
      <c r="AU69">
        <v>-2.218917741935484</v>
      </c>
      <c r="AV69">
        <v>-2.8538070967741929</v>
      </c>
      <c r="AW69">
        <v>47.554919354838717</v>
      </c>
      <c r="AX69">
        <v>-1.232917741935484</v>
      </c>
      <c r="AY69">
        <v>499.99570967741943</v>
      </c>
      <c r="AZ69">
        <v>100.1534838709677</v>
      </c>
      <c r="BA69">
        <v>3.7233099999999998E-2</v>
      </c>
      <c r="BB69">
        <v>25.29901612903226</v>
      </c>
      <c r="BC69">
        <v>25.312190322580641</v>
      </c>
      <c r="BD69">
        <v>999.90000000000032</v>
      </c>
      <c r="BE69">
        <v>0</v>
      </c>
      <c r="BF69">
        <v>0</v>
      </c>
      <c r="BG69">
        <v>4996.4516129032254</v>
      </c>
      <c r="BH69">
        <v>0.37849735483870972</v>
      </c>
      <c r="BI69">
        <v>0.23331922580645159</v>
      </c>
      <c r="BJ69">
        <v>0.3184854096774194</v>
      </c>
      <c r="BK69">
        <v>55.202425806451608</v>
      </c>
      <c r="BL69">
        <v>54.84976774193548</v>
      </c>
      <c r="BM69">
        <v>0.63723012903225806</v>
      </c>
      <c r="BN69">
        <v>55.006293548387092</v>
      </c>
      <c r="BO69">
        <v>-2.8538070967741929</v>
      </c>
      <c r="BP69">
        <v>-0.22199803225806461</v>
      </c>
      <c r="BQ69">
        <v>-0.2858187741935484</v>
      </c>
      <c r="BR69">
        <v>-99.900000000000034</v>
      </c>
      <c r="BS69">
        <v>-99.900000000000034</v>
      </c>
      <c r="BT69">
        <v>0</v>
      </c>
      <c r="BU69">
        <v>0</v>
      </c>
      <c r="BV69">
        <v>0</v>
      </c>
      <c r="BW69">
        <v>24</v>
      </c>
      <c r="BX69">
        <v>-1</v>
      </c>
      <c r="BY69">
        <v>1775506731.5</v>
      </c>
      <c r="BZ69" t="s">
        <v>492</v>
      </c>
      <c r="CA69">
        <v>1775506728.5</v>
      </c>
      <c r="CB69">
        <v>1775506731.5</v>
      </c>
      <c r="CC69">
        <v>56</v>
      </c>
      <c r="CD69">
        <v>2E-3</v>
      </c>
      <c r="CE69">
        <v>-2E-3</v>
      </c>
      <c r="CF69">
        <v>7.7720000000000002</v>
      </c>
      <c r="CG69">
        <v>-0.98599999999999999</v>
      </c>
      <c r="CH69">
        <v>55</v>
      </c>
      <c r="CI69">
        <v>-3</v>
      </c>
      <c r="CJ69">
        <v>0.16</v>
      </c>
      <c r="CK69">
        <v>7.0000000000000007E-2</v>
      </c>
      <c r="CL69">
        <v>55.492118333333323</v>
      </c>
      <c r="CM69">
        <v>-3.348036343428745</v>
      </c>
      <c r="CN69">
        <v>0.50015567659535287</v>
      </c>
      <c r="CO69">
        <v>-1</v>
      </c>
      <c r="CP69">
        <v>500.00441666666649</v>
      </c>
      <c r="CQ69">
        <v>-0.1216571269790184</v>
      </c>
      <c r="CR69">
        <v>7.6938783385811171E-2</v>
      </c>
      <c r="CS69">
        <v>-1</v>
      </c>
      <c r="CT69">
        <v>0</v>
      </c>
      <c r="CU69">
        <v>0</v>
      </c>
      <c r="CV69" t="s">
        <v>333</v>
      </c>
      <c r="CW69">
        <v>3.1673900000000001</v>
      </c>
      <c r="CX69">
        <v>2.6585299999999998</v>
      </c>
      <c r="CY69">
        <v>1.4086100000000001E-2</v>
      </c>
      <c r="CZ69">
        <v>1.6340500000000001E-2</v>
      </c>
      <c r="DA69">
        <v>-1.10508E-2</v>
      </c>
      <c r="DB69">
        <v>-2.8766799999999999E-2</v>
      </c>
      <c r="DC69">
        <v>21357.7</v>
      </c>
      <c r="DD69">
        <v>21667.200000000001</v>
      </c>
      <c r="DE69">
        <v>23188.9</v>
      </c>
      <c r="DF69">
        <v>22375.7</v>
      </c>
      <c r="DG69">
        <v>30226.1</v>
      </c>
      <c r="DH69">
        <v>27440.9</v>
      </c>
      <c r="DI69">
        <v>40742.6</v>
      </c>
      <c r="DJ69">
        <v>37073.4</v>
      </c>
      <c r="DK69">
        <v>2.1038199999999998</v>
      </c>
      <c r="DL69">
        <v>1.8591200000000001</v>
      </c>
      <c r="DM69">
        <v>2.5594200000000001E-2</v>
      </c>
      <c r="DN69">
        <v>0</v>
      </c>
      <c r="DO69">
        <v>24.897400000000001</v>
      </c>
      <c r="DP69">
        <v>999.9</v>
      </c>
      <c r="DQ69">
        <v>81.5</v>
      </c>
      <c r="DR69">
        <v>27.4</v>
      </c>
      <c r="DS69">
        <v>29.819900000000001</v>
      </c>
      <c r="DT69">
        <v>30.728300000000001</v>
      </c>
      <c r="DU69">
        <v>8.9262800000000002</v>
      </c>
      <c r="DV69">
        <v>1</v>
      </c>
      <c r="DW69">
        <v>5.0243900000000001E-2</v>
      </c>
      <c r="DX69">
        <v>-0.222582</v>
      </c>
      <c r="DY69">
        <v>20.368400000000001</v>
      </c>
      <c r="DZ69">
        <v>5.2120199999999999</v>
      </c>
      <c r="EA69">
        <v>11.8482</v>
      </c>
      <c r="EB69">
        <v>4.9683999999999999</v>
      </c>
      <c r="EC69">
        <v>3.2919999999999998</v>
      </c>
      <c r="ED69">
        <v>894.7</v>
      </c>
      <c r="EE69">
        <v>0</v>
      </c>
      <c r="EF69">
        <v>9999</v>
      </c>
      <c r="EG69">
        <v>113.9</v>
      </c>
      <c r="EH69">
        <v>4.9716699999999996</v>
      </c>
      <c r="EI69">
        <v>1.8717999999999999</v>
      </c>
      <c r="EJ69">
        <v>1.8689</v>
      </c>
      <c r="EK69">
        <v>1.87134</v>
      </c>
      <c r="EL69">
        <v>1.8690599999999999</v>
      </c>
      <c r="EM69">
        <v>1.86802</v>
      </c>
      <c r="EN69">
        <v>1.86992</v>
      </c>
      <c r="EO69">
        <v>1.8716600000000001</v>
      </c>
      <c r="EP69">
        <v>0</v>
      </c>
      <c r="EQ69">
        <v>0</v>
      </c>
      <c r="ER69">
        <v>0</v>
      </c>
      <c r="ES69">
        <v>0</v>
      </c>
      <c r="ET69" t="s">
        <v>334</v>
      </c>
      <c r="EU69" t="s">
        <v>335</v>
      </c>
      <c r="EV69" t="s">
        <v>336</v>
      </c>
      <c r="EW69" t="s">
        <v>336</v>
      </c>
      <c r="EX69" t="s">
        <v>336</v>
      </c>
      <c r="EY69" t="s">
        <v>336</v>
      </c>
      <c r="EZ69">
        <v>0</v>
      </c>
      <c r="FA69">
        <v>100</v>
      </c>
      <c r="FB69">
        <v>100</v>
      </c>
      <c r="FC69">
        <v>7.7720000000000002</v>
      </c>
      <c r="FD69">
        <v>-0.98599999999999999</v>
      </c>
      <c r="FE69">
        <v>7.7698700000000036</v>
      </c>
      <c r="FF69">
        <v>0</v>
      </c>
      <c r="FG69">
        <v>0</v>
      </c>
      <c r="FH69">
        <v>0</v>
      </c>
      <c r="FI69">
        <v>-0.98365949999999946</v>
      </c>
      <c r="FJ69">
        <v>0</v>
      </c>
      <c r="FK69">
        <v>0</v>
      </c>
      <c r="FL69">
        <v>0</v>
      </c>
      <c r="FM69">
        <v>-1</v>
      </c>
      <c r="FN69">
        <v>-1</v>
      </c>
      <c r="FO69">
        <v>-1</v>
      </c>
      <c r="FP69">
        <v>-1</v>
      </c>
      <c r="FQ69">
        <v>0.8</v>
      </c>
      <c r="FR69">
        <v>0.7</v>
      </c>
      <c r="FS69">
        <v>0.142822</v>
      </c>
      <c r="FT69">
        <v>4.99756</v>
      </c>
      <c r="FU69">
        <v>1.5979000000000001</v>
      </c>
      <c r="FV69">
        <v>2.16431</v>
      </c>
      <c r="FW69">
        <v>1.5478499999999999</v>
      </c>
      <c r="FX69">
        <v>2.36572</v>
      </c>
      <c r="FY69">
        <v>32.002400000000002</v>
      </c>
      <c r="FZ69">
        <v>16.110900000000001</v>
      </c>
      <c r="GA69">
        <v>3</v>
      </c>
      <c r="GB69">
        <v>492.30599999999998</v>
      </c>
      <c r="GC69">
        <v>426.83100000000002</v>
      </c>
      <c r="GD69">
        <v>26.006</v>
      </c>
      <c r="GE69">
        <v>27.879899999999999</v>
      </c>
      <c r="GF69">
        <v>30.0001</v>
      </c>
      <c r="GG69">
        <v>28.1952</v>
      </c>
      <c r="GH69">
        <v>28.251899999999999</v>
      </c>
      <c r="GI69">
        <v>-1</v>
      </c>
      <c r="GJ69">
        <v>0</v>
      </c>
      <c r="GK69">
        <v>100</v>
      </c>
      <c r="GL69">
        <v>26.006699999999999</v>
      </c>
      <c r="GM69">
        <v>432.1</v>
      </c>
      <c r="GN69">
        <v>63.216500000000003</v>
      </c>
      <c r="GO69">
        <v>102.565</v>
      </c>
      <c r="GP69">
        <v>96.747</v>
      </c>
    </row>
    <row r="70" spans="1:198" x14ac:dyDescent="0.35">
      <c r="A70">
        <v>54</v>
      </c>
      <c r="B70">
        <v>1775506771.5</v>
      </c>
      <c r="C70">
        <v>3180.5</v>
      </c>
      <c r="D70" t="s">
        <v>493</v>
      </c>
      <c r="E70" t="s">
        <v>494</v>
      </c>
      <c r="F70">
        <v>60</v>
      </c>
      <c r="G70">
        <v>1775506763.5</v>
      </c>
      <c r="H70">
        <f t="shared" si="30"/>
        <v>1.0348952495598878E-3</v>
      </c>
      <c r="I70">
        <f t="shared" si="31"/>
        <v>1.0348952495598878</v>
      </c>
      <c r="J70">
        <f t="shared" si="32"/>
        <v>4.1032941492841757E-2</v>
      </c>
      <c r="K70">
        <f t="shared" si="33"/>
        <v>54.921190322580642</v>
      </c>
      <c r="L70">
        <f t="shared" si="34"/>
        <v>49.762504657772475</v>
      </c>
      <c r="M70">
        <f t="shared" si="35"/>
        <v>4.9856756093683119</v>
      </c>
      <c r="N70">
        <f t="shared" si="36"/>
        <v>5.5025212438939617</v>
      </c>
      <c r="O70">
        <f t="shared" si="37"/>
        <v>2.9701736584755684E-2</v>
      </c>
      <c r="P70">
        <f t="shared" si="38"/>
        <v>2.3904466678690808</v>
      </c>
      <c r="Q70">
        <f t="shared" si="39"/>
        <v>2.9498225722744388E-2</v>
      </c>
      <c r="R70">
        <f t="shared" si="40"/>
        <v>1.8454559358610147E-2</v>
      </c>
      <c r="S70">
        <f t="shared" si="41"/>
        <v>0</v>
      </c>
      <c r="T70">
        <f t="shared" si="42"/>
        <v>24.974461668604448</v>
      </c>
      <c r="U70">
        <f t="shared" si="43"/>
        <v>25.31557419354839</v>
      </c>
      <c r="V70">
        <f t="shared" si="44"/>
        <v>3.2399948967631751</v>
      </c>
      <c r="W70">
        <f t="shared" si="45"/>
        <v>-6.85957660805665</v>
      </c>
      <c r="X70">
        <f t="shared" si="46"/>
        <v>-0.22204056183529766</v>
      </c>
      <c r="Y70">
        <f t="shared" si="47"/>
        <v>3.2369426645736201</v>
      </c>
      <c r="Z70">
        <f t="shared" si="48"/>
        <v>3.4620354585984727</v>
      </c>
      <c r="AA70">
        <f t="shared" si="49"/>
        <v>-45.638880505591054</v>
      </c>
      <c r="AB70">
        <f t="shared" si="50"/>
        <v>-2.0420255253043105</v>
      </c>
      <c r="AC70">
        <f t="shared" si="51"/>
        <v>-0.18125353915162604</v>
      </c>
      <c r="AD70">
        <f t="shared" si="52"/>
        <v>-47.862159570046991</v>
      </c>
      <c r="AE70">
        <v>18</v>
      </c>
      <c r="AF70">
        <v>4</v>
      </c>
      <c r="AG70">
        <f t="shared" si="53"/>
        <v>1</v>
      </c>
      <c r="AH70">
        <f t="shared" si="54"/>
        <v>0</v>
      </c>
      <c r="AI70">
        <f t="shared" si="55"/>
        <v>25699.250577904408</v>
      </c>
      <c r="AJ70">
        <f t="shared" si="56"/>
        <v>0</v>
      </c>
      <c r="AK70">
        <f t="shared" si="57"/>
        <v>0</v>
      </c>
      <c r="AL70">
        <f t="shared" si="58"/>
        <v>0</v>
      </c>
      <c r="AM70">
        <f t="shared" si="59"/>
        <v>0</v>
      </c>
      <c r="AN70">
        <v>3</v>
      </c>
      <c r="AO70">
        <v>0.5</v>
      </c>
      <c r="AP70" t="s">
        <v>331</v>
      </c>
      <c r="AQ70">
        <v>2</v>
      </c>
      <c r="AR70">
        <v>1775506763.5</v>
      </c>
      <c r="AS70">
        <v>54.921190322580642</v>
      </c>
      <c r="AT70">
        <v>54.979912903225809</v>
      </c>
      <c r="AU70">
        <v>-2.2162080645161288</v>
      </c>
      <c r="AV70">
        <v>-2.838523548387097</v>
      </c>
      <c r="AW70">
        <v>47.11119032258064</v>
      </c>
      <c r="AX70">
        <v>-1.2282080645161291</v>
      </c>
      <c r="AY70">
        <v>499.99822580645173</v>
      </c>
      <c r="AZ70">
        <v>100.1522258064516</v>
      </c>
      <c r="BA70">
        <v>3.7176709677419352E-2</v>
      </c>
      <c r="BB70">
        <v>25.29972903225806</v>
      </c>
      <c r="BC70">
        <v>25.31557419354839</v>
      </c>
      <c r="BD70">
        <v>999.90000000000032</v>
      </c>
      <c r="BE70">
        <v>0</v>
      </c>
      <c r="BF70">
        <v>0</v>
      </c>
      <c r="BG70">
        <v>4998.6129032258068</v>
      </c>
      <c r="BH70">
        <v>0.36425480645161279</v>
      </c>
      <c r="BI70">
        <v>0.23331922580645159</v>
      </c>
      <c r="BJ70">
        <v>-9.6883069354838716E-2</v>
      </c>
      <c r="BK70">
        <v>54.761770967741931</v>
      </c>
      <c r="BL70">
        <v>54.824293548387089</v>
      </c>
      <c r="BM70">
        <v>0.62427912903225802</v>
      </c>
      <c r="BN70">
        <v>54.979912903225809</v>
      </c>
      <c r="BO70">
        <v>-2.838523548387097</v>
      </c>
      <c r="BP70">
        <v>-0.22176164516129029</v>
      </c>
      <c r="BQ70">
        <v>-0.28428470967741942</v>
      </c>
      <c r="BR70">
        <v>-99.900000000000034</v>
      </c>
      <c r="BS70">
        <v>-99.900000000000034</v>
      </c>
      <c r="BT70">
        <v>0</v>
      </c>
      <c r="BU70">
        <v>0</v>
      </c>
      <c r="BV70">
        <v>0</v>
      </c>
      <c r="BW70">
        <v>24</v>
      </c>
      <c r="BX70">
        <v>-1</v>
      </c>
      <c r="BY70">
        <v>1775506797.5</v>
      </c>
      <c r="BZ70" t="s">
        <v>495</v>
      </c>
      <c r="CA70">
        <v>1775506797.5</v>
      </c>
      <c r="CB70">
        <v>1775506792.5</v>
      </c>
      <c r="CC70">
        <v>57</v>
      </c>
      <c r="CD70">
        <v>3.9E-2</v>
      </c>
      <c r="CE70">
        <v>-2E-3</v>
      </c>
      <c r="CF70">
        <v>7.81</v>
      </c>
      <c r="CG70">
        <v>-0.98799999999999999</v>
      </c>
      <c r="CH70">
        <v>55</v>
      </c>
      <c r="CI70">
        <v>-3</v>
      </c>
      <c r="CJ70">
        <v>0.36</v>
      </c>
      <c r="CK70">
        <v>0.12</v>
      </c>
      <c r="CL70">
        <v>54.987898360655727</v>
      </c>
      <c r="CM70">
        <v>-0.34840549973558271</v>
      </c>
      <c r="CN70">
        <v>0.14355761223320559</v>
      </c>
      <c r="CO70">
        <v>-1</v>
      </c>
      <c r="CP70">
        <v>500.01196721311487</v>
      </c>
      <c r="CQ70">
        <v>-0.2013982020091504</v>
      </c>
      <c r="CR70">
        <v>8.6712444927748655E-2</v>
      </c>
      <c r="CS70">
        <v>-1</v>
      </c>
      <c r="CT70">
        <v>0</v>
      </c>
      <c r="CU70">
        <v>0</v>
      </c>
      <c r="CV70" t="s">
        <v>333</v>
      </c>
      <c r="CW70">
        <v>3.1674500000000001</v>
      </c>
      <c r="CX70">
        <v>2.65863</v>
      </c>
      <c r="CY70">
        <v>1.40298E-2</v>
      </c>
      <c r="CZ70">
        <v>1.6361500000000001E-2</v>
      </c>
      <c r="DA70">
        <v>-1.10169E-2</v>
      </c>
      <c r="DB70">
        <v>-2.8582199999999999E-2</v>
      </c>
      <c r="DC70">
        <v>21358.400000000001</v>
      </c>
      <c r="DD70">
        <v>21667</v>
      </c>
      <c r="DE70">
        <v>23188.3</v>
      </c>
      <c r="DF70">
        <v>22376</v>
      </c>
      <c r="DG70">
        <v>30224.400000000001</v>
      </c>
      <c r="DH70">
        <v>27436.3</v>
      </c>
      <c r="DI70">
        <v>40741.599999999999</v>
      </c>
      <c r="DJ70">
        <v>37073.699999999997</v>
      </c>
      <c r="DK70">
        <v>2.1034000000000002</v>
      </c>
      <c r="DL70">
        <v>1.85894</v>
      </c>
      <c r="DM70">
        <v>2.5314099999999999E-2</v>
      </c>
      <c r="DN70">
        <v>0</v>
      </c>
      <c r="DO70">
        <v>24.895299999999999</v>
      </c>
      <c r="DP70">
        <v>999.9</v>
      </c>
      <c r="DQ70">
        <v>81.5</v>
      </c>
      <c r="DR70">
        <v>27.4</v>
      </c>
      <c r="DS70">
        <v>29.819099999999999</v>
      </c>
      <c r="DT70">
        <v>30.818300000000001</v>
      </c>
      <c r="DU70">
        <v>8.8742000000000001</v>
      </c>
      <c r="DV70">
        <v>1</v>
      </c>
      <c r="DW70">
        <v>5.0428899999999999E-2</v>
      </c>
      <c r="DX70">
        <v>-0.21018700000000001</v>
      </c>
      <c r="DY70">
        <v>20.3687</v>
      </c>
      <c r="DZ70">
        <v>5.2122599999999997</v>
      </c>
      <c r="EA70">
        <v>11.8482</v>
      </c>
      <c r="EB70">
        <v>4.9684400000000002</v>
      </c>
      <c r="EC70">
        <v>3.2919999999999998</v>
      </c>
      <c r="ED70">
        <v>894.7</v>
      </c>
      <c r="EE70">
        <v>0</v>
      </c>
      <c r="EF70">
        <v>9999</v>
      </c>
      <c r="EG70">
        <v>113.9</v>
      </c>
      <c r="EH70">
        <v>4.97166</v>
      </c>
      <c r="EI70">
        <v>1.8717999999999999</v>
      </c>
      <c r="EJ70">
        <v>1.8689</v>
      </c>
      <c r="EK70">
        <v>1.87134</v>
      </c>
      <c r="EL70">
        <v>1.8690599999999999</v>
      </c>
      <c r="EM70">
        <v>1.86805</v>
      </c>
      <c r="EN70">
        <v>1.8698900000000001</v>
      </c>
      <c r="EO70">
        <v>1.8716699999999999</v>
      </c>
      <c r="EP70">
        <v>0</v>
      </c>
      <c r="EQ70">
        <v>0</v>
      </c>
      <c r="ER70">
        <v>0</v>
      </c>
      <c r="ES70">
        <v>0</v>
      </c>
      <c r="ET70" t="s">
        <v>334</v>
      </c>
      <c r="EU70" t="s">
        <v>335</v>
      </c>
      <c r="EV70" t="s">
        <v>336</v>
      </c>
      <c r="EW70" t="s">
        <v>336</v>
      </c>
      <c r="EX70" t="s">
        <v>336</v>
      </c>
      <c r="EY70" t="s">
        <v>336</v>
      </c>
      <c r="EZ70">
        <v>0</v>
      </c>
      <c r="FA70">
        <v>100</v>
      </c>
      <c r="FB70">
        <v>100</v>
      </c>
      <c r="FC70">
        <v>7.81</v>
      </c>
      <c r="FD70">
        <v>-0.98799999999999999</v>
      </c>
      <c r="FE70">
        <v>7.7718449999999919</v>
      </c>
      <c r="FF70">
        <v>0</v>
      </c>
      <c r="FG70">
        <v>0</v>
      </c>
      <c r="FH70">
        <v>0</v>
      </c>
      <c r="FI70">
        <v>-0.98603649999999954</v>
      </c>
      <c r="FJ70">
        <v>0</v>
      </c>
      <c r="FK70">
        <v>0</v>
      </c>
      <c r="FL70">
        <v>0</v>
      </c>
      <c r="FM70">
        <v>-1</v>
      </c>
      <c r="FN70">
        <v>-1</v>
      </c>
      <c r="FO70">
        <v>-1</v>
      </c>
      <c r="FP70">
        <v>-1</v>
      </c>
      <c r="FQ70">
        <v>0.7</v>
      </c>
      <c r="FR70">
        <v>0.7</v>
      </c>
      <c r="FS70">
        <v>0.142822</v>
      </c>
      <c r="FT70">
        <v>4.99756</v>
      </c>
      <c r="FU70">
        <v>1.5979000000000001</v>
      </c>
      <c r="FV70">
        <v>2.16553</v>
      </c>
      <c r="FW70">
        <v>1.5478499999999999</v>
      </c>
      <c r="FX70">
        <v>2.32544</v>
      </c>
      <c r="FY70">
        <v>32.0244</v>
      </c>
      <c r="FZ70">
        <v>16.110900000000001</v>
      </c>
      <c r="GA70">
        <v>3</v>
      </c>
      <c r="GB70">
        <v>492.06700000000001</v>
      </c>
      <c r="GC70">
        <v>426.72500000000002</v>
      </c>
      <c r="GD70">
        <v>26.01</v>
      </c>
      <c r="GE70">
        <v>27.879899999999999</v>
      </c>
      <c r="GF70">
        <v>30.0001</v>
      </c>
      <c r="GG70">
        <v>28.1952</v>
      </c>
      <c r="GH70">
        <v>28.251899999999999</v>
      </c>
      <c r="GI70">
        <v>-1</v>
      </c>
      <c r="GJ70">
        <v>0</v>
      </c>
      <c r="GK70">
        <v>100</v>
      </c>
      <c r="GL70">
        <v>26.010899999999999</v>
      </c>
      <c r="GM70">
        <v>432.1</v>
      </c>
      <c r="GN70">
        <v>63.216500000000003</v>
      </c>
      <c r="GO70">
        <v>102.563</v>
      </c>
      <c r="GP70">
        <v>96.747900000000001</v>
      </c>
    </row>
    <row r="71" spans="1:198" x14ac:dyDescent="0.35">
      <c r="A71">
        <v>55</v>
      </c>
      <c r="B71">
        <v>1775506831.5</v>
      </c>
      <c r="C71">
        <v>3240.5</v>
      </c>
      <c r="D71" t="s">
        <v>496</v>
      </c>
      <c r="E71" t="s">
        <v>497</v>
      </c>
      <c r="F71">
        <v>60</v>
      </c>
      <c r="G71">
        <v>1775506823.5</v>
      </c>
      <c r="H71">
        <f t="shared" si="30"/>
        <v>1.014157921296058E-3</v>
      </c>
      <c r="I71">
        <f t="shared" si="31"/>
        <v>1.0141579212960581</v>
      </c>
      <c r="J71">
        <f t="shared" si="32"/>
        <v>3.4687391379877329E-2</v>
      </c>
      <c r="K71">
        <f t="shared" si="33"/>
        <v>54.982519354838708</v>
      </c>
      <c r="L71">
        <f t="shared" si="34"/>
        <v>50.116701546616262</v>
      </c>
      <c r="M71">
        <f t="shared" si="35"/>
        <v>5.0211448444824391</v>
      </c>
      <c r="N71">
        <f t="shared" si="36"/>
        <v>5.5086465205299238</v>
      </c>
      <c r="O71">
        <f t="shared" si="37"/>
        <v>2.9097545495244608E-2</v>
      </c>
      <c r="P71">
        <f t="shared" si="38"/>
        <v>2.3932900315287728</v>
      </c>
      <c r="Q71">
        <f t="shared" si="39"/>
        <v>2.8902431052272987E-2</v>
      </c>
      <c r="R71">
        <f t="shared" si="40"/>
        <v>1.8081440478685998E-2</v>
      </c>
      <c r="S71">
        <f t="shared" si="41"/>
        <v>0</v>
      </c>
      <c r="T71">
        <f t="shared" si="42"/>
        <v>24.981485367802211</v>
      </c>
      <c r="U71">
        <f t="shared" si="43"/>
        <v>25.316019354838708</v>
      </c>
      <c r="V71">
        <f t="shared" si="44"/>
        <v>3.2400806838895182</v>
      </c>
      <c r="W71">
        <f t="shared" si="45"/>
        <v>-6.8741082235975703</v>
      </c>
      <c r="X71">
        <f t="shared" si="46"/>
        <v>-0.22251303405720699</v>
      </c>
      <c r="Y71">
        <f t="shared" si="47"/>
        <v>3.2369730999194917</v>
      </c>
      <c r="Z71">
        <f t="shared" si="48"/>
        <v>3.4625937179467252</v>
      </c>
      <c r="AA71">
        <f t="shared" si="49"/>
        <v>-44.72436432915616</v>
      </c>
      <c r="AB71">
        <f t="shared" si="50"/>
        <v>-2.0814977030684587</v>
      </c>
      <c r="AC71">
        <f t="shared" si="51"/>
        <v>-0.18453821229705827</v>
      </c>
      <c r="AD71">
        <f t="shared" si="52"/>
        <v>-46.990400244521673</v>
      </c>
      <c r="AE71">
        <v>18</v>
      </c>
      <c r="AF71">
        <v>4</v>
      </c>
      <c r="AG71">
        <f t="shared" si="53"/>
        <v>1</v>
      </c>
      <c r="AH71">
        <f t="shared" si="54"/>
        <v>0</v>
      </c>
      <c r="AI71">
        <f t="shared" si="55"/>
        <v>25742.765355087384</v>
      </c>
      <c r="AJ71">
        <f t="shared" si="56"/>
        <v>0</v>
      </c>
      <c r="AK71">
        <f t="shared" si="57"/>
        <v>0</v>
      </c>
      <c r="AL71">
        <f t="shared" si="58"/>
        <v>0</v>
      </c>
      <c r="AM71">
        <f t="shared" si="59"/>
        <v>0</v>
      </c>
      <c r="AN71">
        <v>3</v>
      </c>
      <c r="AO71">
        <v>0.5</v>
      </c>
      <c r="AP71" t="s">
        <v>331</v>
      </c>
      <c r="AQ71">
        <v>2</v>
      </c>
      <c r="AR71">
        <v>1775506823.5</v>
      </c>
      <c r="AS71">
        <v>54.982519354838708</v>
      </c>
      <c r="AT71">
        <v>55.036787096774191</v>
      </c>
      <c r="AU71">
        <v>-2.2209316129032262</v>
      </c>
      <c r="AV71">
        <v>-2.8307635483870972</v>
      </c>
      <c r="AW71">
        <v>47.210519354838723</v>
      </c>
      <c r="AX71">
        <v>-1.2319316129032261</v>
      </c>
      <c r="AY71">
        <v>500.0116774193549</v>
      </c>
      <c r="AZ71">
        <v>100.151870967742</v>
      </c>
      <c r="BA71">
        <v>3.7181574193548388E-2</v>
      </c>
      <c r="BB71">
        <v>25.299887096774189</v>
      </c>
      <c r="BC71">
        <v>25.316019354838708</v>
      </c>
      <c r="BD71">
        <v>999.90000000000032</v>
      </c>
      <c r="BE71">
        <v>0</v>
      </c>
      <c r="BF71">
        <v>0</v>
      </c>
      <c r="BG71">
        <v>5005.9516129032254</v>
      </c>
      <c r="BH71">
        <v>0.38358454838709671</v>
      </c>
      <c r="BI71">
        <v>0.22961599999999999</v>
      </c>
      <c r="BJ71">
        <v>-1.583999774193548E-2</v>
      </c>
      <c r="BK71">
        <v>54.899080645161291</v>
      </c>
      <c r="BL71">
        <v>54.881419354838719</v>
      </c>
      <c r="BM71">
        <v>0.61113735483870968</v>
      </c>
      <c r="BN71">
        <v>55.036787096774191</v>
      </c>
      <c r="BO71">
        <v>-2.8307635483870972</v>
      </c>
      <c r="BP71">
        <v>-0.22229958064516131</v>
      </c>
      <c r="BQ71">
        <v>-0.28350632258064518</v>
      </c>
      <c r="BR71">
        <v>-99.900000000000034</v>
      </c>
      <c r="BS71">
        <v>-99.900000000000034</v>
      </c>
      <c r="BT71">
        <v>0</v>
      </c>
      <c r="BU71">
        <v>0</v>
      </c>
      <c r="BV71">
        <v>0</v>
      </c>
      <c r="BW71">
        <v>24</v>
      </c>
      <c r="BX71">
        <v>-0.98924741935483895</v>
      </c>
      <c r="BY71">
        <v>1775506852.5</v>
      </c>
      <c r="BZ71" t="s">
        <v>498</v>
      </c>
      <c r="CA71">
        <v>1775506845.5</v>
      </c>
      <c r="CB71">
        <v>1775506852.5</v>
      </c>
      <c r="CC71">
        <v>58</v>
      </c>
      <c r="CD71">
        <v>-3.9E-2</v>
      </c>
      <c r="CE71">
        <v>-1E-3</v>
      </c>
      <c r="CF71">
        <v>7.7720000000000002</v>
      </c>
      <c r="CG71">
        <v>-0.98899999999999999</v>
      </c>
      <c r="CH71">
        <v>55</v>
      </c>
      <c r="CI71">
        <v>-3</v>
      </c>
      <c r="CJ71">
        <v>0.18</v>
      </c>
      <c r="CK71">
        <v>0.12</v>
      </c>
      <c r="CL71">
        <v>55.136899999999997</v>
      </c>
      <c r="CM71">
        <v>-0.83429641567087742</v>
      </c>
      <c r="CN71">
        <v>0.13210994663536921</v>
      </c>
      <c r="CO71">
        <v>-1</v>
      </c>
      <c r="CP71">
        <v>500.5098666666666</v>
      </c>
      <c r="CQ71">
        <v>-5.2912231175319739</v>
      </c>
      <c r="CR71">
        <v>1.291933647246982</v>
      </c>
      <c r="CS71">
        <v>-1</v>
      </c>
      <c r="CT71">
        <v>0</v>
      </c>
      <c r="CU71">
        <v>0</v>
      </c>
      <c r="CV71" t="s">
        <v>333</v>
      </c>
      <c r="CW71">
        <v>3.1673399999999998</v>
      </c>
      <c r="CX71">
        <v>2.6585899999999998</v>
      </c>
      <c r="CY71">
        <v>1.4077599999999999E-2</v>
      </c>
      <c r="CZ71">
        <v>1.6379899999999999E-2</v>
      </c>
      <c r="DA71">
        <v>-1.1022799999999999E-2</v>
      </c>
      <c r="DB71">
        <v>-2.8468199999999999E-2</v>
      </c>
      <c r="DC71">
        <v>21357.1</v>
      </c>
      <c r="DD71">
        <v>21666.3</v>
      </c>
      <c r="DE71">
        <v>23188.1</v>
      </c>
      <c r="DF71">
        <v>22375.7</v>
      </c>
      <c r="DG71">
        <v>30224.3</v>
      </c>
      <c r="DH71">
        <v>27433.1</v>
      </c>
      <c r="DI71">
        <v>40741.300000000003</v>
      </c>
      <c r="DJ71">
        <v>37073.4</v>
      </c>
      <c r="DK71">
        <v>2.1030199999999999</v>
      </c>
      <c r="DL71">
        <v>1.8586</v>
      </c>
      <c r="DM71">
        <v>2.5358800000000001E-2</v>
      </c>
      <c r="DN71">
        <v>0</v>
      </c>
      <c r="DO71">
        <v>24.895299999999999</v>
      </c>
      <c r="DP71">
        <v>999.9</v>
      </c>
      <c r="DQ71">
        <v>81.400000000000006</v>
      </c>
      <c r="DR71">
        <v>27.4</v>
      </c>
      <c r="DS71">
        <v>29.775700000000001</v>
      </c>
      <c r="DT71">
        <v>30.728300000000001</v>
      </c>
      <c r="DU71">
        <v>8.9583399999999997</v>
      </c>
      <c r="DV71">
        <v>1</v>
      </c>
      <c r="DW71">
        <v>5.0583299999999998E-2</v>
      </c>
      <c r="DX71">
        <v>-0.20902399999999999</v>
      </c>
      <c r="DY71">
        <v>20.367899999999999</v>
      </c>
      <c r="DZ71">
        <v>5.2092599999999996</v>
      </c>
      <c r="EA71">
        <v>11.8482</v>
      </c>
      <c r="EB71">
        <v>4.9678800000000001</v>
      </c>
      <c r="EC71">
        <v>3.29142</v>
      </c>
      <c r="ED71">
        <v>894.7</v>
      </c>
      <c r="EE71">
        <v>0</v>
      </c>
      <c r="EF71">
        <v>9999</v>
      </c>
      <c r="EG71">
        <v>113.9</v>
      </c>
      <c r="EH71">
        <v>4.9716899999999997</v>
      </c>
      <c r="EI71">
        <v>1.8717999999999999</v>
      </c>
      <c r="EJ71">
        <v>1.8689</v>
      </c>
      <c r="EK71">
        <v>1.87134</v>
      </c>
      <c r="EL71">
        <v>1.8690500000000001</v>
      </c>
      <c r="EM71">
        <v>1.8680300000000001</v>
      </c>
      <c r="EN71">
        <v>1.86988</v>
      </c>
      <c r="EO71">
        <v>1.8716600000000001</v>
      </c>
      <c r="EP71">
        <v>0</v>
      </c>
      <c r="EQ71">
        <v>0</v>
      </c>
      <c r="ER71">
        <v>0</v>
      </c>
      <c r="ES71">
        <v>0</v>
      </c>
      <c r="ET71" t="s">
        <v>334</v>
      </c>
      <c r="EU71" t="s">
        <v>335</v>
      </c>
      <c r="EV71" t="s">
        <v>336</v>
      </c>
      <c r="EW71" t="s">
        <v>336</v>
      </c>
      <c r="EX71" t="s">
        <v>336</v>
      </c>
      <c r="EY71" t="s">
        <v>336</v>
      </c>
      <c r="EZ71">
        <v>0</v>
      </c>
      <c r="FA71">
        <v>100</v>
      </c>
      <c r="FB71">
        <v>100</v>
      </c>
      <c r="FC71">
        <v>7.7720000000000002</v>
      </c>
      <c r="FD71">
        <v>-0.98899999999999999</v>
      </c>
      <c r="FE71">
        <v>7.8104100000000187</v>
      </c>
      <c r="FF71">
        <v>0</v>
      </c>
      <c r="FG71">
        <v>0</v>
      </c>
      <c r="FH71">
        <v>0</v>
      </c>
      <c r="FI71">
        <v>-0.98769399999999985</v>
      </c>
      <c r="FJ71">
        <v>0</v>
      </c>
      <c r="FK71">
        <v>0</v>
      </c>
      <c r="FL71">
        <v>0</v>
      </c>
      <c r="FM71">
        <v>-1</v>
      </c>
      <c r="FN71">
        <v>-1</v>
      </c>
      <c r="FO71">
        <v>-1</v>
      </c>
      <c r="FP71">
        <v>-1</v>
      </c>
      <c r="FQ71">
        <v>0.6</v>
      </c>
      <c r="FR71">
        <v>0.7</v>
      </c>
      <c r="FS71">
        <v>0.142822</v>
      </c>
      <c r="FT71">
        <v>4.99756</v>
      </c>
      <c r="FU71">
        <v>1.5979000000000001</v>
      </c>
      <c r="FV71">
        <v>2.16431</v>
      </c>
      <c r="FW71">
        <v>1.5478499999999999</v>
      </c>
      <c r="FX71">
        <v>2.3596200000000001</v>
      </c>
      <c r="FY71">
        <v>32.0244</v>
      </c>
      <c r="FZ71">
        <v>16.110900000000001</v>
      </c>
      <c r="GA71">
        <v>3</v>
      </c>
      <c r="GB71">
        <v>491.851</v>
      </c>
      <c r="GC71">
        <v>426.524</v>
      </c>
      <c r="GD71">
        <v>26.0307</v>
      </c>
      <c r="GE71">
        <v>27.877600000000001</v>
      </c>
      <c r="GF71">
        <v>30.0002</v>
      </c>
      <c r="GG71">
        <v>28.1952</v>
      </c>
      <c r="GH71">
        <v>28.251899999999999</v>
      </c>
      <c r="GI71">
        <v>-1</v>
      </c>
      <c r="GJ71">
        <v>0</v>
      </c>
      <c r="GK71">
        <v>100</v>
      </c>
      <c r="GL71">
        <v>26.021100000000001</v>
      </c>
      <c r="GM71">
        <v>432.1</v>
      </c>
      <c r="GN71">
        <v>63.216500000000003</v>
      </c>
      <c r="GO71">
        <v>102.562</v>
      </c>
      <c r="GP71">
        <v>96.746899999999997</v>
      </c>
    </row>
    <row r="72" spans="1:198" x14ac:dyDescent="0.35">
      <c r="A72">
        <v>56</v>
      </c>
      <c r="B72">
        <v>1775506891.5</v>
      </c>
      <c r="C72">
        <v>3300.5</v>
      </c>
      <c r="D72" t="s">
        <v>499</v>
      </c>
      <c r="E72" t="s">
        <v>500</v>
      </c>
      <c r="F72">
        <v>60</v>
      </c>
      <c r="G72">
        <v>1775506883.5</v>
      </c>
      <c r="H72">
        <f t="shared" si="30"/>
        <v>1.0072431605831504E-3</v>
      </c>
      <c r="I72">
        <f t="shared" si="31"/>
        <v>1.0072431605831504</v>
      </c>
      <c r="J72">
        <f t="shared" si="32"/>
        <v>0.409835005726706</v>
      </c>
      <c r="K72">
        <f t="shared" si="33"/>
        <v>55.306867741935491</v>
      </c>
      <c r="L72">
        <f t="shared" si="34"/>
        <v>30.092405064761731</v>
      </c>
      <c r="M72">
        <f t="shared" si="35"/>
        <v>3.0148871118570333</v>
      </c>
      <c r="N72">
        <f t="shared" si="36"/>
        <v>5.5410646770669825</v>
      </c>
      <c r="O72">
        <f t="shared" si="37"/>
        <v>2.8900548210793686E-2</v>
      </c>
      <c r="P72">
        <f t="shared" si="38"/>
        <v>2.3925008639367409</v>
      </c>
      <c r="Q72">
        <f t="shared" si="39"/>
        <v>2.870799429891422E-2</v>
      </c>
      <c r="R72">
        <f t="shared" si="40"/>
        <v>1.7959689573845975E-2</v>
      </c>
      <c r="S72">
        <f t="shared" si="41"/>
        <v>0</v>
      </c>
      <c r="T72">
        <f t="shared" si="42"/>
        <v>24.983160387592772</v>
      </c>
      <c r="U72">
        <f t="shared" si="43"/>
        <v>25.314067741935482</v>
      </c>
      <c r="V72">
        <f t="shared" si="44"/>
        <v>3.2397046028755723</v>
      </c>
      <c r="W72">
        <f t="shared" si="45"/>
        <v>-6.8747870670067686</v>
      </c>
      <c r="X72">
        <f t="shared" si="46"/>
        <v>-0.2225297131039923</v>
      </c>
      <c r="Y72">
        <f t="shared" si="47"/>
        <v>3.2368960803447848</v>
      </c>
      <c r="Z72">
        <f t="shared" si="48"/>
        <v>3.4622343159795648</v>
      </c>
      <c r="AA72">
        <f t="shared" si="49"/>
        <v>-44.419423381716932</v>
      </c>
      <c r="AB72">
        <f t="shared" si="50"/>
        <v>-1.8806773216971187</v>
      </c>
      <c r="AC72">
        <f t="shared" si="51"/>
        <v>-0.16678721382275535</v>
      </c>
      <c r="AD72">
        <f t="shared" si="52"/>
        <v>-46.466887917236811</v>
      </c>
      <c r="AE72">
        <v>18</v>
      </c>
      <c r="AF72">
        <v>4</v>
      </c>
      <c r="AG72">
        <f t="shared" si="53"/>
        <v>1</v>
      </c>
      <c r="AH72">
        <f t="shared" si="54"/>
        <v>0</v>
      </c>
      <c r="AI72">
        <f t="shared" si="55"/>
        <v>25730.773573121678</v>
      </c>
      <c r="AJ72">
        <f t="shared" si="56"/>
        <v>0</v>
      </c>
      <c r="AK72">
        <f t="shared" si="57"/>
        <v>0</v>
      </c>
      <c r="AL72">
        <f t="shared" si="58"/>
        <v>0</v>
      </c>
      <c r="AM72">
        <f t="shared" si="59"/>
        <v>0</v>
      </c>
      <c r="AN72">
        <v>3</v>
      </c>
      <c r="AO72">
        <v>0.5</v>
      </c>
      <c r="AP72" t="s">
        <v>331</v>
      </c>
      <c r="AQ72">
        <v>2</v>
      </c>
      <c r="AR72">
        <v>1775506883.5</v>
      </c>
      <c r="AS72">
        <v>55.306867741935491</v>
      </c>
      <c r="AT72">
        <v>55.586190322580642</v>
      </c>
      <c r="AU72">
        <v>-2.2211293548387099</v>
      </c>
      <c r="AV72">
        <v>-2.8268112903225808</v>
      </c>
      <c r="AW72">
        <v>47.539867741935488</v>
      </c>
      <c r="AX72">
        <v>-1.2331293548387099</v>
      </c>
      <c r="AY72">
        <v>500.00519354838713</v>
      </c>
      <c r="AZ72">
        <v>100.1505806451613</v>
      </c>
      <c r="BA72">
        <v>3.7061564516129027E-2</v>
      </c>
      <c r="BB72">
        <v>25.29948709677419</v>
      </c>
      <c r="BC72">
        <v>25.314067741935482</v>
      </c>
      <c r="BD72">
        <v>999.90000000000032</v>
      </c>
      <c r="BE72">
        <v>0</v>
      </c>
      <c r="BF72">
        <v>0</v>
      </c>
      <c r="BG72">
        <v>5003.9838709677406</v>
      </c>
      <c r="BH72">
        <v>0.39113587096774188</v>
      </c>
      <c r="BI72">
        <v>0.23331922580645159</v>
      </c>
      <c r="BJ72">
        <v>-0.2747437419354839</v>
      </c>
      <c r="BK72">
        <v>55.18883548387096</v>
      </c>
      <c r="BL72">
        <v>55.429509677419347</v>
      </c>
      <c r="BM72">
        <v>0.60501680645161293</v>
      </c>
      <c r="BN72">
        <v>55.586190322580642</v>
      </c>
      <c r="BO72">
        <v>-2.8268112903225808</v>
      </c>
      <c r="BP72">
        <v>-0.22251393548387091</v>
      </c>
      <c r="BQ72">
        <v>-0.28310664516129019</v>
      </c>
      <c r="BR72">
        <v>-99.900000000000034</v>
      </c>
      <c r="BS72">
        <v>-99.900000000000034</v>
      </c>
      <c r="BT72">
        <v>0</v>
      </c>
      <c r="BU72">
        <v>0</v>
      </c>
      <c r="BV72">
        <v>0</v>
      </c>
      <c r="BW72">
        <v>24</v>
      </c>
      <c r="BX72">
        <v>-1</v>
      </c>
      <c r="BY72">
        <v>1775506912.5</v>
      </c>
      <c r="BZ72" t="s">
        <v>501</v>
      </c>
      <c r="CA72">
        <v>1775506905</v>
      </c>
      <c r="CB72">
        <v>1775506912.5</v>
      </c>
      <c r="CC72">
        <v>59</v>
      </c>
      <c r="CD72">
        <v>-5.0000000000000001E-3</v>
      </c>
      <c r="CE72">
        <v>1E-3</v>
      </c>
      <c r="CF72">
        <v>7.7670000000000003</v>
      </c>
      <c r="CG72">
        <v>-0.98799999999999999</v>
      </c>
      <c r="CH72">
        <v>56</v>
      </c>
      <c r="CI72">
        <v>-3</v>
      </c>
      <c r="CJ72">
        <v>0.47</v>
      </c>
      <c r="CK72">
        <v>0.12</v>
      </c>
      <c r="CL72">
        <v>55.421985245901659</v>
      </c>
      <c r="CM72">
        <v>1.1841169751452849</v>
      </c>
      <c r="CN72">
        <v>0.18416125403361749</v>
      </c>
      <c r="CO72">
        <v>-1</v>
      </c>
      <c r="CP72">
        <v>500.02842622950823</v>
      </c>
      <c r="CQ72">
        <v>-0.24866842940263639</v>
      </c>
      <c r="CR72">
        <v>0.14207634279099701</v>
      </c>
      <c r="CS72">
        <v>-1</v>
      </c>
      <c r="CT72">
        <v>0</v>
      </c>
      <c r="CU72">
        <v>0</v>
      </c>
      <c r="CV72" t="s">
        <v>333</v>
      </c>
      <c r="CW72">
        <v>3.1673499999999999</v>
      </c>
      <c r="CX72">
        <v>2.65842</v>
      </c>
      <c r="CY72">
        <v>1.4229500000000001E-2</v>
      </c>
      <c r="CZ72">
        <v>1.65475E-2</v>
      </c>
      <c r="DA72">
        <v>-1.10451E-2</v>
      </c>
      <c r="DB72">
        <v>-2.84342E-2</v>
      </c>
      <c r="DC72">
        <v>21353.599999999999</v>
      </c>
      <c r="DD72">
        <v>21662.7</v>
      </c>
      <c r="DE72">
        <v>23187.8</v>
      </c>
      <c r="DF72">
        <v>22375.8</v>
      </c>
      <c r="DG72">
        <v>30224.7</v>
      </c>
      <c r="DH72">
        <v>27432.1</v>
      </c>
      <c r="DI72">
        <v>40740.9</v>
      </c>
      <c r="DJ72">
        <v>37073.199999999997</v>
      </c>
      <c r="DK72">
        <v>2.1035400000000002</v>
      </c>
      <c r="DL72">
        <v>1.85842</v>
      </c>
      <c r="DM72">
        <v>2.5698499999999999E-2</v>
      </c>
      <c r="DN72">
        <v>0</v>
      </c>
      <c r="DO72">
        <v>24.894100000000002</v>
      </c>
      <c r="DP72">
        <v>999.9</v>
      </c>
      <c r="DQ72">
        <v>81.3</v>
      </c>
      <c r="DR72">
        <v>27.5</v>
      </c>
      <c r="DS72">
        <v>29.915800000000001</v>
      </c>
      <c r="DT72">
        <v>31.148299999999999</v>
      </c>
      <c r="DU72">
        <v>8.9783600000000003</v>
      </c>
      <c r="DV72">
        <v>1</v>
      </c>
      <c r="DW72">
        <v>5.0798799999999998E-2</v>
      </c>
      <c r="DX72">
        <v>-0.220745</v>
      </c>
      <c r="DY72">
        <v>20.368600000000001</v>
      </c>
      <c r="DZ72">
        <v>5.2111799999999997</v>
      </c>
      <c r="EA72">
        <v>11.8482</v>
      </c>
      <c r="EB72">
        <v>4.9685600000000001</v>
      </c>
      <c r="EC72">
        <v>3.2919999999999998</v>
      </c>
      <c r="ED72">
        <v>894.7</v>
      </c>
      <c r="EE72">
        <v>0</v>
      </c>
      <c r="EF72">
        <v>9999</v>
      </c>
      <c r="EG72">
        <v>113.9</v>
      </c>
      <c r="EH72">
        <v>4.97166</v>
      </c>
      <c r="EI72">
        <v>1.8717999999999999</v>
      </c>
      <c r="EJ72">
        <v>1.8689</v>
      </c>
      <c r="EK72">
        <v>1.87134</v>
      </c>
      <c r="EL72">
        <v>1.8690500000000001</v>
      </c>
      <c r="EM72">
        <v>1.8680000000000001</v>
      </c>
      <c r="EN72">
        <v>1.86985</v>
      </c>
      <c r="EO72">
        <v>1.87164</v>
      </c>
      <c r="EP72">
        <v>0</v>
      </c>
      <c r="EQ72">
        <v>0</v>
      </c>
      <c r="ER72">
        <v>0</v>
      </c>
      <c r="ES72">
        <v>0</v>
      </c>
      <c r="ET72" t="s">
        <v>334</v>
      </c>
      <c r="EU72" t="s">
        <v>335</v>
      </c>
      <c r="EV72" t="s">
        <v>336</v>
      </c>
      <c r="EW72" t="s">
        <v>336</v>
      </c>
      <c r="EX72" t="s">
        <v>336</v>
      </c>
      <c r="EY72" t="s">
        <v>336</v>
      </c>
      <c r="EZ72">
        <v>0</v>
      </c>
      <c r="FA72">
        <v>100</v>
      </c>
      <c r="FB72">
        <v>100</v>
      </c>
      <c r="FC72">
        <v>7.7670000000000003</v>
      </c>
      <c r="FD72">
        <v>-0.98799999999999999</v>
      </c>
      <c r="FE72">
        <v>7.7715749999999906</v>
      </c>
      <c r="FF72">
        <v>0</v>
      </c>
      <c r="FG72">
        <v>0</v>
      </c>
      <c r="FH72">
        <v>0</v>
      </c>
      <c r="FI72">
        <v>-0.98866499999999991</v>
      </c>
      <c r="FJ72">
        <v>0</v>
      </c>
      <c r="FK72">
        <v>0</v>
      </c>
      <c r="FL72">
        <v>0</v>
      </c>
      <c r="FM72">
        <v>-1</v>
      </c>
      <c r="FN72">
        <v>-1</v>
      </c>
      <c r="FO72">
        <v>-1</v>
      </c>
      <c r="FP72">
        <v>-1</v>
      </c>
      <c r="FQ72">
        <v>0.8</v>
      </c>
      <c r="FR72">
        <v>0.7</v>
      </c>
      <c r="FS72">
        <v>0.142822</v>
      </c>
      <c r="FT72">
        <v>4.99756</v>
      </c>
      <c r="FU72">
        <v>1.5979000000000001</v>
      </c>
      <c r="FV72">
        <v>2.16431</v>
      </c>
      <c r="FW72">
        <v>1.5478499999999999</v>
      </c>
      <c r="FX72">
        <v>2.35229</v>
      </c>
      <c r="FY72">
        <v>32.046399999999998</v>
      </c>
      <c r="FZ72">
        <v>16.1021</v>
      </c>
      <c r="GA72">
        <v>3</v>
      </c>
      <c r="GB72">
        <v>492.14699999999999</v>
      </c>
      <c r="GC72">
        <v>426.41800000000001</v>
      </c>
      <c r="GD72">
        <v>26.029800000000002</v>
      </c>
      <c r="GE72">
        <v>27.877700000000001</v>
      </c>
      <c r="GF72">
        <v>30.0001</v>
      </c>
      <c r="GG72">
        <v>28.1952</v>
      </c>
      <c r="GH72">
        <v>28.251899999999999</v>
      </c>
      <c r="GI72">
        <v>-1</v>
      </c>
      <c r="GJ72">
        <v>0</v>
      </c>
      <c r="GK72">
        <v>100</v>
      </c>
      <c r="GL72">
        <v>26.025200000000002</v>
      </c>
      <c r="GM72">
        <v>432.1</v>
      </c>
      <c r="GN72">
        <v>63.216500000000003</v>
      </c>
      <c r="GO72">
        <v>102.56100000000001</v>
      </c>
      <c r="GP72">
        <v>96.746899999999997</v>
      </c>
    </row>
    <row r="73" spans="1:198" x14ac:dyDescent="0.35">
      <c r="A73">
        <v>57</v>
      </c>
      <c r="B73">
        <v>1775506951.5</v>
      </c>
      <c r="C73">
        <v>3360.5</v>
      </c>
      <c r="D73" t="s">
        <v>502</v>
      </c>
      <c r="E73" t="s">
        <v>503</v>
      </c>
      <c r="F73">
        <v>60</v>
      </c>
      <c r="G73">
        <v>1775506943.5</v>
      </c>
      <c r="H73">
        <f t="shared" si="30"/>
        <v>1.0257468318446679E-3</v>
      </c>
      <c r="I73">
        <f t="shared" si="31"/>
        <v>1.0257468318446679</v>
      </c>
      <c r="J73">
        <f t="shared" si="32"/>
        <v>0.11819613523572528</v>
      </c>
      <c r="K73">
        <f t="shared" si="33"/>
        <v>55.654477419354841</v>
      </c>
      <c r="L73">
        <f t="shared" si="34"/>
        <v>46.332769317477222</v>
      </c>
      <c r="M73">
        <f t="shared" si="35"/>
        <v>4.6420119687857531</v>
      </c>
      <c r="N73">
        <f t="shared" si="36"/>
        <v>5.5759401845144971</v>
      </c>
      <c r="O73">
        <f t="shared" si="37"/>
        <v>2.9436678735816065E-2</v>
      </c>
      <c r="P73">
        <f t="shared" si="38"/>
        <v>2.3926430362703424</v>
      </c>
      <c r="Q73">
        <f t="shared" si="39"/>
        <v>2.9236952895987954E-2</v>
      </c>
      <c r="R73">
        <f t="shared" si="40"/>
        <v>1.8290927047567067E-2</v>
      </c>
      <c r="S73">
        <f t="shared" si="41"/>
        <v>0</v>
      </c>
      <c r="T73">
        <f t="shared" si="42"/>
        <v>24.981003298679553</v>
      </c>
      <c r="U73">
        <f t="shared" si="43"/>
        <v>25.315232258064508</v>
      </c>
      <c r="V73">
        <f t="shared" si="44"/>
        <v>3.2399290036514401</v>
      </c>
      <c r="W73">
        <f t="shared" si="45"/>
        <v>-6.8612347332564871</v>
      </c>
      <c r="X73">
        <f t="shared" si="46"/>
        <v>-0.22213907141258477</v>
      </c>
      <c r="Y73">
        <f t="shared" si="47"/>
        <v>3.2375961477585666</v>
      </c>
      <c r="Z73">
        <f t="shared" si="48"/>
        <v>3.4620680750640247</v>
      </c>
      <c r="AA73">
        <f t="shared" si="49"/>
        <v>-45.235435284349855</v>
      </c>
      <c r="AB73">
        <f t="shared" si="50"/>
        <v>-1.5620535849292043</v>
      </c>
      <c r="AC73">
        <f t="shared" si="51"/>
        <v>-0.13852529045364292</v>
      </c>
      <c r="AD73">
        <f t="shared" si="52"/>
        <v>-46.9360141597327</v>
      </c>
      <c r="AE73">
        <v>18</v>
      </c>
      <c r="AF73">
        <v>4</v>
      </c>
      <c r="AG73">
        <f t="shared" si="53"/>
        <v>1</v>
      </c>
      <c r="AH73">
        <f t="shared" si="54"/>
        <v>0</v>
      </c>
      <c r="AI73">
        <f t="shared" si="55"/>
        <v>25732.600950783086</v>
      </c>
      <c r="AJ73">
        <f t="shared" si="56"/>
        <v>0</v>
      </c>
      <c r="AK73">
        <f t="shared" si="57"/>
        <v>0</v>
      </c>
      <c r="AL73">
        <f t="shared" si="58"/>
        <v>0</v>
      </c>
      <c r="AM73">
        <f t="shared" si="59"/>
        <v>0</v>
      </c>
      <c r="AN73">
        <v>3</v>
      </c>
      <c r="AO73">
        <v>0.5</v>
      </c>
      <c r="AP73" t="s">
        <v>331</v>
      </c>
      <c r="AQ73">
        <v>2</v>
      </c>
      <c r="AR73">
        <v>1775506943.5</v>
      </c>
      <c r="AS73">
        <v>55.654477419354841</v>
      </c>
      <c r="AT73">
        <v>55.759645161290322</v>
      </c>
      <c r="AU73">
        <v>-2.2172106451612899</v>
      </c>
      <c r="AV73">
        <v>-2.83400935483871</v>
      </c>
      <c r="AW73">
        <v>47.909477419354843</v>
      </c>
      <c r="AX73">
        <v>-1.229210645161291</v>
      </c>
      <c r="AY73">
        <v>500.01132258064519</v>
      </c>
      <c r="AZ73">
        <v>100.1514516129032</v>
      </c>
      <c r="BA73">
        <v>3.7076661290322582E-2</v>
      </c>
      <c r="BB73">
        <v>25.303122580645159</v>
      </c>
      <c r="BC73">
        <v>25.315232258064508</v>
      </c>
      <c r="BD73">
        <v>999.90000000000032</v>
      </c>
      <c r="BE73">
        <v>0</v>
      </c>
      <c r="BF73">
        <v>0</v>
      </c>
      <c r="BG73">
        <v>5004.3064516129034</v>
      </c>
      <c r="BH73">
        <v>0.40654929032258058</v>
      </c>
      <c r="BI73">
        <v>0.22961599999999999</v>
      </c>
      <c r="BJ73">
        <v>-8.3423419354838713E-2</v>
      </c>
      <c r="BK73">
        <v>55.553032258064533</v>
      </c>
      <c r="BL73">
        <v>55.602074193548383</v>
      </c>
      <c r="BM73">
        <v>0.61663590322580641</v>
      </c>
      <c r="BN73">
        <v>55.759645161290322</v>
      </c>
      <c r="BO73">
        <v>-2.83400935483871</v>
      </c>
      <c r="BP73">
        <v>-0.22207312903225801</v>
      </c>
      <c r="BQ73">
        <v>-0.28383032258064522</v>
      </c>
      <c r="BR73">
        <v>-99.900000000000034</v>
      </c>
      <c r="BS73">
        <v>-99.900000000000034</v>
      </c>
      <c r="BT73">
        <v>0</v>
      </c>
      <c r="BU73">
        <v>0</v>
      </c>
      <c r="BV73">
        <v>0</v>
      </c>
      <c r="BW73">
        <v>24</v>
      </c>
      <c r="BX73">
        <v>-1</v>
      </c>
      <c r="BY73">
        <v>1775506971.5</v>
      </c>
      <c r="BZ73" t="s">
        <v>504</v>
      </c>
      <c r="CA73">
        <v>1775506968</v>
      </c>
      <c r="CB73">
        <v>1775506971.5</v>
      </c>
      <c r="CC73">
        <v>60</v>
      </c>
      <c r="CD73">
        <v>-2.1999999999999999E-2</v>
      </c>
      <c r="CE73">
        <v>0</v>
      </c>
      <c r="CF73">
        <v>7.7450000000000001</v>
      </c>
      <c r="CG73">
        <v>-0.98799999999999999</v>
      </c>
      <c r="CH73">
        <v>55</v>
      </c>
      <c r="CI73">
        <v>-3</v>
      </c>
      <c r="CJ73">
        <v>0.33</v>
      </c>
      <c r="CK73">
        <v>0.12</v>
      </c>
      <c r="CL73">
        <v>55.739458333333332</v>
      </c>
      <c r="CM73">
        <v>0.43581872742435229</v>
      </c>
      <c r="CN73">
        <v>0.18269353235374489</v>
      </c>
      <c r="CO73">
        <v>-1</v>
      </c>
      <c r="CP73">
        <v>500.03276666666659</v>
      </c>
      <c r="CQ73">
        <v>-0.31105973881624449</v>
      </c>
      <c r="CR73">
        <v>0.13024225718082399</v>
      </c>
      <c r="CS73">
        <v>-1</v>
      </c>
      <c r="CT73">
        <v>0</v>
      </c>
      <c r="CU73">
        <v>0</v>
      </c>
      <c r="CV73" t="s">
        <v>333</v>
      </c>
      <c r="CW73">
        <v>3.1673300000000002</v>
      </c>
      <c r="CX73">
        <v>2.65848</v>
      </c>
      <c r="CY73">
        <v>1.42746E-2</v>
      </c>
      <c r="CZ73">
        <v>1.6524400000000002E-2</v>
      </c>
      <c r="DA73">
        <v>-1.1007899999999999E-2</v>
      </c>
      <c r="DB73">
        <v>-2.85223E-2</v>
      </c>
      <c r="DC73">
        <v>21352.400000000001</v>
      </c>
      <c r="DD73">
        <v>21663.9</v>
      </c>
      <c r="DE73">
        <v>23187.599999999999</v>
      </c>
      <c r="DF73">
        <v>22376.5</v>
      </c>
      <c r="DG73">
        <v>30223.3</v>
      </c>
      <c r="DH73">
        <v>27435.200000000001</v>
      </c>
      <c r="DI73">
        <v>40740.5</v>
      </c>
      <c r="DJ73">
        <v>37074.300000000003</v>
      </c>
      <c r="DK73">
        <v>2.1034799999999998</v>
      </c>
      <c r="DL73">
        <v>1.8581799999999999</v>
      </c>
      <c r="DM73">
        <v>2.5787899999999999E-2</v>
      </c>
      <c r="DN73">
        <v>0</v>
      </c>
      <c r="DO73">
        <v>24.895299999999999</v>
      </c>
      <c r="DP73">
        <v>999.9</v>
      </c>
      <c r="DQ73">
        <v>81.3</v>
      </c>
      <c r="DR73">
        <v>27.5</v>
      </c>
      <c r="DS73">
        <v>29.9222</v>
      </c>
      <c r="DT73">
        <v>30.938300000000002</v>
      </c>
      <c r="DU73">
        <v>9.1426300000000005</v>
      </c>
      <c r="DV73">
        <v>1</v>
      </c>
      <c r="DW73">
        <v>5.0528499999999997E-2</v>
      </c>
      <c r="DX73">
        <v>-0.17944199999999999</v>
      </c>
      <c r="DY73">
        <v>20.3687</v>
      </c>
      <c r="DZ73">
        <v>5.2115400000000003</v>
      </c>
      <c r="EA73">
        <v>11.8482</v>
      </c>
      <c r="EB73">
        <v>4.9677600000000002</v>
      </c>
      <c r="EC73">
        <v>3.2919999999999998</v>
      </c>
      <c r="ED73">
        <v>894.7</v>
      </c>
      <c r="EE73">
        <v>0</v>
      </c>
      <c r="EF73">
        <v>9999</v>
      </c>
      <c r="EG73">
        <v>113.9</v>
      </c>
      <c r="EH73">
        <v>4.9716699999999996</v>
      </c>
      <c r="EI73">
        <v>1.8717999999999999</v>
      </c>
      <c r="EJ73">
        <v>1.8689100000000001</v>
      </c>
      <c r="EK73">
        <v>1.87134</v>
      </c>
      <c r="EL73">
        <v>1.8690500000000001</v>
      </c>
      <c r="EM73">
        <v>1.86799</v>
      </c>
      <c r="EN73">
        <v>1.86992</v>
      </c>
      <c r="EO73">
        <v>1.8716699999999999</v>
      </c>
      <c r="EP73">
        <v>0</v>
      </c>
      <c r="EQ73">
        <v>0</v>
      </c>
      <c r="ER73">
        <v>0</v>
      </c>
      <c r="ES73">
        <v>0</v>
      </c>
      <c r="ET73" t="s">
        <v>334</v>
      </c>
      <c r="EU73" t="s">
        <v>335</v>
      </c>
      <c r="EV73" t="s">
        <v>336</v>
      </c>
      <c r="EW73" t="s">
        <v>336</v>
      </c>
      <c r="EX73" t="s">
        <v>336</v>
      </c>
      <c r="EY73" t="s">
        <v>336</v>
      </c>
      <c r="EZ73">
        <v>0</v>
      </c>
      <c r="FA73">
        <v>100</v>
      </c>
      <c r="FB73">
        <v>100</v>
      </c>
      <c r="FC73">
        <v>7.7450000000000001</v>
      </c>
      <c r="FD73">
        <v>-0.98799999999999999</v>
      </c>
      <c r="FE73">
        <v>7.7667428571428587</v>
      </c>
      <c r="FF73">
        <v>0</v>
      </c>
      <c r="FG73">
        <v>0</v>
      </c>
      <c r="FH73">
        <v>0</v>
      </c>
      <c r="FI73">
        <v>-0.98816249999999983</v>
      </c>
      <c r="FJ73">
        <v>0</v>
      </c>
      <c r="FK73">
        <v>0</v>
      </c>
      <c r="FL73">
        <v>0</v>
      </c>
      <c r="FM73">
        <v>-1</v>
      </c>
      <c r="FN73">
        <v>-1</v>
      </c>
      <c r="FO73">
        <v>-1</v>
      </c>
      <c r="FP73">
        <v>-1</v>
      </c>
      <c r="FQ73">
        <v>0.8</v>
      </c>
      <c r="FR73">
        <v>0.7</v>
      </c>
      <c r="FS73">
        <v>0.142822</v>
      </c>
      <c r="FT73">
        <v>4.99756</v>
      </c>
      <c r="FU73">
        <v>1.5979000000000001</v>
      </c>
      <c r="FV73">
        <v>2.16553</v>
      </c>
      <c r="FW73">
        <v>1.5478499999999999</v>
      </c>
      <c r="FX73">
        <v>2.3877000000000002</v>
      </c>
      <c r="FY73">
        <v>32.046399999999998</v>
      </c>
      <c r="FZ73">
        <v>16.1021</v>
      </c>
      <c r="GA73">
        <v>3</v>
      </c>
      <c r="GB73">
        <v>492.11200000000002</v>
      </c>
      <c r="GC73">
        <v>426.27600000000001</v>
      </c>
      <c r="GD73">
        <v>25.982700000000001</v>
      </c>
      <c r="GE73">
        <v>27.879899999999999</v>
      </c>
      <c r="GF73">
        <v>30</v>
      </c>
      <c r="GG73">
        <v>28.1952</v>
      </c>
      <c r="GH73">
        <v>28.251899999999999</v>
      </c>
      <c r="GI73">
        <v>-1</v>
      </c>
      <c r="GJ73">
        <v>0</v>
      </c>
      <c r="GK73">
        <v>100</v>
      </c>
      <c r="GL73">
        <v>25.981400000000001</v>
      </c>
      <c r="GM73">
        <v>432.1</v>
      </c>
      <c r="GN73">
        <v>63.216500000000003</v>
      </c>
      <c r="GO73">
        <v>102.56</v>
      </c>
      <c r="GP73">
        <v>96.749700000000004</v>
      </c>
    </row>
    <row r="74" spans="1:198" x14ac:dyDescent="0.35">
      <c r="A74">
        <v>58</v>
      </c>
      <c r="B74">
        <v>1775507011.5</v>
      </c>
      <c r="C74">
        <v>3420.5</v>
      </c>
      <c r="D74" t="s">
        <v>505</v>
      </c>
      <c r="E74" t="s">
        <v>506</v>
      </c>
      <c r="F74">
        <v>60</v>
      </c>
      <c r="G74">
        <v>1775507003.5</v>
      </c>
      <c r="H74">
        <f t="shared" si="30"/>
        <v>1.0293865744024277E-3</v>
      </c>
      <c r="I74">
        <f t="shared" si="31"/>
        <v>1.0293865744024278</v>
      </c>
      <c r="J74">
        <f t="shared" si="32"/>
        <v>0.17879964945938431</v>
      </c>
      <c r="K74">
        <f t="shared" si="33"/>
        <v>55.221996774193563</v>
      </c>
      <c r="L74">
        <f t="shared" si="34"/>
        <v>42.734535491027984</v>
      </c>
      <c r="M74">
        <f t="shared" si="35"/>
        <v>4.2814670615120836</v>
      </c>
      <c r="N74">
        <f t="shared" si="36"/>
        <v>5.5325548187899338</v>
      </c>
      <c r="O74">
        <f t="shared" si="37"/>
        <v>2.9541702319875095E-2</v>
      </c>
      <c r="P74">
        <f t="shared" si="38"/>
        <v>2.3923261107650142</v>
      </c>
      <c r="Q74">
        <f t="shared" si="39"/>
        <v>2.9340527585636364E-2</v>
      </c>
      <c r="R74">
        <f t="shared" si="40"/>
        <v>1.8355790168720045E-2</v>
      </c>
      <c r="S74">
        <f t="shared" si="41"/>
        <v>0</v>
      </c>
      <c r="T74">
        <f t="shared" si="42"/>
        <v>24.979982293315395</v>
      </c>
      <c r="U74">
        <f t="shared" si="43"/>
        <v>25.31704516129032</v>
      </c>
      <c r="V74">
        <f t="shared" si="44"/>
        <v>3.240278374823391</v>
      </c>
      <c r="W74">
        <f t="shared" si="45"/>
        <v>-6.8495064530336256</v>
      </c>
      <c r="X74">
        <f t="shared" si="46"/>
        <v>-0.22176148465457116</v>
      </c>
      <c r="Y74">
        <f t="shared" si="47"/>
        <v>3.237627209714558</v>
      </c>
      <c r="Z74">
        <f t="shared" si="48"/>
        <v>3.462039859477962</v>
      </c>
      <c r="AA74">
        <f t="shared" si="49"/>
        <v>-45.395947931147063</v>
      </c>
      <c r="AB74">
        <f t="shared" si="50"/>
        <v>-1.7748635929653576</v>
      </c>
      <c r="AC74">
        <f t="shared" si="51"/>
        <v>-0.15742002010298897</v>
      </c>
      <c r="AD74">
        <f t="shared" si="52"/>
        <v>-47.328231544215413</v>
      </c>
      <c r="AE74">
        <v>18</v>
      </c>
      <c r="AF74">
        <v>4</v>
      </c>
      <c r="AG74">
        <f t="shared" si="53"/>
        <v>1</v>
      </c>
      <c r="AH74">
        <f t="shared" si="54"/>
        <v>0</v>
      </c>
      <c r="AI74">
        <f t="shared" si="55"/>
        <v>25727.783269964522</v>
      </c>
      <c r="AJ74">
        <f t="shared" si="56"/>
        <v>0</v>
      </c>
      <c r="AK74">
        <f t="shared" si="57"/>
        <v>0</v>
      </c>
      <c r="AL74">
        <f t="shared" si="58"/>
        <v>0</v>
      </c>
      <c r="AM74">
        <f t="shared" si="59"/>
        <v>0</v>
      </c>
      <c r="AN74">
        <v>3</v>
      </c>
      <c r="AO74">
        <v>0.5</v>
      </c>
      <c r="AP74" t="s">
        <v>331</v>
      </c>
      <c r="AQ74">
        <v>2</v>
      </c>
      <c r="AR74">
        <v>1775507003.5</v>
      </c>
      <c r="AS74">
        <v>55.221996774193563</v>
      </c>
      <c r="AT74">
        <v>55.363383870967738</v>
      </c>
      <c r="AU74">
        <v>-2.2134641935483872</v>
      </c>
      <c r="AV74">
        <v>-2.832465161290322</v>
      </c>
      <c r="AW74">
        <v>47.447996774193562</v>
      </c>
      <c r="AX74">
        <v>-1.2244641935483871</v>
      </c>
      <c r="AY74">
        <v>499.9984516129033</v>
      </c>
      <c r="AZ74">
        <v>100.1502903225806</v>
      </c>
      <c r="BA74">
        <v>3.7228093548387103E-2</v>
      </c>
      <c r="BB74">
        <v>25.30328387096775</v>
      </c>
      <c r="BC74">
        <v>25.31704516129032</v>
      </c>
      <c r="BD74">
        <v>999.90000000000032</v>
      </c>
      <c r="BE74">
        <v>0</v>
      </c>
      <c r="BF74">
        <v>0</v>
      </c>
      <c r="BG74">
        <v>5003.5483870967746</v>
      </c>
      <c r="BH74">
        <v>0.38404603225806438</v>
      </c>
      <c r="BI74">
        <v>0.22961599999999999</v>
      </c>
      <c r="BJ74">
        <v>-0.1706553741935484</v>
      </c>
      <c r="BK74">
        <v>55.070858064516123</v>
      </c>
      <c r="BL74">
        <v>55.206993548387103</v>
      </c>
      <c r="BM74">
        <v>0.61987145161290313</v>
      </c>
      <c r="BN74">
        <v>55.363383870967738</v>
      </c>
      <c r="BO74">
        <v>-2.832465161290322</v>
      </c>
      <c r="BP74">
        <v>-0.22159196774193551</v>
      </c>
      <c r="BQ74">
        <v>-0.28367225806451613</v>
      </c>
      <c r="BR74">
        <v>-99.900000000000034</v>
      </c>
      <c r="BS74">
        <v>-99.900000000000034</v>
      </c>
      <c r="BT74">
        <v>0</v>
      </c>
      <c r="BU74">
        <v>0</v>
      </c>
      <c r="BV74">
        <v>0</v>
      </c>
      <c r="BW74">
        <v>24</v>
      </c>
      <c r="BX74">
        <v>-1</v>
      </c>
      <c r="BY74">
        <v>1775507032</v>
      </c>
      <c r="BZ74" t="s">
        <v>507</v>
      </c>
      <c r="CA74">
        <v>1775507032</v>
      </c>
      <c r="CB74">
        <v>1775507032</v>
      </c>
      <c r="CC74">
        <v>61</v>
      </c>
      <c r="CD74">
        <v>2.9000000000000001E-2</v>
      </c>
      <c r="CE74">
        <v>-1E-3</v>
      </c>
      <c r="CF74">
        <v>7.774</v>
      </c>
      <c r="CG74">
        <v>-0.98899999999999999</v>
      </c>
      <c r="CH74">
        <v>56</v>
      </c>
      <c r="CI74">
        <v>-3</v>
      </c>
      <c r="CJ74">
        <v>0.18</v>
      </c>
      <c r="CK74">
        <v>0.15</v>
      </c>
      <c r="CL74">
        <v>55.396541666666657</v>
      </c>
      <c r="CM74">
        <v>-0.1750669630452619</v>
      </c>
      <c r="CN74">
        <v>6.5016029540584538E-2</v>
      </c>
      <c r="CO74">
        <v>-1</v>
      </c>
      <c r="CP74">
        <v>500.0018</v>
      </c>
      <c r="CQ74">
        <v>-0.14189274798389959</v>
      </c>
      <c r="CR74">
        <v>7.5413924443698307E-2</v>
      </c>
      <c r="CS74">
        <v>-1</v>
      </c>
      <c r="CT74">
        <v>0</v>
      </c>
      <c r="CU74">
        <v>0</v>
      </c>
      <c r="CV74" t="s">
        <v>333</v>
      </c>
      <c r="CW74">
        <v>3.1674500000000001</v>
      </c>
      <c r="CX74">
        <v>2.6583299999999999</v>
      </c>
      <c r="CY74">
        <v>1.41694E-2</v>
      </c>
      <c r="CZ74">
        <v>1.6536100000000001E-2</v>
      </c>
      <c r="DA74">
        <v>-1.09569E-2</v>
      </c>
      <c r="DB74">
        <v>-2.8511399999999999E-2</v>
      </c>
      <c r="DC74">
        <v>21354.400000000001</v>
      </c>
      <c r="DD74">
        <v>21663.8</v>
      </c>
      <c r="DE74">
        <v>23187.3</v>
      </c>
      <c r="DF74">
        <v>22376.7</v>
      </c>
      <c r="DG74">
        <v>30221.4</v>
      </c>
      <c r="DH74">
        <v>27435.4</v>
      </c>
      <c r="DI74">
        <v>40740</v>
      </c>
      <c r="DJ74">
        <v>37074.9</v>
      </c>
      <c r="DK74">
        <v>2.1036199999999998</v>
      </c>
      <c r="DL74">
        <v>1.85798</v>
      </c>
      <c r="DM74">
        <v>2.5966800000000002E-2</v>
      </c>
      <c r="DN74">
        <v>0</v>
      </c>
      <c r="DO74">
        <v>24.8947</v>
      </c>
      <c r="DP74">
        <v>999.9</v>
      </c>
      <c r="DQ74">
        <v>81.2</v>
      </c>
      <c r="DR74">
        <v>27.5</v>
      </c>
      <c r="DS74">
        <v>29.883299999999998</v>
      </c>
      <c r="DT74">
        <v>31.058299999999999</v>
      </c>
      <c r="DU74">
        <v>9.0064100000000007</v>
      </c>
      <c r="DV74">
        <v>1</v>
      </c>
      <c r="DW74">
        <v>5.0668699999999997E-2</v>
      </c>
      <c r="DX74">
        <v>-0.182118</v>
      </c>
      <c r="DY74">
        <v>20.368400000000001</v>
      </c>
      <c r="DZ74">
        <v>5.2129799999999999</v>
      </c>
      <c r="EA74">
        <v>11.8482</v>
      </c>
      <c r="EB74">
        <v>4.9685600000000001</v>
      </c>
      <c r="EC74">
        <v>3.2919999999999998</v>
      </c>
      <c r="ED74">
        <v>894.7</v>
      </c>
      <c r="EE74">
        <v>0</v>
      </c>
      <c r="EF74">
        <v>9999</v>
      </c>
      <c r="EG74">
        <v>113.9</v>
      </c>
      <c r="EH74">
        <v>4.9716800000000001</v>
      </c>
      <c r="EI74">
        <v>1.8717999999999999</v>
      </c>
      <c r="EJ74">
        <v>1.8689</v>
      </c>
      <c r="EK74">
        <v>1.87134</v>
      </c>
      <c r="EL74">
        <v>1.8690500000000001</v>
      </c>
      <c r="EM74">
        <v>1.86799</v>
      </c>
      <c r="EN74">
        <v>1.86991</v>
      </c>
      <c r="EO74">
        <v>1.87165</v>
      </c>
      <c r="EP74">
        <v>0</v>
      </c>
      <c r="EQ74">
        <v>0</v>
      </c>
      <c r="ER74">
        <v>0</v>
      </c>
      <c r="ES74">
        <v>0</v>
      </c>
      <c r="ET74" t="s">
        <v>334</v>
      </c>
      <c r="EU74" t="s">
        <v>335</v>
      </c>
      <c r="EV74" t="s">
        <v>336</v>
      </c>
      <c r="EW74" t="s">
        <v>336</v>
      </c>
      <c r="EX74" t="s">
        <v>336</v>
      </c>
      <c r="EY74" t="s">
        <v>336</v>
      </c>
      <c r="EZ74">
        <v>0</v>
      </c>
      <c r="FA74">
        <v>100</v>
      </c>
      <c r="FB74">
        <v>100</v>
      </c>
      <c r="FC74">
        <v>7.774</v>
      </c>
      <c r="FD74">
        <v>-0.98899999999999999</v>
      </c>
      <c r="FE74">
        <v>7.7447190476190428</v>
      </c>
      <c r="FF74">
        <v>0</v>
      </c>
      <c r="FG74">
        <v>0</v>
      </c>
      <c r="FH74">
        <v>0</v>
      </c>
      <c r="FI74">
        <v>-0.98812999999999951</v>
      </c>
      <c r="FJ74">
        <v>0</v>
      </c>
      <c r="FK74">
        <v>0</v>
      </c>
      <c r="FL74">
        <v>0</v>
      </c>
      <c r="FM74">
        <v>-1</v>
      </c>
      <c r="FN74">
        <v>-1</v>
      </c>
      <c r="FO74">
        <v>-1</v>
      </c>
      <c r="FP74">
        <v>-1</v>
      </c>
      <c r="FQ74">
        <v>0.7</v>
      </c>
      <c r="FR74">
        <v>0.7</v>
      </c>
      <c r="FS74">
        <v>0.142822</v>
      </c>
      <c r="FT74">
        <v>4.99756</v>
      </c>
      <c r="FU74">
        <v>1.5979000000000001</v>
      </c>
      <c r="FV74">
        <v>2.16431</v>
      </c>
      <c r="FW74">
        <v>1.5478499999999999</v>
      </c>
      <c r="FX74">
        <v>2.3547400000000001</v>
      </c>
      <c r="FY74">
        <v>32.046399999999998</v>
      </c>
      <c r="FZ74">
        <v>16.1021</v>
      </c>
      <c r="GA74">
        <v>3</v>
      </c>
      <c r="GB74">
        <v>492.19200000000001</v>
      </c>
      <c r="GC74">
        <v>426.15800000000002</v>
      </c>
      <c r="GD74">
        <v>25.996099999999998</v>
      </c>
      <c r="GE74">
        <v>27.882300000000001</v>
      </c>
      <c r="GF74">
        <v>30.0002</v>
      </c>
      <c r="GG74">
        <v>28.1952</v>
      </c>
      <c r="GH74">
        <v>28.251899999999999</v>
      </c>
      <c r="GI74">
        <v>-1</v>
      </c>
      <c r="GJ74">
        <v>0</v>
      </c>
      <c r="GK74">
        <v>100</v>
      </c>
      <c r="GL74">
        <v>25.992699999999999</v>
      </c>
      <c r="GM74">
        <v>432.1</v>
      </c>
      <c r="GN74">
        <v>63.216500000000003</v>
      </c>
      <c r="GO74">
        <v>102.559</v>
      </c>
      <c r="GP74">
        <v>96.751099999999994</v>
      </c>
    </row>
    <row r="75" spans="1:198" x14ac:dyDescent="0.35">
      <c r="A75">
        <v>59</v>
      </c>
      <c r="B75">
        <v>1775507071.5</v>
      </c>
      <c r="C75">
        <v>3480.5</v>
      </c>
      <c r="D75" t="s">
        <v>508</v>
      </c>
      <c r="E75" t="s">
        <v>509</v>
      </c>
      <c r="F75">
        <v>60</v>
      </c>
      <c r="G75">
        <v>1775507063.75</v>
      </c>
      <c r="H75">
        <f t="shared" si="30"/>
        <v>1.0336486759977145E-3</v>
      </c>
      <c r="I75">
        <f t="shared" si="31"/>
        <v>1.0336486759977144</v>
      </c>
      <c r="J75">
        <f t="shared" si="32"/>
        <v>0.13687686460132648</v>
      </c>
      <c r="K75">
        <f t="shared" si="33"/>
        <v>56.331166666666661</v>
      </c>
      <c r="L75">
        <f t="shared" si="34"/>
        <v>46.034113408320103</v>
      </c>
      <c r="M75">
        <f t="shared" si="35"/>
        <v>4.6120204671730276</v>
      </c>
      <c r="N75">
        <f t="shared" si="36"/>
        <v>5.6436515090881691</v>
      </c>
      <c r="O75">
        <f t="shared" si="37"/>
        <v>2.9663053952903248E-2</v>
      </c>
      <c r="P75">
        <f t="shared" si="38"/>
        <v>2.3908491002905023</v>
      </c>
      <c r="Q75">
        <f t="shared" si="39"/>
        <v>2.9460104797742956E-2</v>
      </c>
      <c r="R75">
        <f t="shared" si="40"/>
        <v>1.8430683803282874E-2</v>
      </c>
      <c r="S75">
        <f t="shared" si="41"/>
        <v>0</v>
      </c>
      <c r="T75">
        <f t="shared" si="42"/>
        <v>24.976811835366618</v>
      </c>
      <c r="U75">
        <f t="shared" si="43"/>
        <v>25.317983333333331</v>
      </c>
      <c r="V75">
        <f t="shared" si="44"/>
        <v>3.2404591862930485</v>
      </c>
      <c r="W75">
        <f t="shared" si="45"/>
        <v>-6.8508781995645975</v>
      </c>
      <c r="X75">
        <f t="shared" si="46"/>
        <v>-0.22178416480671148</v>
      </c>
      <c r="Y75">
        <f t="shared" si="47"/>
        <v>3.2373099965608323</v>
      </c>
      <c r="Z75">
        <f t="shared" si="48"/>
        <v>3.4622433510997599</v>
      </c>
      <c r="AA75">
        <f t="shared" si="49"/>
        <v>-45.583906611499209</v>
      </c>
      <c r="AB75">
        <f t="shared" si="50"/>
        <v>-2.107011065439194</v>
      </c>
      <c r="AC75">
        <f t="shared" si="51"/>
        <v>-0.18699434145574978</v>
      </c>
      <c r="AD75">
        <f t="shared" si="52"/>
        <v>-47.877912018394156</v>
      </c>
      <c r="AE75">
        <v>18</v>
      </c>
      <c r="AF75">
        <v>4</v>
      </c>
      <c r="AG75">
        <f t="shared" si="53"/>
        <v>1</v>
      </c>
      <c r="AH75">
        <f t="shared" si="54"/>
        <v>0</v>
      </c>
      <c r="AI75">
        <f t="shared" si="55"/>
        <v>25705.339046154342</v>
      </c>
      <c r="AJ75">
        <f t="shared" si="56"/>
        <v>0</v>
      </c>
      <c r="AK75">
        <f t="shared" si="57"/>
        <v>0</v>
      </c>
      <c r="AL75">
        <f t="shared" si="58"/>
        <v>0</v>
      </c>
      <c r="AM75">
        <f t="shared" si="59"/>
        <v>0</v>
      </c>
      <c r="AN75">
        <v>3</v>
      </c>
      <c r="AO75">
        <v>0.5</v>
      </c>
      <c r="AP75" t="s">
        <v>331</v>
      </c>
      <c r="AQ75">
        <v>2</v>
      </c>
      <c r="AR75">
        <v>1775507063.75</v>
      </c>
      <c r="AS75">
        <v>56.331166666666661</v>
      </c>
      <c r="AT75">
        <v>56.448230000000009</v>
      </c>
      <c r="AU75">
        <v>-2.2137016666666671</v>
      </c>
      <c r="AV75">
        <v>-2.8352703333333338</v>
      </c>
      <c r="AW75">
        <v>48.530166666666659</v>
      </c>
      <c r="AX75">
        <v>-1.2257016666666669</v>
      </c>
      <c r="AY75">
        <v>499.99473333333327</v>
      </c>
      <c r="AZ75">
        <v>100.1498666666667</v>
      </c>
      <c r="BA75">
        <v>3.7149563333333337E-2</v>
      </c>
      <c r="BB75">
        <v>25.30163666666666</v>
      </c>
      <c r="BC75">
        <v>25.317983333333331</v>
      </c>
      <c r="BD75">
        <v>999.9000000000002</v>
      </c>
      <c r="BE75">
        <v>0</v>
      </c>
      <c r="BF75">
        <v>0</v>
      </c>
      <c r="BG75">
        <v>4999.7666666666664</v>
      </c>
      <c r="BH75">
        <v>0.40593016666666659</v>
      </c>
      <c r="BI75">
        <v>0.2334426666666666</v>
      </c>
      <c r="BJ75">
        <v>-0.1442448499999999</v>
      </c>
      <c r="BK75">
        <v>56.179576666666662</v>
      </c>
      <c r="BL75">
        <v>56.288629999999998</v>
      </c>
      <c r="BM75">
        <v>0.62083126666666666</v>
      </c>
      <c r="BN75">
        <v>56.448230000000009</v>
      </c>
      <c r="BO75">
        <v>-2.8352703333333338</v>
      </c>
      <c r="BP75">
        <v>-0.22177596666666671</v>
      </c>
      <c r="BQ75">
        <v>-0.28395223333333341</v>
      </c>
      <c r="BR75">
        <v>-99.900000000000034</v>
      </c>
      <c r="BS75">
        <v>-99.900000000000034</v>
      </c>
      <c r="BT75">
        <v>0</v>
      </c>
      <c r="BU75">
        <v>0</v>
      </c>
      <c r="BV75">
        <v>0</v>
      </c>
      <c r="BW75">
        <v>24</v>
      </c>
      <c r="BX75">
        <v>-0.99222230000000022</v>
      </c>
      <c r="BY75">
        <v>1775507091.5</v>
      </c>
      <c r="BZ75" t="s">
        <v>510</v>
      </c>
      <c r="CA75">
        <v>1775507088</v>
      </c>
      <c r="CB75">
        <v>1775507091.5</v>
      </c>
      <c r="CC75">
        <v>62</v>
      </c>
      <c r="CD75">
        <v>2.7E-2</v>
      </c>
      <c r="CE75">
        <v>1E-3</v>
      </c>
      <c r="CF75">
        <v>7.8010000000000002</v>
      </c>
      <c r="CG75">
        <v>-0.98799999999999999</v>
      </c>
      <c r="CH75">
        <v>56</v>
      </c>
      <c r="CI75">
        <v>-3</v>
      </c>
      <c r="CJ75">
        <v>0.17</v>
      </c>
      <c r="CK75">
        <v>0.11</v>
      </c>
      <c r="CL75">
        <v>56.395106666666663</v>
      </c>
      <c r="CM75">
        <v>0.17663373159225021</v>
      </c>
      <c r="CN75">
        <v>0.20376860394956731</v>
      </c>
      <c r="CO75">
        <v>-1</v>
      </c>
      <c r="CP75">
        <v>500.02446666666668</v>
      </c>
      <c r="CQ75">
        <v>-0.36534148374494507</v>
      </c>
      <c r="CR75">
        <v>0.1335043653052424</v>
      </c>
      <c r="CS75">
        <v>-1</v>
      </c>
      <c r="CT75">
        <v>0</v>
      </c>
      <c r="CU75">
        <v>0</v>
      </c>
      <c r="CV75" t="s">
        <v>333</v>
      </c>
      <c r="CW75">
        <v>3.1674099999999998</v>
      </c>
      <c r="CX75">
        <v>2.6586099999999999</v>
      </c>
      <c r="CY75">
        <v>1.4440700000000001E-2</v>
      </c>
      <c r="CZ75">
        <v>1.6740399999999999E-2</v>
      </c>
      <c r="DA75">
        <v>-1.09709E-2</v>
      </c>
      <c r="DB75">
        <v>-2.8554E-2</v>
      </c>
      <c r="DC75">
        <v>21348.1</v>
      </c>
      <c r="DD75">
        <v>21659.8</v>
      </c>
      <c r="DE75">
        <v>23186.9</v>
      </c>
      <c r="DF75">
        <v>22377.200000000001</v>
      </c>
      <c r="DG75">
        <v>30221.5</v>
      </c>
      <c r="DH75">
        <v>27437.1</v>
      </c>
      <c r="DI75">
        <v>40739.5</v>
      </c>
      <c r="DJ75">
        <v>37075.699999999997</v>
      </c>
      <c r="DK75">
        <v>2.10344</v>
      </c>
      <c r="DL75">
        <v>1.85816</v>
      </c>
      <c r="DM75">
        <v>2.48641E-2</v>
      </c>
      <c r="DN75">
        <v>0</v>
      </c>
      <c r="DO75">
        <v>24.901599999999998</v>
      </c>
      <c r="DP75">
        <v>999.9</v>
      </c>
      <c r="DQ75">
        <v>81.099999999999994</v>
      </c>
      <c r="DR75">
        <v>27.5</v>
      </c>
      <c r="DS75">
        <v>29.842500000000001</v>
      </c>
      <c r="DT75">
        <v>30.848299999999998</v>
      </c>
      <c r="DU75">
        <v>8.8020899999999997</v>
      </c>
      <c r="DV75">
        <v>1</v>
      </c>
      <c r="DW75">
        <v>5.0642300000000001E-2</v>
      </c>
      <c r="DX75">
        <v>-0.16570199999999999</v>
      </c>
      <c r="DY75">
        <v>20.368500000000001</v>
      </c>
      <c r="DZ75">
        <v>5.2122599999999997</v>
      </c>
      <c r="EA75">
        <v>11.8482</v>
      </c>
      <c r="EB75">
        <v>4.9687200000000002</v>
      </c>
      <c r="EC75">
        <v>3.2919999999999998</v>
      </c>
      <c r="ED75">
        <v>894.7</v>
      </c>
      <c r="EE75">
        <v>0</v>
      </c>
      <c r="EF75">
        <v>9999</v>
      </c>
      <c r="EG75">
        <v>114</v>
      </c>
      <c r="EH75">
        <v>4.97166</v>
      </c>
      <c r="EI75">
        <v>1.8717999999999999</v>
      </c>
      <c r="EJ75">
        <v>1.8689</v>
      </c>
      <c r="EK75">
        <v>1.87134</v>
      </c>
      <c r="EL75">
        <v>1.8690500000000001</v>
      </c>
      <c r="EM75">
        <v>1.86802</v>
      </c>
      <c r="EN75">
        <v>1.86988</v>
      </c>
      <c r="EO75">
        <v>1.8716600000000001</v>
      </c>
      <c r="EP75">
        <v>0</v>
      </c>
      <c r="EQ75">
        <v>0</v>
      </c>
      <c r="ER75">
        <v>0</v>
      </c>
      <c r="ES75">
        <v>0</v>
      </c>
      <c r="ET75" t="s">
        <v>334</v>
      </c>
      <c r="EU75" t="s">
        <v>335</v>
      </c>
      <c r="EV75" t="s">
        <v>336</v>
      </c>
      <c r="EW75" t="s">
        <v>336</v>
      </c>
      <c r="EX75" t="s">
        <v>336</v>
      </c>
      <c r="EY75" t="s">
        <v>336</v>
      </c>
      <c r="EZ75">
        <v>0</v>
      </c>
      <c r="FA75">
        <v>100</v>
      </c>
      <c r="FB75">
        <v>100</v>
      </c>
      <c r="FC75">
        <v>7.8010000000000002</v>
      </c>
      <c r="FD75">
        <v>-0.98799999999999999</v>
      </c>
      <c r="FE75">
        <v>7.7738190476190496</v>
      </c>
      <c r="FF75">
        <v>0</v>
      </c>
      <c r="FG75">
        <v>0</v>
      </c>
      <c r="FH75">
        <v>0</v>
      </c>
      <c r="FI75">
        <v>-0.98873666666666682</v>
      </c>
      <c r="FJ75">
        <v>0</v>
      </c>
      <c r="FK75">
        <v>0</v>
      </c>
      <c r="FL75">
        <v>0</v>
      </c>
      <c r="FM75">
        <v>-1</v>
      </c>
      <c r="FN75">
        <v>-1</v>
      </c>
      <c r="FO75">
        <v>-1</v>
      </c>
      <c r="FP75">
        <v>-1</v>
      </c>
      <c r="FQ75">
        <v>0.7</v>
      </c>
      <c r="FR75">
        <v>0.7</v>
      </c>
      <c r="FS75">
        <v>0.142822</v>
      </c>
      <c r="FT75">
        <v>4.99756</v>
      </c>
      <c r="FU75">
        <v>1.5979000000000001</v>
      </c>
      <c r="FV75">
        <v>2.16309</v>
      </c>
      <c r="FW75">
        <v>1.5478499999999999</v>
      </c>
      <c r="FX75">
        <v>2.3339799999999999</v>
      </c>
      <c r="FY75">
        <v>32.068399999999997</v>
      </c>
      <c r="FZ75">
        <v>16.093399999999999</v>
      </c>
      <c r="GA75">
        <v>3</v>
      </c>
      <c r="GB75">
        <v>492.10899999999998</v>
      </c>
      <c r="GC75">
        <v>426.27800000000002</v>
      </c>
      <c r="GD75">
        <v>25.964700000000001</v>
      </c>
      <c r="GE75">
        <v>27.884699999999999</v>
      </c>
      <c r="GF75">
        <v>30.0001</v>
      </c>
      <c r="GG75">
        <v>28.197600000000001</v>
      </c>
      <c r="GH75">
        <v>28.253799999999998</v>
      </c>
      <c r="GI75">
        <v>-1</v>
      </c>
      <c r="GJ75">
        <v>0</v>
      </c>
      <c r="GK75">
        <v>100</v>
      </c>
      <c r="GL75">
        <v>25.963699999999999</v>
      </c>
      <c r="GM75">
        <v>432.1</v>
      </c>
      <c r="GN75">
        <v>63.216500000000003</v>
      </c>
      <c r="GO75">
        <v>102.557</v>
      </c>
      <c r="GP75">
        <v>96.753200000000007</v>
      </c>
    </row>
    <row r="76" spans="1:198" x14ac:dyDescent="0.35">
      <c r="A76">
        <v>60</v>
      </c>
      <c r="B76">
        <v>1775507131.5</v>
      </c>
      <c r="C76">
        <v>3540.5</v>
      </c>
      <c r="D76" t="s">
        <v>511</v>
      </c>
      <c r="E76" t="s">
        <v>512</v>
      </c>
      <c r="F76">
        <v>60</v>
      </c>
      <c r="G76">
        <v>1775507123.5</v>
      </c>
      <c r="H76">
        <f t="shared" si="30"/>
        <v>1.0067396031137267E-3</v>
      </c>
      <c r="I76">
        <f t="shared" si="31"/>
        <v>1.0067396031137268</v>
      </c>
      <c r="J76">
        <f t="shared" si="32"/>
        <v>-0.1187622610160886</v>
      </c>
      <c r="K76">
        <f t="shared" si="33"/>
        <v>55.079874193548392</v>
      </c>
      <c r="L76">
        <f t="shared" si="34"/>
        <v>58.509382368009653</v>
      </c>
      <c r="M76">
        <f t="shared" si="35"/>
        <v>5.8618944072327483</v>
      </c>
      <c r="N76">
        <f t="shared" si="36"/>
        <v>5.5183013974657351</v>
      </c>
      <c r="O76">
        <f t="shared" si="37"/>
        <v>2.8896934677723061E-2</v>
      </c>
      <c r="P76">
        <f t="shared" si="38"/>
        <v>2.3898797128906217</v>
      </c>
      <c r="Q76">
        <f t="shared" si="39"/>
        <v>2.8704219125776313E-2</v>
      </c>
      <c r="R76">
        <f t="shared" si="40"/>
        <v>1.7957344420495437E-2</v>
      </c>
      <c r="S76">
        <f t="shared" si="41"/>
        <v>0</v>
      </c>
      <c r="T76">
        <f t="shared" si="42"/>
        <v>24.979311986721331</v>
      </c>
      <c r="U76">
        <f t="shared" si="43"/>
        <v>25.308916129032259</v>
      </c>
      <c r="V76">
        <f t="shared" si="44"/>
        <v>3.2387120565326613</v>
      </c>
      <c r="W76">
        <f t="shared" si="45"/>
        <v>-6.8675072636051135</v>
      </c>
      <c r="X76">
        <f t="shared" si="46"/>
        <v>-0.22224532297928945</v>
      </c>
      <c r="Y76">
        <f t="shared" si="47"/>
        <v>3.236186209180961</v>
      </c>
      <c r="Z76">
        <f t="shared" si="48"/>
        <v>3.4609573795119508</v>
      </c>
      <c r="AA76">
        <f t="shared" si="49"/>
        <v>-44.397216497315348</v>
      </c>
      <c r="AB76">
        <f t="shared" si="50"/>
        <v>-1.6899239716155974</v>
      </c>
      <c r="AC76">
        <f t="shared" si="51"/>
        <v>-0.15002802466871856</v>
      </c>
      <c r="AD76">
        <f t="shared" si="52"/>
        <v>-46.237168493599668</v>
      </c>
      <c r="AE76">
        <v>18</v>
      </c>
      <c r="AF76">
        <v>4</v>
      </c>
      <c r="AG76">
        <f t="shared" si="53"/>
        <v>1</v>
      </c>
      <c r="AH76">
        <f t="shared" si="54"/>
        <v>0</v>
      </c>
      <c r="AI76">
        <f t="shared" si="55"/>
        <v>25691.010272673764</v>
      </c>
      <c r="AJ76">
        <f t="shared" si="56"/>
        <v>0</v>
      </c>
      <c r="AK76">
        <f t="shared" si="57"/>
        <v>0</v>
      </c>
      <c r="AL76">
        <f t="shared" si="58"/>
        <v>0</v>
      </c>
      <c r="AM76">
        <f t="shared" si="59"/>
        <v>0</v>
      </c>
      <c r="AN76">
        <v>3</v>
      </c>
      <c r="AO76">
        <v>0.5</v>
      </c>
      <c r="AP76" t="s">
        <v>331</v>
      </c>
      <c r="AQ76">
        <v>2</v>
      </c>
      <c r="AR76">
        <v>1775507123.5</v>
      </c>
      <c r="AS76">
        <v>55.079874193548392</v>
      </c>
      <c r="AT76">
        <v>55.041887096774197</v>
      </c>
      <c r="AU76">
        <v>-2.21829935483871</v>
      </c>
      <c r="AV76">
        <v>-2.823689354838709</v>
      </c>
      <c r="AW76">
        <v>47.29087419354839</v>
      </c>
      <c r="AX76">
        <v>-1.22829935483871</v>
      </c>
      <c r="AY76">
        <v>499.99480645161282</v>
      </c>
      <c r="AZ76">
        <v>100.1498064516129</v>
      </c>
      <c r="BA76">
        <v>3.7448480645161278E-2</v>
      </c>
      <c r="BB76">
        <v>25.2958</v>
      </c>
      <c r="BC76">
        <v>25.308916129032259</v>
      </c>
      <c r="BD76">
        <v>999.90000000000032</v>
      </c>
      <c r="BE76">
        <v>0</v>
      </c>
      <c r="BF76">
        <v>0</v>
      </c>
      <c r="BG76">
        <v>4997.2741935483873</v>
      </c>
      <c r="BH76">
        <v>0.38882183870967751</v>
      </c>
      <c r="BI76">
        <v>0.22961599999999999</v>
      </c>
      <c r="BJ76">
        <v>5.0227254838709663E-2</v>
      </c>
      <c r="BK76">
        <v>54.970303225806447</v>
      </c>
      <c r="BL76">
        <v>54.886916129032237</v>
      </c>
      <c r="BM76">
        <v>0.60747567741935493</v>
      </c>
      <c r="BN76">
        <v>55.041887096774197</v>
      </c>
      <c r="BO76">
        <v>-2.823689354838709</v>
      </c>
      <c r="BP76">
        <v>-0.22195354838709669</v>
      </c>
      <c r="BQ76">
        <v>-0.28279206451612898</v>
      </c>
      <c r="BR76">
        <v>-99.900000000000034</v>
      </c>
      <c r="BS76">
        <v>-99.900000000000034</v>
      </c>
      <c r="BT76">
        <v>0</v>
      </c>
      <c r="BU76">
        <v>0</v>
      </c>
      <c r="BV76">
        <v>0</v>
      </c>
      <c r="BW76">
        <v>24</v>
      </c>
      <c r="BX76">
        <v>-1</v>
      </c>
      <c r="BY76">
        <v>1775507151.5</v>
      </c>
      <c r="BZ76" t="s">
        <v>513</v>
      </c>
      <c r="CA76">
        <v>1775507146.5</v>
      </c>
      <c r="CB76">
        <v>1775507151.5</v>
      </c>
      <c r="CC76">
        <v>63</v>
      </c>
      <c r="CD76">
        <v>-1.2E-2</v>
      </c>
      <c r="CE76">
        <v>-2E-3</v>
      </c>
      <c r="CF76">
        <v>7.7889999999999997</v>
      </c>
      <c r="CG76">
        <v>-0.99</v>
      </c>
      <c r="CH76">
        <v>55</v>
      </c>
      <c r="CI76">
        <v>-3</v>
      </c>
      <c r="CJ76">
        <v>0.21</v>
      </c>
      <c r="CK76">
        <v>0.09</v>
      </c>
      <c r="CL76">
        <v>55.246198360655733</v>
      </c>
      <c r="CM76">
        <v>-1.2082464304600811</v>
      </c>
      <c r="CN76">
        <v>0.27452550509585127</v>
      </c>
      <c r="CO76">
        <v>-1</v>
      </c>
      <c r="CP76">
        <v>500.00840983606548</v>
      </c>
      <c r="CQ76">
        <v>-0.1114521417236691</v>
      </c>
      <c r="CR76">
        <v>6.965944725431418E-2</v>
      </c>
      <c r="CS76">
        <v>-1</v>
      </c>
      <c r="CT76">
        <v>0</v>
      </c>
      <c r="CU76">
        <v>0</v>
      </c>
      <c r="CV76" t="s">
        <v>333</v>
      </c>
      <c r="CW76">
        <v>3.1673</v>
      </c>
      <c r="CX76">
        <v>2.65869</v>
      </c>
      <c r="CY76">
        <v>1.4109E-2</v>
      </c>
      <c r="CZ76">
        <v>1.6476299999999999E-2</v>
      </c>
      <c r="DA76">
        <v>-1.1031900000000001E-2</v>
      </c>
      <c r="DB76">
        <v>-2.8402E-2</v>
      </c>
      <c r="DC76">
        <v>21354.9</v>
      </c>
      <c r="DD76">
        <v>21665.4</v>
      </c>
      <c r="DE76">
        <v>23186.400000000001</v>
      </c>
      <c r="DF76">
        <v>22377</v>
      </c>
      <c r="DG76">
        <v>30222.6</v>
      </c>
      <c r="DH76">
        <v>27432.799999999999</v>
      </c>
      <c r="DI76">
        <v>40738.6</v>
      </c>
      <c r="DJ76">
        <v>37075.300000000003</v>
      </c>
      <c r="DK76">
        <v>2.10364</v>
      </c>
      <c r="DL76">
        <v>1.85802</v>
      </c>
      <c r="DM76">
        <v>2.4473700000000001E-2</v>
      </c>
      <c r="DN76">
        <v>0</v>
      </c>
      <c r="DO76">
        <v>24.901599999999998</v>
      </c>
      <c r="DP76">
        <v>999.9</v>
      </c>
      <c r="DQ76">
        <v>81.099999999999994</v>
      </c>
      <c r="DR76">
        <v>27.6</v>
      </c>
      <c r="DS76">
        <v>30.0213</v>
      </c>
      <c r="DT76">
        <v>30.878299999999999</v>
      </c>
      <c r="DU76">
        <v>9.2027199999999993</v>
      </c>
      <c r="DV76">
        <v>1</v>
      </c>
      <c r="DW76">
        <v>5.0851599999999997E-2</v>
      </c>
      <c r="DX76">
        <v>-0.21604999999999999</v>
      </c>
      <c r="DY76">
        <v>20.368400000000001</v>
      </c>
      <c r="DZ76">
        <v>5.2109399999999999</v>
      </c>
      <c r="EA76">
        <v>11.8482</v>
      </c>
      <c r="EB76">
        <v>4.968</v>
      </c>
      <c r="EC76">
        <v>3.2919999999999998</v>
      </c>
      <c r="ED76">
        <v>894.7</v>
      </c>
      <c r="EE76">
        <v>0</v>
      </c>
      <c r="EF76">
        <v>9999</v>
      </c>
      <c r="EG76">
        <v>114</v>
      </c>
      <c r="EH76">
        <v>4.97166</v>
      </c>
      <c r="EI76">
        <v>1.8717999999999999</v>
      </c>
      <c r="EJ76">
        <v>1.8689</v>
      </c>
      <c r="EK76">
        <v>1.87134</v>
      </c>
      <c r="EL76">
        <v>1.8690500000000001</v>
      </c>
      <c r="EM76">
        <v>1.8680300000000001</v>
      </c>
      <c r="EN76">
        <v>1.86991</v>
      </c>
      <c r="EO76">
        <v>1.8716600000000001</v>
      </c>
      <c r="EP76">
        <v>0</v>
      </c>
      <c r="EQ76">
        <v>0</v>
      </c>
      <c r="ER76">
        <v>0</v>
      </c>
      <c r="ES76">
        <v>0</v>
      </c>
      <c r="ET76" t="s">
        <v>334</v>
      </c>
      <c r="EU76" t="s">
        <v>335</v>
      </c>
      <c r="EV76" t="s">
        <v>336</v>
      </c>
      <c r="EW76" t="s">
        <v>336</v>
      </c>
      <c r="EX76" t="s">
        <v>336</v>
      </c>
      <c r="EY76" t="s">
        <v>336</v>
      </c>
      <c r="EZ76">
        <v>0</v>
      </c>
      <c r="FA76">
        <v>100</v>
      </c>
      <c r="FB76">
        <v>100</v>
      </c>
      <c r="FC76">
        <v>7.7889999999999997</v>
      </c>
      <c r="FD76">
        <v>-0.99</v>
      </c>
      <c r="FE76">
        <v>7.8012476190476292</v>
      </c>
      <c r="FF76">
        <v>0</v>
      </c>
      <c r="FG76">
        <v>0</v>
      </c>
      <c r="FH76">
        <v>0</v>
      </c>
      <c r="FI76">
        <v>-0.98791399999999974</v>
      </c>
      <c r="FJ76">
        <v>0</v>
      </c>
      <c r="FK76">
        <v>0</v>
      </c>
      <c r="FL76">
        <v>0</v>
      </c>
      <c r="FM76">
        <v>-1</v>
      </c>
      <c r="FN76">
        <v>-1</v>
      </c>
      <c r="FO76">
        <v>-1</v>
      </c>
      <c r="FP76">
        <v>-1</v>
      </c>
      <c r="FQ76">
        <v>0.7</v>
      </c>
      <c r="FR76">
        <v>0.7</v>
      </c>
      <c r="FS76">
        <v>0.142822</v>
      </c>
      <c r="FT76">
        <v>4.99756</v>
      </c>
      <c r="FU76">
        <v>1.5979000000000001</v>
      </c>
      <c r="FV76">
        <v>2.16309</v>
      </c>
      <c r="FW76">
        <v>1.5478499999999999</v>
      </c>
      <c r="FX76">
        <v>2.4206500000000002</v>
      </c>
      <c r="FY76">
        <v>32.068399999999997</v>
      </c>
      <c r="FZ76">
        <v>16.1021</v>
      </c>
      <c r="GA76">
        <v>3</v>
      </c>
      <c r="GB76">
        <v>492.22399999999999</v>
      </c>
      <c r="GC76">
        <v>426.19900000000001</v>
      </c>
      <c r="GD76">
        <v>25.997399999999999</v>
      </c>
      <c r="GE76">
        <v>27.884699999999999</v>
      </c>
      <c r="GF76">
        <v>30.0002</v>
      </c>
      <c r="GG76">
        <v>28.197700000000001</v>
      </c>
      <c r="GH76">
        <v>28.254300000000001</v>
      </c>
      <c r="GI76">
        <v>-1</v>
      </c>
      <c r="GJ76">
        <v>0</v>
      </c>
      <c r="GK76">
        <v>100</v>
      </c>
      <c r="GL76">
        <v>25.999700000000001</v>
      </c>
      <c r="GM76">
        <v>432.1</v>
      </c>
      <c r="GN76">
        <v>63.216500000000003</v>
      </c>
      <c r="GO76">
        <v>102.55500000000001</v>
      </c>
      <c r="GP76">
        <v>96.752200000000002</v>
      </c>
    </row>
    <row r="77" spans="1:198" x14ac:dyDescent="0.35">
      <c r="A77">
        <v>61</v>
      </c>
      <c r="B77">
        <v>1775507191.5</v>
      </c>
      <c r="C77">
        <v>3600.5</v>
      </c>
      <c r="D77" t="s">
        <v>514</v>
      </c>
      <c r="E77" t="s">
        <v>515</v>
      </c>
      <c r="F77">
        <v>60</v>
      </c>
      <c r="G77">
        <v>1775507183.5</v>
      </c>
      <c r="H77">
        <f t="shared" si="30"/>
        <v>9.9631061915236288E-4</v>
      </c>
      <c r="I77">
        <f t="shared" si="31"/>
        <v>0.99631061915236285</v>
      </c>
      <c r="J77">
        <f t="shared" si="32"/>
        <v>0.41987709874759122</v>
      </c>
      <c r="K77">
        <f t="shared" si="33"/>
        <v>55.13590967741937</v>
      </c>
      <c r="L77">
        <f t="shared" si="34"/>
        <v>29.139722544741378</v>
      </c>
      <c r="M77">
        <f t="shared" si="35"/>
        <v>2.9195348789893432</v>
      </c>
      <c r="N77">
        <f t="shared" si="36"/>
        <v>5.5241161318840746</v>
      </c>
      <c r="O77">
        <f t="shared" si="37"/>
        <v>2.8587729326698869E-2</v>
      </c>
      <c r="P77">
        <f t="shared" si="38"/>
        <v>2.3934196670811048</v>
      </c>
      <c r="Q77">
        <f t="shared" si="39"/>
        <v>2.8399378407627913E-2</v>
      </c>
      <c r="R77">
        <f t="shared" si="40"/>
        <v>1.7766430517280694E-2</v>
      </c>
      <c r="S77">
        <f t="shared" si="41"/>
        <v>0</v>
      </c>
      <c r="T77">
        <f t="shared" si="42"/>
        <v>24.985661906689401</v>
      </c>
      <c r="U77">
        <f t="shared" si="43"/>
        <v>25.314251612903231</v>
      </c>
      <c r="V77">
        <f t="shared" si="44"/>
        <v>3.239740033674201</v>
      </c>
      <c r="W77">
        <f t="shared" si="45"/>
        <v>-6.8662488383249345</v>
      </c>
      <c r="X77">
        <f t="shared" si="46"/>
        <v>-0.22223956471711337</v>
      </c>
      <c r="Y77">
        <f t="shared" si="47"/>
        <v>3.2366954642926999</v>
      </c>
      <c r="Z77">
        <f t="shared" si="48"/>
        <v>3.4619795983913146</v>
      </c>
      <c r="AA77">
        <f t="shared" si="49"/>
        <v>-43.937298304619205</v>
      </c>
      <c r="AB77">
        <f t="shared" si="50"/>
        <v>-2.0395703269352223</v>
      </c>
      <c r="AC77">
        <f t="shared" si="51"/>
        <v>-0.18080836761537508</v>
      </c>
      <c r="AD77">
        <f t="shared" si="52"/>
        <v>-46.157676999169801</v>
      </c>
      <c r="AE77">
        <v>18</v>
      </c>
      <c r="AF77">
        <v>4</v>
      </c>
      <c r="AG77">
        <f t="shared" si="53"/>
        <v>1</v>
      </c>
      <c r="AH77">
        <f t="shared" si="54"/>
        <v>0</v>
      </c>
      <c r="AI77">
        <f t="shared" si="55"/>
        <v>25744.813213662557</v>
      </c>
      <c r="AJ77">
        <f t="shared" si="56"/>
        <v>0</v>
      </c>
      <c r="AK77">
        <f t="shared" si="57"/>
        <v>0</v>
      </c>
      <c r="AL77">
        <f t="shared" si="58"/>
        <v>0</v>
      </c>
      <c r="AM77">
        <f t="shared" si="59"/>
        <v>0</v>
      </c>
      <c r="AN77">
        <v>3</v>
      </c>
      <c r="AO77">
        <v>0.5</v>
      </c>
      <c r="AP77" t="s">
        <v>331</v>
      </c>
      <c r="AQ77">
        <v>2</v>
      </c>
      <c r="AR77">
        <v>1775507183.5</v>
      </c>
      <c r="AS77">
        <v>55.13590967741937</v>
      </c>
      <c r="AT77">
        <v>55.42079032258065</v>
      </c>
      <c r="AU77">
        <v>-2.21816129032258</v>
      </c>
      <c r="AV77">
        <v>-2.817262903225807</v>
      </c>
      <c r="AW77">
        <v>47.360909677419372</v>
      </c>
      <c r="AX77">
        <v>-1.229161290322581</v>
      </c>
      <c r="AY77">
        <v>500.00896774193552</v>
      </c>
      <c r="AZ77">
        <v>100.1533870967742</v>
      </c>
      <c r="BA77">
        <v>3.7507806451612898E-2</v>
      </c>
      <c r="BB77">
        <v>25.29844516129031</v>
      </c>
      <c r="BC77">
        <v>25.314251612903231</v>
      </c>
      <c r="BD77">
        <v>999.90000000000032</v>
      </c>
      <c r="BE77">
        <v>0</v>
      </c>
      <c r="BF77">
        <v>0</v>
      </c>
      <c r="BG77">
        <v>5006.2096774193551</v>
      </c>
      <c r="BH77">
        <v>0.40716558064516128</v>
      </c>
      <c r="BI77">
        <v>0.22961599999999999</v>
      </c>
      <c r="BJ77">
        <v>-0.27106187096774198</v>
      </c>
      <c r="BK77">
        <v>55.027609677419363</v>
      </c>
      <c r="BL77">
        <v>55.265096774193552</v>
      </c>
      <c r="BM77">
        <v>0.59793722580645159</v>
      </c>
      <c r="BN77">
        <v>55.42079032258065</v>
      </c>
      <c r="BO77">
        <v>-2.817262903225807</v>
      </c>
      <c r="BP77">
        <v>-0.2222730322580645</v>
      </c>
      <c r="BQ77">
        <v>-0.28215845161290332</v>
      </c>
      <c r="BR77">
        <v>-99.900000000000034</v>
      </c>
      <c r="BS77">
        <v>-99.900000000000034</v>
      </c>
      <c r="BT77">
        <v>0</v>
      </c>
      <c r="BU77">
        <v>0</v>
      </c>
      <c r="BV77">
        <v>0</v>
      </c>
      <c r="BW77">
        <v>24</v>
      </c>
      <c r="BX77">
        <v>-1</v>
      </c>
      <c r="BY77">
        <v>1775507215</v>
      </c>
      <c r="BZ77" t="s">
        <v>516</v>
      </c>
      <c r="CA77">
        <v>1775507207.5</v>
      </c>
      <c r="CB77">
        <v>1775507215</v>
      </c>
      <c r="CC77">
        <v>64</v>
      </c>
      <c r="CD77">
        <v>-1.4E-2</v>
      </c>
      <c r="CE77">
        <v>1E-3</v>
      </c>
      <c r="CF77">
        <v>7.7750000000000004</v>
      </c>
      <c r="CG77">
        <v>-0.98899999999999999</v>
      </c>
      <c r="CH77">
        <v>56</v>
      </c>
      <c r="CI77">
        <v>-3</v>
      </c>
      <c r="CJ77">
        <v>0.27</v>
      </c>
      <c r="CK77">
        <v>0.15</v>
      </c>
      <c r="CL77">
        <v>55.272503333333333</v>
      </c>
      <c r="CM77">
        <v>0.93684023339819456</v>
      </c>
      <c r="CN77">
        <v>0.15374341283088799</v>
      </c>
      <c r="CO77">
        <v>-1</v>
      </c>
      <c r="CP77">
        <v>500.01473333333331</v>
      </c>
      <c r="CQ77">
        <v>-0.10819005279140841</v>
      </c>
      <c r="CR77">
        <v>7.7677509972678749E-2</v>
      </c>
      <c r="CS77">
        <v>-1</v>
      </c>
      <c r="CT77">
        <v>0</v>
      </c>
      <c r="CU77">
        <v>0</v>
      </c>
      <c r="CV77" t="s">
        <v>333</v>
      </c>
      <c r="CW77">
        <v>3.1674099999999998</v>
      </c>
      <c r="CX77">
        <v>2.6586799999999999</v>
      </c>
      <c r="CY77">
        <v>1.4192E-2</v>
      </c>
      <c r="CZ77">
        <v>1.6601500000000002E-2</v>
      </c>
      <c r="DA77">
        <v>-1.1030999999999999E-2</v>
      </c>
      <c r="DB77">
        <v>-2.8312899999999998E-2</v>
      </c>
      <c r="DC77">
        <v>21352.6</v>
      </c>
      <c r="DD77">
        <v>21662.2</v>
      </c>
      <c r="DE77">
        <v>23185.9</v>
      </c>
      <c r="DF77">
        <v>22376.5</v>
      </c>
      <c r="DG77">
        <v>30221.9</v>
      </c>
      <c r="DH77">
        <v>27429.8</v>
      </c>
      <c r="DI77">
        <v>40737.699999999997</v>
      </c>
      <c r="DJ77">
        <v>37074.400000000001</v>
      </c>
      <c r="DK77">
        <v>2.1034199999999998</v>
      </c>
      <c r="DL77">
        <v>1.85792</v>
      </c>
      <c r="DM77">
        <v>2.55108E-2</v>
      </c>
      <c r="DN77">
        <v>0</v>
      </c>
      <c r="DO77">
        <v>24.897400000000001</v>
      </c>
      <c r="DP77">
        <v>999.9</v>
      </c>
      <c r="DQ77">
        <v>81</v>
      </c>
      <c r="DR77">
        <v>27.6</v>
      </c>
      <c r="DS77">
        <v>29.979099999999999</v>
      </c>
      <c r="DT77">
        <v>30.908300000000001</v>
      </c>
      <c r="DU77">
        <v>8.8621800000000004</v>
      </c>
      <c r="DV77">
        <v>1</v>
      </c>
      <c r="DW77">
        <v>5.1111799999999999E-2</v>
      </c>
      <c r="DX77">
        <v>-0.228932</v>
      </c>
      <c r="DY77">
        <v>20.368300000000001</v>
      </c>
      <c r="DZ77">
        <v>5.2123799999999996</v>
      </c>
      <c r="EA77">
        <v>11.8482</v>
      </c>
      <c r="EB77">
        <v>4.9677600000000002</v>
      </c>
      <c r="EC77">
        <v>3.2920199999999999</v>
      </c>
      <c r="ED77">
        <v>894.7</v>
      </c>
      <c r="EE77">
        <v>0</v>
      </c>
      <c r="EF77">
        <v>9999</v>
      </c>
      <c r="EG77">
        <v>114</v>
      </c>
      <c r="EH77">
        <v>4.9716399999999998</v>
      </c>
      <c r="EI77">
        <v>1.8717999999999999</v>
      </c>
      <c r="EJ77">
        <v>1.8689</v>
      </c>
      <c r="EK77">
        <v>1.87134</v>
      </c>
      <c r="EL77">
        <v>1.8690500000000001</v>
      </c>
      <c r="EM77">
        <v>1.8680399999999999</v>
      </c>
      <c r="EN77">
        <v>1.8698900000000001</v>
      </c>
      <c r="EO77">
        <v>1.87165</v>
      </c>
      <c r="EP77">
        <v>0</v>
      </c>
      <c r="EQ77">
        <v>0</v>
      </c>
      <c r="ER77">
        <v>0</v>
      </c>
      <c r="ES77">
        <v>0</v>
      </c>
      <c r="ET77" t="s">
        <v>334</v>
      </c>
      <c r="EU77" t="s">
        <v>335</v>
      </c>
      <c r="EV77" t="s">
        <v>336</v>
      </c>
      <c r="EW77" t="s">
        <v>336</v>
      </c>
      <c r="EX77" t="s">
        <v>336</v>
      </c>
      <c r="EY77" t="s">
        <v>336</v>
      </c>
      <c r="EZ77">
        <v>0</v>
      </c>
      <c r="FA77">
        <v>100</v>
      </c>
      <c r="FB77">
        <v>100</v>
      </c>
      <c r="FC77">
        <v>7.7750000000000004</v>
      </c>
      <c r="FD77">
        <v>-0.98899999999999999</v>
      </c>
      <c r="FE77">
        <v>7.7888300000000106</v>
      </c>
      <c r="FF77">
        <v>0</v>
      </c>
      <c r="FG77">
        <v>0</v>
      </c>
      <c r="FH77">
        <v>0</v>
      </c>
      <c r="FI77">
        <v>-0.99016450000000078</v>
      </c>
      <c r="FJ77">
        <v>0</v>
      </c>
      <c r="FK77">
        <v>0</v>
      </c>
      <c r="FL77">
        <v>0</v>
      </c>
      <c r="FM77">
        <v>-1</v>
      </c>
      <c r="FN77">
        <v>-1</v>
      </c>
      <c r="FO77">
        <v>-1</v>
      </c>
      <c r="FP77">
        <v>-1</v>
      </c>
      <c r="FQ77">
        <v>0.8</v>
      </c>
      <c r="FR77">
        <v>0.7</v>
      </c>
      <c r="FS77">
        <v>0.142822</v>
      </c>
      <c r="FT77">
        <v>4.99756</v>
      </c>
      <c r="FU77">
        <v>1.5979000000000001</v>
      </c>
      <c r="FV77">
        <v>2.16309</v>
      </c>
      <c r="FW77">
        <v>1.5478499999999999</v>
      </c>
      <c r="FX77">
        <v>2.3156699999999999</v>
      </c>
      <c r="FY77">
        <v>32.090400000000002</v>
      </c>
      <c r="FZ77">
        <v>16.093399999999999</v>
      </c>
      <c r="GA77">
        <v>3</v>
      </c>
      <c r="GB77">
        <v>492.11599999999999</v>
      </c>
      <c r="GC77">
        <v>426.15499999999997</v>
      </c>
      <c r="GD77">
        <v>26.027000000000001</v>
      </c>
      <c r="GE77">
        <v>27.886199999999999</v>
      </c>
      <c r="GF77">
        <v>30</v>
      </c>
      <c r="GG77">
        <v>28.1999</v>
      </c>
      <c r="GH77">
        <v>28.256399999999999</v>
      </c>
      <c r="GI77">
        <v>-1</v>
      </c>
      <c r="GJ77">
        <v>0</v>
      </c>
      <c r="GK77">
        <v>100</v>
      </c>
      <c r="GL77">
        <v>26.0274</v>
      </c>
      <c r="GM77">
        <v>432.1</v>
      </c>
      <c r="GN77">
        <v>63.216500000000003</v>
      </c>
      <c r="GO77">
        <v>102.553</v>
      </c>
      <c r="GP77">
        <v>96.749899999999997</v>
      </c>
    </row>
    <row r="78" spans="1:198" x14ac:dyDescent="0.35">
      <c r="A78">
        <v>62</v>
      </c>
      <c r="B78">
        <v>1775507251.5</v>
      </c>
      <c r="C78">
        <v>3660.5</v>
      </c>
      <c r="D78" t="s">
        <v>517</v>
      </c>
      <c r="E78" t="s">
        <v>518</v>
      </c>
      <c r="F78">
        <v>60</v>
      </c>
      <c r="G78">
        <v>1775507243.75</v>
      </c>
      <c r="H78">
        <f t="shared" si="30"/>
        <v>9.9474028121856474E-4</v>
      </c>
      <c r="I78">
        <f t="shared" si="31"/>
        <v>0.99474028121856473</v>
      </c>
      <c r="J78">
        <f t="shared" si="32"/>
        <v>0.53074127092541457</v>
      </c>
      <c r="K78">
        <f t="shared" si="33"/>
        <v>56.275026666666669</v>
      </c>
      <c r="L78">
        <f t="shared" si="34"/>
        <v>24.102211588311995</v>
      </c>
      <c r="M78">
        <f t="shared" si="35"/>
        <v>2.4148587982464322</v>
      </c>
      <c r="N78">
        <f t="shared" si="36"/>
        <v>5.6383308548105786</v>
      </c>
      <c r="O78">
        <f t="shared" si="37"/>
        <v>2.8543729336050001E-2</v>
      </c>
      <c r="P78">
        <f t="shared" si="38"/>
        <v>2.391355207241499</v>
      </c>
      <c r="Q78">
        <f t="shared" si="39"/>
        <v>2.835579475239576E-2</v>
      </c>
      <c r="R78">
        <f t="shared" si="40"/>
        <v>1.7739153624826844E-2</v>
      </c>
      <c r="S78">
        <f t="shared" si="41"/>
        <v>0</v>
      </c>
      <c r="T78">
        <f t="shared" si="42"/>
        <v>24.987469175458806</v>
      </c>
      <c r="U78">
        <f t="shared" si="43"/>
        <v>25.30958</v>
      </c>
      <c r="V78">
        <f t="shared" si="44"/>
        <v>3.2388399477150616</v>
      </c>
      <c r="W78">
        <f t="shared" si="45"/>
        <v>-6.8915647022125075</v>
      </c>
      <c r="X78">
        <f t="shared" si="46"/>
        <v>-0.22307968224436636</v>
      </c>
      <c r="Y78">
        <f t="shared" si="47"/>
        <v>3.236996123286016</v>
      </c>
      <c r="Z78">
        <f t="shared" si="48"/>
        <v>3.4619196299594277</v>
      </c>
      <c r="AA78">
        <f t="shared" si="49"/>
        <v>-43.868046401738702</v>
      </c>
      <c r="AB78">
        <f t="shared" si="50"/>
        <v>-1.2342203827707978</v>
      </c>
      <c r="AC78">
        <f t="shared" si="51"/>
        <v>-0.10950665870814121</v>
      </c>
      <c r="AD78">
        <f t="shared" si="52"/>
        <v>-45.211773443217645</v>
      </c>
      <c r="AE78">
        <v>18</v>
      </c>
      <c r="AF78">
        <v>4</v>
      </c>
      <c r="AG78">
        <f t="shared" si="53"/>
        <v>1</v>
      </c>
      <c r="AH78">
        <f t="shared" si="54"/>
        <v>0</v>
      </c>
      <c r="AI78">
        <f t="shared" si="55"/>
        <v>25713.021485569876</v>
      </c>
      <c r="AJ78">
        <f t="shared" si="56"/>
        <v>0</v>
      </c>
      <c r="AK78">
        <f t="shared" si="57"/>
        <v>0</v>
      </c>
      <c r="AL78">
        <f t="shared" si="58"/>
        <v>0</v>
      </c>
      <c r="AM78">
        <f t="shared" si="59"/>
        <v>0</v>
      </c>
      <c r="AN78">
        <v>3</v>
      </c>
      <c r="AO78">
        <v>0.5</v>
      </c>
      <c r="AP78" t="s">
        <v>331</v>
      </c>
      <c r="AQ78">
        <v>2</v>
      </c>
      <c r="AR78">
        <v>1775507243.75</v>
      </c>
      <c r="AS78">
        <v>56.275026666666669</v>
      </c>
      <c r="AT78">
        <v>56.627063333333332</v>
      </c>
      <c r="AU78">
        <v>-2.2265126666666659</v>
      </c>
      <c r="AV78">
        <v>-2.8246933333333328</v>
      </c>
      <c r="AW78">
        <v>48.49702666666667</v>
      </c>
      <c r="AX78">
        <v>-1.235512666666666</v>
      </c>
      <c r="AY78">
        <v>499.99363333333338</v>
      </c>
      <c r="AZ78">
        <v>100.1549333333333</v>
      </c>
      <c r="BA78">
        <v>3.7482179999999997E-2</v>
      </c>
      <c r="BB78">
        <v>25.300006666666661</v>
      </c>
      <c r="BC78">
        <v>25.30958</v>
      </c>
      <c r="BD78">
        <v>999.9000000000002</v>
      </c>
      <c r="BE78">
        <v>0</v>
      </c>
      <c r="BF78">
        <v>0</v>
      </c>
      <c r="BG78">
        <v>5000.8166666666666</v>
      </c>
      <c r="BH78">
        <v>0.40943526666666669</v>
      </c>
      <c r="BI78">
        <v>0.22961599999999999</v>
      </c>
      <c r="BJ78">
        <v>-0.35525706666666662</v>
      </c>
      <c r="BK78">
        <v>56.146893333333352</v>
      </c>
      <c r="BL78">
        <v>56.46755666666666</v>
      </c>
      <c r="BM78">
        <v>0.59990163333333324</v>
      </c>
      <c r="BN78">
        <v>56.627063333333332</v>
      </c>
      <c r="BO78">
        <v>-2.8246933333333328</v>
      </c>
      <c r="BP78">
        <v>-0.22282379999999999</v>
      </c>
      <c r="BQ78">
        <v>-0.28290696666666659</v>
      </c>
      <c r="BR78">
        <v>-99.900000000000034</v>
      </c>
      <c r="BS78">
        <v>-99.900000000000034</v>
      </c>
      <c r="BT78">
        <v>0</v>
      </c>
      <c r="BU78">
        <v>0</v>
      </c>
      <c r="BV78">
        <v>0</v>
      </c>
      <c r="BW78">
        <v>24</v>
      </c>
      <c r="BX78">
        <v>-1</v>
      </c>
      <c r="BY78">
        <v>1775507273</v>
      </c>
      <c r="BZ78" t="s">
        <v>519</v>
      </c>
      <c r="CA78">
        <v>1775507273</v>
      </c>
      <c r="CB78">
        <v>1775507270.5</v>
      </c>
      <c r="CC78">
        <v>65</v>
      </c>
      <c r="CD78">
        <v>3.0000000000000001E-3</v>
      </c>
      <c r="CE78">
        <v>-2E-3</v>
      </c>
      <c r="CF78">
        <v>7.7779999999999996</v>
      </c>
      <c r="CG78">
        <v>-0.99099999999999999</v>
      </c>
      <c r="CH78">
        <v>57</v>
      </c>
      <c r="CI78">
        <v>-3</v>
      </c>
      <c r="CJ78">
        <v>0.21</v>
      </c>
      <c r="CK78">
        <v>0.08</v>
      </c>
      <c r="CL78">
        <v>56.412251666666677</v>
      </c>
      <c r="CM78">
        <v>1.8011246457350809</v>
      </c>
      <c r="CN78">
        <v>0.2683252270980539</v>
      </c>
      <c r="CO78">
        <v>-1</v>
      </c>
      <c r="CP78">
        <v>500.14055000000002</v>
      </c>
      <c r="CQ78">
        <v>-1.630729647123498</v>
      </c>
      <c r="CR78">
        <v>0.51051651703609602</v>
      </c>
      <c r="CS78">
        <v>-1</v>
      </c>
      <c r="CT78">
        <v>0</v>
      </c>
      <c r="CU78">
        <v>0</v>
      </c>
      <c r="CV78" t="s">
        <v>333</v>
      </c>
      <c r="CW78">
        <v>3.1672799999999999</v>
      </c>
      <c r="CX78">
        <v>2.65849</v>
      </c>
      <c r="CY78">
        <v>1.4527099999999999E-2</v>
      </c>
      <c r="CZ78">
        <v>1.69214E-2</v>
      </c>
      <c r="DA78">
        <v>-1.1082399999999999E-2</v>
      </c>
      <c r="DB78">
        <v>-2.8414600000000002E-2</v>
      </c>
      <c r="DC78">
        <v>21345.200000000001</v>
      </c>
      <c r="DD78">
        <v>21655.9</v>
      </c>
      <c r="DE78">
        <v>23185.8</v>
      </c>
      <c r="DF78">
        <v>22377.3</v>
      </c>
      <c r="DG78">
        <v>30223.5</v>
      </c>
      <c r="DH78">
        <v>27433.4</v>
      </c>
      <c r="DI78">
        <v>40737.699999999997</v>
      </c>
      <c r="DJ78">
        <v>37075.699999999997</v>
      </c>
      <c r="DK78">
        <v>2.1032999999999999</v>
      </c>
      <c r="DL78">
        <v>1.8576600000000001</v>
      </c>
      <c r="DM78">
        <v>2.5135299999999999E-2</v>
      </c>
      <c r="DN78">
        <v>0</v>
      </c>
      <c r="DO78">
        <v>24.8995</v>
      </c>
      <c r="DP78">
        <v>999.9</v>
      </c>
      <c r="DQ78">
        <v>80.900000000000006</v>
      </c>
      <c r="DR78">
        <v>27.6</v>
      </c>
      <c r="DS78">
        <v>29.9465</v>
      </c>
      <c r="DT78">
        <v>30.878299999999999</v>
      </c>
      <c r="DU78">
        <v>9.1586499999999997</v>
      </c>
      <c r="DV78">
        <v>1</v>
      </c>
      <c r="DW78">
        <v>5.1188999999999998E-2</v>
      </c>
      <c r="DX78">
        <v>-0.19351199999999999</v>
      </c>
      <c r="DY78">
        <v>20.368300000000001</v>
      </c>
      <c r="DZ78">
        <v>5.2127400000000002</v>
      </c>
      <c r="EA78">
        <v>11.8482</v>
      </c>
      <c r="EB78">
        <v>4.9686399999999997</v>
      </c>
      <c r="EC78">
        <v>3.2919</v>
      </c>
      <c r="ED78">
        <v>894.7</v>
      </c>
      <c r="EE78">
        <v>0</v>
      </c>
      <c r="EF78">
        <v>9999</v>
      </c>
      <c r="EG78">
        <v>114</v>
      </c>
      <c r="EH78">
        <v>4.97166</v>
      </c>
      <c r="EI78">
        <v>1.8717999999999999</v>
      </c>
      <c r="EJ78">
        <v>1.8689100000000001</v>
      </c>
      <c r="EK78">
        <v>1.87134</v>
      </c>
      <c r="EL78">
        <v>1.8690500000000001</v>
      </c>
      <c r="EM78">
        <v>1.86805</v>
      </c>
      <c r="EN78">
        <v>1.8698900000000001</v>
      </c>
      <c r="EO78">
        <v>1.8716999999999999</v>
      </c>
      <c r="EP78">
        <v>0</v>
      </c>
      <c r="EQ78">
        <v>0</v>
      </c>
      <c r="ER78">
        <v>0</v>
      </c>
      <c r="ES78">
        <v>0</v>
      </c>
      <c r="ET78" t="s">
        <v>334</v>
      </c>
      <c r="EU78" t="s">
        <v>335</v>
      </c>
      <c r="EV78" t="s">
        <v>336</v>
      </c>
      <c r="EW78" t="s">
        <v>336</v>
      </c>
      <c r="EX78" t="s">
        <v>336</v>
      </c>
      <c r="EY78" t="s">
        <v>336</v>
      </c>
      <c r="EZ78">
        <v>0</v>
      </c>
      <c r="FA78">
        <v>100</v>
      </c>
      <c r="FB78">
        <v>100</v>
      </c>
      <c r="FC78">
        <v>7.7779999999999996</v>
      </c>
      <c r="FD78">
        <v>-0.99099999999999999</v>
      </c>
      <c r="FE78">
        <v>7.7747749999999982</v>
      </c>
      <c r="FF78">
        <v>0</v>
      </c>
      <c r="FG78">
        <v>0</v>
      </c>
      <c r="FH78">
        <v>0</v>
      </c>
      <c r="FI78">
        <v>-0.98927904761904717</v>
      </c>
      <c r="FJ78">
        <v>0</v>
      </c>
      <c r="FK78">
        <v>0</v>
      </c>
      <c r="FL78">
        <v>0</v>
      </c>
      <c r="FM78">
        <v>-1</v>
      </c>
      <c r="FN78">
        <v>-1</v>
      </c>
      <c r="FO78">
        <v>-1</v>
      </c>
      <c r="FP78">
        <v>-1</v>
      </c>
      <c r="FQ78">
        <v>0.7</v>
      </c>
      <c r="FR78">
        <v>0.6</v>
      </c>
      <c r="FS78">
        <v>0.142822</v>
      </c>
      <c r="FT78">
        <v>4.99756</v>
      </c>
      <c r="FU78">
        <v>1.5979000000000001</v>
      </c>
      <c r="FV78">
        <v>2.16431</v>
      </c>
      <c r="FW78">
        <v>1.5478499999999999</v>
      </c>
      <c r="FX78">
        <v>2.4487299999999999</v>
      </c>
      <c r="FY78">
        <v>32.090400000000002</v>
      </c>
      <c r="FZ78">
        <v>16.093399999999999</v>
      </c>
      <c r="GA78">
        <v>3</v>
      </c>
      <c r="GB78">
        <v>492.04700000000003</v>
      </c>
      <c r="GC78">
        <v>426.00400000000002</v>
      </c>
      <c r="GD78">
        <v>25.984300000000001</v>
      </c>
      <c r="GE78">
        <v>27.8871</v>
      </c>
      <c r="GF78">
        <v>30.0002</v>
      </c>
      <c r="GG78">
        <v>28.1999</v>
      </c>
      <c r="GH78">
        <v>28.256699999999999</v>
      </c>
      <c r="GI78">
        <v>-1</v>
      </c>
      <c r="GJ78">
        <v>0</v>
      </c>
      <c r="GK78">
        <v>100</v>
      </c>
      <c r="GL78">
        <v>25.984500000000001</v>
      </c>
      <c r="GM78">
        <v>432.1</v>
      </c>
      <c r="GN78">
        <v>63.216500000000003</v>
      </c>
      <c r="GO78">
        <v>102.553</v>
      </c>
      <c r="GP78">
        <v>96.753299999999996</v>
      </c>
    </row>
    <row r="79" spans="1:198" x14ac:dyDescent="0.35">
      <c r="A79">
        <v>63</v>
      </c>
      <c r="B79">
        <v>1775507311.5</v>
      </c>
      <c r="C79">
        <v>3720.5</v>
      </c>
      <c r="D79" t="s">
        <v>520</v>
      </c>
      <c r="E79" t="s">
        <v>521</v>
      </c>
      <c r="F79">
        <v>60</v>
      </c>
      <c r="G79">
        <v>1775507303.75</v>
      </c>
      <c r="H79">
        <f t="shared" si="30"/>
        <v>9.7598642843462835E-4</v>
      </c>
      <c r="I79">
        <f t="shared" si="31"/>
        <v>0.97598642843462835</v>
      </c>
      <c r="J79">
        <f t="shared" si="32"/>
        <v>7.5071019448849649E-3</v>
      </c>
      <c r="K79">
        <f t="shared" si="33"/>
        <v>55.991883333333341</v>
      </c>
      <c r="L79">
        <f t="shared" si="34"/>
        <v>52.517749173275334</v>
      </c>
      <c r="M79">
        <f t="shared" si="35"/>
        <v>5.2620243908432247</v>
      </c>
      <c r="N79">
        <f t="shared" si="36"/>
        <v>5.6101158261210626</v>
      </c>
      <c r="O79">
        <f t="shared" si="37"/>
        <v>2.7999249396605537E-2</v>
      </c>
      <c r="P79">
        <f t="shared" si="38"/>
        <v>2.3909051890517476</v>
      </c>
      <c r="Q79">
        <f t="shared" si="39"/>
        <v>2.7818357925031807E-2</v>
      </c>
      <c r="R79">
        <f t="shared" si="40"/>
        <v>1.7402628539916511E-2</v>
      </c>
      <c r="S79">
        <f t="shared" si="41"/>
        <v>0</v>
      </c>
      <c r="T79">
        <f t="shared" si="42"/>
        <v>24.9936118460692</v>
      </c>
      <c r="U79">
        <f t="shared" si="43"/>
        <v>25.31676666666667</v>
      </c>
      <c r="V79">
        <f t="shared" si="44"/>
        <v>3.2402247029721347</v>
      </c>
      <c r="W79">
        <f t="shared" si="45"/>
        <v>-6.8612957487627666</v>
      </c>
      <c r="X79">
        <f t="shared" si="46"/>
        <v>-0.22210388493623376</v>
      </c>
      <c r="Y79">
        <f t="shared" si="47"/>
        <v>3.2370545312273369</v>
      </c>
      <c r="Z79">
        <f t="shared" si="48"/>
        <v>3.4623285879083685</v>
      </c>
      <c r="AA79">
        <f t="shared" si="49"/>
        <v>-43.041001493967109</v>
      </c>
      <c r="AB79">
        <f t="shared" si="50"/>
        <v>-2.1212393282884956</v>
      </c>
      <c r="AC79">
        <f t="shared" si="51"/>
        <v>-0.18825025640219345</v>
      </c>
      <c r="AD79">
        <f t="shared" si="52"/>
        <v>-45.350491078657797</v>
      </c>
      <c r="AE79">
        <v>18</v>
      </c>
      <c r="AF79">
        <v>4</v>
      </c>
      <c r="AG79">
        <f t="shared" si="53"/>
        <v>1</v>
      </c>
      <c r="AH79">
        <f t="shared" si="54"/>
        <v>0</v>
      </c>
      <c r="AI79">
        <f t="shared" si="55"/>
        <v>25706.00843919659</v>
      </c>
      <c r="AJ79">
        <f t="shared" si="56"/>
        <v>0</v>
      </c>
      <c r="AK79">
        <f t="shared" si="57"/>
        <v>0</v>
      </c>
      <c r="AL79">
        <f t="shared" si="58"/>
        <v>0</v>
      </c>
      <c r="AM79">
        <f t="shared" si="59"/>
        <v>0</v>
      </c>
      <c r="AN79">
        <v>3</v>
      </c>
      <c r="AO79">
        <v>0.5</v>
      </c>
      <c r="AP79" t="s">
        <v>331</v>
      </c>
      <c r="AQ79">
        <v>2</v>
      </c>
      <c r="AR79">
        <v>1775507303.75</v>
      </c>
      <c r="AS79">
        <v>55.991883333333341</v>
      </c>
      <c r="AT79">
        <v>56.029176666666658</v>
      </c>
      <c r="AU79">
        <v>-2.216712666666667</v>
      </c>
      <c r="AV79">
        <v>-2.803613333333332</v>
      </c>
      <c r="AW79">
        <v>48.204883333333342</v>
      </c>
      <c r="AX79">
        <v>-1.222712666666667</v>
      </c>
      <c r="AY79">
        <v>499.9908666666667</v>
      </c>
      <c r="AZ79">
        <v>100.1574333333333</v>
      </c>
      <c r="BA79">
        <v>3.7728753333333337E-2</v>
      </c>
      <c r="BB79">
        <v>25.300309999999989</v>
      </c>
      <c r="BC79">
        <v>25.31676666666667</v>
      </c>
      <c r="BD79">
        <v>999.9000000000002</v>
      </c>
      <c r="BE79">
        <v>0</v>
      </c>
      <c r="BF79">
        <v>0</v>
      </c>
      <c r="BG79">
        <v>4999.5333333333338</v>
      </c>
      <c r="BH79">
        <v>0.41373493333333328</v>
      </c>
      <c r="BI79">
        <v>0.2334426666666666</v>
      </c>
      <c r="BJ79">
        <v>-4.6763087333333328E-2</v>
      </c>
      <c r="BK79">
        <v>55.858726666666684</v>
      </c>
      <c r="BL79">
        <v>55.872536666666662</v>
      </c>
      <c r="BM79">
        <v>0.58946473333333338</v>
      </c>
      <c r="BN79">
        <v>56.029176666666658</v>
      </c>
      <c r="BO79">
        <v>-2.803613333333332</v>
      </c>
      <c r="BP79">
        <v>-0.22176316666666671</v>
      </c>
      <c r="BQ79">
        <v>-0.28080240000000001</v>
      </c>
      <c r="BR79">
        <v>-99.900000000000034</v>
      </c>
      <c r="BS79">
        <v>-99.900000000000034</v>
      </c>
      <c r="BT79">
        <v>0</v>
      </c>
      <c r="BU79">
        <v>0</v>
      </c>
      <c r="BV79">
        <v>0</v>
      </c>
      <c r="BW79">
        <v>24</v>
      </c>
      <c r="BX79">
        <v>-1</v>
      </c>
      <c r="BY79">
        <v>1775507332</v>
      </c>
      <c r="BZ79" t="s">
        <v>522</v>
      </c>
      <c r="CA79">
        <v>1775507332</v>
      </c>
      <c r="CB79">
        <v>1775507331.5</v>
      </c>
      <c r="CC79">
        <v>66</v>
      </c>
      <c r="CD79">
        <v>8.9999999999999993E-3</v>
      </c>
      <c r="CE79">
        <v>-2E-3</v>
      </c>
      <c r="CF79">
        <v>7.7869999999999999</v>
      </c>
      <c r="CG79">
        <v>-0.99399999999999999</v>
      </c>
      <c r="CH79">
        <v>56</v>
      </c>
      <c r="CI79">
        <v>-3</v>
      </c>
      <c r="CJ79">
        <v>0.3</v>
      </c>
      <c r="CK79">
        <v>0.13</v>
      </c>
      <c r="CL79">
        <v>56.088421666666683</v>
      </c>
      <c r="CM79">
        <v>-0.45879177549313099</v>
      </c>
      <c r="CN79">
        <v>9.7835039891418257E-2</v>
      </c>
      <c r="CO79">
        <v>-1</v>
      </c>
      <c r="CP79">
        <v>500.01758333333339</v>
      </c>
      <c r="CQ79">
        <v>-0.24957265907180251</v>
      </c>
      <c r="CR79">
        <v>9.2100360416714072E-2</v>
      </c>
      <c r="CS79">
        <v>-1</v>
      </c>
      <c r="CT79">
        <v>0</v>
      </c>
      <c r="CU79">
        <v>0</v>
      </c>
      <c r="CV79" t="s">
        <v>333</v>
      </c>
      <c r="CW79">
        <v>3.16744</v>
      </c>
      <c r="CX79">
        <v>2.6592600000000002</v>
      </c>
      <c r="CY79">
        <v>1.43672E-2</v>
      </c>
      <c r="CZ79">
        <v>1.66923E-2</v>
      </c>
      <c r="DA79">
        <v>-1.09579E-2</v>
      </c>
      <c r="DB79">
        <v>-2.8126100000000001E-2</v>
      </c>
      <c r="DC79">
        <v>21348.400000000001</v>
      </c>
      <c r="DD79">
        <v>21660.7</v>
      </c>
      <c r="DE79">
        <v>23185.4</v>
      </c>
      <c r="DF79">
        <v>22377</v>
      </c>
      <c r="DG79">
        <v>30219.200000000001</v>
      </c>
      <c r="DH79">
        <v>27425.7</v>
      </c>
      <c r="DI79">
        <v>40737</v>
      </c>
      <c r="DJ79">
        <v>37075.5</v>
      </c>
      <c r="DK79">
        <v>2.10324</v>
      </c>
      <c r="DL79">
        <v>1.8576999999999999</v>
      </c>
      <c r="DM79">
        <v>2.51025E-2</v>
      </c>
      <c r="DN79">
        <v>0</v>
      </c>
      <c r="DO79">
        <v>24.901599999999998</v>
      </c>
      <c r="DP79">
        <v>999.9</v>
      </c>
      <c r="DQ79">
        <v>80.900000000000006</v>
      </c>
      <c r="DR79">
        <v>27.6</v>
      </c>
      <c r="DS79">
        <v>29.943999999999999</v>
      </c>
      <c r="DT79">
        <v>30.758299999999998</v>
      </c>
      <c r="DU79">
        <v>8.8221100000000003</v>
      </c>
      <c r="DV79">
        <v>1</v>
      </c>
      <c r="DW79">
        <v>5.12846E-2</v>
      </c>
      <c r="DX79">
        <v>-0.192998</v>
      </c>
      <c r="DY79">
        <v>20.368600000000001</v>
      </c>
      <c r="DZ79">
        <v>5.2112999999999996</v>
      </c>
      <c r="EA79">
        <v>11.8482</v>
      </c>
      <c r="EB79">
        <v>4.9687599999999996</v>
      </c>
      <c r="EC79">
        <v>3.2920199999999999</v>
      </c>
      <c r="ED79">
        <v>894.7</v>
      </c>
      <c r="EE79">
        <v>0</v>
      </c>
      <c r="EF79">
        <v>9999</v>
      </c>
      <c r="EG79">
        <v>114</v>
      </c>
      <c r="EH79">
        <v>4.9716699999999996</v>
      </c>
      <c r="EI79">
        <v>1.8717999999999999</v>
      </c>
      <c r="EJ79">
        <v>1.8689</v>
      </c>
      <c r="EK79">
        <v>1.87134</v>
      </c>
      <c r="EL79">
        <v>1.8690500000000001</v>
      </c>
      <c r="EM79">
        <v>1.8680300000000001</v>
      </c>
      <c r="EN79">
        <v>1.8698399999999999</v>
      </c>
      <c r="EO79">
        <v>1.8716600000000001</v>
      </c>
      <c r="EP79">
        <v>0</v>
      </c>
      <c r="EQ79">
        <v>0</v>
      </c>
      <c r="ER79">
        <v>0</v>
      </c>
      <c r="ES79">
        <v>0</v>
      </c>
      <c r="ET79" t="s">
        <v>334</v>
      </c>
      <c r="EU79" t="s">
        <v>335</v>
      </c>
      <c r="EV79" t="s">
        <v>336</v>
      </c>
      <c r="EW79" t="s">
        <v>336</v>
      </c>
      <c r="EX79" t="s">
        <v>336</v>
      </c>
      <c r="EY79" t="s">
        <v>336</v>
      </c>
      <c r="EZ79">
        <v>0</v>
      </c>
      <c r="FA79">
        <v>100</v>
      </c>
      <c r="FB79">
        <v>100</v>
      </c>
      <c r="FC79">
        <v>7.7869999999999999</v>
      </c>
      <c r="FD79">
        <v>-0.99399999999999999</v>
      </c>
      <c r="FE79">
        <v>7.7775333333333379</v>
      </c>
      <c r="FF79">
        <v>0</v>
      </c>
      <c r="FG79">
        <v>0</v>
      </c>
      <c r="FH79">
        <v>0</v>
      </c>
      <c r="FI79">
        <v>-0.99143650000000005</v>
      </c>
      <c r="FJ79">
        <v>0</v>
      </c>
      <c r="FK79">
        <v>0</v>
      </c>
      <c r="FL79">
        <v>0</v>
      </c>
      <c r="FM79">
        <v>-1</v>
      </c>
      <c r="FN79">
        <v>-1</v>
      </c>
      <c r="FO79">
        <v>-1</v>
      </c>
      <c r="FP79">
        <v>-1</v>
      </c>
      <c r="FQ79">
        <v>0.6</v>
      </c>
      <c r="FR79">
        <v>0.7</v>
      </c>
      <c r="FS79">
        <v>0.142822</v>
      </c>
      <c r="FT79">
        <v>4.99756</v>
      </c>
      <c r="FU79">
        <v>1.5979000000000001</v>
      </c>
      <c r="FV79">
        <v>2.16309</v>
      </c>
      <c r="FW79">
        <v>1.5478499999999999</v>
      </c>
      <c r="FX79">
        <v>2.3840300000000001</v>
      </c>
      <c r="FY79">
        <v>32.090400000000002</v>
      </c>
      <c r="FZ79">
        <v>16.084599999999998</v>
      </c>
      <c r="GA79">
        <v>3</v>
      </c>
      <c r="GB79">
        <v>492.03199999999998</v>
      </c>
      <c r="GC79">
        <v>426.04399999999998</v>
      </c>
      <c r="GD79">
        <v>25.992000000000001</v>
      </c>
      <c r="GE79">
        <v>27.889500000000002</v>
      </c>
      <c r="GF79">
        <v>30.0001</v>
      </c>
      <c r="GG79">
        <v>28.202300000000001</v>
      </c>
      <c r="GH79">
        <v>28.259</v>
      </c>
      <c r="GI79">
        <v>-1</v>
      </c>
      <c r="GJ79">
        <v>0</v>
      </c>
      <c r="GK79">
        <v>100</v>
      </c>
      <c r="GL79">
        <v>25.992100000000001</v>
      </c>
      <c r="GM79">
        <v>432.1</v>
      </c>
      <c r="GN79">
        <v>63.216500000000003</v>
      </c>
      <c r="GO79">
        <v>102.551</v>
      </c>
      <c r="GP79">
        <v>96.752700000000004</v>
      </c>
    </row>
    <row r="80" spans="1:198" x14ac:dyDescent="0.35">
      <c r="A80">
        <v>64</v>
      </c>
      <c r="B80">
        <v>1775507371.5</v>
      </c>
      <c r="C80">
        <v>3780.5</v>
      </c>
      <c r="D80" t="s">
        <v>523</v>
      </c>
      <c r="E80" t="s">
        <v>524</v>
      </c>
      <c r="F80">
        <v>60</v>
      </c>
      <c r="G80">
        <v>1775507363.75</v>
      </c>
      <c r="H80">
        <f t="shared" si="30"/>
        <v>9.7666504895681672E-4</v>
      </c>
      <c r="I80">
        <f t="shared" si="31"/>
        <v>0.97666504895681683</v>
      </c>
      <c r="J80">
        <f t="shared" si="32"/>
        <v>0.30906281829733195</v>
      </c>
      <c r="K80">
        <f t="shared" si="33"/>
        <v>56.134436666666673</v>
      </c>
      <c r="L80">
        <f t="shared" si="34"/>
        <v>35.8138058596249</v>
      </c>
      <c r="M80">
        <f t="shared" si="35"/>
        <v>3.5883821323617506</v>
      </c>
      <c r="N80">
        <f t="shared" si="36"/>
        <v>5.6244178665173772</v>
      </c>
      <c r="O80">
        <f t="shared" si="37"/>
        <v>2.8025774617785777E-2</v>
      </c>
      <c r="P80">
        <f t="shared" si="38"/>
        <v>2.3891834332336095</v>
      </c>
      <c r="Q80">
        <f t="shared" si="39"/>
        <v>2.7844411751409174E-2</v>
      </c>
      <c r="R80">
        <f t="shared" si="40"/>
        <v>1.7418954118731823E-2</v>
      </c>
      <c r="S80">
        <f t="shared" si="41"/>
        <v>0</v>
      </c>
      <c r="T80">
        <f t="shared" si="42"/>
        <v>24.993662242010853</v>
      </c>
      <c r="U80">
        <f t="shared" si="43"/>
        <v>25.310956666666669</v>
      </c>
      <c r="V80">
        <f t="shared" si="44"/>
        <v>3.2391051692294881</v>
      </c>
      <c r="W80">
        <f t="shared" si="45"/>
        <v>-6.8710556034465755</v>
      </c>
      <c r="X80">
        <f t="shared" si="46"/>
        <v>-0.22242599109671751</v>
      </c>
      <c r="Y80">
        <f t="shared" si="47"/>
        <v>3.2371443913966709</v>
      </c>
      <c r="Z80">
        <f t="shared" si="48"/>
        <v>3.4615311603262056</v>
      </c>
      <c r="AA80">
        <f t="shared" si="49"/>
        <v>-43.070928658995619</v>
      </c>
      <c r="AB80">
        <f t="shared" si="50"/>
        <v>-1.311241590831506</v>
      </c>
      <c r="AC80">
        <f t="shared" si="51"/>
        <v>-0.11644740449311404</v>
      </c>
      <c r="AD80">
        <f t="shared" si="52"/>
        <v>-44.498617654320242</v>
      </c>
      <c r="AE80">
        <v>18</v>
      </c>
      <c r="AF80">
        <v>4</v>
      </c>
      <c r="AG80">
        <f t="shared" si="53"/>
        <v>1</v>
      </c>
      <c r="AH80">
        <f t="shared" si="54"/>
        <v>0</v>
      </c>
      <c r="AI80">
        <f t="shared" si="55"/>
        <v>25679.593391872659</v>
      </c>
      <c r="AJ80">
        <f t="shared" si="56"/>
        <v>0</v>
      </c>
      <c r="AK80">
        <f t="shared" si="57"/>
        <v>0</v>
      </c>
      <c r="AL80">
        <f t="shared" si="58"/>
        <v>0</v>
      </c>
      <c r="AM80">
        <f t="shared" si="59"/>
        <v>0</v>
      </c>
      <c r="AN80">
        <v>3</v>
      </c>
      <c r="AO80">
        <v>0.5</v>
      </c>
      <c r="AP80" t="s">
        <v>331</v>
      </c>
      <c r="AQ80">
        <v>2</v>
      </c>
      <c r="AR80">
        <v>1775507363.75</v>
      </c>
      <c r="AS80">
        <v>56.134436666666673</v>
      </c>
      <c r="AT80">
        <v>56.352773333333317</v>
      </c>
      <c r="AU80">
        <v>-2.2199200000000001</v>
      </c>
      <c r="AV80">
        <v>-2.8072313333333341</v>
      </c>
      <c r="AW80">
        <v>48.354436666666658</v>
      </c>
      <c r="AX80">
        <v>-1.2279199999999999</v>
      </c>
      <c r="AY80">
        <v>499.99026666666663</v>
      </c>
      <c r="AZ80">
        <v>100.1581333333333</v>
      </c>
      <c r="BA80">
        <v>3.736519666666667E-2</v>
      </c>
      <c r="BB80">
        <v>25.30077666666666</v>
      </c>
      <c r="BC80">
        <v>25.310956666666669</v>
      </c>
      <c r="BD80">
        <v>999.9000000000002</v>
      </c>
      <c r="BE80">
        <v>0</v>
      </c>
      <c r="BF80">
        <v>0</v>
      </c>
      <c r="BG80">
        <v>4995.0666666666666</v>
      </c>
      <c r="BH80">
        <v>0.40322216666666683</v>
      </c>
      <c r="BI80">
        <v>0.22961599999999999</v>
      </c>
      <c r="BJ80">
        <v>-0.21157026666666659</v>
      </c>
      <c r="BK80">
        <v>56.01676333333333</v>
      </c>
      <c r="BL80">
        <v>56.195023333333332</v>
      </c>
      <c r="BM80">
        <v>0.58570403333333343</v>
      </c>
      <c r="BN80">
        <v>56.352773333333317</v>
      </c>
      <c r="BO80">
        <v>-2.8072313333333341</v>
      </c>
      <c r="BP80">
        <v>-0.22250400000000001</v>
      </c>
      <c r="BQ80">
        <v>-0.28116696666666668</v>
      </c>
      <c r="BR80">
        <v>-99.900000000000034</v>
      </c>
      <c r="BS80">
        <v>-99.900000000000034</v>
      </c>
      <c r="BT80">
        <v>0</v>
      </c>
      <c r="BU80">
        <v>0</v>
      </c>
      <c r="BV80">
        <v>0</v>
      </c>
      <c r="BW80">
        <v>24</v>
      </c>
      <c r="BX80">
        <v>-1</v>
      </c>
      <c r="BY80">
        <v>1775507392.5</v>
      </c>
      <c r="BZ80" t="s">
        <v>525</v>
      </c>
      <c r="CA80">
        <v>1775507388.5</v>
      </c>
      <c r="CB80">
        <v>1775507392.5</v>
      </c>
      <c r="CC80">
        <v>67</v>
      </c>
      <c r="CD80">
        <v>-7.0000000000000001E-3</v>
      </c>
      <c r="CE80">
        <v>2E-3</v>
      </c>
      <c r="CF80">
        <v>7.78</v>
      </c>
      <c r="CG80">
        <v>-0.99199999999999999</v>
      </c>
      <c r="CH80">
        <v>57</v>
      </c>
      <c r="CI80">
        <v>-3</v>
      </c>
      <c r="CJ80">
        <v>0.23</v>
      </c>
      <c r="CK80">
        <v>0.11</v>
      </c>
      <c r="CL80">
        <v>56.278060655737697</v>
      </c>
      <c r="CM80">
        <v>0.4193190904282949</v>
      </c>
      <c r="CN80">
        <v>7.4611316942964204E-2</v>
      </c>
      <c r="CO80">
        <v>-1</v>
      </c>
      <c r="CP80">
        <v>500.01834426229499</v>
      </c>
      <c r="CQ80">
        <v>-0.27344262295118149</v>
      </c>
      <c r="CR80">
        <v>9.3717378629805434E-2</v>
      </c>
      <c r="CS80">
        <v>-1</v>
      </c>
      <c r="CT80">
        <v>0</v>
      </c>
      <c r="CU80">
        <v>0</v>
      </c>
      <c r="CV80" t="s">
        <v>333</v>
      </c>
      <c r="CW80">
        <v>3.1672500000000001</v>
      </c>
      <c r="CX80">
        <v>2.6590699999999998</v>
      </c>
      <c r="CY80">
        <v>1.44522E-2</v>
      </c>
      <c r="CZ80">
        <v>1.6784400000000001E-2</v>
      </c>
      <c r="DA80">
        <v>-1.10023E-2</v>
      </c>
      <c r="DB80">
        <v>-2.8166500000000001E-2</v>
      </c>
      <c r="DC80">
        <v>21346.3</v>
      </c>
      <c r="DD80">
        <v>21658.5</v>
      </c>
      <c r="DE80">
        <v>23185.200000000001</v>
      </c>
      <c r="DF80">
        <v>22376.9</v>
      </c>
      <c r="DG80">
        <v>30220.1</v>
      </c>
      <c r="DH80">
        <v>27426.3</v>
      </c>
      <c r="DI80">
        <v>40736.5</v>
      </c>
      <c r="DJ80">
        <v>37074.9</v>
      </c>
      <c r="DK80">
        <v>2.1030199999999999</v>
      </c>
      <c r="DL80">
        <v>1.85748</v>
      </c>
      <c r="DM80">
        <v>2.563E-2</v>
      </c>
      <c r="DN80">
        <v>0</v>
      </c>
      <c r="DO80">
        <v>24.901599999999998</v>
      </c>
      <c r="DP80">
        <v>999.9</v>
      </c>
      <c r="DQ80">
        <v>80.900000000000006</v>
      </c>
      <c r="DR80">
        <v>27.6</v>
      </c>
      <c r="DS80">
        <v>29.943300000000001</v>
      </c>
      <c r="DT80">
        <v>30.9983</v>
      </c>
      <c r="DU80">
        <v>9.0544899999999995</v>
      </c>
      <c r="DV80">
        <v>1</v>
      </c>
      <c r="DW80">
        <v>5.14207E-2</v>
      </c>
      <c r="DX80">
        <v>-0.19408500000000001</v>
      </c>
      <c r="DY80">
        <v>20.368500000000001</v>
      </c>
      <c r="DZ80">
        <v>5.2111799999999997</v>
      </c>
      <c r="EA80">
        <v>11.8482</v>
      </c>
      <c r="EB80">
        <v>4.9678000000000004</v>
      </c>
      <c r="EC80">
        <v>3.2920199999999999</v>
      </c>
      <c r="ED80">
        <v>894.7</v>
      </c>
      <c r="EE80">
        <v>0</v>
      </c>
      <c r="EF80">
        <v>9999</v>
      </c>
      <c r="EG80">
        <v>114</v>
      </c>
      <c r="EH80">
        <v>4.9716500000000003</v>
      </c>
      <c r="EI80">
        <v>1.8717999999999999</v>
      </c>
      <c r="EJ80">
        <v>1.8689</v>
      </c>
      <c r="EK80">
        <v>1.87134</v>
      </c>
      <c r="EL80">
        <v>1.8690500000000001</v>
      </c>
      <c r="EM80">
        <v>1.8680300000000001</v>
      </c>
      <c r="EN80">
        <v>1.8698699999999999</v>
      </c>
      <c r="EO80">
        <v>1.8716699999999999</v>
      </c>
      <c r="EP80">
        <v>0</v>
      </c>
      <c r="EQ80">
        <v>0</v>
      </c>
      <c r="ER80">
        <v>0</v>
      </c>
      <c r="ES80">
        <v>0</v>
      </c>
      <c r="ET80" t="s">
        <v>334</v>
      </c>
      <c r="EU80" t="s">
        <v>335</v>
      </c>
      <c r="EV80" t="s">
        <v>336</v>
      </c>
      <c r="EW80" t="s">
        <v>336</v>
      </c>
      <c r="EX80" t="s">
        <v>336</v>
      </c>
      <c r="EY80" t="s">
        <v>336</v>
      </c>
      <c r="EZ80">
        <v>0</v>
      </c>
      <c r="FA80">
        <v>100</v>
      </c>
      <c r="FB80">
        <v>100</v>
      </c>
      <c r="FC80">
        <v>7.78</v>
      </c>
      <c r="FD80">
        <v>-0.99199999999999999</v>
      </c>
      <c r="FE80">
        <v>7.7867571428571551</v>
      </c>
      <c r="FF80">
        <v>0</v>
      </c>
      <c r="FG80">
        <v>0</v>
      </c>
      <c r="FH80">
        <v>0</v>
      </c>
      <c r="FI80">
        <v>-0.99360749999999998</v>
      </c>
      <c r="FJ80">
        <v>0</v>
      </c>
      <c r="FK80">
        <v>0</v>
      </c>
      <c r="FL80">
        <v>0</v>
      </c>
      <c r="FM80">
        <v>-1</v>
      </c>
      <c r="FN80">
        <v>-1</v>
      </c>
      <c r="FO80">
        <v>-1</v>
      </c>
      <c r="FP80">
        <v>-1</v>
      </c>
      <c r="FQ80">
        <v>0.7</v>
      </c>
      <c r="FR80">
        <v>0.7</v>
      </c>
      <c r="FS80">
        <v>0.142822</v>
      </c>
      <c r="FT80">
        <v>4.99756</v>
      </c>
      <c r="FU80">
        <v>1.5979000000000001</v>
      </c>
      <c r="FV80">
        <v>2.16309</v>
      </c>
      <c r="FW80">
        <v>1.5478499999999999</v>
      </c>
      <c r="FX80">
        <v>2.3278799999999999</v>
      </c>
      <c r="FY80">
        <v>32.112400000000001</v>
      </c>
      <c r="FZ80">
        <v>16.084599999999998</v>
      </c>
      <c r="GA80">
        <v>3</v>
      </c>
      <c r="GB80">
        <v>491.92500000000001</v>
      </c>
      <c r="GC80">
        <v>425.93099999999998</v>
      </c>
      <c r="GD80">
        <v>25.993500000000001</v>
      </c>
      <c r="GE80">
        <v>27.8918</v>
      </c>
      <c r="GF80">
        <v>30.0002</v>
      </c>
      <c r="GG80">
        <v>28.204699999999999</v>
      </c>
      <c r="GH80">
        <v>28.261399999999998</v>
      </c>
      <c r="GI80">
        <v>-1</v>
      </c>
      <c r="GJ80">
        <v>0</v>
      </c>
      <c r="GK80">
        <v>100</v>
      </c>
      <c r="GL80">
        <v>25.993500000000001</v>
      </c>
      <c r="GM80">
        <v>432.1</v>
      </c>
      <c r="GN80">
        <v>63.216500000000003</v>
      </c>
      <c r="GO80">
        <v>102.55</v>
      </c>
      <c r="GP80">
        <v>96.751400000000004</v>
      </c>
    </row>
    <row r="81" spans="1:198" x14ac:dyDescent="0.35">
      <c r="A81">
        <v>65</v>
      </c>
      <c r="B81">
        <v>1775507431.5</v>
      </c>
      <c r="C81">
        <v>3840.5</v>
      </c>
      <c r="D81" t="s">
        <v>526</v>
      </c>
      <c r="E81" t="s">
        <v>527</v>
      </c>
      <c r="F81">
        <v>60</v>
      </c>
      <c r="G81">
        <v>1775507423.5</v>
      </c>
      <c r="H81">
        <f t="shared" ref="H81:H112" si="60">(I81)/1000</f>
        <v>9.6615601002319671E-4</v>
      </c>
      <c r="I81">
        <f t="shared" ref="I81:I112" si="61">1000*AY81*AG81*(AU81-AV81)/(100*AN81*(1000-AG81*AU81))</f>
        <v>0.96615601002319673</v>
      </c>
      <c r="J81">
        <f t="shared" ref="J81:J112" si="62">AY81*AG81*(AT81-AS81*(1000-AG81*AV81)/(1000-AG81*AU81))/(100*AN81)</f>
        <v>0.12224167342293671</v>
      </c>
      <c r="K81">
        <f t="shared" ref="K81:K112" si="63">AS81 - IF(AG81&gt;1, J81*AN81*100/(AI81), 0)</f>
        <v>56.447322580645171</v>
      </c>
      <c r="L81">
        <f t="shared" ref="L81:L112" si="64">((R81-H81/2)*K81-J81)/(R81+H81/2)</f>
        <v>46.46558545741874</v>
      </c>
      <c r="M81">
        <f t="shared" ref="M81:M112" si="65">L81*(AZ81+BA81)/1000</f>
        <v>4.6556615313534468</v>
      </c>
      <c r="N81">
        <f t="shared" ref="N81:N112" si="66">(AS81 - IF(AG81&gt;1, J81*AN81*100/(AI81), 0))*(AZ81+BA81)/1000</f>
        <v>5.6557907470559936</v>
      </c>
      <c r="O81">
        <f t="shared" ref="O81:O112" si="67">2/((1/Q81-1/P81)+SIGN(Q81)*SQRT((1/Q81-1/P81)*(1/Q81-1/P81) + 4*AO81/((AO81+1)*(AO81+1))*(2*1/Q81*1/P81-1/P81*1/P81)))</f>
        <v>2.7715400754566678E-2</v>
      </c>
      <c r="P81">
        <f t="shared" ref="P81:P112" si="68">IF(LEFT(AP81,1)&lt;&gt;"0",IF(LEFT(AP81,1)="1",3,AQ81),$D$5+$E$5*(BG81*AZ81/($K$5*1000))+$F$5*(BG81*AZ81/($K$5*1000))*MAX(MIN(AN81,$J$5),$I$5)*MAX(MIN(AN81,$J$5),$I$5)+$G$5*MAX(MIN(AN81,$J$5),$I$5)*(BG81*AZ81/($K$5*1000))+$H$5*(BG81*AZ81/($K$5*1000))*(BG81*AZ81/($K$5*1000)))</f>
        <v>2.3897176894143635</v>
      </c>
      <c r="Q81">
        <f t="shared" ref="Q81:Q112" si="69">H81*(1000-(1000*0.61365*EXP(17.502*U81/(240.97+U81))/(AZ81+BA81)+AU81)/2)/(1000*0.61365*EXP(17.502*U81/(240.97+U81))/(AZ81+BA81)-AU81)</f>
        <v>2.7538058344614279E-2</v>
      </c>
      <c r="R81">
        <f t="shared" ref="R81:R112" si="70">1/((AO81+1)/(O81/1.6)+1/(P81/1.37)) + AO81/((AO81+1)/(O81/1.6) + AO81/(P81/1.37))</f>
        <v>1.722712525936812E-2</v>
      </c>
      <c r="S81">
        <f t="shared" ref="S81:S112" si="71">(AJ81*AM81)</f>
        <v>0</v>
      </c>
      <c r="T81">
        <f t="shared" ref="T81:T112" si="72">(BB81+(S81+2*0.95*0.0000000567*(((BB81+$B$7)+273)^4-(BB81+273)^4)-44100*H81)/(1.84*29.3*P81+8*0.95*0.0000000567*(BB81+273)^3))</f>
        <v>24.995294051226619</v>
      </c>
      <c r="U81">
        <f t="shared" ref="U81:U112" si="73">($C$7*BC81+$D$7*BD81+$E$7*T81)</f>
        <v>25.31429032258065</v>
      </c>
      <c r="V81">
        <f t="shared" ref="V81:V112" si="74">0.61365*EXP(17.502*U81/(240.97+U81))</f>
        <v>3.239747492832842</v>
      </c>
      <c r="W81">
        <f t="shared" ref="W81:W112" si="75">(X81/Y81*100)</f>
        <v>-6.8783212955247208</v>
      </c>
      <c r="X81">
        <f t="shared" ref="X81:X112" si="76">AU81*(AZ81+BA81)/1000</f>
        <v>-0.22263821676183582</v>
      </c>
      <c r="Y81">
        <f t="shared" ref="Y81:Y112" si="77">0.61365*EXP(17.502*BB81/(240.97+BB81))</f>
        <v>3.2368103668942028</v>
      </c>
      <c r="Z81">
        <f t="shared" ref="Z81:Z112" si="78">(V81-AU81*(AZ81+BA81)/1000)</f>
        <v>3.462385709594678</v>
      </c>
      <c r="AA81">
        <f t="shared" ref="AA81:AA112" si="79">(-H81*44100)</f>
        <v>-42.607480042022978</v>
      </c>
      <c r="AB81">
        <f t="shared" ref="AB81:AB112" si="80">2*29.3*P81*0.92*(BB81-U81)</f>
        <v>-1.9645177185779377</v>
      </c>
      <c r="AC81">
        <f t="shared" ref="AC81:AC112" si="81">2*0.95*0.0000000567*(((BB81+$B$7)+273)^4-(U81+273)^4)</f>
        <v>-0.1744252826080871</v>
      </c>
      <c r="AD81">
        <f t="shared" ref="AD81:AD112" si="82">S81+AC81+AA81+AB81</f>
        <v>-44.746423043208999</v>
      </c>
      <c r="AE81">
        <v>18</v>
      </c>
      <c r="AF81">
        <v>4</v>
      </c>
      <c r="AG81">
        <f t="shared" ref="AG81:AG112" si="83">IF(AE81*$H$13&gt;=AI81,1,(AI81/(AI81-AE81*$H$13)))</f>
        <v>1</v>
      </c>
      <c r="AH81">
        <f t="shared" ref="AH81:AH112" si="84">(AG81-1)*100</f>
        <v>0</v>
      </c>
      <c r="AI81">
        <f t="shared" ref="AI81:AI112" si="85">MAX(0,($B$13+$C$13*BG81)/(1+$D$13*BG81)*AZ81/(BB81+273)*$E$13)</f>
        <v>25687.912830407142</v>
      </c>
      <c r="AJ81">
        <f t="shared" ref="AJ81:AJ112" si="86">$B$11*BH81+$C$11*BI81+$D$11*BT81</f>
        <v>0</v>
      </c>
      <c r="AK81">
        <f t="shared" ref="AK81:AK112" si="87">AJ81*AL81</f>
        <v>0</v>
      </c>
      <c r="AL81">
        <f t="shared" ref="AL81:AL112" si="88">($B$11*$D$9+$C$11*$D$9+$D$11*(BU81*$E$9+BV81*$G$9))/($B$11+$C$11+$D$11)</f>
        <v>0</v>
      </c>
      <c r="AM81">
        <f t="shared" ref="AM81:AM112" si="89">($B$11*$K$9+$C$11*$K$9+$D$11*(BU81*$L$9+BV81*$N$9))/($B$11+$C$11+$D$11)</f>
        <v>0</v>
      </c>
      <c r="AN81">
        <v>3</v>
      </c>
      <c r="AO81">
        <v>0.5</v>
      </c>
      <c r="AP81" t="s">
        <v>331</v>
      </c>
      <c r="AQ81">
        <v>2</v>
      </c>
      <c r="AR81">
        <v>1775507423.5</v>
      </c>
      <c r="AS81">
        <v>56.447322580645171</v>
      </c>
      <c r="AT81">
        <v>56.553393548387092</v>
      </c>
      <c r="AU81">
        <v>-2.2220290322580651</v>
      </c>
      <c r="AV81">
        <v>-2.8030316129032262</v>
      </c>
      <c r="AW81">
        <v>48.616322580645168</v>
      </c>
      <c r="AX81">
        <v>-1.227029032258065</v>
      </c>
      <c r="AY81">
        <v>499.98203225806452</v>
      </c>
      <c r="AZ81">
        <v>100.1582580645161</v>
      </c>
      <c r="BA81">
        <v>3.7650058064516129E-2</v>
      </c>
      <c r="BB81">
        <v>25.299041935483871</v>
      </c>
      <c r="BC81">
        <v>25.31429032258065</v>
      </c>
      <c r="BD81">
        <v>999.90000000000032</v>
      </c>
      <c r="BE81">
        <v>0</v>
      </c>
      <c r="BF81">
        <v>0</v>
      </c>
      <c r="BG81">
        <v>4996.4354838709678</v>
      </c>
      <c r="BH81">
        <v>0.42534970967741942</v>
      </c>
      <c r="BI81">
        <v>0.22961599999999999</v>
      </c>
      <c r="BJ81">
        <v>-0.1569290403225807</v>
      </c>
      <c r="BK81">
        <v>56.271599999999999</v>
      </c>
      <c r="BL81">
        <v>56.395322580645171</v>
      </c>
      <c r="BM81">
        <v>0.58420412903225816</v>
      </c>
      <c r="BN81">
        <v>56.553393548387092</v>
      </c>
      <c r="BO81">
        <v>-2.8030316129032262</v>
      </c>
      <c r="BP81">
        <v>-0.22223377419354839</v>
      </c>
      <c r="BQ81">
        <v>-0.28074677419354838</v>
      </c>
      <c r="BR81">
        <v>-99.900000000000034</v>
      </c>
      <c r="BS81">
        <v>-99.900000000000034</v>
      </c>
      <c r="BT81">
        <v>0</v>
      </c>
      <c r="BU81">
        <v>0</v>
      </c>
      <c r="BV81">
        <v>0</v>
      </c>
      <c r="BW81">
        <v>24</v>
      </c>
      <c r="BX81">
        <v>-1</v>
      </c>
      <c r="BY81">
        <v>1775507451.0999999</v>
      </c>
      <c r="BZ81" t="s">
        <v>528</v>
      </c>
      <c r="CA81">
        <v>1775507448</v>
      </c>
      <c r="CB81">
        <v>1775507451.0999999</v>
      </c>
      <c r="CC81">
        <v>68</v>
      </c>
      <c r="CD81">
        <v>5.0999999999999997E-2</v>
      </c>
      <c r="CE81">
        <v>-3.0000000000000001E-3</v>
      </c>
      <c r="CF81">
        <v>7.8310000000000004</v>
      </c>
      <c r="CG81">
        <v>-0.995</v>
      </c>
      <c r="CH81">
        <v>56</v>
      </c>
      <c r="CI81">
        <v>-3</v>
      </c>
      <c r="CJ81">
        <v>0.35</v>
      </c>
      <c r="CK81">
        <v>0.15</v>
      </c>
      <c r="CL81">
        <v>56.59858852459017</v>
      </c>
      <c r="CM81">
        <v>-0.45762390269698128</v>
      </c>
      <c r="CN81">
        <v>0.14766863890987611</v>
      </c>
      <c r="CO81">
        <v>-1</v>
      </c>
      <c r="CP81">
        <v>500.0285245901639</v>
      </c>
      <c r="CQ81">
        <v>-0.41063987308345939</v>
      </c>
      <c r="CR81">
        <v>0.13343489928104901</v>
      </c>
      <c r="CS81">
        <v>-1</v>
      </c>
      <c r="CT81">
        <v>0</v>
      </c>
      <c r="CU81">
        <v>0</v>
      </c>
      <c r="CV81" t="s">
        <v>333</v>
      </c>
      <c r="CW81">
        <v>3.1673100000000001</v>
      </c>
      <c r="CX81">
        <v>2.6590199999999999</v>
      </c>
      <c r="CY81">
        <v>1.45215E-2</v>
      </c>
      <c r="CZ81">
        <v>1.68243E-2</v>
      </c>
      <c r="DA81">
        <v>-1.10095E-2</v>
      </c>
      <c r="DB81">
        <v>-2.809E-2</v>
      </c>
      <c r="DC81">
        <v>21344.400000000001</v>
      </c>
      <c r="DD81">
        <v>21657.7</v>
      </c>
      <c r="DE81">
        <v>23184.7</v>
      </c>
      <c r="DF81">
        <v>22377</v>
      </c>
      <c r="DG81">
        <v>30219.9</v>
      </c>
      <c r="DH81">
        <v>27424.5</v>
      </c>
      <c r="DI81">
        <v>40735.800000000003</v>
      </c>
      <c r="DJ81">
        <v>37075.1</v>
      </c>
      <c r="DK81">
        <v>2.1033400000000002</v>
      </c>
      <c r="DL81">
        <v>1.8570599999999999</v>
      </c>
      <c r="DM81">
        <v>2.49237E-2</v>
      </c>
      <c r="DN81">
        <v>0</v>
      </c>
      <c r="DO81">
        <v>24.903700000000001</v>
      </c>
      <c r="DP81">
        <v>999.9</v>
      </c>
      <c r="DQ81">
        <v>80.8</v>
      </c>
      <c r="DR81">
        <v>27.6</v>
      </c>
      <c r="DS81">
        <v>29.909199999999998</v>
      </c>
      <c r="DT81">
        <v>30.848299999999998</v>
      </c>
      <c r="DU81">
        <v>9.1746800000000004</v>
      </c>
      <c r="DV81">
        <v>1</v>
      </c>
      <c r="DW81">
        <v>5.1562999999999998E-2</v>
      </c>
      <c r="DX81">
        <v>-0.214002</v>
      </c>
      <c r="DY81">
        <v>20.368500000000001</v>
      </c>
      <c r="DZ81">
        <v>5.2126200000000003</v>
      </c>
      <c r="EA81">
        <v>11.8482</v>
      </c>
      <c r="EB81">
        <v>4.9683599999999997</v>
      </c>
      <c r="EC81">
        <v>3.2919999999999998</v>
      </c>
      <c r="ED81">
        <v>894.7</v>
      </c>
      <c r="EE81">
        <v>0</v>
      </c>
      <c r="EF81">
        <v>9999</v>
      </c>
      <c r="EG81">
        <v>114.1</v>
      </c>
      <c r="EH81">
        <v>4.9716500000000003</v>
      </c>
      <c r="EI81">
        <v>1.8717999999999999</v>
      </c>
      <c r="EJ81">
        <v>1.8689</v>
      </c>
      <c r="EK81">
        <v>1.87134</v>
      </c>
      <c r="EL81">
        <v>1.8690500000000001</v>
      </c>
      <c r="EM81">
        <v>1.8680600000000001</v>
      </c>
      <c r="EN81">
        <v>1.8698399999999999</v>
      </c>
      <c r="EO81">
        <v>1.8716699999999999</v>
      </c>
      <c r="EP81">
        <v>0</v>
      </c>
      <c r="EQ81">
        <v>0</v>
      </c>
      <c r="ER81">
        <v>0</v>
      </c>
      <c r="ES81">
        <v>0</v>
      </c>
      <c r="ET81" t="s">
        <v>334</v>
      </c>
      <c r="EU81" t="s">
        <v>335</v>
      </c>
      <c r="EV81" t="s">
        <v>336</v>
      </c>
      <c r="EW81" t="s">
        <v>336</v>
      </c>
      <c r="EX81" t="s">
        <v>336</v>
      </c>
      <c r="EY81" t="s">
        <v>336</v>
      </c>
      <c r="EZ81">
        <v>0</v>
      </c>
      <c r="FA81">
        <v>100</v>
      </c>
      <c r="FB81">
        <v>100</v>
      </c>
      <c r="FC81">
        <v>7.8310000000000004</v>
      </c>
      <c r="FD81">
        <v>-0.995</v>
      </c>
      <c r="FE81">
        <v>7.7801400000000029</v>
      </c>
      <c r="FF81">
        <v>0</v>
      </c>
      <c r="FG81">
        <v>0</v>
      </c>
      <c r="FH81">
        <v>0</v>
      </c>
      <c r="FI81">
        <v>-0.99179799999999996</v>
      </c>
      <c r="FJ81">
        <v>0</v>
      </c>
      <c r="FK81">
        <v>0</v>
      </c>
      <c r="FL81">
        <v>0</v>
      </c>
      <c r="FM81">
        <v>-1</v>
      </c>
      <c r="FN81">
        <v>-1</v>
      </c>
      <c r="FO81">
        <v>-1</v>
      </c>
      <c r="FP81">
        <v>-1</v>
      </c>
      <c r="FQ81">
        <v>0.7</v>
      </c>
      <c r="FR81">
        <v>0.7</v>
      </c>
      <c r="FS81">
        <v>0.142822</v>
      </c>
      <c r="FT81">
        <v>4.99756</v>
      </c>
      <c r="FU81">
        <v>1.5979000000000001</v>
      </c>
      <c r="FV81">
        <v>2.16309</v>
      </c>
      <c r="FW81">
        <v>1.5478499999999999</v>
      </c>
      <c r="FX81">
        <v>2.36572</v>
      </c>
      <c r="FY81">
        <v>32.112400000000001</v>
      </c>
      <c r="FZ81">
        <v>16.084599999999998</v>
      </c>
      <c r="GA81">
        <v>3</v>
      </c>
      <c r="GB81">
        <v>492.12599999999998</v>
      </c>
      <c r="GC81">
        <v>425.70100000000002</v>
      </c>
      <c r="GD81">
        <v>25.988600000000002</v>
      </c>
      <c r="GE81">
        <v>27.894200000000001</v>
      </c>
      <c r="GF81">
        <v>30.0001</v>
      </c>
      <c r="GG81">
        <v>28.207100000000001</v>
      </c>
      <c r="GH81">
        <v>28.2637</v>
      </c>
      <c r="GI81">
        <v>-1</v>
      </c>
      <c r="GJ81">
        <v>0</v>
      </c>
      <c r="GK81">
        <v>100</v>
      </c>
      <c r="GL81">
        <v>25.9908</v>
      </c>
      <c r="GM81">
        <v>432.1</v>
      </c>
      <c r="GN81">
        <v>63.216500000000003</v>
      </c>
      <c r="GO81">
        <v>102.548</v>
      </c>
      <c r="GP81">
        <v>96.751999999999995</v>
      </c>
    </row>
    <row r="82" spans="1:198" x14ac:dyDescent="0.35">
      <c r="A82">
        <v>66</v>
      </c>
      <c r="B82">
        <v>1775507491.5999999</v>
      </c>
      <c r="C82">
        <v>3900.599999904633</v>
      </c>
      <c r="D82" t="s">
        <v>529</v>
      </c>
      <c r="E82" t="s">
        <v>530</v>
      </c>
      <c r="F82">
        <v>60</v>
      </c>
      <c r="G82">
        <v>1775507483.849999</v>
      </c>
      <c r="H82">
        <f t="shared" si="60"/>
        <v>9.1602025002813928E-4</v>
      </c>
      <c r="I82">
        <f t="shared" si="61"/>
        <v>0.91602025002813925</v>
      </c>
      <c r="J82">
        <f t="shared" si="62"/>
        <v>4.6599968670304651E-2</v>
      </c>
      <c r="K82">
        <f t="shared" si="63"/>
        <v>56.366819999999997</v>
      </c>
      <c r="L82">
        <f t="shared" si="64"/>
        <v>50.517802518177078</v>
      </c>
      <c r="M82">
        <f t="shared" si="65"/>
        <v>5.0616540672906565</v>
      </c>
      <c r="N82">
        <f t="shared" si="66"/>
        <v>5.6476990187881126</v>
      </c>
      <c r="O82">
        <f t="shared" si="67"/>
        <v>2.6275612789637876E-2</v>
      </c>
      <c r="P82">
        <f t="shared" si="68"/>
        <v>2.3883389167985642</v>
      </c>
      <c r="Q82">
        <f t="shared" si="69"/>
        <v>2.6116068662143461E-2</v>
      </c>
      <c r="R82">
        <f t="shared" si="70"/>
        <v>1.633679644297388E-2</v>
      </c>
      <c r="S82">
        <f t="shared" si="71"/>
        <v>0</v>
      </c>
      <c r="T82">
        <f t="shared" si="72"/>
        <v>25.010164668594854</v>
      </c>
      <c r="U82">
        <f t="shared" si="73"/>
        <v>25.308509999999998</v>
      </c>
      <c r="V82">
        <f t="shared" si="74"/>
        <v>3.2386338201274834</v>
      </c>
      <c r="W82">
        <f t="shared" si="75"/>
        <v>-6.8845099319290126</v>
      </c>
      <c r="X82">
        <f t="shared" si="76"/>
        <v>-0.22282874075522296</v>
      </c>
      <c r="Y82">
        <f t="shared" si="77"/>
        <v>3.2366681573337091</v>
      </c>
      <c r="Z82">
        <f t="shared" si="78"/>
        <v>3.4614625608827065</v>
      </c>
      <c r="AA82">
        <f t="shared" si="79"/>
        <v>-40.39649302624094</v>
      </c>
      <c r="AB82">
        <f t="shared" si="80"/>
        <v>-1.3142117032124083</v>
      </c>
      <c r="AC82">
        <f t="shared" si="81"/>
        <v>-0.11674955186355684</v>
      </c>
      <c r="AD82">
        <f t="shared" si="82"/>
        <v>-41.827454281316903</v>
      </c>
      <c r="AE82">
        <v>18</v>
      </c>
      <c r="AF82">
        <v>4</v>
      </c>
      <c r="AG82">
        <f t="shared" si="83"/>
        <v>1</v>
      </c>
      <c r="AH82">
        <f t="shared" si="84"/>
        <v>0</v>
      </c>
      <c r="AI82">
        <f t="shared" si="85"/>
        <v>25666.876105493899</v>
      </c>
      <c r="AJ82">
        <f t="shared" si="86"/>
        <v>0</v>
      </c>
      <c r="AK82">
        <f t="shared" si="87"/>
        <v>0</v>
      </c>
      <c r="AL82">
        <f t="shared" si="88"/>
        <v>0</v>
      </c>
      <c r="AM82">
        <f t="shared" si="89"/>
        <v>0</v>
      </c>
      <c r="AN82">
        <v>3</v>
      </c>
      <c r="AO82">
        <v>0.5</v>
      </c>
      <c r="AP82" t="s">
        <v>331</v>
      </c>
      <c r="AQ82">
        <v>2</v>
      </c>
      <c r="AR82">
        <v>1775507483.849999</v>
      </c>
      <c r="AS82">
        <v>56.366819999999997</v>
      </c>
      <c r="AT82">
        <v>56.425759999999997</v>
      </c>
      <c r="AU82">
        <v>-2.223940666666667</v>
      </c>
      <c r="AV82">
        <v>-2.774776333333334</v>
      </c>
      <c r="AW82">
        <v>48.527820000000013</v>
      </c>
      <c r="AX82">
        <v>-1.224940666666666</v>
      </c>
      <c r="AY82">
        <v>499.99889999999988</v>
      </c>
      <c r="AZ82">
        <v>100.1583333333333</v>
      </c>
      <c r="BA82">
        <v>3.7118863333333342E-2</v>
      </c>
      <c r="BB82">
        <v>25.29830333333333</v>
      </c>
      <c r="BC82">
        <v>25.308509999999998</v>
      </c>
      <c r="BD82">
        <v>999.9000000000002</v>
      </c>
      <c r="BE82">
        <v>0</v>
      </c>
      <c r="BF82">
        <v>0</v>
      </c>
      <c r="BG82">
        <v>4992.8833333333332</v>
      </c>
      <c r="BH82">
        <v>0.40637346666666663</v>
      </c>
      <c r="BI82">
        <v>0.22961599999999999</v>
      </c>
      <c r="BJ82">
        <v>-6.6969059633333342E-2</v>
      </c>
      <c r="BK82">
        <v>56.233953333333332</v>
      </c>
      <c r="BL82">
        <v>56.269620000000003</v>
      </c>
      <c r="BM82">
        <v>0.55482469999999995</v>
      </c>
      <c r="BN82">
        <v>56.425759999999997</v>
      </c>
      <c r="BO82">
        <v>-2.774776333333334</v>
      </c>
      <c r="BP82">
        <v>-0.2223468333333333</v>
      </c>
      <c r="BQ82">
        <v>-0.27791716666666672</v>
      </c>
      <c r="BR82">
        <v>-99.900000000000034</v>
      </c>
      <c r="BS82">
        <v>-99.900000000000034</v>
      </c>
      <c r="BT82">
        <v>0</v>
      </c>
      <c r="BU82">
        <v>0</v>
      </c>
      <c r="BV82">
        <v>0</v>
      </c>
      <c r="BW82">
        <v>24</v>
      </c>
      <c r="BX82">
        <v>-1</v>
      </c>
      <c r="BY82">
        <v>1775507513.0999999</v>
      </c>
      <c r="BZ82" t="s">
        <v>531</v>
      </c>
      <c r="CA82">
        <v>1775507506.0999999</v>
      </c>
      <c r="CB82">
        <v>1775507513.0999999</v>
      </c>
      <c r="CC82">
        <v>69</v>
      </c>
      <c r="CD82">
        <v>8.0000000000000002E-3</v>
      </c>
      <c r="CE82">
        <v>-4.0000000000000001E-3</v>
      </c>
      <c r="CF82">
        <v>7.8390000000000004</v>
      </c>
      <c r="CG82">
        <v>-0.999</v>
      </c>
      <c r="CH82">
        <v>57</v>
      </c>
      <c r="CI82">
        <v>-3</v>
      </c>
      <c r="CJ82">
        <v>0.26</v>
      </c>
      <c r="CK82">
        <v>0.16</v>
      </c>
      <c r="CL82">
        <v>56.410722950819668</v>
      </c>
      <c r="CM82">
        <v>0.32196615547332869</v>
      </c>
      <c r="CN82">
        <v>9.618070491449969E-2</v>
      </c>
      <c r="CO82">
        <v>-1</v>
      </c>
      <c r="CP82">
        <v>500.00634426229499</v>
      </c>
      <c r="CQ82">
        <v>-6.2113167636244603E-2</v>
      </c>
      <c r="CR82">
        <v>5.6874000872765479E-2</v>
      </c>
      <c r="CS82">
        <v>-1</v>
      </c>
      <c r="CT82">
        <v>0</v>
      </c>
      <c r="CU82">
        <v>0</v>
      </c>
      <c r="CV82" t="s">
        <v>333</v>
      </c>
      <c r="CW82">
        <v>3.1674099999999998</v>
      </c>
      <c r="CX82">
        <v>2.6585999999999999</v>
      </c>
      <c r="CY82">
        <v>1.44832E-2</v>
      </c>
      <c r="CZ82">
        <v>1.6841600000000002E-2</v>
      </c>
      <c r="DA82">
        <v>-1.0949199999999999E-2</v>
      </c>
      <c r="DB82">
        <v>-2.77034E-2</v>
      </c>
      <c r="DC82">
        <v>21344.7</v>
      </c>
      <c r="DD82">
        <v>21657.3</v>
      </c>
      <c r="DE82">
        <v>23184.2</v>
      </c>
      <c r="DF82">
        <v>22376.9</v>
      </c>
      <c r="DG82">
        <v>30217.5</v>
      </c>
      <c r="DH82">
        <v>27414.3</v>
      </c>
      <c r="DI82">
        <v>40735.1</v>
      </c>
      <c r="DJ82">
        <v>37075.1</v>
      </c>
      <c r="DK82">
        <v>2.1030799999999998</v>
      </c>
      <c r="DL82">
        <v>1.8574999999999999</v>
      </c>
      <c r="DM82">
        <v>2.5463099999999999E-2</v>
      </c>
      <c r="DN82">
        <v>0</v>
      </c>
      <c r="DO82">
        <v>24.898099999999999</v>
      </c>
      <c r="DP82">
        <v>999.9</v>
      </c>
      <c r="DQ82">
        <v>80.8</v>
      </c>
      <c r="DR82">
        <v>27.6</v>
      </c>
      <c r="DS82">
        <v>29.9068</v>
      </c>
      <c r="DT82">
        <v>31.020099999999999</v>
      </c>
      <c r="DU82">
        <v>8.8301300000000005</v>
      </c>
      <c r="DV82">
        <v>1</v>
      </c>
      <c r="DW82">
        <v>5.1987800000000001E-2</v>
      </c>
      <c r="DX82">
        <v>-0.22187799999999999</v>
      </c>
      <c r="DY82">
        <v>20.368600000000001</v>
      </c>
      <c r="DZ82">
        <v>5.2126200000000003</v>
      </c>
      <c r="EA82">
        <v>11.8482</v>
      </c>
      <c r="EB82">
        <v>4.9687999999999999</v>
      </c>
      <c r="EC82">
        <v>3.2919999999999998</v>
      </c>
      <c r="ED82">
        <v>894.7</v>
      </c>
      <c r="EE82">
        <v>0</v>
      </c>
      <c r="EF82">
        <v>9999</v>
      </c>
      <c r="EG82">
        <v>114.1</v>
      </c>
      <c r="EH82">
        <v>4.9716399999999998</v>
      </c>
      <c r="EI82">
        <v>1.8717999999999999</v>
      </c>
      <c r="EJ82">
        <v>1.8689</v>
      </c>
      <c r="EK82">
        <v>1.87134</v>
      </c>
      <c r="EL82">
        <v>1.8690500000000001</v>
      </c>
      <c r="EM82">
        <v>1.86802</v>
      </c>
      <c r="EN82">
        <v>1.8698699999999999</v>
      </c>
      <c r="EO82">
        <v>1.8716600000000001</v>
      </c>
      <c r="EP82">
        <v>0</v>
      </c>
      <c r="EQ82">
        <v>0</v>
      </c>
      <c r="ER82">
        <v>0</v>
      </c>
      <c r="ES82">
        <v>0</v>
      </c>
      <c r="ET82" t="s">
        <v>334</v>
      </c>
      <c r="EU82" t="s">
        <v>335</v>
      </c>
      <c r="EV82" t="s">
        <v>336</v>
      </c>
      <c r="EW82" t="s">
        <v>336</v>
      </c>
      <c r="EX82" t="s">
        <v>336</v>
      </c>
      <c r="EY82" t="s">
        <v>336</v>
      </c>
      <c r="EZ82">
        <v>0</v>
      </c>
      <c r="FA82">
        <v>100</v>
      </c>
      <c r="FB82">
        <v>100</v>
      </c>
      <c r="FC82">
        <v>7.8390000000000004</v>
      </c>
      <c r="FD82">
        <v>-0.999</v>
      </c>
      <c r="FE82">
        <v>7.8309809523809477</v>
      </c>
      <c r="FF82">
        <v>0</v>
      </c>
      <c r="FG82">
        <v>0</v>
      </c>
      <c r="FH82">
        <v>0</v>
      </c>
      <c r="FI82">
        <v>-0.99501190476190438</v>
      </c>
      <c r="FJ82">
        <v>0</v>
      </c>
      <c r="FK82">
        <v>0</v>
      </c>
      <c r="FL82">
        <v>0</v>
      </c>
      <c r="FM82">
        <v>-1</v>
      </c>
      <c r="FN82">
        <v>-1</v>
      </c>
      <c r="FO82">
        <v>-1</v>
      </c>
      <c r="FP82">
        <v>-1</v>
      </c>
      <c r="FQ82">
        <v>0.7</v>
      </c>
      <c r="FR82">
        <v>0.7</v>
      </c>
      <c r="FS82">
        <v>0.142822</v>
      </c>
      <c r="FT82">
        <v>4.99756</v>
      </c>
      <c r="FU82">
        <v>1.5979000000000001</v>
      </c>
      <c r="FV82">
        <v>2.16309</v>
      </c>
      <c r="FW82">
        <v>1.5478499999999999</v>
      </c>
      <c r="FX82">
        <v>2.3889200000000002</v>
      </c>
      <c r="FY82">
        <v>32.112400000000001</v>
      </c>
      <c r="FZ82">
        <v>16.075800000000001</v>
      </c>
      <c r="GA82">
        <v>3</v>
      </c>
      <c r="GB82">
        <v>491.99700000000001</v>
      </c>
      <c r="GC82">
        <v>425.97699999999998</v>
      </c>
      <c r="GD82">
        <v>26.028199999999998</v>
      </c>
      <c r="GE82">
        <v>27.8965</v>
      </c>
      <c r="GF82">
        <v>30.0001</v>
      </c>
      <c r="GG82">
        <v>28.209399999999999</v>
      </c>
      <c r="GH82">
        <v>28.266100000000002</v>
      </c>
      <c r="GI82">
        <v>-1</v>
      </c>
      <c r="GJ82">
        <v>0</v>
      </c>
      <c r="GK82">
        <v>100</v>
      </c>
      <c r="GL82">
        <v>26.026900000000001</v>
      </c>
      <c r="GM82">
        <v>432.1</v>
      </c>
      <c r="GN82">
        <v>63.216500000000003</v>
      </c>
      <c r="GO82">
        <v>102.54600000000001</v>
      </c>
      <c r="GP82">
        <v>96.7517</v>
      </c>
    </row>
    <row r="83" spans="1:198" x14ac:dyDescent="0.35">
      <c r="A83">
        <v>67</v>
      </c>
      <c r="B83">
        <v>1775507551.5999999</v>
      </c>
      <c r="C83">
        <v>3960.599999904633</v>
      </c>
      <c r="D83" t="s">
        <v>532</v>
      </c>
      <c r="E83" t="s">
        <v>533</v>
      </c>
      <c r="F83">
        <v>60</v>
      </c>
      <c r="G83">
        <v>1775507543.849999</v>
      </c>
      <c r="H83">
        <f t="shared" si="60"/>
        <v>9.3517589585161056E-4</v>
      </c>
      <c r="I83">
        <f t="shared" si="61"/>
        <v>0.93517589585161054</v>
      </c>
      <c r="J83">
        <f t="shared" si="62"/>
        <v>5.6429495152409359E-2</v>
      </c>
      <c r="K83">
        <f t="shared" si="63"/>
        <v>56.831790000000012</v>
      </c>
      <c r="L83">
        <f t="shared" si="64"/>
        <v>50.438893196677753</v>
      </c>
      <c r="M83">
        <f t="shared" si="65"/>
        <v>5.0538362587944139</v>
      </c>
      <c r="N83">
        <f t="shared" si="66"/>
        <v>5.6943866677294181</v>
      </c>
      <c r="O83">
        <f t="shared" si="67"/>
        <v>2.6818854547544204E-2</v>
      </c>
      <c r="P83">
        <f t="shared" si="68"/>
        <v>2.3913958516198859</v>
      </c>
      <c r="Q83">
        <f t="shared" si="69"/>
        <v>2.6652878688704727E-2</v>
      </c>
      <c r="R83">
        <f t="shared" si="70"/>
        <v>1.6672875702537775E-2</v>
      </c>
      <c r="S83">
        <f t="shared" si="71"/>
        <v>0</v>
      </c>
      <c r="T83">
        <f t="shared" si="72"/>
        <v>25.012389792083816</v>
      </c>
      <c r="U83">
        <f t="shared" si="73"/>
        <v>25.317029999999999</v>
      </c>
      <c r="V83">
        <f t="shared" si="74"/>
        <v>3.2402754528995268</v>
      </c>
      <c r="W83">
        <f t="shared" si="75"/>
        <v>-6.8687681695492318</v>
      </c>
      <c r="X83">
        <f t="shared" si="76"/>
        <v>-0.22242377352931914</v>
      </c>
      <c r="Y83">
        <f t="shared" si="77"/>
        <v>3.2381901388865169</v>
      </c>
      <c r="Z83">
        <f t="shared" si="78"/>
        <v>3.4626992264288461</v>
      </c>
      <c r="AA83">
        <f t="shared" si="79"/>
        <v>-41.241257007056028</v>
      </c>
      <c r="AB83">
        <f t="shared" si="80"/>
        <v>-1.3953975264868002</v>
      </c>
      <c r="AC83">
        <f t="shared" si="81"/>
        <v>-0.12381355391351379</v>
      </c>
      <c r="AD83">
        <f t="shared" si="82"/>
        <v>-42.760468087456346</v>
      </c>
      <c r="AE83">
        <v>18</v>
      </c>
      <c r="AF83">
        <v>4</v>
      </c>
      <c r="AG83">
        <f t="shared" si="83"/>
        <v>1</v>
      </c>
      <c r="AH83">
        <f t="shared" si="84"/>
        <v>0</v>
      </c>
      <c r="AI83">
        <f t="shared" si="85"/>
        <v>25712.904714740413</v>
      </c>
      <c r="AJ83">
        <f t="shared" si="86"/>
        <v>0</v>
      </c>
      <c r="AK83">
        <f t="shared" si="87"/>
        <v>0</v>
      </c>
      <c r="AL83">
        <f t="shared" si="88"/>
        <v>0</v>
      </c>
      <c r="AM83">
        <f t="shared" si="89"/>
        <v>0</v>
      </c>
      <c r="AN83">
        <v>3</v>
      </c>
      <c r="AO83">
        <v>0.5</v>
      </c>
      <c r="AP83" t="s">
        <v>331</v>
      </c>
      <c r="AQ83">
        <v>2</v>
      </c>
      <c r="AR83">
        <v>1775507543.849999</v>
      </c>
      <c r="AS83">
        <v>56.831790000000012</v>
      </c>
      <c r="AT83">
        <v>56.897536666666667</v>
      </c>
      <c r="AU83">
        <v>-2.2198600000000002</v>
      </c>
      <c r="AV83">
        <v>-2.7822139999999989</v>
      </c>
      <c r="AW83">
        <v>49.034790000000022</v>
      </c>
      <c r="AX83">
        <v>-1.2238599999999999</v>
      </c>
      <c r="AY83">
        <v>499.99743333333328</v>
      </c>
      <c r="AZ83">
        <v>100.1600333333333</v>
      </c>
      <c r="BA83">
        <v>3.7174386666666663E-2</v>
      </c>
      <c r="BB83">
        <v>25.306206666666672</v>
      </c>
      <c r="BC83">
        <v>25.317029999999999</v>
      </c>
      <c r="BD83">
        <v>999.9000000000002</v>
      </c>
      <c r="BE83">
        <v>0</v>
      </c>
      <c r="BF83">
        <v>0</v>
      </c>
      <c r="BG83">
        <v>5000.666666666667</v>
      </c>
      <c r="BH83">
        <v>0.39417770000000002</v>
      </c>
      <c r="BI83">
        <v>0.22961599999999999</v>
      </c>
      <c r="BJ83">
        <v>-2.3277183833333329E-2</v>
      </c>
      <c r="BK83">
        <v>56.748130000000003</v>
      </c>
      <c r="BL83">
        <v>56.739680000000007</v>
      </c>
      <c r="BM83">
        <v>0.55962169999999989</v>
      </c>
      <c r="BN83">
        <v>56.897536666666667</v>
      </c>
      <c r="BO83">
        <v>-2.7822139999999989</v>
      </c>
      <c r="BP83">
        <v>-0.22261500000000001</v>
      </c>
      <c r="BQ83">
        <v>-0.27866679999999999</v>
      </c>
      <c r="BR83">
        <v>-99.900000000000034</v>
      </c>
      <c r="BS83">
        <v>-99.900000000000034</v>
      </c>
      <c r="BT83">
        <v>0</v>
      </c>
      <c r="BU83">
        <v>0</v>
      </c>
      <c r="BV83">
        <v>0</v>
      </c>
      <c r="BW83">
        <v>24</v>
      </c>
      <c r="BX83">
        <v>-1</v>
      </c>
      <c r="BY83">
        <v>1775507573.0999999</v>
      </c>
      <c r="BZ83" t="s">
        <v>534</v>
      </c>
      <c r="CA83">
        <v>1775507565.0999999</v>
      </c>
      <c r="CB83">
        <v>1775507573.0999999</v>
      </c>
      <c r="CC83">
        <v>70</v>
      </c>
      <c r="CD83">
        <v>-4.2999999999999997E-2</v>
      </c>
      <c r="CE83">
        <v>3.0000000000000001E-3</v>
      </c>
      <c r="CF83">
        <v>7.7969999999999997</v>
      </c>
      <c r="CG83">
        <v>-0.996</v>
      </c>
      <c r="CH83">
        <v>57</v>
      </c>
      <c r="CI83">
        <v>-3</v>
      </c>
      <c r="CJ83">
        <v>0.39</v>
      </c>
      <c r="CK83">
        <v>0.14000000000000001</v>
      </c>
      <c r="CL83">
        <v>56.947373333333331</v>
      </c>
      <c r="CM83">
        <v>-0.47753264795770162</v>
      </c>
      <c r="CN83">
        <v>0.1061521170563996</v>
      </c>
      <c r="CO83">
        <v>-1</v>
      </c>
      <c r="CP83">
        <v>500.05446666666671</v>
      </c>
      <c r="CQ83">
        <v>-0.60585495971035264</v>
      </c>
      <c r="CR83">
        <v>0.20614165571815549</v>
      </c>
      <c r="CS83">
        <v>-1</v>
      </c>
      <c r="CT83">
        <v>0</v>
      </c>
      <c r="CU83">
        <v>0</v>
      </c>
      <c r="CV83" t="s">
        <v>333</v>
      </c>
      <c r="CW83">
        <v>3.1672500000000001</v>
      </c>
      <c r="CX83">
        <v>2.65862</v>
      </c>
      <c r="CY83">
        <v>1.4625300000000001E-2</v>
      </c>
      <c r="CZ83">
        <v>1.69272E-2</v>
      </c>
      <c r="DA83">
        <v>-1.0963199999999999E-2</v>
      </c>
      <c r="DB83">
        <v>-2.7874900000000001E-2</v>
      </c>
      <c r="DC83">
        <v>21341.3</v>
      </c>
      <c r="DD83">
        <v>21654.799999999999</v>
      </c>
      <c r="DE83">
        <v>23183.9</v>
      </c>
      <c r="DF83">
        <v>22376.3</v>
      </c>
      <c r="DG83">
        <v>30217.3</v>
      </c>
      <c r="DH83">
        <v>27417.8</v>
      </c>
      <c r="DI83">
        <v>40734.199999999997</v>
      </c>
      <c r="DJ83">
        <v>37073.699999999997</v>
      </c>
      <c r="DK83">
        <v>2.1030799999999998</v>
      </c>
      <c r="DL83">
        <v>1.85724</v>
      </c>
      <c r="DM83">
        <v>2.5093600000000001E-2</v>
      </c>
      <c r="DN83">
        <v>0</v>
      </c>
      <c r="DO83">
        <v>24.91</v>
      </c>
      <c r="DP83">
        <v>999.9</v>
      </c>
      <c r="DQ83">
        <v>80.7</v>
      </c>
      <c r="DR83">
        <v>27.7</v>
      </c>
      <c r="DS83">
        <v>30.045100000000001</v>
      </c>
      <c r="DT83">
        <v>30.690100000000001</v>
      </c>
      <c r="DU83">
        <v>9.1826899999999991</v>
      </c>
      <c r="DV83">
        <v>1</v>
      </c>
      <c r="DW83">
        <v>5.2089400000000001E-2</v>
      </c>
      <c r="DX83">
        <v>-0.13968</v>
      </c>
      <c r="DY83">
        <v>20.368600000000001</v>
      </c>
      <c r="DZ83">
        <v>5.21082</v>
      </c>
      <c r="EA83">
        <v>11.8482</v>
      </c>
      <c r="EB83">
        <v>4.96828</v>
      </c>
      <c r="EC83">
        <v>3.2920199999999999</v>
      </c>
      <c r="ED83">
        <v>894.7</v>
      </c>
      <c r="EE83">
        <v>0</v>
      </c>
      <c r="EF83">
        <v>9999</v>
      </c>
      <c r="EG83">
        <v>114.1</v>
      </c>
      <c r="EH83">
        <v>4.97166</v>
      </c>
      <c r="EI83">
        <v>1.8717999999999999</v>
      </c>
      <c r="EJ83">
        <v>1.8689</v>
      </c>
      <c r="EK83">
        <v>1.8713500000000001</v>
      </c>
      <c r="EL83">
        <v>1.8690599999999999</v>
      </c>
      <c r="EM83">
        <v>1.8680699999999999</v>
      </c>
      <c r="EN83">
        <v>1.86991</v>
      </c>
      <c r="EO83">
        <v>1.8716900000000001</v>
      </c>
      <c r="EP83">
        <v>0</v>
      </c>
      <c r="EQ83">
        <v>0</v>
      </c>
      <c r="ER83">
        <v>0</v>
      </c>
      <c r="ES83">
        <v>0</v>
      </c>
      <c r="ET83" t="s">
        <v>334</v>
      </c>
      <c r="EU83" t="s">
        <v>335</v>
      </c>
      <c r="EV83" t="s">
        <v>336</v>
      </c>
      <c r="EW83" t="s">
        <v>336</v>
      </c>
      <c r="EX83" t="s">
        <v>336</v>
      </c>
      <c r="EY83" t="s">
        <v>336</v>
      </c>
      <c r="EZ83">
        <v>0</v>
      </c>
      <c r="FA83">
        <v>100</v>
      </c>
      <c r="FB83">
        <v>100</v>
      </c>
      <c r="FC83">
        <v>7.7969999999999997</v>
      </c>
      <c r="FD83">
        <v>-0.996</v>
      </c>
      <c r="FE83">
        <v>7.8394666666666666</v>
      </c>
      <c r="FF83">
        <v>0</v>
      </c>
      <c r="FG83">
        <v>0</v>
      </c>
      <c r="FH83">
        <v>0</v>
      </c>
      <c r="FI83">
        <v>-0.99873333333333303</v>
      </c>
      <c r="FJ83">
        <v>0</v>
      </c>
      <c r="FK83">
        <v>0</v>
      </c>
      <c r="FL83">
        <v>0</v>
      </c>
      <c r="FM83">
        <v>-1</v>
      </c>
      <c r="FN83">
        <v>-1</v>
      </c>
      <c r="FO83">
        <v>-1</v>
      </c>
      <c r="FP83">
        <v>-1</v>
      </c>
      <c r="FQ83">
        <v>0.8</v>
      </c>
      <c r="FR83">
        <v>0.6</v>
      </c>
      <c r="FS83">
        <v>0.142822</v>
      </c>
      <c r="FT83">
        <v>4.99756</v>
      </c>
      <c r="FU83">
        <v>1.5979000000000001</v>
      </c>
      <c r="FV83">
        <v>2.16309</v>
      </c>
      <c r="FW83">
        <v>1.5478499999999999</v>
      </c>
      <c r="FX83">
        <v>2.3754900000000001</v>
      </c>
      <c r="FY83">
        <v>32.134399999999999</v>
      </c>
      <c r="FZ83">
        <v>16.0671</v>
      </c>
      <c r="GA83">
        <v>3</v>
      </c>
      <c r="GB83">
        <v>492.01499999999999</v>
      </c>
      <c r="GC83">
        <v>425.84100000000001</v>
      </c>
      <c r="GD83">
        <v>25.967099999999999</v>
      </c>
      <c r="GE83">
        <v>27.898900000000001</v>
      </c>
      <c r="GF83">
        <v>30.0001</v>
      </c>
      <c r="GG83">
        <v>28.2118</v>
      </c>
      <c r="GH83">
        <v>28.2684</v>
      </c>
      <c r="GI83">
        <v>-1</v>
      </c>
      <c r="GJ83">
        <v>0</v>
      </c>
      <c r="GK83">
        <v>100</v>
      </c>
      <c r="GL83">
        <v>25.962499999999999</v>
      </c>
      <c r="GM83">
        <v>432.1</v>
      </c>
      <c r="GN83">
        <v>63.216500000000003</v>
      </c>
      <c r="GO83">
        <v>102.544</v>
      </c>
      <c r="GP83">
        <v>96.748500000000007</v>
      </c>
    </row>
    <row r="84" spans="1:198" x14ac:dyDescent="0.35">
      <c r="A84">
        <v>68</v>
      </c>
      <c r="B84">
        <v>1775507611.5999999</v>
      </c>
      <c r="C84">
        <v>4020.599999904633</v>
      </c>
      <c r="D84" t="s">
        <v>535</v>
      </c>
      <c r="E84" t="s">
        <v>536</v>
      </c>
      <c r="F84">
        <v>60</v>
      </c>
      <c r="G84">
        <v>1775507603.849999</v>
      </c>
      <c r="H84">
        <f t="shared" si="60"/>
        <v>9.3265943664012137E-4</v>
      </c>
      <c r="I84">
        <f t="shared" si="61"/>
        <v>0.93265943664012141</v>
      </c>
      <c r="J84">
        <f t="shared" si="62"/>
        <v>-0.1036455505456052</v>
      </c>
      <c r="K84">
        <f t="shared" si="63"/>
        <v>56.780433333333342</v>
      </c>
      <c r="L84">
        <f t="shared" si="64"/>
        <v>59.745104567111191</v>
      </c>
      <c r="M84">
        <f t="shared" si="65"/>
        <v>5.9863747005160599</v>
      </c>
      <c r="N84">
        <f t="shared" si="66"/>
        <v>5.6893188497007081</v>
      </c>
      <c r="O84">
        <f t="shared" si="67"/>
        <v>2.6751592427410559E-2</v>
      </c>
      <c r="P84">
        <f t="shared" si="68"/>
        <v>2.3909270767784232</v>
      </c>
      <c r="Q84">
        <f t="shared" si="69"/>
        <v>2.6586413134610482E-2</v>
      </c>
      <c r="R84">
        <f t="shared" si="70"/>
        <v>1.6631263769698611E-2</v>
      </c>
      <c r="S84">
        <f t="shared" si="71"/>
        <v>0</v>
      </c>
      <c r="T84">
        <f t="shared" si="72"/>
        <v>25.00557917343324</v>
      </c>
      <c r="U84">
        <f t="shared" si="73"/>
        <v>25.310923333333331</v>
      </c>
      <c r="V84">
        <f t="shared" si="74"/>
        <v>3.2390987471768882</v>
      </c>
      <c r="W84">
        <f t="shared" si="75"/>
        <v>-6.8894988938234887</v>
      </c>
      <c r="X84">
        <f t="shared" si="76"/>
        <v>-0.22299494801744052</v>
      </c>
      <c r="Y84">
        <f t="shared" si="77"/>
        <v>3.2367368288186813</v>
      </c>
      <c r="Z84">
        <f t="shared" si="78"/>
        <v>3.4620936951943286</v>
      </c>
      <c r="AA84">
        <f t="shared" si="79"/>
        <v>-41.130281155829351</v>
      </c>
      <c r="AB84">
        <f t="shared" si="80"/>
        <v>-1.5807395040396246</v>
      </c>
      <c r="AC84">
        <f t="shared" si="81"/>
        <v>-0.14027680734745321</v>
      </c>
      <c r="AD84">
        <f t="shared" si="82"/>
        <v>-42.851297467216433</v>
      </c>
      <c r="AE84">
        <v>18</v>
      </c>
      <c r="AF84">
        <v>4</v>
      </c>
      <c r="AG84">
        <f t="shared" si="83"/>
        <v>1</v>
      </c>
      <c r="AH84">
        <f t="shared" si="84"/>
        <v>0</v>
      </c>
      <c r="AI84">
        <f t="shared" si="85"/>
        <v>25706.333279438859</v>
      </c>
      <c r="AJ84">
        <f t="shared" si="86"/>
        <v>0</v>
      </c>
      <c r="AK84">
        <f t="shared" si="87"/>
        <v>0</v>
      </c>
      <c r="AL84">
        <f t="shared" si="88"/>
        <v>0</v>
      </c>
      <c r="AM84">
        <f t="shared" si="89"/>
        <v>0</v>
      </c>
      <c r="AN84">
        <v>3</v>
      </c>
      <c r="AO84">
        <v>0.5</v>
      </c>
      <c r="AP84" t="s">
        <v>331</v>
      </c>
      <c r="AQ84">
        <v>2</v>
      </c>
      <c r="AR84">
        <v>1775507603.849999</v>
      </c>
      <c r="AS84">
        <v>56.780433333333342</v>
      </c>
      <c r="AT84">
        <v>56.750019999999999</v>
      </c>
      <c r="AU84">
        <v>-2.22553</v>
      </c>
      <c r="AV84">
        <v>-2.7863726666666659</v>
      </c>
      <c r="AW84">
        <v>48.966433333333342</v>
      </c>
      <c r="AX84">
        <v>-1.2285299999999999</v>
      </c>
      <c r="AY84">
        <v>499.99856666666682</v>
      </c>
      <c r="AZ84">
        <v>100.1612333333333</v>
      </c>
      <c r="BA84">
        <v>3.7347686666666657E-2</v>
      </c>
      <c r="BB84">
        <v>25.298660000000009</v>
      </c>
      <c r="BC84">
        <v>25.310923333333331</v>
      </c>
      <c r="BD84">
        <v>999.9000000000002</v>
      </c>
      <c r="BE84">
        <v>0</v>
      </c>
      <c r="BF84">
        <v>0</v>
      </c>
      <c r="BG84">
        <v>4999.3999999999996</v>
      </c>
      <c r="BH84">
        <v>0.40609190000000001</v>
      </c>
      <c r="BI84">
        <v>0.22961599999999999</v>
      </c>
      <c r="BJ84">
        <v>1.294199633333333E-2</v>
      </c>
      <c r="BK84">
        <v>56.636989999999997</v>
      </c>
      <c r="BL84">
        <v>56.592336666666661</v>
      </c>
      <c r="BM84">
        <v>0.56209940000000003</v>
      </c>
      <c r="BN84">
        <v>56.750019999999999</v>
      </c>
      <c r="BO84">
        <v>-2.7863726666666659</v>
      </c>
      <c r="BP84">
        <v>-0.22278566666666669</v>
      </c>
      <c r="BQ84">
        <v>-0.27908620000000001</v>
      </c>
      <c r="BR84">
        <v>-99.900000000000034</v>
      </c>
      <c r="BS84">
        <v>-99.900000000000034</v>
      </c>
      <c r="BT84">
        <v>0</v>
      </c>
      <c r="BU84">
        <v>0</v>
      </c>
      <c r="BV84">
        <v>0</v>
      </c>
      <c r="BW84">
        <v>24</v>
      </c>
      <c r="BX84">
        <v>-1</v>
      </c>
      <c r="BY84">
        <v>1775507630.5999999</v>
      </c>
      <c r="BZ84" t="s">
        <v>537</v>
      </c>
      <c r="CA84">
        <v>1775507623.5999999</v>
      </c>
      <c r="CB84">
        <v>1775507630.5999999</v>
      </c>
      <c r="CC84">
        <v>71</v>
      </c>
      <c r="CD84">
        <v>1.7999999999999999E-2</v>
      </c>
      <c r="CE84">
        <v>-2E-3</v>
      </c>
      <c r="CF84">
        <v>7.8140000000000001</v>
      </c>
      <c r="CG84">
        <v>-0.997</v>
      </c>
      <c r="CH84">
        <v>57</v>
      </c>
      <c r="CI84">
        <v>-3</v>
      </c>
      <c r="CJ84">
        <v>0.17</v>
      </c>
      <c r="CK84">
        <v>0.11</v>
      </c>
      <c r="CL84">
        <v>56.861485000000009</v>
      </c>
      <c r="CM84">
        <v>-0.70294893025829885</v>
      </c>
      <c r="CN84">
        <v>0.1158388907419839</v>
      </c>
      <c r="CO84">
        <v>-1</v>
      </c>
      <c r="CP84">
        <v>500.05335000000002</v>
      </c>
      <c r="CQ84">
        <v>-0.651157543762652</v>
      </c>
      <c r="CR84">
        <v>0.2023940731180971</v>
      </c>
      <c r="CS84">
        <v>-1</v>
      </c>
      <c r="CT84">
        <v>0</v>
      </c>
      <c r="CU84">
        <v>0</v>
      </c>
      <c r="CV84" t="s">
        <v>333</v>
      </c>
      <c r="CW84">
        <v>3.1673</v>
      </c>
      <c r="CX84">
        <v>2.6588599999999998</v>
      </c>
      <c r="CY84">
        <v>1.4586999999999999E-2</v>
      </c>
      <c r="CZ84">
        <v>1.6884699999999999E-2</v>
      </c>
      <c r="DA84">
        <v>-1.10093E-2</v>
      </c>
      <c r="DB84">
        <v>-2.7879299999999999E-2</v>
      </c>
      <c r="DC84">
        <v>21341.9</v>
      </c>
      <c r="DD84">
        <v>21655.9</v>
      </c>
      <c r="DE84">
        <v>23183.599999999999</v>
      </c>
      <c r="DF84">
        <v>22376.5</v>
      </c>
      <c r="DG84">
        <v>30218.5</v>
      </c>
      <c r="DH84">
        <v>27418.1</v>
      </c>
      <c r="DI84">
        <v>40734</v>
      </c>
      <c r="DJ84">
        <v>37074.1</v>
      </c>
      <c r="DK84">
        <v>2.1030000000000002</v>
      </c>
      <c r="DL84">
        <v>1.85724</v>
      </c>
      <c r="DM84">
        <v>2.4902799999999999E-2</v>
      </c>
      <c r="DN84">
        <v>0</v>
      </c>
      <c r="DO84">
        <v>24.91</v>
      </c>
      <c r="DP84">
        <v>999.9</v>
      </c>
      <c r="DQ84">
        <v>80.7</v>
      </c>
      <c r="DR84">
        <v>27.7</v>
      </c>
      <c r="DS84">
        <v>30.041899999999998</v>
      </c>
      <c r="DT84">
        <v>30.780100000000001</v>
      </c>
      <c r="DU84">
        <v>9.2027199999999993</v>
      </c>
      <c r="DV84">
        <v>1</v>
      </c>
      <c r="DW84">
        <v>5.23659E-2</v>
      </c>
      <c r="DX84">
        <v>-0.18819</v>
      </c>
      <c r="DY84">
        <v>20.368400000000001</v>
      </c>
      <c r="DZ84">
        <v>5.2111799999999997</v>
      </c>
      <c r="EA84">
        <v>11.8482</v>
      </c>
      <c r="EB84">
        <v>4.9678000000000004</v>
      </c>
      <c r="EC84">
        <v>3.2919999999999998</v>
      </c>
      <c r="ED84">
        <v>894.7</v>
      </c>
      <c r="EE84">
        <v>0</v>
      </c>
      <c r="EF84">
        <v>9999</v>
      </c>
      <c r="EG84">
        <v>114.1</v>
      </c>
      <c r="EH84">
        <v>4.97166</v>
      </c>
      <c r="EI84">
        <v>1.8717999999999999</v>
      </c>
      <c r="EJ84">
        <v>1.8689</v>
      </c>
      <c r="EK84">
        <v>1.87134</v>
      </c>
      <c r="EL84">
        <v>1.8690500000000001</v>
      </c>
      <c r="EM84">
        <v>1.8680600000000001</v>
      </c>
      <c r="EN84">
        <v>1.8698900000000001</v>
      </c>
      <c r="EO84">
        <v>1.8716600000000001</v>
      </c>
      <c r="EP84">
        <v>0</v>
      </c>
      <c r="EQ84">
        <v>0</v>
      </c>
      <c r="ER84">
        <v>0</v>
      </c>
      <c r="ES84">
        <v>0</v>
      </c>
      <c r="ET84" t="s">
        <v>334</v>
      </c>
      <c r="EU84" t="s">
        <v>335</v>
      </c>
      <c r="EV84" t="s">
        <v>336</v>
      </c>
      <c r="EW84" t="s">
        <v>336</v>
      </c>
      <c r="EX84" t="s">
        <v>336</v>
      </c>
      <c r="EY84" t="s">
        <v>336</v>
      </c>
      <c r="EZ84">
        <v>0</v>
      </c>
      <c r="FA84">
        <v>100</v>
      </c>
      <c r="FB84">
        <v>100</v>
      </c>
      <c r="FC84">
        <v>7.8140000000000001</v>
      </c>
      <c r="FD84">
        <v>-0.997</v>
      </c>
      <c r="FE84">
        <v>7.79651904761905</v>
      </c>
      <c r="FF84">
        <v>0</v>
      </c>
      <c r="FG84">
        <v>0</v>
      </c>
      <c r="FH84">
        <v>0</v>
      </c>
      <c r="FI84">
        <v>-0.99574238095238132</v>
      </c>
      <c r="FJ84">
        <v>0</v>
      </c>
      <c r="FK84">
        <v>0</v>
      </c>
      <c r="FL84">
        <v>0</v>
      </c>
      <c r="FM84">
        <v>-1</v>
      </c>
      <c r="FN84">
        <v>-1</v>
      </c>
      <c r="FO84">
        <v>-1</v>
      </c>
      <c r="FP84">
        <v>-1</v>
      </c>
      <c r="FQ84">
        <v>0.8</v>
      </c>
      <c r="FR84">
        <v>0.6</v>
      </c>
      <c r="FS84">
        <v>0.142822</v>
      </c>
      <c r="FT84">
        <v>4.99756</v>
      </c>
      <c r="FU84">
        <v>1.5979000000000001</v>
      </c>
      <c r="FV84">
        <v>2.16309</v>
      </c>
      <c r="FW84">
        <v>1.5478499999999999</v>
      </c>
      <c r="FX84">
        <v>2.36816</v>
      </c>
      <c r="FY84">
        <v>32.134399999999999</v>
      </c>
      <c r="FZ84">
        <v>16.0671</v>
      </c>
      <c r="GA84">
        <v>3</v>
      </c>
      <c r="GB84">
        <v>491.98899999999998</v>
      </c>
      <c r="GC84">
        <v>425.858</v>
      </c>
      <c r="GD84">
        <v>25.980699999999999</v>
      </c>
      <c r="GE84">
        <v>27.903700000000001</v>
      </c>
      <c r="GF84">
        <v>30.0001</v>
      </c>
      <c r="GG84">
        <v>28.214300000000001</v>
      </c>
      <c r="GH84">
        <v>28.270800000000001</v>
      </c>
      <c r="GI84">
        <v>-1</v>
      </c>
      <c r="GJ84">
        <v>0</v>
      </c>
      <c r="GK84">
        <v>100</v>
      </c>
      <c r="GL84">
        <v>25.981000000000002</v>
      </c>
      <c r="GM84">
        <v>432.1</v>
      </c>
      <c r="GN84">
        <v>63.216500000000003</v>
      </c>
      <c r="GO84">
        <v>102.54300000000001</v>
      </c>
      <c r="GP84">
        <v>96.749399999999994</v>
      </c>
    </row>
    <row r="85" spans="1:198" x14ac:dyDescent="0.35">
      <c r="A85">
        <v>69</v>
      </c>
      <c r="B85">
        <v>1775507671.5999999</v>
      </c>
      <c r="C85">
        <v>4080.599999904633</v>
      </c>
      <c r="D85" t="s">
        <v>538</v>
      </c>
      <c r="E85" t="s">
        <v>539</v>
      </c>
      <c r="F85">
        <v>60</v>
      </c>
      <c r="G85">
        <v>1775507663.599999</v>
      </c>
      <c r="H85">
        <f t="shared" si="60"/>
        <v>9.1938827427706475E-4</v>
      </c>
      <c r="I85">
        <f t="shared" si="61"/>
        <v>0.91938827427706471</v>
      </c>
      <c r="J85">
        <f t="shared" si="62"/>
        <v>0.31367293616075609</v>
      </c>
      <c r="K85">
        <f t="shared" si="63"/>
        <v>56.462090322580643</v>
      </c>
      <c r="L85">
        <f t="shared" si="64"/>
        <v>34.767410179023585</v>
      </c>
      <c r="M85">
        <f t="shared" si="65"/>
        <v>3.4836626063348159</v>
      </c>
      <c r="N85">
        <f t="shared" si="66"/>
        <v>5.6574496552793585</v>
      </c>
      <c r="O85">
        <f t="shared" si="67"/>
        <v>2.6364133143515222E-2</v>
      </c>
      <c r="P85">
        <f t="shared" si="68"/>
        <v>2.3899412528469366</v>
      </c>
      <c r="Q85">
        <f t="shared" si="69"/>
        <v>2.620362274789376E-2</v>
      </c>
      <c r="R85">
        <f t="shared" si="70"/>
        <v>1.6391603855059857E-2</v>
      </c>
      <c r="S85">
        <f t="shared" si="71"/>
        <v>0</v>
      </c>
      <c r="T85">
        <f t="shared" si="72"/>
        <v>25.007324687895245</v>
      </c>
      <c r="U85">
        <f t="shared" si="73"/>
        <v>25.311654838709671</v>
      </c>
      <c r="V85">
        <f t="shared" si="74"/>
        <v>3.2392396827137859</v>
      </c>
      <c r="W85">
        <f t="shared" si="75"/>
        <v>-6.9051167475165851</v>
      </c>
      <c r="X85">
        <f t="shared" si="76"/>
        <v>-0.22346968286612753</v>
      </c>
      <c r="Y85">
        <f t="shared" si="77"/>
        <v>3.2362911596896331</v>
      </c>
      <c r="Z85">
        <f t="shared" si="78"/>
        <v>3.4627093655799133</v>
      </c>
      <c r="AA85">
        <f t="shared" si="79"/>
        <v>-40.545022895618558</v>
      </c>
      <c r="AB85">
        <f t="shared" si="80"/>
        <v>-1.9725985479346784</v>
      </c>
      <c r="AC85">
        <f t="shared" si="81"/>
        <v>-0.17512168296196565</v>
      </c>
      <c r="AD85">
        <f t="shared" si="82"/>
        <v>-42.692743126515204</v>
      </c>
      <c r="AE85">
        <v>18</v>
      </c>
      <c r="AF85">
        <v>4</v>
      </c>
      <c r="AG85">
        <f t="shared" si="83"/>
        <v>1</v>
      </c>
      <c r="AH85">
        <f t="shared" si="84"/>
        <v>0</v>
      </c>
      <c r="AI85">
        <f t="shared" si="85"/>
        <v>25691.42768151002</v>
      </c>
      <c r="AJ85">
        <f t="shared" si="86"/>
        <v>0</v>
      </c>
      <c r="AK85">
        <f t="shared" si="87"/>
        <v>0</v>
      </c>
      <c r="AL85">
        <f t="shared" si="88"/>
        <v>0</v>
      </c>
      <c r="AM85">
        <f t="shared" si="89"/>
        <v>0</v>
      </c>
      <c r="AN85">
        <v>3</v>
      </c>
      <c r="AO85">
        <v>0.5</v>
      </c>
      <c r="AP85" t="s">
        <v>331</v>
      </c>
      <c r="AQ85">
        <v>2</v>
      </c>
      <c r="AR85">
        <v>1775507663.599999</v>
      </c>
      <c r="AS85">
        <v>56.462090322580643</v>
      </c>
      <c r="AT85">
        <v>56.681445161290327</v>
      </c>
      <c r="AU85">
        <v>-2.2302567741935482</v>
      </c>
      <c r="AV85">
        <v>-2.7831319354838708</v>
      </c>
      <c r="AW85">
        <v>48.687090322580637</v>
      </c>
      <c r="AX85">
        <v>-1.234256774193548</v>
      </c>
      <c r="AY85">
        <v>499.98922580645171</v>
      </c>
      <c r="AZ85">
        <v>100.1617096774193</v>
      </c>
      <c r="BA85">
        <v>3.7372980645161293E-2</v>
      </c>
      <c r="BB85">
        <v>25.296345161290329</v>
      </c>
      <c r="BC85">
        <v>25.311654838709671</v>
      </c>
      <c r="BD85">
        <v>999.90000000000032</v>
      </c>
      <c r="BE85">
        <v>0</v>
      </c>
      <c r="BF85">
        <v>0</v>
      </c>
      <c r="BG85">
        <v>4996.8387096774204</v>
      </c>
      <c r="BH85">
        <v>0.41527025806451612</v>
      </c>
      <c r="BI85">
        <v>0.22961599999999999</v>
      </c>
      <c r="BJ85">
        <v>-0.17997397870967741</v>
      </c>
      <c r="BK85">
        <v>56.375670967741932</v>
      </c>
      <c r="BL85">
        <v>56.524125806451629</v>
      </c>
      <c r="BM85">
        <v>0.55160229032258068</v>
      </c>
      <c r="BN85">
        <v>56.681445161290327</v>
      </c>
      <c r="BO85">
        <v>-2.7831319354838708</v>
      </c>
      <c r="BP85">
        <v>-0.22351396774193549</v>
      </c>
      <c r="BQ85">
        <v>-0.27876351612903227</v>
      </c>
      <c r="BR85">
        <v>-99.900000000000034</v>
      </c>
      <c r="BS85">
        <v>-99.900000000000034</v>
      </c>
      <c r="BT85">
        <v>0</v>
      </c>
      <c r="BU85">
        <v>0</v>
      </c>
      <c r="BV85">
        <v>0</v>
      </c>
      <c r="BW85">
        <v>24</v>
      </c>
      <c r="BX85">
        <v>-1</v>
      </c>
      <c r="BY85">
        <v>1775507690.5999999</v>
      </c>
      <c r="BZ85" t="s">
        <v>540</v>
      </c>
      <c r="CA85">
        <v>1775507688.5999999</v>
      </c>
      <c r="CB85">
        <v>1775507690.5999999</v>
      </c>
      <c r="CC85">
        <v>72</v>
      </c>
      <c r="CD85">
        <v>-0.04</v>
      </c>
      <c r="CE85">
        <v>1E-3</v>
      </c>
      <c r="CF85">
        <v>7.7750000000000004</v>
      </c>
      <c r="CG85">
        <v>-0.996</v>
      </c>
      <c r="CH85">
        <v>57</v>
      </c>
      <c r="CI85">
        <v>-3</v>
      </c>
      <c r="CJ85">
        <v>0.12</v>
      </c>
      <c r="CK85">
        <v>0.12</v>
      </c>
      <c r="CL85">
        <v>56.599944262295082</v>
      </c>
      <c r="CM85">
        <v>0.64941448968799997</v>
      </c>
      <c r="CN85">
        <v>0.15757460738744741</v>
      </c>
      <c r="CO85">
        <v>-1</v>
      </c>
      <c r="CP85">
        <v>499.99840983606572</v>
      </c>
      <c r="CQ85">
        <v>-3.8240084612212497E-2</v>
      </c>
      <c r="CR85">
        <v>5.8888997288222958E-2</v>
      </c>
      <c r="CS85">
        <v>-1</v>
      </c>
      <c r="CT85">
        <v>0</v>
      </c>
      <c r="CU85">
        <v>0</v>
      </c>
      <c r="CV85" t="s">
        <v>333</v>
      </c>
      <c r="CW85">
        <v>3.1673900000000001</v>
      </c>
      <c r="CX85">
        <v>2.65882</v>
      </c>
      <c r="CY85">
        <v>1.45814E-2</v>
      </c>
      <c r="CZ85">
        <v>1.69518E-2</v>
      </c>
      <c r="DA85">
        <v>-1.1065800000000001E-2</v>
      </c>
      <c r="DB85">
        <v>-2.78862E-2</v>
      </c>
      <c r="DC85">
        <v>21341.599999999999</v>
      </c>
      <c r="DD85">
        <v>21654.1</v>
      </c>
      <c r="DE85">
        <v>23183.200000000001</v>
      </c>
      <c r="DF85">
        <v>22376.2</v>
      </c>
      <c r="DG85">
        <v>30219.599999999999</v>
      </c>
      <c r="DH85">
        <v>27417.8</v>
      </c>
      <c r="DI85">
        <v>40733.199999999997</v>
      </c>
      <c r="DJ85">
        <v>37073.4</v>
      </c>
      <c r="DK85">
        <v>2.10318</v>
      </c>
      <c r="DL85">
        <v>1.8571800000000001</v>
      </c>
      <c r="DM85">
        <v>2.4831300000000001E-2</v>
      </c>
      <c r="DN85">
        <v>0</v>
      </c>
      <c r="DO85">
        <v>24.902699999999999</v>
      </c>
      <c r="DP85">
        <v>999.9</v>
      </c>
      <c r="DQ85">
        <v>80.599999999999994</v>
      </c>
      <c r="DR85">
        <v>27.7</v>
      </c>
      <c r="DS85">
        <v>30.006699999999999</v>
      </c>
      <c r="DT85">
        <v>30.960100000000001</v>
      </c>
      <c r="DU85">
        <v>8.9543300000000006</v>
      </c>
      <c r="DV85">
        <v>1</v>
      </c>
      <c r="DW85">
        <v>5.2479699999999997E-2</v>
      </c>
      <c r="DX85">
        <v>-0.21155299999999999</v>
      </c>
      <c r="DY85">
        <v>20.368300000000001</v>
      </c>
      <c r="DZ85">
        <v>5.2115400000000003</v>
      </c>
      <c r="EA85">
        <v>11.8482</v>
      </c>
      <c r="EB85">
        <v>4.9679599999999997</v>
      </c>
      <c r="EC85">
        <v>3.2920199999999999</v>
      </c>
      <c r="ED85">
        <v>894.7</v>
      </c>
      <c r="EE85">
        <v>0</v>
      </c>
      <c r="EF85">
        <v>9999</v>
      </c>
      <c r="EG85">
        <v>114.1</v>
      </c>
      <c r="EH85">
        <v>4.9716699999999996</v>
      </c>
      <c r="EI85">
        <v>1.8717999999999999</v>
      </c>
      <c r="EJ85">
        <v>1.8689</v>
      </c>
      <c r="EK85">
        <v>1.87134</v>
      </c>
      <c r="EL85">
        <v>1.8690500000000001</v>
      </c>
      <c r="EM85">
        <v>1.86808</v>
      </c>
      <c r="EN85">
        <v>1.8698999999999999</v>
      </c>
      <c r="EO85">
        <v>1.87168</v>
      </c>
      <c r="EP85">
        <v>0</v>
      </c>
      <c r="EQ85">
        <v>0</v>
      </c>
      <c r="ER85">
        <v>0</v>
      </c>
      <c r="ES85">
        <v>0</v>
      </c>
      <c r="ET85" t="s">
        <v>334</v>
      </c>
      <c r="EU85" t="s">
        <v>335</v>
      </c>
      <c r="EV85" t="s">
        <v>336</v>
      </c>
      <c r="EW85" t="s">
        <v>336</v>
      </c>
      <c r="EX85" t="s">
        <v>336</v>
      </c>
      <c r="EY85" t="s">
        <v>336</v>
      </c>
      <c r="EZ85">
        <v>0</v>
      </c>
      <c r="FA85">
        <v>100</v>
      </c>
      <c r="FB85">
        <v>100</v>
      </c>
      <c r="FC85">
        <v>7.7750000000000004</v>
      </c>
      <c r="FD85">
        <v>-0.996</v>
      </c>
      <c r="FE85">
        <v>7.8143900000000102</v>
      </c>
      <c r="FF85">
        <v>0</v>
      </c>
      <c r="FG85">
        <v>0</v>
      </c>
      <c r="FH85">
        <v>0</v>
      </c>
      <c r="FI85">
        <v>-0.99727349999999948</v>
      </c>
      <c r="FJ85">
        <v>0</v>
      </c>
      <c r="FK85">
        <v>0</v>
      </c>
      <c r="FL85">
        <v>0</v>
      </c>
      <c r="FM85">
        <v>-1</v>
      </c>
      <c r="FN85">
        <v>-1</v>
      </c>
      <c r="FO85">
        <v>-1</v>
      </c>
      <c r="FP85">
        <v>-1</v>
      </c>
      <c r="FQ85">
        <v>0.8</v>
      </c>
      <c r="FR85">
        <v>0.7</v>
      </c>
      <c r="FS85">
        <v>0.142822</v>
      </c>
      <c r="FT85">
        <v>4.99756</v>
      </c>
      <c r="FU85">
        <v>1.5979000000000001</v>
      </c>
      <c r="FV85">
        <v>2.16309</v>
      </c>
      <c r="FW85">
        <v>1.5478499999999999</v>
      </c>
      <c r="FX85">
        <v>2.4328599999999998</v>
      </c>
      <c r="FY85">
        <v>32.134399999999999</v>
      </c>
      <c r="FZ85">
        <v>16.075800000000001</v>
      </c>
      <c r="GA85">
        <v>3</v>
      </c>
      <c r="GB85">
        <v>492.10899999999998</v>
      </c>
      <c r="GC85">
        <v>425.839</v>
      </c>
      <c r="GD85">
        <v>25.996500000000001</v>
      </c>
      <c r="GE85">
        <v>27.903700000000001</v>
      </c>
      <c r="GF85">
        <v>30</v>
      </c>
      <c r="GG85">
        <v>28.2165</v>
      </c>
      <c r="GH85">
        <v>28.273099999999999</v>
      </c>
      <c r="GI85">
        <v>-1</v>
      </c>
      <c r="GJ85">
        <v>0</v>
      </c>
      <c r="GK85">
        <v>100</v>
      </c>
      <c r="GL85">
        <v>25.997800000000002</v>
      </c>
      <c r="GM85">
        <v>432.1</v>
      </c>
      <c r="GN85">
        <v>63.216500000000003</v>
      </c>
      <c r="GO85">
        <v>102.541</v>
      </c>
      <c r="GP85">
        <v>96.747699999999995</v>
      </c>
    </row>
    <row r="86" spans="1:198" x14ac:dyDescent="0.35">
      <c r="A86">
        <v>70</v>
      </c>
      <c r="B86">
        <v>1775507731.5999999</v>
      </c>
      <c r="C86">
        <v>4140.5999999046326</v>
      </c>
      <c r="D86" t="s">
        <v>541</v>
      </c>
      <c r="E86" t="s">
        <v>542</v>
      </c>
      <c r="F86">
        <v>60</v>
      </c>
      <c r="G86">
        <v>1775507723.599999</v>
      </c>
      <c r="H86">
        <f t="shared" si="60"/>
        <v>9.1274470754829291E-4</v>
      </c>
      <c r="I86">
        <f t="shared" si="61"/>
        <v>0.91274470754829296</v>
      </c>
      <c r="J86">
        <f t="shared" si="62"/>
        <v>0.21540985036376697</v>
      </c>
      <c r="K86">
        <f t="shared" si="63"/>
        <v>56.968251612903209</v>
      </c>
      <c r="L86">
        <f t="shared" si="64"/>
        <v>40.983374532999562</v>
      </c>
      <c r="M86">
        <f t="shared" si="65"/>
        <v>4.1065359252614284</v>
      </c>
      <c r="N86">
        <f t="shared" si="66"/>
        <v>5.7082213095788514</v>
      </c>
      <c r="O86">
        <f t="shared" si="67"/>
        <v>2.6171301503386431E-2</v>
      </c>
      <c r="P86">
        <f t="shared" si="68"/>
        <v>2.3917351169991163</v>
      </c>
      <c r="Q86">
        <f t="shared" si="69"/>
        <v>2.6013240782682606E-2</v>
      </c>
      <c r="R86">
        <f t="shared" si="70"/>
        <v>1.627239691889739E-2</v>
      </c>
      <c r="S86">
        <f t="shared" si="71"/>
        <v>0</v>
      </c>
      <c r="T86">
        <f t="shared" si="72"/>
        <v>25.012969696694569</v>
      </c>
      <c r="U86">
        <f t="shared" si="73"/>
        <v>25.31228387096774</v>
      </c>
      <c r="V86">
        <f t="shared" si="74"/>
        <v>3.2393608795444107</v>
      </c>
      <c r="W86">
        <f t="shared" si="75"/>
        <v>-6.9052426845580301</v>
      </c>
      <c r="X86">
        <f t="shared" si="76"/>
        <v>-0.22351840342644805</v>
      </c>
      <c r="Y86">
        <f t="shared" si="77"/>
        <v>3.2369376955613012</v>
      </c>
      <c r="Z86">
        <f t="shared" si="78"/>
        <v>3.4628792829708588</v>
      </c>
      <c r="AA86">
        <f t="shared" si="79"/>
        <v>-40.252041602879714</v>
      </c>
      <c r="AB86">
        <f t="shared" si="80"/>
        <v>-1.6221889424137244</v>
      </c>
      <c r="AC86">
        <f t="shared" si="81"/>
        <v>-0.143908187176224</v>
      </c>
      <c r="AD86">
        <f t="shared" si="82"/>
        <v>-42.018138732469659</v>
      </c>
      <c r="AE86">
        <v>18</v>
      </c>
      <c r="AF86">
        <v>4</v>
      </c>
      <c r="AG86">
        <f t="shared" si="83"/>
        <v>1</v>
      </c>
      <c r="AH86">
        <f t="shared" si="84"/>
        <v>0</v>
      </c>
      <c r="AI86">
        <f t="shared" si="85"/>
        <v>25718.547517658684</v>
      </c>
      <c r="AJ86">
        <f t="shared" si="86"/>
        <v>0</v>
      </c>
      <c r="AK86">
        <f t="shared" si="87"/>
        <v>0</v>
      </c>
      <c r="AL86">
        <f t="shared" si="88"/>
        <v>0</v>
      </c>
      <c r="AM86">
        <f t="shared" si="89"/>
        <v>0</v>
      </c>
      <c r="AN86">
        <v>3</v>
      </c>
      <c r="AO86">
        <v>0.5</v>
      </c>
      <c r="AP86" t="s">
        <v>331</v>
      </c>
      <c r="AQ86">
        <v>2</v>
      </c>
      <c r="AR86">
        <v>1775507723.599999</v>
      </c>
      <c r="AS86">
        <v>56.968251612903209</v>
      </c>
      <c r="AT86">
        <v>57.128690322580653</v>
      </c>
      <c r="AU86">
        <v>-2.2307216129032259</v>
      </c>
      <c r="AV86">
        <v>-2.7795706451612898</v>
      </c>
      <c r="AW86">
        <v>49.150251612903212</v>
      </c>
      <c r="AX86">
        <v>-1.2327216129032259</v>
      </c>
      <c r="AY86">
        <v>500.01770967741942</v>
      </c>
      <c r="AZ86">
        <v>100.1627741935484</v>
      </c>
      <c r="BA86">
        <v>3.726965483870967E-2</v>
      </c>
      <c r="BB86">
        <v>25.299703225806439</v>
      </c>
      <c r="BC86">
        <v>25.31228387096774</v>
      </c>
      <c r="BD86">
        <v>999.90000000000032</v>
      </c>
      <c r="BE86">
        <v>0</v>
      </c>
      <c r="BF86">
        <v>0</v>
      </c>
      <c r="BG86">
        <v>5001.4032258064517</v>
      </c>
      <c r="BH86">
        <v>0.38503083870967741</v>
      </c>
      <c r="BI86">
        <v>0.22961599999999999</v>
      </c>
      <c r="BJ86">
        <v>-0.20382361290322579</v>
      </c>
      <c r="BK86">
        <v>56.798270967741942</v>
      </c>
      <c r="BL86">
        <v>56.97034193548388</v>
      </c>
      <c r="BM86">
        <v>0.55074277419354833</v>
      </c>
      <c r="BN86">
        <v>57.128690322580653</v>
      </c>
      <c r="BO86">
        <v>-2.7795706451612898</v>
      </c>
      <c r="BP86">
        <v>-0.22324558064516131</v>
      </c>
      <c r="BQ86">
        <v>-0.2784094516129032</v>
      </c>
      <c r="BR86">
        <v>-99.900000000000034</v>
      </c>
      <c r="BS86">
        <v>-99.900000000000034</v>
      </c>
      <c r="BT86">
        <v>0</v>
      </c>
      <c r="BU86">
        <v>0</v>
      </c>
      <c r="BV86">
        <v>0</v>
      </c>
      <c r="BW86">
        <v>24</v>
      </c>
      <c r="BX86">
        <v>-1</v>
      </c>
      <c r="BY86">
        <v>1775507751.5999999</v>
      </c>
      <c r="BZ86" t="s">
        <v>543</v>
      </c>
      <c r="CA86">
        <v>1775507745.5999999</v>
      </c>
      <c r="CB86">
        <v>1775507751.5999999</v>
      </c>
      <c r="CC86">
        <v>73</v>
      </c>
      <c r="CD86">
        <v>4.3999999999999997E-2</v>
      </c>
      <c r="CE86">
        <v>-2E-3</v>
      </c>
      <c r="CF86">
        <v>7.8179999999999996</v>
      </c>
      <c r="CG86">
        <v>-0.998</v>
      </c>
      <c r="CH86">
        <v>57</v>
      </c>
      <c r="CI86">
        <v>-3</v>
      </c>
      <c r="CJ86">
        <v>0.19</v>
      </c>
      <c r="CK86">
        <v>0.14000000000000001</v>
      </c>
      <c r="CL86">
        <v>57.055903278688518</v>
      </c>
      <c r="CM86">
        <v>0.52031454257005916</v>
      </c>
      <c r="CN86">
        <v>8.8989735947491502E-2</v>
      </c>
      <c r="CO86">
        <v>-1</v>
      </c>
      <c r="CP86">
        <v>500.00488524590162</v>
      </c>
      <c r="CQ86">
        <v>-4.1831835008956313E-2</v>
      </c>
      <c r="CR86">
        <v>6.1006610327308537E-2</v>
      </c>
      <c r="CS86">
        <v>-1</v>
      </c>
      <c r="CT86">
        <v>0</v>
      </c>
      <c r="CU86">
        <v>0</v>
      </c>
      <c r="CV86" t="s">
        <v>333</v>
      </c>
      <c r="CW86">
        <v>3.1673300000000002</v>
      </c>
      <c r="CX86">
        <v>2.65848</v>
      </c>
      <c r="CY86">
        <v>1.4679899999999999E-2</v>
      </c>
      <c r="CZ86">
        <v>1.70294E-2</v>
      </c>
      <c r="DA86">
        <v>-1.10356E-2</v>
      </c>
      <c r="DB86">
        <v>-2.7827399999999999E-2</v>
      </c>
      <c r="DC86">
        <v>21339.5</v>
      </c>
      <c r="DD86">
        <v>21652.2</v>
      </c>
      <c r="DE86">
        <v>23183.200000000001</v>
      </c>
      <c r="DF86">
        <v>22376</v>
      </c>
      <c r="DG86">
        <v>30218.6</v>
      </c>
      <c r="DH86">
        <v>27416.400000000001</v>
      </c>
      <c r="DI86">
        <v>40733.1</v>
      </c>
      <c r="DJ86">
        <v>37073.599999999999</v>
      </c>
      <c r="DK86">
        <v>2.1030799999999998</v>
      </c>
      <c r="DL86">
        <v>1.8572</v>
      </c>
      <c r="DM86">
        <v>2.4825300000000002E-2</v>
      </c>
      <c r="DN86">
        <v>0</v>
      </c>
      <c r="DO86">
        <v>24.905799999999999</v>
      </c>
      <c r="DP86">
        <v>999.9</v>
      </c>
      <c r="DQ86">
        <v>80.599999999999994</v>
      </c>
      <c r="DR86">
        <v>27.7</v>
      </c>
      <c r="DS86">
        <v>30.008400000000002</v>
      </c>
      <c r="DT86">
        <v>31.020099999999999</v>
      </c>
      <c r="DU86">
        <v>9.1306100000000008</v>
      </c>
      <c r="DV86">
        <v>1</v>
      </c>
      <c r="DW86">
        <v>5.25732E-2</v>
      </c>
      <c r="DX86">
        <v>-0.19037499999999999</v>
      </c>
      <c r="DY86">
        <v>20.368400000000001</v>
      </c>
      <c r="DZ86">
        <v>5.2133399999999996</v>
      </c>
      <c r="EA86">
        <v>11.8482</v>
      </c>
      <c r="EB86">
        <v>4.9688800000000004</v>
      </c>
      <c r="EC86">
        <v>3.2920199999999999</v>
      </c>
      <c r="ED86">
        <v>894.7</v>
      </c>
      <c r="EE86">
        <v>0</v>
      </c>
      <c r="EF86">
        <v>9999</v>
      </c>
      <c r="EG86">
        <v>114.1</v>
      </c>
      <c r="EH86">
        <v>4.97166</v>
      </c>
      <c r="EI86">
        <v>1.8717999999999999</v>
      </c>
      <c r="EJ86">
        <v>1.8689</v>
      </c>
      <c r="EK86">
        <v>1.87134</v>
      </c>
      <c r="EL86">
        <v>1.8690500000000001</v>
      </c>
      <c r="EM86">
        <v>1.8680699999999999</v>
      </c>
      <c r="EN86">
        <v>1.8698399999999999</v>
      </c>
      <c r="EO86">
        <v>1.8716699999999999</v>
      </c>
      <c r="EP86">
        <v>0</v>
      </c>
      <c r="EQ86">
        <v>0</v>
      </c>
      <c r="ER86">
        <v>0</v>
      </c>
      <c r="ES86">
        <v>0</v>
      </c>
      <c r="ET86" t="s">
        <v>334</v>
      </c>
      <c r="EU86" t="s">
        <v>335</v>
      </c>
      <c r="EV86" t="s">
        <v>336</v>
      </c>
      <c r="EW86" t="s">
        <v>336</v>
      </c>
      <c r="EX86" t="s">
        <v>336</v>
      </c>
      <c r="EY86" t="s">
        <v>336</v>
      </c>
      <c r="EZ86">
        <v>0</v>
      </c>
      <c r="FA86">
        <v>100</v>
      </c>
      <c r="FB86">
        <v>100</v>
      </c>
      <c r="FC86">
        <v>7.8179999999999996</v>
      </c>
      <c r="FD86">
        <v>-0.998</v>
      </c>
      <c r="FE86">
        <v>7.7746199999999916</v>
      </c>
      <c r="FF86">
        <v>0</v>
      </c>
      <c r="FG86">
        <v>0</v>
      </c>
      <c r="FH86">
        <v>0</v>
      </c>
      <c r="FI86">
        <v>-0.99610650000000001</v>
      </c>
      <c r="FJ86">
        <v>0</v>
      </c>
      <c r="FK86">
        <v>0</v>
      </c>
      <c r="FL86">
        <v>0</v>
      </c>
      <c r="FM86">
        <v>-1</v>
      </c>
      <c r="FN86">
        <v>-1</v>
      </c>
      <c r="FO86">
        <v>-1</v>
      </c>
      <c r="FP86">
        <v>-1</v>
      </c>
      <c r="FQ86">
        <v>0.7</v>
      </c>
      <c r="FR86">
        <v>0.7</v>
      </c>
      <c r="FS86">
        <v>0.142822</v>
      </c>
      <c r="FT86">
        <v>4.99756</v>
      </c>
      <c r="FU86">
        <v>1.5979000000000001</v>
      </c>
      <c r="FV86">
        <v>2.16431</v>
      </c>
      <c r="FW86">
        <v>1.5478499999999999</v>
      </c>
      <c r="FX86">
        <v>2.3278799999999999</v>
      </c>
      <c r="FY86">
        <v>32.156399999999998</v>
      </c>
      <c r="FZ86">
        <v>16.058299999999999</v>
      </c>
      <c r="GA86">
        <v>3</v>
      </c>
      <c r="GB86">
        <v>492.07100000000003</v>
      </c>
      <c r="GC86">
        <v>425.851</v>
      </c>
      <c r="GD86">
        <v>25.9923</v>
      </c>
      <c r="GE86">
        <v>27.905999999999999</v>
      </c>
      <c r="GF86">
        <v>30.0001</v>
      </c>
      <c r="GG86">
        <v>28.218900000000001</v>
      </c>
      <c r="GH86">
        <v>28.273099999999999</v>
      </c>
      <c r="GI86">
        <v>-1</v>
      </c>
      <c r="GJ86">
        <v>0</v>
      </c>
      <c r="GK86">
        <v>100</v>
      </c>
      <c r="GL86">
        <v>25.989899999999999</v>
      </c>
      <c r="GM86">
        <v>432.1</v>
      </c>
      <c r="GN86">
        <v>63.216500000000003</v>
      </c>
      <c r="GO86">
        <v>102.541</v>
      </c>
      <c r="GP86">
        <v>96.747900000000001</v>
      </c>
    </row>
    <row r="87" spans="1:198" x14ac:dyDescent="0.35">
      <c r="A87">
        <v>71</v>
      </c>
      <c r="B87">
        <v>1775507791.5999999</v>
      </c>
      <c r="C87">
        <v>4200.5999999046326</v>
      </c>
      <c r="D87" t="s">
        <v>544</v>
      </c>
      <c r="E87" t="s">
        <v>545</v>
      </c>
      <c r="F87">
        <v>60</v>
      </c>
      <c r="G87">
        <v>1775507783.599999</v>
      </c>
      <c r="H87">
        <f t="shared" si="60"/>
        <v>9.3280552557254424E-4</v>
      </c>
      <c r="I87">
        <f t="shared" si="61"/>
        <v>0.93280552557254426</v>
      </c>
      <c r="J87">
        <f t="shared" si="62"/>
        <v>0.21005879414750636</v>
      </c>
      <c r="K87">
        <f t="shared" si="63"/>
        <v>57.172074193548383</v>
      </c>
      <c r="L87">
        <f t="shared" si="64"/>
        <v>41.762837398423628</v>
      </c>
      <c r="M87">
        <f t="shared" si="65"/>
        <v>4.184647527918707</v>
      </c>
      <c r="N87">
        <f t="shared" si="66"/>
        <v>5.7286571948544767</v>
      </c>
      <c r="O87">
        <f t="shared" si="67"/>
        <v>2.6743939517223644E-2</v>
      </c>
      <c r="P87">
        <f t="shared" si="68"/>
        <v>2.3911994289584473</v>
      </c>
      <c r="Q87">
        <f t="shared" si="69"/>
        <v>2.6578873080442156E-2</v>
      </c>
      <c r="R87">
        <f t="shared" si="70"/>
        <v>1.6626541188014984E-2</v>
      </c>
      <c r="S87">
        <f t="shared" si="71"/>
        <v>0</v>
      </c>
      <c r="T87">
        <f t="shared" si="72"/>
        <v>25.014364109826968</v>
      </c>
      <c r="U87">
        <f t="shared" si="73"/>
        <v>25.322045161290319</v>
      </c>
      <c r="V87">
        <f t="shared" si="74"/>
        <v>3.2412421135904634</v>
      </c>
      <c r="W87">
        <f t="shared" si="75"/>
        <v>-6.8671252881014011</v>
      </c>
      <c r="X87">
        <f t="shared" si="76"/>
        <v>-0.22238712675422498</v>
      </c>
      <c r="Y87">
        <f t="shared" si="77"/>
        <v>3.2384311837087481</v>
      </c>
      <c r="Z87">
        <f t="shared" si="78"/>
        <v>3.4636292403446882</v>
      </c>
      <c r="AA87">
        <f t="shared" si="79"/>
        <v>-41.136723677749202</v>
      </c>
      <c r="AB87">
        <f t="shared" si="80"/>
        <v>-1.8804860058772417</v>
      </c>
      <c r="AC87">
        <f t="shared" si="81"/>
        <v>-0.16687439517788907</v>
      </c>
      <c r="AD87">
        <f t="shared" si="82"/>
        <v>-43.184084078804339</v>
      </c>
      <c r="AE87">
        <v>18</v>
      </c>
      <c r="AF87">
        <v>4</v>
      </c>
      <c r="AG87">
        <f t="shared" si="83"/>
        <v>1</v>
      </c>
      <c r="AH87">
        <f t="shared" si="84"/>
        <v>0</v>
      </c>
      <c r="AI87">
        <f t="shared" si="85"/>
        <v>25709.674683387813</v>
      </c>
      <c r="AJ87">
        <f t="shared" si="86"/>
        <v>0</v>
      </c>
      <c r="AK87">
        <f t="shared" si="87"/>
        <v>0</v>
      </c>
      <c r="AL87">
        <f t="shared" si="88"/>
        <v>0</v>
      </c>
      <c r="AM87">
        <f t="shared" si="89"/>
        <v>0</v>
      </c>
      <c r="AN87">
        <v>3</v>
      </c>
      <c r="AO87">
        <v>0.5</v>
      </c>
      <c r="AP87" t="s">
        <v>331</v>
      </c>
      <c r="AQ87">
        <v>2</v>
      </c>
      <c r="AR87">
        <v>1775507783.599999</v>
      </c>
      <c r="AS87">
        <v>57.172074193548383</v>
      </c>
      <c r="AT87">
        <v>57.330106451612899</v>
      </c>
      <c r="AU87">
        <v>-2.219426451612903</v>
      </c>
      <c r="AV87">
        <v>-2.7803474193548379</v>
      </c>
      <c r="AW87">
        <v>49.366074193548393</v>
      </c>
      <c r="AX87">
        <v>-1.222426451612904</v>
      </c>
      <c r="AY87">
        <v>500.00403225806463</v>
      </c>
      <c r="AZ87">
        <v>100.162935483871</v>
      </c>
      <c r="BA87">
        <v>3.7333190322580638E-2</v>
      </c>
      <c r="BB87">
        <v>25.30745806451614</v>
      </c>
      <c r="BC87">
        <v>25.322045161290319</v>
      </c>
      <c r="BD87">
        <v>999.90000000000032</v>
      </c>
      <c r="BE87">
        <v>0</v>
      </c>
      <c r="BF87">
        <v>0</v>
      </c>
      <c r="BG87">
        <v>5000.0161290322594</v>
      </c>
      <c r="BH87">
        <v>0.40679212903225809</v>
      </c>
      <c r="BI87">
        <v>0.22961599999999999</v>
      </c>
      <c r="BJ87">
        <v>-0.1455419838709677</v>
      </c>
      <c r="BK87">
        <v>57.057880645161291</v>
      </c>
      <c r="BL87">
        <v>57.171158064516142</v>
      </c>
      <c r="BM87">
        <v>0.56001570967741943</v>
      </c>
      <c r="BN87">
        <v>57.330106451612899</v>
      </c>
      <c r="BO87">
        <v>-2.7803474193548379</v>
      </c>
      <c r="BP87">
        <v>-0.22239480645161289</v>
      </c>
      <c r="BQ87">
        <v>-0.27848751612903222</v>
      </c>
      <c r="BR87">
        <v>-99.900000000000034</v>
      </c>
      <c r="BS87">
        <v>-99.900000000000034</v>
      </c>
      <c r="BT87">
        <v>0</v>
      </c>
      <c r="BU87">
        <v>0</v>
      </c>
      <c r="BV87">
        <v>0</v>
      </c>
      <c r="BW87">
        <v>24</v>
      </c>
      <c r="BX87">
        <v>-1</v>
      </c>
      <c r="BY87">
        <v>1775507811.5999999</v>
      </c>
      <c r="BZ87" t="s">
        <v>546</v>
      </c>
      <c r="CA87">
        <v>1775507808.5999999</v>
      </c>
      <c r="CB87">
        <v>1775507811.5999999</v>
      </c>
      <c r="CC87">
        <v>74</v>
      </c>
      <c r="CD87">
        <v>-1.2999999999999999E-2</v>
      </c>
      <c r="CE87">
        <v>0</v>
      </c>
      <c r="CF87">
        <v>7.806</v>
      </c>
      <c r="CG87">
        <v>-0.997</v>
      </c>
      <c r="CH87">
        <v>57</v>
      </c>
      <c r="CI87">
        <v>-3</v>
      </c>
      <c r="CJ87">
        <v>0.26</v>
      </c>
      <c r="CK87">
        <v>0.14000000000000001</v>
      </c>
      <c r="CL87">
        <v>57.25916885245902</v>
      </c>
      <c r="CM87">
        <v>0.67975208884186378</v>
      </c>
      <c r="CN87">
        <v>0.13915577135700011</v>
      </c>
      <c r="CO87">
        <v>-1</v>
      </c>
      <c r="CP87">
        <v>500.00895081967212</v>
      </c>
      <c r="CQ87">
        <v>-5.5938656795596772E-2</v>
      </c>
      <c r="CR87">
        <v>7.4520857731461262E-2</v>
      </c>
      <c r="CS87">
        <v>-1</v>
      </c>
      <c r="CT87">
        <v>0</v>
      </c>
      <c r="CU87">
        <v>0</v>
      </c>
      <c r="CV87" t="s">
        <v>333</v>
      </c>
      <c r="CW87">
        <v>3.1672600000000002</v>
      </c>
      <c r="CX87">
        <v>2.6584400000000001</v>
      </c>
      <c r="CY87">
        <v>1.47303E-2</v>
      </c>
      <c r="CZ87">
        <v>1.70288E-2</v>
      </c>
      <c r="DA87">
        <v>-1.0931700000000001E-2</v>
      </c>
      <c r="DB87">
        <v>-2.7811599999999999E-2</v>
      </c>
      <c r="DC87">
        <v>21337.599999999999</v>
      </c>
      <c r="DD87">
        <v>21652.1</v>
      </c>
      <c r="DE87">
        <v>23182.3</v>
      </c>
      <c r="DF87">
        <v>22375.9</v>
      </c>
      <c r="DG87">
        <v>30214.7</v>
      </c>
      <c r="DH87">
        <v>27415.9</v>
      </c>
      <c r="DI87">
        <v>40732</v>
      </c>
      <c r="DJ87">
        <v>37073.4</v>
      </c>
      <c r="DK87">
        <v>2.1028799999999999</v>
      </c>
      <c r="DL87">
        <v>1.8571599999999999</v>
      </c>
      <c r="DM87">
        <v>2.5475000000000001E-2</v>
      </c>
      <c r="DN87">
        <v>0</v>
      </c>
      <c r="DO87">
        <v>24.9115</v>
      </c>
      <c r="DP87">
        <v>999.9</v>
      </c>
      <c r="DQ87">
        <v>80.5</v>
      </c>
      <c r="DR87">
        <v>27.7</v>
      </c>
      <c r="DS87">
        <v>29.970300000000002</v>
      </c>
      <c r="DT87">
        <v>30.990100000000002</v>
      </c>
      <c r="DU87">
        <v>9.1506399999999992</v>
      </c>
      <c r="DV87">
        <v>1</v>
      </c>
      <c r="DW87">
        <v>5.2723600000000002E-2</v>
      </c>
      <c r="DX87">
        <v>-0.104229</v>
      </c>
      <c r="DY87">
        <v>20.368500000000001</v>
      </c>
      <c r="DZ87">
        <v>5.2112999999999996</v>
      </c>
      <c r="EA87">
        <v>11.8482</v>
      </c>
      <c r="EB87">
        <v>4.9688400000000001</v>
      </c>
      <c r="EC87">
        <v>3.2920600000000002</v>
      </c>
      <c r="ED87">
        <v>894.7</v>
      </c>
      <c r="EE87">
        <v>0</v>
      </c>
      <c r="EF87">
        <v>9999</v>
      </c>
      <c r="EG87">
        <v>114.2</v>
      </c>
      <c r="EH87">
        <v>4.9716800000000001</v>
      </c>
      <c r="EI87">
        <v>1.8717999999999999</v>
      </c>
      <c r="EJ87">
        <v>1.8689</v>
      </c>
      <c r="EK87">
        <v>1.87134</v>
      </c>
      <c r="EL87">
        <v>1.8690500000000001</v>
      </c>
      <c r="EM87">
        <v>1.8680399999999999</v>
      </c>
      <c r="EN87">
        <v>1.86991</v>
      </c>
      <c r="EO87">
        <v>1.8716600000000001</v>
      </c>
      <c r="EP87">
        <v>0</v>
      </c>
      <c r="EQ87">
        <v>0</v>
      </c>
      <c r="ER87">
        <v>0</v>
      </c>
      <c r="ES87">
        <v>0</v>
      </c>
      <c r="ET87" t="s">
        <v>334</v>
      </c>
      <c r="EU87" t="s">
        <v>335</v>
      </c>
      <c r="EV87" t="s">
        <v>336</v>
      </c>
      <c r="EW87" t="s">
        <v>336</v>
      </c>
      <c r="EX87" t="s">
        <v>336</v>
      </c>
      <c r="EY87" t="s">
        <v>336</v>
      </c>
      <c r="EZ87">
        <v>0</v>
      </c>
      <c r="FA87">
        <v>100</v>
      </c>
      <c r="FB87">
        <v>100</v>
      </c>
      <c r="FC87">
        <v>7.806</v>
      </c>
      <c r="FD87">
        <v>-0.997</v>
      </c>
      <c r="FE87">
        <v>7.8184899999999899</v>
      </c>
      <c r="FF87">
        <v>0</v>
      </c>
      <c r="FG87">
        <v>0</v>
      </c>
      <c r="FH87">
        <v>0</v>
      </c>
      <c r="FI87">
        <v>-0.99790549999999945</v>
      </c>
      <c r="FJ87">
        <v>0</v>
      </c>
      <c r="FK87">
        <v>0</v>
      </c>
      <c r="FL87">
        <v>0</v>
      </c>
      <c r="FM87">
        <v>-1</v>
      </c>
      <c r="FN87">
        <v>-1</v>
      </c>
      <c r="FO87">
        <v>-1</v>
      </c>
      <c r="FP87">
        <v>-1</v>
      </c>
      <c r="FQ87">
        <v>0.8</v>
      </c>
      <c r="FR87">
        <v>0.7</v>
      </c>
      <c r="FS87">
        <v>0.142822</v>
      </c>
      <c r="FT87">
        <v>4.99756</v>
      </c>
      <c r="FU87">
        <v>1.5979000000000001</v>
      </c>
      <c r="FV87">
        <v>2.16309</v>
      </c>
      <c r="FW87">
        <v>1.5478499999999999</v>
      </c>
      <c r="FX87">
        <v>2.4267599999999998</v>
      </c>
      <c r="FY87">
        <v>32.178400000000003</v>
      </c>
      <c r="FZ87">
        <v>16.058299999999999</v>
      </c>
      <c r="GA87">
        <v>3</v>
      </c>
      <c r="GB87">
        <v>491.976</v>
      </c>
      <c r="GC87">
        <v>425.86099999999999</v>
      </c>
      <c r="GD87">
        <v>25.93</v>
      </c>
      <c r="GE87">
        <v>27.910799999999998</v>
      </c>
      <c r="GF87">
        <v>30.0001</v>
      </c>
      <c r="GG87">
        <v>28.2212</v>
      </c>
      <c r="GH87">
        <v>28.277799999999999</v>
      </c>
      <c r="GI87">
        <v>-1</v>
      </c>
      <c r="GJ87">
        <v>0</v>
      </c>
      <c r="GK87">
        <v>100</v>
      </c>
      <c r="GL87">
        <v>25.924700000000001</v>
      </c>
      <c r="GM87">
        <v>432.1</v>
      </c>
      <c r="GN87">
        <v>63.216500000000003</v>
      </c>
      <c r="GO87">
        <v>102.538</v>
      </c>
      <c r="GP87">
        <v>96.747299999999996</v>
      </c>
    </row>
    <row r="88" spans="1:198" x14ac:dyDescent="0.35">
      <c r="A88">
        <v>72</v>
      </c>
      <c r="B88">
        <v>1775507851.5999999</v>
      </c>
      <c r="C88">
        <v>4260.5999999046326</v>
      </c>
      <c r="D88" t="s">
        <v>547</v>
      </c>
      <c r="E88" t="s">
        <v>548</v>
      </c>
      <c r="F88">
        <v>60</v>
      </c>
      <c r="G88">
        <v>1775507843.599999</v>
      </c>
      <c r="H88">
        <f t="shared" si="60"/>
        <v>9.2596671461569525E-4</v>
      </c>
      <c r="I88">
        <f t="shared" si="61"/>
        <v>0.92596671461569524</v>
      </c>
      <c r="J88">
        <f t="shared" si="62"/>
        <v>0.23134576805647658</v>
      </c>
      <c r="K88">
        <f t="shared" si="63"/>
        <v>57.105648387096778</v>
      </c>
      <c r="L88">
        <f t="shared" si="64"/>
        <v>40.364377263283544</v>
      </c>
      <c r="M88">
        <f t="shared" si="65"/>
        <v>4.044504403895985</v>
      </c>
      <c r="N88">
        <f t="shared" si="66"/>
        <v>5.7219771999068918</v>
      </c>
      <c r="O88">
        <f t="shared" si="67"/>
        <v>2.6562735960143032E-2</v>
      </c>
      <c r="P88">
        <f t="shared" si="68"/>
        <v>2.3901874935543561</v>
      </c>
      <c r="Q88">
        <f t="shared" si="69"/>
        <v>2.6399822923579279E-2</v>
      </c>
      <c r="R88">
        <f t="shared" si="70"/>
        <v>1.6514443002820095E-2</v>
      </c>
      <c r="S88">
        <f t="shared" si="71"/>
        <v>0</v>
      </c>
      <c r="T88">
        <f t="shared" si="72"/>
        <v>25.004703437962799</v>
      </c>
      <c r="U88">
        <f t="shared" si="73"/>
        <v>25.310932258064518</v>
      </c>
      <c r="V88">
        <f t="shared" si="74"/>
        <v>3.2391004666285919</v>
      </c>
      <c r="W88">
        <f t="shared" si="75"/>
        <v>-6.8747331574378343</v>
      </c>
      <c r="X88">
        <f t="shared" si="76"/>
        <v>-0.22247869674630755</v>
      </c>
      <c r="Y88">
        <f t="shared" si="77"/>
        <v>3.2361793781858408</v>
      </c>
      <c r="Z88">
        <f t="shared" si="78"/>
        <v>3.4615791633748993</v>
      </c>
      <c r="AA88">
        <f t="shared" si="79"/>
        <v>-40.83513211455216</v>
      </c>
      <c r="AB88">
        <f t="shared" si="80"/>
        <v>-1.9545120125589368</v>
      </c>
      <c r="AC88">
        <f t="shared" si="81"/>
        <v>-0.17349699900055715</v>
      </c>
      <c r="AD88">
        <f t="shared" si="82"/>
        <v>-42.963141126111651</v>
      </c>
      <c r="AE88">
        <v>18</v>
      </c>
      <c r="AF88">
        <v>4</v>
      </c>
      <c r="AG88">
        <f t="shared" si="83"/>
        <v>1</v>
      </c>
      <c r="AH88">
        <f t="shared" si="84"/>
        <v>0</v>
      </c>
      <c r="AI88">
        <f t="shared" si="85"/>
        <v>25695.21607186188</v>
      </c>
      <c r="AJ88">
        <f t="shared" si="86"/>
        <v>0</v>
      </c>
      <c r="AK88">
        <f t="shared" si="87"/>
        <v>0</v>
      </c>
      <c r="AL88">
        <f t="shared" si="88"/>
        <v>0</v>
      </c>
      <c r="AM88">
        <f t="shared" si="89"/>
        <v>0</v>
      </c>
      <c r="AN88">
        <v>3</v>
      </c>
      <c r="AO88">
        <v>0.5</v>
      </c>
      <c r="AP88" t="s">
        <v>331</v>
      </c>
      <c r="AQ88">
        <v>2</v>
      </c>
      <c r="AR88">
        <v>1775507843.599999</v>
      </c>
      <c r="AS88">
        <v>57.105648387096778</v>
      </c>
      <c r="AT88">
        <v>57.276183870967728</v>
      </c>
      <c r="AU88">
        <v>-2.220349677419355</v>
      </c>
      <c r="AV88">
        <v>-2.7771674193548388</v>
      </c>
      <c r="AW88">
        <v>49.28764838709678</v>
      </c>
      <c r="AX88">
        <v>-1.2213496774193551</v>
      </c>
      <c r="AY88">
        <v>499.99629032258059</v>
      </c>
      <c r="AZ88">
        <v>100.1624516129032</v>
      </c>
      <c r="BA88">
        <v>3.7394838709677421E-2</v>
      </c>
      <c r="BB88">
        <v>25.295764516129029</v>
      </c>
      <c r="BC88">
        <v>25.310932258064518</v>
      </c>
      <c r="BD88">
        <v>999.90000000000032</v>
      </c>
      <c r="BE88">
        <v>0</v>
      </c>
      <c r="BF88">
        <v>0</v>
      </c>
      <c r="BG88">
        <v>4997.4354838709678</v>
      </c>
      <c r="BH88">
        <v>0.39362912903225811</v>
      </c>
      <c r="BI88">
        <v>0.22961599999999999</v>
      </c>
      <c r="BJ88">
        <v>-0.18268134838709679</v>
      </c>
      <c r="BK88">
        <v>56.967109677419359</v>
      </c>
      <c r="BL88">
        <v>57.117554838709687</v>
      </c>
      <c r="BM88">
        <v>0.55838525806451611</v>
      </c>
      <c r="BN88">
        <v>57.276183870967728</v>
      </c>
      <c r="BO88">
        <v>-2.7771674193548388</v>
      </c>
      <c r="BP88">
        <v>-0.22223870967741929</v>
      </c>
      <c r="BQ88">
        <v>-0.27816780645161288</v>
      </c>
      <c r="BR88">
        <v>-99.900000000000034</v>
      </c>
      <c r="BS88">
        <v>-99.900000000000034</v>
      </c>
      <c r="BT88">
        <v>0</v>
      </c>
      <c r="BU88">
        <v>0</v>
      </c>
      <c r="BV88">
        <v>0</v>
      </c>
      <c r="BW88">
        <v>24</v>
      </c>
      <c r="BX88">
        <v>-1</v>
      </c>
      <c r="BY88">
        <v>1775507870.5999999</v>
      </c>
      <c r="BZ88" t="s">
        <v>549</v>
      </c>
      <c r="CA88">
        <v>1775507866.0999999</v>
      </c>
      <c r="CB88">
        <v>1775507870.5999999</v>
      </c>
      <c r="CC88">
        <v>75</v>
      </c>
      <c r="CD88">
        <v>1.2E-2</v>
      </c>
      <c r="CE88">
        <v>-1E-3</v>
      </c>
      <c r="CF88">
        <v>7.8179999999999996</v>
      </c>
      <c r="CG88">
        <v>-0.999</v>
      </c>
      <c r="CH88">
        <v>58</v>
      </c>
      <c r="CI88">
        <v>-3</v>
      </c>
      <c r="CJ88">
        <v>0.53</v>
      </c>
      <c r="CK88">
        <v>0.12</v>
      </c>
      <c r="CL88">
        <v>57.191808333333341</v>
      </c>
      <c r="CM88">
        <v>0.65899405390400101</v>
      </c>
      <c r="CN88">
        <v>0.1076456521674497</v>
      </c>
      <c r="CO88">
        <v>-1</v>
      </c>
      <c r="CP88">
        <v>500.02146666666681</v>
      </c>
      <c r="CQ88">
        <v>-0.19285357043587559</v>
      </c>
      <c r="CR88">
        <v>7.720977197796014E-2</v>
      </c>
      <c r="CS88">
        <v>-1</v>
      </c>
      <c r="CT88">
        <v>0</v>
      </c>
      <c r="CU88">
        <v>0</v>
      </c>
      <c r="CV88" t="s">
        <v>333</v>
      </c>
      <c r="CW88">
        <v>3.1673499999999999</v>
      </c>
      <c r="CX88">
        <v>2.6586099999999999</v>
      </c>
      <c r="CY88">
        <v>1.474E-2</v>
      </c>
      <c r="CZ88">
        <v>1.7100799999999999E-2</v>
      </c>
      <c r="DA88">
        <v>-1.0944600000000001E-2</v>
      </c>
      <c r="DB88">
        <v>-2.7792299999999999E-2</v>
      </c>
      <c r="DC88">
        <v>21337.200000000001</v>
      </c>
      <c r="DD88">
        <v>21650.799999999999</v>
      </c>
      <c r="DE88">
        <v>23182.1</v>
      </c>
      <c r="DF88">
        <v>22376.2</v>
      </c>
      <c r="DG88">
        <v>30214.799999999999</v>
      </c>
      <c r="DH88">
        <v>27415.5</v>
      </c>
      <c r="DI88">
        <v>40731.599999999999</v>
      </c>
      <c r="DJ88">
        <v>37073.599999999999</v>
      </c>
      <c r="DK88">
        <v>2.10276</v>
      </c>
      <c r="DL88">
        <v>1.85666</v>
      </c>
      <c r="DM88">
        <v>2.4145799999999999E-2</v>
      </c>
      <c r="DN88">
        <v>0</v>
      </c>
      <c r="DO88">
        <v>24.914200000000001</v>
      </c>
      <c r="DP88">
        <v>999.9</v>
      </c>
      <c r="DQ88">
        <v>80.5</v>
      </c>
      <c r="DR88">
        <v>27.7</v>
      </c>
      <c r="DS88">
        <v>29.968399999999999</v>
      </c>
      <c r="DT88">
        <v>30.930099999999999</v>
      </c>
      <c r="DU88">
        <v>8.8461499999999997</v>
      </c>
      <c r="DV88">
        <v>1</v>
      </c>
      <c r="DW88">
        <v>5.3282499999999997E-2</v>
      </c>
      <c r="DX88">
        <v>-0.18515499999999999</v>
      </c>
      <c r="DY88">
        <v>20.368500000000001</v>
      </c>
      <c r="DZ88">
        <v>5.2109399999999999</v>
      </c>
      <c r="EA88">
        <v>11.8482</v>
      </c>
      <c r="EB88">
        <v>4.9677600000000002</v>
      </c>
      <c r="EC88">
        <v>3.2920799999999999</v>
      </c>
      <c r="ED88">
        <v>894.7</v>
      </c>
      <c r="EE88">
        <v>0</v>
      </c>
      <c r="EF88">
        <v>9999</v>
      </c>
      <c r="EG88">
        <v>114.2</v>
      </c>
      <c r="EH88">
        <v>4.97166</v>
      </c>
      <c r="EI88">
        <v>1.8717999999999999</v>
      </c>
      <c r="EJ88">
        <v>1.8689</v>
      </c>
      <c r="EK88">
        <v>1.87134</v>
      </c>
      <c r="EL88">
        <v>1.8690500000000001</v>
      </c>
      <c r="EM88">
        <v>1.86809</v>
      </c>
      <c r="EN88">
        <v>1.8698399999999999</v>
      </c>
      <c r="EO88">
        <v>1.87164</v>
      </c>
      <c r="EP88">
        <v>0</v>
      </c>
      <c r="EQ88">
        <v>0</v>
      </c>
      <c r="ER88">
        <v>0</v>
      </c>
      <c r="ES88">
        <v>0</v>
      </c>
      <c r="ET88" t="s">
        <v>334</v>
      </c>
      <c r="EU88" t="s">
        <v>335</v>
      </c>
      <c r="EV88" t="s">
        <v>336</v>
      </c>
      <c r="EW88" t="s">
        <v>336</v>
      </c>
      <c r="EX88" t="s">
        <v>336</v>
      </c>
      <c r="EY88" t="s">
        <v>336</v>
      </c>
      <c r="EZ88">
        <v>0</v>
      </c>
      <c r="FA88">
        <v>100</v>
      </c>
      <c r="FB88">
        <v>100</v>
      </c>
      <c r="FC88">
        <v>7.8179999999999996</v>
      </c>
      <c r="FD88">
        <v>-0.999</v>
      </c>
      <c r="FE88">
        <v>7.8058599999999956</v>
      </c>
      <c r="FF88">
        <v>0</v>
      </c>
      <c r="FG88">
        <v>0</v>
      </c>
      <c r="FH88">
        <v>0</v>
      </c>
      <c r="FI88">
        <v>-0.99743200000000054</v>
      </c>
      <c r="FJ88">
        <v>0</v>
      </c>
      <c r="FK88">
        <v>0</v>
      </c>
      <c r="FL88">
        <v>0</v>
      </c>
      <c r="FM88">
        <v>-1</v>
      </c>
      <c r="FN88">
        <v>-1</v>
      </c>
      <c r="FO88">
        <v>-1</v>
      </c>
      <c r="FP88">
        <v>-1</v>
      </c>
      <c r="FQ88">
        <v>0.7</v>
      </c>
      <c r="FR88">
        <v>0.7</v>
      </c>
      <c r="FS88">
        <v>0.142822</v>
      </c>
      <c r="FT88">
        <v>4.99756</v>
      </c>
      <c r="FU88">
        <v>1.5979000000000001</v>
      </c>
      <c r="FV88">
        <v>2.16309</v>
      </c>
      <c r="FW88">
        <v>1.5478499999999999</v>
      </c>
      <c r="FX88">
        <v>2.3754900000000001</v>
      </c>
      <c r="FY88">
        <v>32.178400000000003</v>
      </c>
      <c r="FZ88">
        <v>16.058299999999999</v>
      </c>
      <c r="GA88">
        <v>3</v>
      </c>
      <c r="GB88">
        <v>491.95499999999998</v>
      </c>
      <c r="GC88">
        <v>425.601</v>
      </c>
      <c r="GD88">
        <v>25.9696</v>
      </c>
      <c r="GE88">
        <v>27.915600000000001</v>
      </c>
      <c r="GF88">
        <v>30.0002</v>
      </c>
      <c r="GG88">
        <v>28.2273</v>
      </c>
      <c r="GH88">
        <v>28.282599999999999</v>
      </c>
      <c r="GI88">
        <v>-1</v>
      </c>
      <c r="GJ88">
        <v>0</v>
      </c>
      <c r="GK88">
        <v>100</v>
      </c>
      <c r="GL88">
        <v>25.971499999999999</v>
      </c>
      <c r="GM88">
        <v>432.1</v>
      </c>
      <c r="GN88">
        <v>63.216500000000003</v>
      </c>
      <c r="GO88">
        <v>102.53700000000001</v>
      </c>
      <c r="GP88">
        <v>96.748099999999994</v>
      </c>
    </row>
    <row r="89" spans="1:198" x14ac:dyDescent="0.35">
      <c r="A89">
        <v>73</v>
      </c>
      <c r="B89">
        <v>1775507911.5999999</v>
      </c>
      <c r="C89">
        <v>4320.5999999046326</v>
      </c>
      <c r="D89" t="s">
        <v>550</v>
      </c>
      <c r="E89" t="s">
        <v>551</v>
      </c>
      <c r="F89">
        <v>60</v>
      </c>
      <c r="G89">
        <v>1775507903.599999</v>
      </c>
      <c r="H89">
        <f t="shared" si="60"/>
        <v>9.1347814566771141E-4</v>
      </c>
      <c r="I89">
        <f t="shared" si="61"/>
        <v>0.91347814566771146</v>
      </c>
      <c r="J89">
        <f t="shared" si="62"/>
        <v>0.15990173162014648</v>
      </c>
      <c r="K89">
        <f t="shared" si="63"/>
        <v>57.717670967741938</v>
      </c>
      <c r="L89">
        <f t="shared" si="64"/>
        <v>45.016607885934519</v>
      </c>
      <c r="M89">
        <f t="shared" si="65"/>
        <v>4.5105735913563603</v>
      </c>
      <c r="N89">
        <f t="shared" si="66"/>
        <v>5.7831945730197027</v>
      </c>
      <c r="O89">
        <f t="shared" si="67"/>
        <v>2.6190024275386067E-2</v>
      </c>
      <c r="P89">
        <f t="shared" si="68"/>
        <v>2.3932135425603569</v>
      </c>
      <c r="Q89">
        <f t="shared" si="69"/>
        <v>2.6031835205818084E-2</v>
      </c>
      <c r="R89">
        <f t="shared" si="70"/>
        <v>1.6284029892606234E-2</v>
      </c>
      <c r="S89">
        <f t="shared" si="71"/>
        <v>0</v>
      </c>
      <c r="T89">
        <f t="shared" si="72"/>
        <v>25.011743792976716</v>
      </c>
      <c r="U89">
        <f t="shared" si="73"/>
        <v>25.317119354838709</v>
      </c>
      <c r="V89">
        <f t="shared" si="74"/>
        <v>3.240292673632946</v>
      </c>
      <c r="W89">
        <f t="shared" si="75"/>
        <v>-6.8832919575368203</v>
      </c>
      <c r="X89">
        <f t="shared" si="76"/>
        <v>-0.22279252387206264</v>
      </c>
      <c r="Y89">
        <f t="shared" si="77"/>
        <v>3.2367147179935793</v>
      </c>
      <c r="Z89">
        <f t="shared" si="78"/>
        <v>3.4630851975050088</v>
      </c>
      <c r="AA89">
        <f t="shared" si="79"/>
        <v>-40.284386223946072</v>
      </c>
      <c r="AB89">
        <f t="shared" si="80"/>
        <v>-2.3964968462599421</v>
      </c>
      <c r="AC89">
        <f t="shared" si="81"/>
        <v>-0.21247145250907754</v>
      </c>
      <c r="AD89">
        <f t="shared" si="82"/>
        <v>-42.893354522715093</v>
      </c>
      <c r="AE89">
        <v>18</v>
      </c>
      <c r="AF89">
        <v>4</v>
      </c>
      <c r="AG89">
        <f t="shared" si="83"/>
        <v>1</v>
      </c>
      <c r="AH89">
        <f t="shared" si="84"/>
        <v>0</v>
      </c>
      <c r="AI89">
        <f t="shared" si="85"/>
        <v>25741.351583616928</v>
      </c>
      <c r="AJ89">
        <f t="shared" si="86"/>
        <v>0</v>
      </c>
      <c r="AK89">
        <f t="shared" si="87"/>
        <v>0</v>
      </c>
      <c r="AL89">
        <f t="shared" si="88"/>
        <v>0</v>
      </c>
      <c r="AM89">
        <f t="shared" si="89"/>
        <v>0</v>
      </c>
      <c r="AN89">
        <v>3</v>
      </c>
      <c r="AO89">
        <v>0.5</v>
      </c>
      <c r="AP89" t="s">
        <v>331</v>
      </c>
      <c r="AQ89">
        <v>2</v>
      </c>
      <c r="AR89">
        <v>1775507903.599999</v>
      </c>
      <c r="AS89">
        <v>57.717670967741938</v>
      </c>
      <c r="AT89">
        <v>57.845245161290308</v>
      </c>
      <c r="AU89">
        <v>-2.223522903225807</v>
      </c>
      <c r="AV89">
        <v>-2.772823548387096</v>
      </c>
      <c r="AW89">
        <v>49.89067096774194</v>
      </c>
      <c r="AX89">
        <v>-1.225522903225807</v>
      </c>
      <c r="AY89">
        <v>500.00448387096782</v>
      </c>
      <c r="AZ89">
        <v>100.16083870967741</v>
      </c>
      <c r="BA89">
        <v>3.7150503225806437E-2</v>
      </c>
      <c r="BB89">
        <v>25.29854516129032</v>
      </c>
      <c r="BC89">
        <v>25.317119354838709</v>
      </c>
      <c r="BD89">
        <v>999.90000000000032</v>
      </c>
      <c r="BE89">
        <v>0</v>
      </c>
      <c r="BF89">
        <v>0</v>
      </c>
      <c r="BG89">
        <v>5005.3064516129034</v>
      </c>
      <c r="BH89">
        <v>0.40716454838709693</v>
      </c>
      <c r="BI89">
        <v>0.22961599999999999</v>
      </c>
      <c r="BJ89">
        <v>-0.1367274516129032</v>
      </c>
      <c r="BK89">
        <v>57.580445161290321</v>
      </c>
      <c r="BL89">
        <v>57.685296774193553</v>
      </c>
      <c r="BM89">
        <v>0.54858190322580647</v>
      </c>
      <c r="BN89">
        <v>57.845245161290308</v>
      </c>
      <c r="BO89">
        <v>-2.772823548387096</v>
      </c>
      <c r="BP89">
        <v>-0.222782064516129</v>
      </c>
      <c r="BQ89">
        <v>-0.27772861290322581</v>
      </c>
      <c r="BR89">
        <v>-99.900000000000034</v>
      </c>
      <c r="BS89">
        <v>-99.900000000000034</v>
      </c>
      <c r="BT89">
        <v>0</v>
      </c>
      <c r="BU89">
        <v>0</v>
      </c>
      <c r="BV89">
        <v>0</v>
      </c>
      <c r="BW89">
        <v>24</v>
      </c>
      <c r="BX89">
        <v>-1</v>
      </c>
      <c r="BY89">
        <v>1775507932.5999999</v>
      </c>
      <c r="BZ89" t="s">
        <v>552</v>
      </c>
      <c r="CA89">
        <v>1775507926.0999999</v>
      </c>
      <c r="CB89">
        <v>1775507932.5999999</v>
      </c>
      <c r="CC89">
        <v>76</v>
      </c>
      <c r="CD89">
        <v>8.9999999999999993E-3</v>
      </c>
      <c r="CE89">
        <v>1E-3</v>
      </c>
      <c r="CF89">
        <v>7.827</v>
      </c>
      <c r="CG89">
        <v>-0.998</v>
      </c>
      <c r="CH89">
        <v>58</v>
      </c>
      <c r="CI89">
        <v>-3</v>
      </c>
      <c r="CJ89">
        <v>0.25</v>
      </c>
      <c r="CK89">
        <v>0.12</v>
      </c>
      <c r="CL89">
        <v>57.753780000000013</v>
      </c>
      <c r="CM89">
        <v>0.41529069185900042</v>
      </c>
      <c r="CN89">
        <v>0.1158276403397165</v>
      </c>
      <c r="CO89">
        <v>-1</v>
      </c>
      <c r="CP89">
        <v>500.00498333333331</v>
      </c>
      <c r="CQ89">
        <v>-7.8958599610653213E-2</v>
      </c>
      <c r="CR89">
        <v>6.5455708095034718E-2</v>
      </c>
      <c r="CS89">
        <v>-1</v>
      </c>
      <c r="CT89">
        <v>0</v>
      </c>
      <c r="CU89">
        <v>0</v>
      </c>
      <c r="CV89" t="s">
        <v>333</v>
      </c>
      <c r="CW89">
        <v>3.1673100000000001</v>
      </c>
      <c r="CX89">
        <v>2.6583800000000002</v>
      </c>
      <c r="CY89">
        <v>1.4887600000000001E-2</v>
      </c>
      <c r="CZ89">
        <v>1.71748E-2</v>
      </c>
      <c r="DA89">
        <v>-1.0958900000000001E-2</v>
      </c>
      <c r="DB89">
        <v>-2.77069E-2</v>
      </c>
      <c r="DC89">
        <v>21333.200000000001</v>
      </c>
      <c r="DD89">
        <v>21649</v>
      </c>
      <c r="DE89">
        <v>23181.3</v>
      </c>
      <c r="DF89">
        <v>22376</v>
      </c>
      <c r="DG89">
        <v>30214.1</v>
      </c>
      <c r="DH89">
        <v>27413.200000000001</v>
      </c>
      <c r="DI89">
        <v>40730.1</v>
      </c>
      <c r="DJ89">
        <v>37073.4</v>
      </c>
      <c r="DK89">
        <v>2.1029399999999998</v>
      </c>
      <c r="DL89">
        <v>1.8566400000000001</v>
      </c>
      <c r="DM89">
        <v>2.5034000000000001E-2</v>
      </c>
      <c r="DN89">
        <v>0</v>
      </c>
      <c r="DO89">
        <v>24.914200000000001</v>
      </c>
      <c r="DP89">
        <v>999.9</v>
      </c>
      <c r="DQ89">
        <v>80.400000000000006</v>
      </c>
      <c r="DR89">
        <v>27.7</v>
      </c>
      <c r="DS89">
        <v>29.930399999999999</v>
      </c>
      <c r="DT89">
        <v>30.690100000000001</v>
      </c>
      <c r="DU89">
        <v>9.1947100000000006</v>
      </c>
      <c r="DV89">
        <v>1</v>
      </c>
      <c r="DW89">
        <v>5.3725599999999998E-2</v>
      </c>
      <c r="DX89">
        <v>-0.19206300000000001</v>
      </c>
      <c r="DY89">
        <v>20.3687</v>
      </c>
      <c r="DZ89">
        <v>5.21286</v>
      </c>
      <c r="EA89">
        <v>11.8482</v>
      </c>
      <c r="EB89">
        <v>4.9678399999999998</v>
      </c>
      <c r="EC89">
        <v>3.2920400000000001</v>
      </c>
      <c r="ED89">
        <v>894.7</v>
      </c>
      <c r="EE89">
        <v>0</v>
      </c>
      <c r="EF89">
        <v>9999</v>
      </c>
      <c r="EG89">
        <v>114.2</v>
      </c>
      <c r="EH89">
        <v>4.9716399999999998</v>
      </c>
      <c r="EI89">
        <v>1.8717999999999999</v>
      </c>
      <c r="EJ89">
        <v>1.8689</v>
      </c>
      <c r="EK89">
        <v>1.8713500000000001</v>
      </c>
      <c r="EL89">
        <v>1.8690500000000001</v>
      </c>
      <c r="EM89">
        <v>1.8680600000000001</v>
      </c>
      <c r="EN89">
        <v>1.86985</v>
      </c>
      <c r="EO89">
        <v>1.87165</v>
      </c>
      <c r="EP89">
        <v>0</v>
      </c>
      <c r="EQ89">
        <v>0</v>
      </c>
      <c r="ER89">
        <v>0</v>
      </c>
      <c r="ES89">
        <v>0</v>
      </c>
      <c r="ET89" t="s">
        <v>334</v>
      </c>
      <c r="EU89" t="s">
        <v>335</v>
      </c>
      <c r="EV89" t="s">
        <v>336</v>
      </c>
      <c r="EW89" t="s">
        <v>336</v>
      </c>
      <c r="EX89" t="s">
        <v>336</v>
      </c>
      <c r="EY89" t="s">
        <v>336</v>
      </c>
      <c r="EZ89">
        <v>0</v>
      </c>
      <c r="FA89">
        <v>100</v>
      </c>
      <c r="FB89">
        <v>100</v>
      </c>
      <c r="FC89">
        <v>7.827</v>
      </c>
      <c r="FD89">
        <v>-0.998</v>
      </c>
      <c r="FE89">
        <v>7.817847619047626</v>
      </c>
      <c r="FF89">
        <v>0</v>
      </c>
      <c r="FG89">
        <v>0</v>
      </c>
      <c r="FH89">
        <v>0</v>
      </c>
      <c r="FI89">
        <v>-0.99871849999999984</v>
      </c>
      <c r="FJ89">
        <v>0</v>
      </c>
      <c r="FK89">
        <v>0</v>
      </c>
      <c r="FL89">
        <v>0</v>
      </c>
      <c r="FM89">
        <v>-1</v>
      </c>
      <c r="FN89">
        <v>-1</v>
      </c>
      <c r="FO89">
        <v>-1</v>
      </c>
      <c r="FP89">
        <v>-1</v>
      </c>
      <c r="FQ89">
        <v>0.8</v>
      </c>
      <c r="FR89">
        <v>0.7</v>
      </c>
      <c r="FS89">
        <v>0.142822</v>
      </c>
      <c r="FT89">
        <v>4.99756</v>
      </c>
      <c r="FU89">
        <v>1.5979000000000001</v>
      </c>
      <c r="FV89">
        <v>2.16187</v>
      </c>
      <c r="FW89">
        <v>1.5478499999999999</v>
      </c>
      <c r="FX89">
        <v>2.36694</v>
      </c>
      <c r="FY89">
        <v>32.200499999999998</v>
      </c>
      <c r="FZ89">
        <v>16.058299999999999</v>
      </c>
      <c r="GA89">
        <v>3</v>
      </c>
      <c r="GB89">
        <v>492.08499999999998</v>
      </c>
      <c r="GC89">
        <v>425.62299999999999</v>
      </c>
      <c r="GD89">
        <v>25.991800000000001</v>
      </c>
      <c r="GE89">
        <v>27.920300000000001</v>
      </c>
      <c r="GF89">
        <v>30.0001</v>
      </c>
      <c r="GG89">
        <v>28.230699999999999</v>
      </c>
      <c r="GH89">
        <v>28.287299999999998</v>
      </c>
      <c r="GI89">
        <v>-1</v>
      </c>
      <c r="GJ89">
        <v>0</v>
      </c>
      <c r="GK89">
        <v>100</v>
      </c>
      <c r="GL89">
        <v>25.991700000000002</v>
      </c>
      <c r="GM89">
        <v>432.1</v>
      </c>
      <c r="GN89">
        <v>63.216500000000003</v>
      </c>
      <c r="GO89">
        <v>102.533</v>
      </c>
      <c r="GP89">
        <v>96.747600000000006</v>
      </c>
    </row>
    <row r="90" spans="1:198" x14ac:dyDescent="0.35">
      <c r="A90">
        <v>74</v>
      </c>
      <c r="B90">
        <v>1775507971.5999999</v>
      </c>
      <c r="C90">
        <v>4380.5999999046326</v>
      </c>
      <c r="D90" t="s">
        <v>553</v>
      </c>
      <c r="E90" t="s">
        <v>554</v>
      </c>
      <c r="F90">
        <v>60</v>
      </c>
      <c r="G90">
        <v>1775507963.599999</v>
      </c>
      <c r="H90">
        <f t="shared" si="60"/>
        <v>9.202000258418106E-4</v>
      </c>
      <c r="I90">
        <f t="shared" si="61"/>
        <v>0.9202000258418106</v>
      </c>
      <c r="J90">
        <f t="shared" si="62"/>
        <v>5.3915583676304217E-2</v>
      </c>
      <c r="K90">
        <f t="shared" si="63"/>
        <v>58.257580645161283</v>
      </c>
      <c r="L90">
        <f t="shared" si="64"/>
        <v>51.882488524376633</v>
      </c>
      <c r="M90">
        <f t="shared" si="65"/>
        <v>5.1985553519626508</v>
      </c>
      <c r="N90">
        <f t="shared" si="66"/>
        <v>5.8373309813966312</v>
      </c>
      <c r="O90">
        <f t="shared" si="67"/>
        <v>2.638778578569893E-2</v>
      </c>
      <c r="P90">
        <f t="shared" si="68"/>
        <v>2.3890012258396038</v>
      </c>
      <c r="Q90">
        <f t="shared" si="69"/>
        <v>2.6226925349745873E-2</v>
      </c>
      <c r="R90">
        <f t="shared" si="70"/>
        <v>1.6406199148608525E-2</v>
      </c>
      <c r="S90">
        <f t="shared" si="71"/>
        <v>0</v>
      </c>
      <c r="T90">
        <f t="shared" si="72"/>
        <v>25.013043825514799</v>
      </c>
      <c r="U90">
        <f t="shared" si="73"/>
        <v>25.318774193548389</v>
      </c>
      <c r="V90">
        <f t="shared" si="74"/>
        <v>3.2406116135831029</v>
      </c>
      <c r="W90">
        <f t="shared" si="75"/>
        <v>-6.8575622358207733</v>
      </c>
      <c r="X90">
        <f t="shared" si="76"/>
        <v>-0.22201092638052455</v>
      </c>
      <c r="Y90">
        <f t="shared" si="77"/>
        <v>3.2374613418867839</v>
      </c>
      <c r="Z90">
        <f t="shared" si="78"/>
        <v>3.4626225399636272</v>
      </c>
      <c r="AA90">
        <f t="shared" si="79"/>
        <v>-40.580821139623851</v>
      </c>
      <c r="AB90">
        <f t="shared" si="80"/>
        <v>-2.1060196225467096</v>
      </c>
      <c r="AC90">
        <f t="shared" si="81"/>
        <v>-0.18705240595870248</v>
      </c>
      <c r="AD90">
        <f t="shared" si="82"/>
        <v>-42.873893168129264</v>
      </c>
      <c r="AE90">
        <v>18</v>
      </c>
      <c r="AF90">
        <v>4</v>
      </c>
      <c r="AG90">
        <f t="shared" si="83"/>
        <v>1</v>
      </c>
      <c r="AH90">
        <f t="shared" si="84"/>
        <v>0</v>
      </c>
      <c r="AI90">
        <f t="shared" si="85"/>
        <v>25676.533125055637</v>
      </c>
      <c r="AJ90">
        <f t="shared" si="86"/>
        <v>0</v>
      </c>
      <c r="AK90">
        <f t="shared" si="87"/>
        <v>0</v>
      </c>
      <c r="AL90">
        <f t="shared" si="88"/>
        <v>0</v>
      </c>
      <c r="AM90">
        <f t="shared" si="89"/>
        <v>0</v>
      </c>
      <c r="AN90">
        <v>3</v>
      </c>
      <c r="AO90">
        <v>0.5</v>
      </c>
      <c r="AP90" t="s">
        <v>331</v>
      </c>
      <c r="AQ90">
        <v>2</v>
      </c>
      <c r="AR90">
        <v>1775507963.599999</v>
      </c>
      <c r="AS90">
        <v>58.257580645161283</v>
      </c>
      <c r="AT90">
        <v>58.322096774193561</v>
      </c>
      <c r="AU90">
        <v>-2.2157077419354838</v>
      </c>
      <c r="AV90">
        <v>-2.769064838709677</v>
      </c>
      <c r="AW90">
        <v>50.427580645161278</v>
      </c>
      <c r="AX90">
        <v>-1.2167077419354839</v>
      </c>
      <c r="AY90">
        <v>499.9875806451613</v>
      </c>
      <c r="AZ90">
        <v>100.16138709677421</v>
      </c>
      <c r="BA90">
        <v>3.726373548387097E-2</v>
      </c>
      <c r="BB90">
        <v>25.30242258064516</v>
      </c>
      <c r="BC90">
        <v>25.318774193548389</v>
      </c>
      <c r="BD90">
        <v>999.90000000000032</v>
      </c>
      <c r="BE90">
        <v>0</v>
      </c>
      <c r="BF90">
        <v>0</v>
      </c>
      <c r="BG90">
        <v>4994.4354838709678</v>
      </c>
      <c r="BH90">
        <v>0.41061609677419358</v>
      </c>
      <c r="BI90">
        <v>0.23331922580645159</v>
      </c>
      <c r="BJ90">
        <v>-6.7751856451612913E-2</v>
      </c>
      <c r="BK90">
        <v>58.1256129032258</v>
      </c>
      <c r="BL90">
        <v>58.161038709677413</v>
      </c>
      <c r="BM90">
        <v>0.55443051612903227</v>
      </c>
      <c r="BN90">
        <v>58.322096774193561</v>
      </c>
      <c r="BO90">
        <v>-2.769064838709677</v>
      </c>
      <c r="BP90">
        <v>-0.22182099999999999</v>
      </c>
      <c r="BQ90">
        <v>-0.27735354838709692</v>
      </c>
      <c r="BR90">
        <v>-99.900000000000034</v>
      </c>
      <c r="BS90">
        <v>-99.900000000000034</v>
      </c>
      <c r="BT90">
        <v>0</v>
      </c>
      <c r="BU90">
        <v>0</v>
      </c>
      <c r="BV90">
        <v>0</v>
      </c>
      <c r="BW90">
        <v>24</v>
      </c>
      <c r="BX90">
        <v>-1</v>
      </c>
      <c r="BY90">
        <v>1775507990.5999999</v>
      </c>
      <c r="BZ90" t="s">
        <v>555</v>
      </c>
      <c r="CA90">
        <v>1775507984.0999999</v>
      </c>
      <c r="CB90">
        <v>1775507990.5999999</v>
      </c>
      <c r="CC90">
        <v>77</v>
      </c>
      <c r="CD90">
        <v>4.0000000000000001E-3</v>
      </c>
      <c r="CE90">
        <v>-1E-3</v>
      </c>
      <c r="CF90">
        <v>7.83</v>
      </c>
      <c r="CG90">
        <v>-0.999</v>
      </c>
      <c r="CH90">
        <v>59</v>
      </c>
      <c r="CI90">
        <v>-3</v>
      </c>
      <c r="CJ90">
        <v>0.36</v>
      </c>
      <c r="CK90">
        <v>0.13</v>
      </c>
      <c r="CL90">
        <v>58.366903278688532</v>
      </c>
      <c r="CM90">
        <v>-0.43815166578533332</v>
      </c>
      <c r="CN90">
        <v>0.1013534004981031</v>
      </c>
      <c r="CO90">
        <v>-1</v>
      </c>
      <c r="CP90">
        <v>500.03370491803281</v>
      </c>
      <c r="CQ90">
        <v>-0.38145531464850779</v>
      </c>
      <c r="CR90">
        <v>0.1385766455688861</v>
      </c>
      <c r="CS90">
        <v>-1</v>
      </c>
      <c r="CT90">
        <v>0</v>
      </c>
      <c r="CU90">
        <v>0</v>
      </c>
      <c r="CV90" t="s">
        <v>333</v>
      </c>
      <c r="CW90">
        <v>3.1674799999999999</v>
      </c>
      <c r="CX90">
        <v>2.6587299999999998</v>
      </c>
      <c r="CY90">
        <v>1.50356E-2</v>
      </c>
      <c r="CZ90">
        <v>1.7361999999999999E-2</v>
      </c>
      <c r="DA90">
        <v>-1.0872100000000001E-2</v>
      </c>
      <c r="DB90">
        <v>-2.76841E-2</v>
      </c>
      <c r="DC90">
        <v>21329.4</v>
      </c>
      <c r="DD90">
        <v>21644.3</v>
      </c>
      <c r="DE90">
        <v>23180.7</v>
      </c>
      <c r="DF90">
        <v>22375.4</v>
      </c>
      <c r="DG90">
        <v>30210.799999999999</v>
      </c>
      <c r="DH90">
        <v>27412</v>
      </c>
      <c r="DI90">
        <v>40729.1</v>
      </c>
      <c r="DJ90">
        <v>37072.6</v>
      </c>
      <c r="DK90">
        <v>2.1026799999999999</v>
      </c>
      <c r="DL90">
        <v>1.85656</v>
      </c>
      <c r="DM90">
        <v>2.4443900000000001E-2</v>
      </c>
      <c r="DN90">
        <v>0</v>
      </c>
      <c r="DO90">
        <v>24.915600000000001</v>
      </c>
      <c r="DP90">
        <v>999.9</v>
      </c>
      <c r="DQ90">
        <v>80.400000000000006</v>
      </c>
      <c r="DR90">
        <v>27.8</v>
      </c>
      <c r="DS90">
        <v>30.107099999999999</v>
      </c>
      <c r="DT90">
        <v>30.8401</v>
      </c>
      <c r="DU90">
        <v>8.8221100000000003</v>
      </c>
      <c r="DV90">
        <v>1</v>
      </c>
      <c r="DW90">
        <v>5.4526400000000003E-2</v>
      </c>
      <c r="DX90">
        <v>-0.13802400000000001</v>
      </c>
      <c r="DY90">
        <v>20.368500000000001</v>
      </c>
      <c r="DZ90">
        <v>5.2111799999999997</v>
      </c>
      <c r="EA90">
        <v>11.8482</v>
      </c>
      <c r="EB90">
        <v>4.9691200000000002</v>
      </c>
      <c r="EC90">
        <v>3.2920400000000001</v>
      </c>
      <c r="ED90">
        <v>894.7</v>
      </c>
      <c r="EE90">
        <v>0</v>
      </c>
      <c r="EF90">
        <v>9999</v>
      </c>
      <c r="EG90">
        <v>114.2</v>
      </c>
      <c r="EH90">
        <v>4.9716500000000003</v>
      </c>
      <c r="EI90">
        <v>1.8717999999999999</v>
      </c>
      <c r="EJ90">
        <v>1.8689</v>
      </c>
      <c r="EK90">
        <v>1.8713500000000001</v>
      </c>
      <c r="EL90">
        <v>1.8690500000000001</v>
      </c>
      <c r="EM90">
        <v>1.86809</v>
      </c>
      <c r="EN90">
        <v>1.8698699999999999</v>
      </c>
      <c r="EO90">
        <v>1.8716600000000001</v>
      </c>
      <c r="EP90">
        <v>0</v>
      </c>
      <c r="EQ90">
        <v>0</v>
      </c>
      <c r="ER90">
        <v>0</v>
      </c>
      <c r="ES90">
        <v>0</v>
      </c>
      <c r="ET90" t="s">
        <v>334</v>
      </c>
      <c r="EU90" t="s">
        <v>335</v>
      </c>
      <c r="EV90" t="s">
        <v>336</v>
      </c>
      <c r="EW90" t="s">
        <v>336</v>
      </c>
      <c r="EX90" t="s">
        <v>336</v>
      </c>
      <c r="EY90" t="s">
        <v>336</v>
      </c>
      <c r="EZ90">
        <v>0</v>
      </c>
      <c r="FA90">
        <v>100</v>
      </c>
      <c r="FB90">
        <v>100</v>
      </c>
      <c r="FC90">
        <v>7.83</v>
      </c>
      <c r="FD90">
        <v>-0.999</v>
      </c>
      <c r="FE90">
        <v>7.8267571428571401</v>
      </c>
      <c r="FF90">
        <v>0</v>
      </c>
      <c r="FG90">
        <v>0</v>
      </c>
      <c r="FH90">
        <v>0</v>
      </c>
      <c r="FI90">
        <v>-0.99792550000000002</v>
      </c>
      <c r="FJ90">
        <v>0</v>
      </c>
      <c r="FK90">
        <v>0</v>
      </c>
      <c r="FL90">
        <v>0</v>
      </c>
      <c r="FM90">
        <v>-1</v>
      </c>
      <c r="FN90">
        <v>-1</v>
      </c>
      <c r="FO90">
        <v>-1</v>
      </c>
      <c r="FP90">
        <v>-1</v>
      </c>
      <c r="FQ90">
        <v>0.8</v>
      </c>
      <c r="FR90">
        <v>0.7</v>
      </c>
      <c r="FS90">
        <v>0.142822</v>
      </c>
      <c r="FT90">
        <v>4.99756</v>
      </c>
      <c r="FU90">
        <v>1.5979000000000001</v>
      </c>
      <c r="FV90">
        <v>2.16309</v>
      </c>
      <c r="FW90">
        <v>1.5478499999999999</v>
      </c>
      <c r="FX90">
        <v>2.4121100000000002</v>
      </c>
      <c r="FY90">
        <v>32.200499999999998</v>
      </c>
      <c r="FZ90">
        <v>16.049600000000002</v>
      </c>
      <c r="GA90">
        <v>3</v>
      </c>
      <c r="GB90">
        <v>491.99099999999999</v>
      </c>
      <c r="GC90">
        <v>425.60899999999998</v>
      </c>
      <c r="GD90">
        <v>25.949400000000001</v>
      </c>
      <c r="GE90">
        <v>27.927</v>
      </c>
      <c r="GF90">
        <v>30.0002</v>
      </c>
      <c r="GG90">
        <v>28.2377</v>
      </c>
      <c r="GH90">
        <v>28.291899999999998</v>
      </c>
      <c r="GI90">
        <v>-1</v>
      </c>
      <c r="GJ90">
        <v>0</v>
      </c>
      <c r="GK90">
        <v>100</v>
      </c>
      <c r="GL90">
        <v>25.9467</v>
      </c>
      <c r="GM90">
        <v>432.1</v>
      </c>
      <c r="GN90">
        <v>63.216500000000003</v>
      </c>
      <c r="GO90">
        <v>102.53100000000001</v>
      </c>
      <c r="GP90">
        <v>96.745199999999997</v>
      </c>
    </row>
    <row r="91" spans="1:198" x14ac:dyDescent="0.35">
      <c r="A91">
        <v>75</v>
      </c>
      <c r="B91">
        <v>1775508031.5999999</v>
      </c>
      <c r="C91">
        <v>4440.5999999046326</v>
      </c>
      <c r="D91" t="s">
        <v>556</v>
      </c>
      <c r="E91" t="s">
        <v>557</v>
      </c>
      <c r="F91">
        <v>60</v>
      </c>
      <c r="G91">
        <v>1775508023.599999</v>
      </c>
      <c r="H91">
        <f t="shared" si="60"/>
        <v>9.3914996264575024E-4</v>
      </c>
      <c r="I91">
        <f t="shared" si="61"/>
        <v>0.93914996264575024</v>
      </c>
      <c r="J91">
        <f t="shared" si="62"/>
        <v>3.400145891390341E-2</v>
      </c>
      <c r="K91">
        <f t="shared" si="63"/>
        <v>58.453622580645167</v>
      </c>
      <c r="L91">
        <f t="shared" si="64"/>
        <v>53.291522925747046</v>
      </c>
      <c r="M91">
        <f t="shared" si="65"/>
        <v>5.3396884206705817</v>
      </c>
      <c r="N91">
        <f t="shared" si="66"/>
        <v>5.8569189714284011</v>
      </c>
      <c r="O91">
        <f t="shared" si="67"/>
        <v>2.694643364960847E-2</v>
      </c>
      <c r="P91">
        <f t="shared" si="68"/>
        <v>2.3908348570256019</v>
      </c>
      <c r="Q91">
        <f t="shared" si="69"/>
        <v>2.677884119053274E-2</v>
      </c>
      <c r="R91">
        <f t="shared" si="70"/>
        <v>1.6751746248435399E-2</v>
      </c>
      <c r="S91">
        <f t="shared" si="71"/>
        <v>0</v>
      </c>
      <c r="T91">
        <f t="shared" si="72"/>
        <v>25.001688031071076</v>
      </c>
      <c r="U91">
        <f t="shared" si="73"/>
        <v>25.310516129032258</v>
      </c>
      <c r="V91">
        <f t="shared" si="74"/>
        <v>3.2390202954517355</v>
      </c>
      <c r="W91">
        <f t="shared" si="75"/>
        <v>-6.8616752489889148</v>
      </c>
      <c r="X91">
        <f t="shared" si="76"/>
        <v>-0.22207005356310489</v>
      </c>
      <c r="Y91">
        <f t="shared" si="77"/>
        <v>3.2363824504202157</v>
      </c>
      <c r="Z91">
        <f t="shared" si="78"/>
        <v>3.4610903490148406</v>
      </c>
      <c r="AA91">
        <f t="shared" si="79"/>
        <v>-41.416513352677583</v>
      </c>
      <c r="AB91">
        <f t="shared" si="80"/>
        <v>-1.765441447406469</v>
      </c>
      <c r="AC91">
        <f t="shared" si="81"/>
        <v>-0.15667176172645439</v>
      </c>
      <c r="AD91">
        <f t="shared" si="82"/>
        <v>-43.338626561810507</v>
      </c>
      <c r="AE91">
        <v>18</v>
      </c>
      <c r="AF91">
        <v>4</v>
      </c>
      <c r="AG91">
        <f t="shared" si="83"/>
        <v>1</v>
      </c>
      <c r="AH91">
        <f t="shared" si="84"/>
        <v>0</v>
      </c>
      <c r="AI91">
        <f t="shared" si="85"/>
        <v>25705.118433591109</v>
      </c>
      <c r="AJ91">
        <f t="shared" si="86"/>
        <v>0</v>
      </c>
      <c r="AK91">
        <f t="shared" si="87"/>
        <v>0</v>
      </c>
      <c r="AL91">
        <f t="shared" si="88"/>
        <v>0</v>
      </c>
      <c r="AM91">
        <f t="shared" si="89"/>
        <v>0</v>
      </c>
      <c r="AN91">
        <v>3</v>
      </c>
      <c r="AO91">
        <v>0.5</v>
      </c>
      <c r="AP91" t="s">
        <v>331</v>
      </c>
      <c r="AQ91">
        <v>2</v>
      </c>
      <c r="AR91">
        <v>1775508023.599999</v>
      </c>
      <c r="AS91">
        <v>58.453622580645167</v>
      </c>
      <c r="AT91">
        <v>58.506961290322579</v>
      </c>
      <c r="AU91">
        <v>-2.2163187096774188</v>
      </c>
      <c r="AV91">
        <v>-2.781055483870968</v>
      </c>
      <c r="AW91">
        <v>50.637622580645171</v>
      </c>
      <c r="AX91">
        <v>-1.22031870967742</v>
      </c>
      <c r="AY91">
        <v>500.00183870967737</v>
      </c>
      <c r="AZ91">
        <v>100.16029032258071</v>
      </c>
      <c r="BA91">
        <v>3.7417070967741932E-2</v>
      </c>
      <c r="BB91">
        <v>25.2968193548387</v>
      </c>
      <c r="BC91">
        <v>25.310516129032258</v>
      </c>
      <c r="BD91">
        <v>999.90000000000032</v>
      </c>
      <c r="BE91">
        <v>0</v>
      </c>
      <c r="BF91">
        <v>0</v>
      </c>
      <c r="BG91">
        <v>4999.2096774193551</v>
      </c>
      <c r="BH91">
        <v>0.40392648387096769</v>
      </c>
      <c r="BI91">
        <v>0.23331922580645159</v>
      </c>
      <c r="BJ91">
        <v>-3.8949431032258057E-2</v>
      </c>
      <c r="BK91">
        <v>58.338561290322588</v>
      </c>
      <c r="BL91">
        <v>58.34471612903225</v>
      </c>
      <c r="BM91">
        <v>0.56200235483870975</v>
      </c>
      <c r="BN91">
        <v>58.506961290322579</v>
      </c>
      <c r="BO91">
        <v>-2.781055483870968</v>
      </c>
      <c r="BP91">
        <v>-0.22226096774193549</v>
      </c>
      <c r="BQ91">
        <v>-0.27855125806451608</v>
      </c>
      <c r="BR91">
        <v>-99.900000000000034</v>
      </c>
      <c r="BS91">
        <v>-99.900000000000034</v>
      </c>
      <c r="BT91">
        <v>0</v>
      </c>
      <c r="BU91">
        <v>0</v>
      </c>
      <c r="BV91">
        <v>0</v>
      </c>
      <c r="BW91">
        <v>24</v>
      </c>
      <c r="BX91">
        <v>-1</v>
      </c>
      <c r="BY91">
        <v>1775508051.5999999</v>
      </c>
      <c r="BZ91" t="s">
        <v>558</v>
      </c>
      <c r="CA91">
        <v>1775508043.5999999</v>
      </c>
      <c r="CB91">
        <v>1775508051.5999999</v>
      </c>
      <c r="CC91">
        <v>78</v>
      </c>
      <c r="CD91">
        <v>-1.4E-2</v>
      </c>
      <c r="CE91">
        <v>3.0000000000000001E-3</v>
      </c>
      <c r="CF91">
        <v>7.8159999999999998</v>
      </c>
      <c r="CG91">
        <v>-0.996</v>
      </c>
      <c r="CH91">
        <v>58</v>
      </c>
      <c r="CI91">
        <v>-3</v>
      </c>
      <c r="CJ91">
        <v>0.21</v>
      </c>
      <c r="CK91">
        <v>0.11</v>
      </c>
      <c r="CL91">
        <v>58.532675409836067</v>
      </c>
      <c r="CM91">
        <v>-0.1032621893178971</v>
      </c>
      <c r="CN91">
        <v>7.2372904212669703E-2</v>
      </c>
      <c r="CO91">
        <v>-1</v>
      </c>
      <c r="CP91">
        <v>500.00829508196722</v>
      </c>
      <c r="CQ91">
        <v>-8.6830248545525152E-2</v>
      </c>
      <c r="CR91">
        <v>5.0194815310047172E-2</v>
      </c>
      <c r="CS91">
        <v>-1</v>
      </c>
      <c r="CT91">
        <v>0</v>
      </c>
      <c r="CU91">
        <v>0</v>
      </c>
      <c r="CV91" t="s">
        <v>333</v>
      </c>
      <c r="CW91">
        <v>3.1672099999999999</v>
      </c>
      <c r="CX91">
        <v>2.6589</v>
      </c>
      <c r="CY91">
        <v>1.50955E-2</v>
      </c>
      <c r="CZ91">
        <v>1.7417200000000001E-2</v>
      </c>
      <c r="DA91">
        <v>-1.09494E-2</v>
      </c>
      <c r="DB91">
        <v>-2.7852200000000001E-2</v>
      </c>
      <c r="DC91">
        <v>21327.1</v>
      </c>
      <c r="DD91">
        <v>21642.400000000001</v>
      </c>
      <c r="DE91">
        <v>23179.7</v>
      </c>
      <c r="DF91">
        <v>22374.7</v>
      </c>
      <c r="DG91">
        <v>30211.8</v>
      </c>
      <c r="DH91">
        <v>27415.5</v>
      </c>
      <c r="DI91">
        <v>40727.4</v>
      </c>
      <c r="DJ91">
        <v>37071.4</v>
      </c>
      <c r="DK91">
        <v>2.10284</v>
      </c>
      <c r="DL91">
        <v>1.85616</v>
      </c>
      <c r="DM91">
        <v>2.3940199999999998E-2</v>
      </c>
      <c r="DN91">
        <v>0</v>
      </c>
      <c r="DO91">
        <v>24.914200000000001</v>
      </c>
      <c r="DP91">
        <v>999.9</v>
      </c>
      <c r="DQ91">
        <v>80.400000000000006</v>
      </c>
      <c r="DR91">
        <v>27.8</v>
      </c>
      <c r="DS91">
        <v>30.1083</v>
      </c>
      <c r="DT91">
        <v>30.960100000000001</v>
      </c>
      <c r="DU91">
        <v>9.21875</v>
      </c>
      <c r="DV91">
        <v>1</v>
      </c>
      <c r="DW91">
        <v>5.5709399999999999E-2</v>
      </c>
      <c r="DX91">
        <v>-0.17699300000000001</v>
      </c>
      <c r="DY91">
        <v>20.368600000000001</v>
      </c>
      <c r="DZ91">
        <v>5.2109399999999999</v>
      </c>
      <c r="EA91">
        <v>11.8482</v>
      </c>
      <c r="EB91">
        <v>4.9690000000000003</v>
      </c>
      <c r="EC91">
        <v>3.2921200000000002</v>
      </c>
      <c r="ED91">
        <v>894.7</v>
      </c>
      <c r="EE91">
        <v>0</v>
      </c>
      <c r="EF91">
        <v>9999</v>
      </c>
      <c r="EG91">
        <v>114.2</v>
      </c>
      <c r="EH91">
        <v>4.9716500000000003</v>
      </c>
      <c r="EI91">
        <v>1.8717999999999999</v>
      </c>
      <c r="EJ91">
        <v>1.8689</v>
      </c>
      <c r="EK91">
        <v>1.87134</v>
      </c>
      <c r="EL91">
        <v>1.8690599999999999</v>
      </c>
      <c r="EM91">
        <v>1.8680600000000001</v>
      </c>
      <c r="EN91">
        <v>1.8698399999999999</v>
      </c>
      <c r="EO91">
        <v>1.8716699999999999</v>
      </c>
      <c r="EP91">
        <v>0</v>
      </c>
      <c r="EQ91">
        <v>0</v>
      </c>
      <c r="ER91">
        <v>0</v>
      </c>
      <c r="ES91">
        <v>0</v>
      </c>
      <c r="ET91" t="s">
        <v>334</v>
      </c>
      <c r="EU91" t="s">
        <v>335</v>
      </c>
      <c r="EV91" t="s">
        <v>336</v>
      </c>
      <c r="EW91" t="s">
        <v>336</v>
      </c>
      <c r="EX91" t="s">
        <v>336</v>
      </c>
      <c r="EY91" t="s">
        <v>336</v>
      </c>
      <c r="EZ91">
        <v>0</v>
      </c>
      <c r="FA91">
        <v>100</v>
      </c>
      <c r="FB91">
        <v>100</v>
      </c>
      <c r="FC91">
        <v>7.8159999999999998</v>
      </c>
      <c r="FD91">
        <v>-0.996</v>
      </c>
      <c r="FE91">
        <v>7.8303999999999974</v>
      </c>
      <c r="FF91">
        <v>0</v>
      </c>
      <c r="FG91">
        <v>0</v>
      </c>
      <c r="FH91">
        <v>0</v>
      </c>
      <c r="FI91">
        <v>-0.99873449999999941</v>
      </c>
      <c r="FJ91">
        <v>0</v>
      </c>
      <c r="FK91">
        <v>0</v>
      </c>
      <c r="FL91">
        <v>0</v>
      </c>
      <c r="FM91">
        <v>-1</v>
      </c>
      <c r="FN91">
        <v>-1</v>
      </c>
      <c r="FO91">
        <v>-1</v>
      </c>
      <c r="FP91">
        <v>-1</v>
      </c>
      <c r="FQ91">
        <v>0.8</v>
      </c>
      <c r="FR91">
        <v>0.7</v>
      </c>
      <c r="FS91">
        <v>0.142822</v>
      </c>
      <c r="FT91">
        <v>4.99756</v>
      </c>
      <c r="FU91">
        <v>1.5979000000000001</v>
      </c>
      <c r="FV91">
        <v>2.16431</v>
      </c>
      <c r="FW91">
        <v>1.5478499999999999</v>
      </c>
      <c r="FX91">
        <v>2.3535200000000001</v>
      </c>
      <c r="FY91">
        <v>32.222499999999997</v>
      </c>
      <c r="FZ91">
        <v>16.049600000000002</v>
      </c>
      <c r="GA91">
        <v>3</v>
      </c>
      <c r="GB91">
        <v>492.12099999999998</v>
      </c>
      <c r="GC91">
        <v>425.40800000000002</v>
      </c>
      <c r="GD91">
        <v>25.967199999999998</v>
      </c>
      <c r="GE91">
        <v>27.932200000000002</v>
      </c>
      <c r="GF91">
        <v>30.0002</v>
      </c>
      <c r="GG91">
        <v>28.242599999999999</v>
      </c>
      <c r="GH91">
        <v>28.296700000000001</v>
      </c>
      <c r="GI91">
        <v>-1</v>
      </c>
      <c r="GJ91">
        <v>0</v>
      </c>
      <c r="GK91">
        <v>100</v>
      </c>
      <c r="GL91">
        <v>25.969799999999999</v>
      </c>
      <c r="GM91">
        <v>432.1</v>
      </c>
      <c r="GN91">
        <v>63.216500000000003</v>
      </c>
      <c r="GO91">
        <v>102.526</v>
      </c>
      <c r="GP91">
        <v>96.742199999999997</v>
      </c>
    </row>
    <row r="92" spans="1:198" x14ac:dyDescent="0.35">
      <c r="A92">
        <v>76</v>
      </c>
      <c r="B92">
        <v>1775508091.5999999</v>
      </c>
      <c r="C92">
        <v>4500.5999999046326</v>
      </c>
      <c r="D92" t="s">
        <v>559</v>
      </c>
      <c r="E92" t="s">
        <v>560</v>
      </c>
      <c r="F92">
        <v>60</v>
      </c>
      <c r="G92">
        <v>1775508083.599999</v>
      </c>
      <c r="H92">
        <f t="shared" si="60"/>
        <v>9.2776856166472833E-4</v>
      </c>
      <c r="I92">
        <f t="shared" si="61"/>
        <v>0.92776856166472832</v>
      </c>
      <c r="J92">
        <f t="shared" si="62"/>
        <v>-9.3519312716189601E-2</v>
      </c>
      <c r="K92">
        <f t="shared" si="63"/>
        <v>58.358122580645158</v>
      </c>
      <c r="L92">
        <f t="shared" si="64"/>
        <v>60.673408793267875</v>
      </c>
      <c r="M92">
        <f t="shared" si="65"/>
        <v>6.0792199265950577</v>
      </c>
      <c r="N92">
        <f t="shared" si="66"/>
        <v>5.8472380030557858</v>
      </c>
      <c r="O92">
        <f t="shared" si="67"/>
        <v>2.6609338686957345E-2</v>
      </c>
      <c r="P92">
        <f t="shared" si="68"/>
        <v>2.3909596071856605</v>
      </c>
      <c r="Q92">
        <f t="shared" si="69"/>
        <v>2.6445907849006117E-2</v>
      </c>
      <c r="R92">
        <f t="shared" si="70"/>
        <v>1.6543292220031165E-2</v>
      </c>
      <c r="S92">
        <f t="shared" si="71"/>
        <v>0</v>
      </c>
      <c r="T92">
        <f t="shared" si="72"/>
        <v>25.004662374137396</v>
      </c>
      <c r="U92">
        <f t="shared" si="73"/>
        <v>25.30942903225807</v>
      </c>
      <c r="V92">
        <f t="shared" si="74"/>
        <v>3.2388108642014228</v>
      </c>
      <c r="W92">
        <f t="shared" si="75"/>
        <v>-6.9011068327626646</v>
      </c>
      <c r="X92">
        <f t="shared" si="76"/>
        <v>-0.22333802464413738</v>
      </c>
      <c r="Y92">
        <f t="shared" si="77"/>
        <v>3.2362638350105106</v>
      </c>
      <c r="Z92">
        <f t="shared" si="78"/>
        <v>3.4621488888455603</v>
      </c>
      <c r="AA92">
        <f t="shared" si="79"/>
        <v>-40.914593569414521</v>
      </c>
      <c r="AB92">
        <f t="shared" si="80"/>
        <v>-1.7048251574350382</v>
      </c>
      <c r="AC92">
        <f t="shared" si="81"/>
        <v>-0.1512832599142277</v>
      </c>
      <c r="AD92">
        <f t="shared" si="82"/>
        <v>-42.77070198676379</v>
      </c>
      <c r="AE92">
        <v>18</v>
      </c>
      <c r="AF92">
        <v>4</v>
      </c>
      <c r="AG92">
        <f t="shared" si="83"/>
        <v>1</v>
      </c>
      <c r="AH92">
        <f t="shared" si="84"/>
        <v>0</v>
      </c>
      <c r="AI92">
        <f t="shared" si="85"/>
        <v>25707.159481291026</v>
      </c>
      <c r="AJ92">
        <f t="shared" si="86"/>
        <v>0</v>
      </c>
      <c r="AK92">
        <f t="shared" si="87"/>
        <v>0</v>
      </c>
      <c r="AL92">
        <f t="shared" si="88"/>
        <v>0</v>
      </c>
      <c r="AM92">
        <f t="shared" si="89"/>
        <v>0</v>
      </c>
      <c r="AN92">
        <v>3</v>
      </c>
      <c r="AO92">
        <v>0.5</v>
      </c>
      <c r="AP92" t="s">
        <v>331</v>
      </c>
      <c r="AQ92">
        <v>2</v>
      </c>
      <c r="AR92">
        <v>1775508083.599999</v>
      </c>
      <c r="AS92">
        <v>58.358122580645158</v>
      </c>
      <c r="AT92">
        <v>58.33449677419356</v>
      </c>
      <c r="AU92">
        <v>-2.2290161290322579</v>
      </c>
      <c r="AV92">
        <v>-2.7869161290322579</v>
      </c>
      <c r="AW92">
        <v>50.535122580645158</v>
      </c>
      <c r="AX92">
        <v>-1.2330161290322581</v>
      </c>
      <c r="AY92">
        <v>500.00174193548378</v>
      </c>
      <c r="AZ92">
        <v>100.1583225806452</v>
      </c>
      <c r="BA92">
        <v>3.7464132258064518E-2</v>
      </c>
      <c r="BB92">
        <v>25.296203225806451</v>
      </c>
      <c r="BC92">
        <v>25.30942903225807</v>
      </c>
      <c r="BD92">
        <v>999.90000000000032</v>
      </c>
      <c r="BE92">
        <v>0</v>
      </c>
      <c r="BF92">
        <v>0</v>
      </c>
      <c r="BG92">
        <v>4999.6290322580644</v>
      </c>
      <c r="BH92">
        <v>0.41517658064516128</v>
      </c>
      <c r="BI92">
        <v>0.22961599999999999</v>
      </c>
      <c r="BJ92">
        <v>1.6814822580645161E-2</v>
      </c>
      <c r="BK92">
        <v>58.221529032258069</v>
      </c>
      <c r="BL92">
        <v>58.172361290322577</v>
      </c>
      <c r="BM92">
        <v>0.55784367741935492</v>
      </c>
      <c r="BN92">
        <v>58.33449677419356</v>
      </c>
      <c r="BO92">
        <v>-2.7869161290322579</v>
      </c>
      <c r="BP92">
        <v>-0.22326009677419351</v>
      </c>
      <c r="BQ92">
        <v>-0.27913283870967748</v>
      </c>
      <c r="BR92">
        <v>-99.900000000000034</v>
      </c>
      <c r="BS92">
        <v>-99.900000000000034</v>
      </c>
      <c r="BT92">
        <v>0</v>
      </c>
      <c r="BU92">
        <v>0</v>
      </c>
      <c r="BV92">
        <v>0</v>
      </c>
      <c r="BW92">
        <v>24</v>
      </c>
      <c r="BX92">
        <v>-1</v>
      </c>
      <c r="BY92">
        <v>1775508110.5999999</v>
      </c>
      <c r="BZ92" t="s">
        <v>561</v>
      </c>
      <c r="CA92">
        <v>1775508107.5999999</v>
      </c>
      <c r="CB92">
        <v>1775508110.5999999</v>
      </c>
      <c r="CC92">
        <v>79</v>
      </c>
      <c r="CD92">
        <v>7.0000000000000001E-3</v>
      </c>
      <c r="CE92">
        <v>0</v>
      </c>
      <c r="CF92">
        <v>7.8230000000000004</v>
      </c>
      <c r="CG92">
        <v>-0.996</v>
      </c>
      <c r="CH92">
        <v>58</v>
      </c>
      <c r="CI92">
        <v>-3</v>
      </c>
      <c r="CJ92">
        <v>0.24</v>
      </c>
      <c r="CK92">
        <v>0.14000000000000001</v>
      </c>
      <c r="CL92">
        <v>58.439070000000008</v>
      </c>
      <c r="CM92">
        <v>-0.72179183106403133</v>
      </c>
      <c r="CN92">
        <v>0.1158259129038056</v>
      </c>
      <c r="CO92">
        <v>-1</v>
      </c>
      <c r="CP92">
        <v>500.00689999999997</v>
      </c>
      <c r="CQ92">
        <v>-0.13868519033034779</v>
      </c>
      <c r="CR92">
        <v>7.7292884536675238E-2</v>
      </c>
      <c r="CS92">
        <v>-1</v>
      </c>
      <c r="CT92">
        <v>0</v>
      </c>
      <c r="CU92">
        <v>0</v>
      </c>
      <c r="CV92" t="s">
        <v>333</v>
      </c>
      <c r="CW92">
        <v>3.1674699999999998</v>
      </c>
      <c r="CX92">
        <v>2.6583600000000001</v>
      </c>
      <c r="CY92">
        <v>1.50498E-2</v>
      </c>
      <c r="CZ92">
        <v>1.7369300000000001E-2</v>
      </c>
      <c r="DA92">
        <v>-1.1067E-2</v>
      </c>
      <c r="DB92">
        <v>-2.79318E-2</v>
      </c>
      <c r="DC92">
        <v>21327.3</v>
      </c>
      <c r="DD92">
        <v>21642.799999999999</v>
      </c>
      <c r="DE92">
        <v>23178.7</v>
      </c>
      <c r="DF92">
        <v>22374.1</v>
      </c>
      <c r="DG92">
        <v>30214.1</v>
      </c>
      <c r="DH92">
        <v>27416.6</v>
      </c>
      <c r="DI92">
        <v>40725.800000000003</v>
      </c>
      <c r="DJ92">
        <v>37070.1</v>
      </c>
      <c r="DK92">
        <v>2.1029</v>
      </c>
      <c r="DL92">
        <v>1.85588</v>
      </c>
      <c r="DM92">
        <v>2.4497499999999998E-2</v>
      </c>
      <c r="DN92">
        <v>0</v>
      </c>
      <c r="DO92">
        <v>24.904299999999999</v>
      </c>
      <c r="DP92">
        <v>999.9</v>
      </c>
      <c r="DQ92">
        <v>80.3</v>
      </c>
      <c r="DR92">
        <v>27.8</v>
      </c>
      <c r="DS92">
        <v>30.073399999999999</v>
      </c>
      <c r="DT92">
        <v>30.690100000000001</v>
      </c>
      <c r="DU92">
        <v>8.8181100000000008</v>
      </c>
      <c r="DV92">
        <v>1</v>
      </c>
      <c r="DW92">
        <v>5.6418700000000002E-2</v>
      </c>
      <c r="DX92">
        <v>-0.216503</v>
      </c>
      <c r="DY92">
        <v>20.368300000000001</v>
      </c>
      <c r="DZ92">
        <v>5.21082</v>
      </c>
      <c r="EA92">
        <v>11.8482</v>
      </c>
      <c r="EB92">
        <v>4.9678000000000004</v>
      </c>
      <c r="EC92">
        <v>3.29216</v>
      </c>
      <c r="ED92">
        <v>894.7</v>
      </c>
      <c r="EE92">
        <v>0</v>
      </c>
      <c r="EF92">
        <v>9999</v>
      </c>
      <c r="EG92">
        <v>114.2</v>
      </c>
      <c r="EH92">
        <v>4.97166</v>
      </c>
      <c r="EI92">
        <v>1.8717999999999999</v>
      </c>
      <c r="EJ92">
        <v>1.8689</v>
      </c>
      <c r="EK92">
        <v>1.87134</v>
      </c>
      <c r="EL92">
        <v>1.8690500000000001</v>
      </c>
      <c r="EM92">
        <v>1.86809</v>
      </c>
      <c r="EN92">
        <v>1.8698699999999999</v>
      </c>
      <c r="EO92">
        <v>1.8716900000000001</v>
      </c>
      <c r="EP92">
        <v>0</v>
      </c>
      <c r="EQ92">
        <v>0</v>
      </c>
      <c r="ER92">
        <v>0</v>
      </c>
      <c r="ES92">
        <v>0</v>
      </c>
      <c r="ET92" t="s">
        <v>334</v>
      </c>
      <c r="EU92" t="s">
        <v>335</v>
      </c>
      <c r="EV92" t="s">
        <v>336</v>
      </c>
      <c r="EW92" t="s">
        <v>336</v>
      </c>
      <c r="EX92" t="s">
        <v>336</v>
      </c>
      <c r="EY92" t="s">
        <v>336</v>
      </c>
      <c r="EZ92">
        <v>0</v>
      </c>
      <c r="FA92">
        <v>100</v>
      </c>
      <c r="FB92">
        <v>100</v>
      </c>
      <c r="FC92">
        <v>7.8230000000000004</v>
      </c>
      <c r="FD92">
        <v>-0.996</v>
      </c>
      <c r="FE92">
        <v>7.8161850000000044</v>
      </c>
      <c r="FF92">
        <v>0</v>
      </c>
      <c r="FG92">
        <v>0</v>
      </c>
      <c r="FH92">
        <v>0</v>
      </c>
      <c r="FI92">
        <v>-0.99605649999999968</v>
      </c>
      <c r="FJ92">
        <v>0</v>
      </c>
      <c r="FK92">
        <v>0</v>
      </c>
      <c r="FL92">
        <v>0</v>
      </c>
      <c r="FM92">
        <v>-1</v>
      </c>
      <c r="FN92">
        <v>-1</v>
      </c>
      <c r="FO92">
        <v>-1</v>
      </c>
      <c r="FP92">
        <v>-1</v>
      </c>
      <c r="FQ92">
        <v>0.8</v>
      </c>
      <c r="FR92">
        <v>0.7</v>
      </c>
      <c r="FS92">
        <v>0.142822</v>
      </c>
      <c r="FT92">
        <v>4.99756</v>
      </c>
      <c r="FU92">
        <v>1.5979000000000001</v>
      </c>
      <c r="FV92">
        <v>2.16309</v>
      </c>
      <c r="FW92">
        <v>1.5478499999999999</v>
      </c>
      <c r="FX92">
        <v>2.4108900000000002</v>
      </c>
      <c r="FY92">
        <v>32.222499999999997</v>
      </c>
      <c r="FZ92">
        <v>16.049600000000002</v>
      </c>
      <c r="GA92">
        <v>3</v>
      </c>
      <c r="GB92">
        <v>492.17399999999998</v>
      </c>
      <c r="GC92">
        <v>425.26</v>
      </c>
      <c r="GD92">
        <v>26.0108</v>
      </c>
      <c r="GE92">
        <v>27.9345</v>
      </c>
      <c r="GF92">
        <v>30.0002</v>
      </c>
      <c r="GG92">
        <v>28.244900000000001</v>
      </c>
      <c r="GH92">
        <v>28.298999999999999</v>
      </c>
      <c r="GI92">
        <v>-1</v>
      </c>
      <c r="GJ92">
        <v>0</v>
      </c>
      <c r="GK92">
        <v>100</v>
      </c>
      <c r="GL92">
        <v>26.012799999999999</v>
      </c>
      <c r="GM92">
        <v>432.1</v>
      </c>
      <c r="GN92">
        <v>63.216500000000003</v>
      </c>
      <c r="GO92">
        <v>102.52200000000001</v>
      </c>
      <c r="GP92">
        <v>96.739000000000004</v>
      </c>
    </row>
    <row r="93" spans="1:198" x14ac:dyDescent="0.35">
      <c r="A93">
        <v>77</v>
      </c>
      <c r="B93">
        <v>1775508151.5999999</v>
      </c>
      <c r="C93">
        <v>4560.5999999046326</v>
      </c>
      <c r="D93" t="s">
        <v>562</v>
      </c>
      <c r="E93" t="s">
        <v>563</v>
      </c>
      <c r="F93">
        <v>60</v>
      </c>
      <c r="G93">
        <v>1775508143.599999</v>
      </c>
      <c r="H93">
        <f t="shared" si="60"/>
        <v>9.3161273289228046E-4</v>
      </c>
      <c r="I93">
        <f t="shared" si="61"/>
        <v>0.93161273289228042</v>
      </c>
      <c r="J93">
        <f t="shared" si="62"/>
        <v>0.85718742774638035</v>
      </c>
      <c r="K93">
        <f t="shared" si="63"/>
        <v>58.722354838709691</v>
      </c>
      <c r="L93">
        <f t="shared" si="64"/>
        <v>5.3243675515917257</v>
      </c>
      <c r="M93">
        <f t="shared" si="65"/>
        <v>0.53347432993286314</v>
      </c>
      <c r="N93">
        <f t="shared" si="66"/>
        <v>5.883678877558947</v>
      </c>
      <c r="O93">
        <f t="shared" si="67"/>
        <v>2.6719440946571738E-2</v>
      </c>
      <c r="P93">
        <f t="shared" si="68"/>
        <v>2.3942400828506978</v>
      </c>
      <c r="Q93">
        <f t="shared" si="69"/>
        <v>2.6554883640146076E-2</v>
      </c>
      <c r="R93">
        <f t="shared" si="70"/>
        <v>1.6611502490090694E-2</v>
      </c>
      <c r="S93">
        <f t="shared" si="71"/>
        <v>0</v>
      </c>
      <c r="T93">
        <f t="shared" si="72"/>
        <v>25.003493736603623</v>
      </c>
      <c r="U93">
        <f t="shared" si="73"/>
        <v>25.30739354838709</v>
      </c>
      <c r="V93">
        <f t="shared" si="74"/>
        <v>3.2384187561993882</v>
      </c>
      <c r="W93">
        <f t="shared" si="75"/>
        <v>-6.9152500824300063</v>
      </c>
      <c r="X93">
        <f t="shared" si="76"/>
        <v>-0.22379135720525375</v>
      </c>
      <c r="Y93">
        <f t="shared" si="77"/>
        <v>3.2362004922114673</v>
      </c>
      <c r="Z93">
        <f t="shared" si="78"/>
        <v>3.4622101134046419</v>
      </c>
      <c r="AA93">
        <f t="shared" si="79"/>
        <v>-41.084121520549566</v>
      </c>
      <c r="AB93">
        <f t="shared" si="80"/>
        <v>-1.4868984096080897</v>
      </c>
      <c r="AC93">
        <f t="shared" si="81"/>
        <v>-0.13176246288575105</v>
      </c>
      <c r="AD93">
        <f t="shared" si="82"/>
        <v>-42.702782393043407</v>
      </c>
      <c r="AE93">
        <v>18</v>
      </c>
      <c r="AF93">
        <v>4</v>
      </c>
      <c r="AG93">
        <f t="shared" si="83"/>
        <v>1</v>
      </c>
      <c r="AH93">
        <f t="shared" si="84"/>
        <v>0</v>
      </c>
      <c r="AI93">
        <f t="shared" si="85"/>
        <v>25757.437334784092</v>
      </c>
      <c r="AJ93">
        <f t="shared" si="86"/>
        <v>0</v>
      </c>
      <c r="AK93">
        <f t="shared" si="87"/>
        <v>0</v>
      </c>
      <c r="AL93">
        <f t="shared" si="88"/>
        <v>0</v>
      </c>
      <c r="AM93">
        <f t="shared" si="89"/>
        <v>0</v>
      </c>
      <c r="AN93">
        <v>3</v>
      </c>
      <c r="AO93">
        <v>0.5</v>
      </c>
      <c r="AP93" t="s">
        <v>331</v>
      </c>
      <c r="AQ93">
        <v>2</v>
      </c>
      <c r="AR93">
        <v>1775508143.599999</v>
      </c>
      <c r="AS93">
        <v>58.722354838709691</v>
      </c>
      <c r="AT93">
        <v>59.269487096774192</v>
      </c>
      <c r="AU93">
        <v>-2.2335609677419348</v>
      </c>
      <c r="AV93">
        <v>-2.7937729032258072</v>
      </c>
      <c r="AW93">
        <v>50.893354838709691</v>
      </c>
      <c r="AX93">
        <v>-1.2405609677419349</v>
      </c>
      <c r="AY93">
        <v>500.00374193548379</v>
      </c>
      <c r="AZ93">
        <v>100.1572580645161</v>
      </c>
      <c r="BA93">
        <v>3.7614803225806452E-2</v>
      </c>
      <c r="BB93">
        <v>25.295874193548389</v>
      </c>
      <c r="BC93">
        <v>25.30739354838709</v>
      </c>
      <c r="BD93">
        <v>999.90000000000032</v>
      </c>
      <c r="BE93">
        <v>0</v>
      </c>
      <c r="BF93">
        <v>0</v>
      </c>
      <c r="BG93">
        <v>5008.1290322580644</v>
      </c>
      <c r="BH93">
        <v>0.40361706451612911</v>
      </c>
      <c r="BI93">
        <v>0.23331922580645159</v>
      </c>
      <c r="BJ93">
        <v>-0.55272554193548384</v>
      </c>
      <c r="BK93">
        <v>58.585725806451613</v>
      </c>
      <c r="BL93">
        <v>59.104364516129031</v>
      </c>
      <c r="BM93">
        <v>0.55714338709677425</v>
      </c>
      <c r="BN93">
        <v>59.269487096774192</v>
      </c>
      <c r="BO93">
        <v>-2.7937729032258072</v>
      </c>
      <c r="BP93">
        <v>-0.22401448387096781</v>
      </c>
      <c r="BQ93">
        <v>-0.2798164193548387</v>
      </c>
      <c r="BR93">
        <v>-99.900000000000034</v>
      </c>
      <c r="BS93">
        <v>-99.900000000000034</v>
      </c>
      <c r="BT93">
        <v>0</v>
      </c>
      <c r="BU93">
        <v>0</v>
      </c>
      <c r="BV93">
        <v>0</v>
      </c>
      <c r="BW93">
        <v>24</v>
      </c>
      <c r="BX93">
        <v>-1</v>
      </c>
      <c r="BY93">
        <v>1775508171.5999999</v>
      </c>
      <c r="BZ93" t="s">
        <v>564</v>
      </c>
      <c r="CA93">
        <v>1775508169.0999999</v>
      </c>
      <c r="CB93">
        <v>1775508171.5999999</v>
      </c>
      <c r="CC93">
        <v>80</v>
      </c>
      <c r="CD93">
        <v>5.0000000000000001E-3</v>
      </c>
      <c r="CE93">
        <v>3.0000000000000001E-3</v>
      </c>
      <c r="CF93">
        <v>7.8289999999999997</v>
      </c>
      <c r="CG93">
        <v>-0.99299999999999999</v>
      </c>
      <c r="CH93">
        <v>59</v>
      </c>
      <c r="CI93">
        <v>-3</v>
      </c>
      <c r="CJ93">
        <v>0.3</v>
      </c>
      <c r="CK93">
        <v>0.12</v>
      </c>
      <c r="CL93">
        <v>58.88472950819672</v>
      </c>
      <c r="CM93">
        <v>2.9491310417767722</v>
      </c>
      <c r="CN93">
        <v>0.50485909001285745</v>
      </c>
      <c r="CO93">
        <v>-1</v>
      </c>
      <c r="CP93">
        <v>499.99552459016388</v>
      </c>
      <c r="CQ93">
        <v>6.0399788471768773E-2</v>
      </c>
      <c r="CR93">
        <v>6.0765231257273143E-2</v>
      </c>
      <c r="CS93">
        <v>-1</v>
      </c>
      <c r="CT93">
        <v>0</v>
      </c>
      <c r="CU93">
        <v>0</v>
      </c>
      <c r="CV93" t="s">
        <v>333</v>
      </c>
      <c r="CW93">
        <v>3.16736</v>
      </c>
      <c r="CX93">
        <v>2.6586400000000001</v>
      </c>
      <c r="CY93">
        <v>1.53309E-2</v>
      </c>
      <c r="CZ93">
        <v>1.77936E-2</v>
      </c>
      <c r="DA93">
        <v>-1.1139E-2</v>
      </c>
      <c r="DB93">
        <v>-2.8022200000000001E-2</v>
      </c>
      <c r="DC93">
        <v>21320.7</v>
      </c>
      <c r="DD93">
        <v>21633.5</v>
      </c>
      <c r="DE93">
        <v>23178.2</v>
      </c>
      <c r="DF93">
        <v>22374.2</v>
      </c>
      <c r="DG93">
        <v>30215.599999999999</v>
      </c>
      <c r="DH93">
        <v>27419.1</v>
      </c>
      <c r="DI93">
        <v>40724.9</v>
      </c>
      <c r="DJ93">
        <v>37070.199999999997</v>
      </c>
      <c r="DK93">
        <v>2.1027999999999998</v>
      </c>
      <c r="DL93">
        <v>1.8556600000000001</v>
      </c>
      <c r="DM93">
        <v>2.4908799999999998E-2</v>
      </c>
      <c r="DN93">
        <v>0</v>
      </c>
      <c r="DO93">
        <v>24.8947</v>
      </c>
      <c r="DP93">
        <v>999.9</v>
      </c>
      <c r="DQ93">
        <v>80.3</v>
      </c>
      <c r="DR93">
        <v>27.8</v>
      </c>
      <c r="DS93">
        <v>30.0717</v>
      </c>
      <c r="DT93">
        <v>30.780100000000001</v>
      </c>
      <c r="DU93">
        <v>9.0665099999999992</v>
      </c>
      <c r="DV93">
        <v>1</v>
      </c>
      <c r="DW93">
        <v>5.6626000000000003E-2</v>
      </c>
      <c r="DX93">
        <v>-0.21060599999999999</v>
      </c>
      <c r="DY93">
        <v>20.368500000000001</v>
      </c>
      <c r="DZ93">
        <v>5.2115400000000003</v>
      </c>
      <c r="EA93">
        <v>11.8482</v>
      </c>
      <c r="EB93">
        <v>4.96828</v>
      </c>
      <c r="EC93">
        <v>3.2920600000000002</v>
      </c>
      <c r="ED93">
        <v>894.7</v>
      </c>
      <c r="EE93">
        <v>0</v>
      </c>
      <c r="EF93">
        <v>9999</v>
      </c>
      <c r="EG93">
        <v>114.3</v>
      </c>
      <c r="EH93">
        <v>4.9716399999999998</v>
      </c>
      <c r="EI93">
        <v>1.8717999999999999</v>
      </c>
      <c r="EJ93">
        <v>1.8689</v>
      </c>
      <c r="EK93">
        <v>1.8713500000000001</v>
      </c>
      <c r="EL93">
        <v>1.8690500000000001</v>
      </c>
      <c r="EM93">
        <v>1.8680699999999999</v>
      </c>
      <c r="EN93">
        <v>1.8698399999999999</v>
      </c>
      <c r="EO93">
        <v>1.8716900000000001</v>
      </c>
      <c r="EP93">
        <v>0</v>
      </c>
      <c r="EQ93">
        <v>0</v>
      </c>
      <c r="ER93">
        <v>0</v>
      </c>
      <c r="ES93">
        <v>0</v>
      </c>
      <c r="ET93" t="s">
        <v>334</v>
      </c>
      <c r="EU93" t="s">
        <v>335</v>
      </c>
      <c r="EV93" t="s">
        <v>336</v>
      </c>
      <c r="EW93" t="s">
        <v>336</v>
      </c>
      <c r="EX93" t="s">
        <v>336</v>
      </c>
      <c r="EY93" t="s">
        <v>336</v>
      </c>
      <c r="EZ93">
        <v>0</v>
      </c>
      <c r="FA93">
        <v>100</v>
      </c>
      <c r="FB93">
        <v>100</v>
      </c>
      <c r="FC93">
        <v>7.8289999999999997</v>
      </c>
      <c r="FD93">
        <v>-0.99299999999999999</v>
      </c>
      <c r="FE93">
        <v>7.8233999999999924</v>
      </c>
      <c r="FF93">
        <v>0</v>
      </c>
      <c r="FG93">
        <v>0</v>
      </c>
      <c r="FH93">
        <v>0</v>
      </c>
      <c r="FI93">
        <v>-0.99606800000000018</v>
      </c>
      <c r="FJ93">
        <v>0</v>
      </c>
      <c r="FK93">
        <v>0</v>
      </c>
      <c r="FL93">
        <v>0</v>
      </c>
      <c r="FM93">
        <v>-1</v>
      </c>
      <c r="FN93">
        <v>-1</v>
      </c>
      <c r="FO93">
        <v>-1</v>
      </c>
      <c r="FP93">
        <v>-1</v>
      </c>
      <c r="FQ93">
        <v>0.7</v>
      </c>
      <c r="FR93">
        <v>0.7</v>
      </c>
      <c r="FS93">
        <v>0.142822</v>
      </c>
      <c r="FT93">
        <v>4.99756</v>
      </c>
      <c r="FU93">
        <v>1.5979000000000001</v>
      </c>
      <c r="FV93">
        <v>2.16431</v>
      </c>
      <c r="FW93">
        <v>1.5478499999999999</v>
      </c>
      <c r="FX93">
        <v>2.3156699999999999</v>
      </c>
      <c r="FY93">
        <v>32.244599999999998</v>
      </c>
      <c r="FZ93">
        <v>16.0321</v>
      </c>
      <c r="GA93">
        <v>3</v>
      </c>
      <c r="GB93">
        <v>492.11700000000002</v>
      </c>
      <c r="GC93">
        <v>425.14699999999999</v>
      </c>
      <c r="GD93">
        <v>25.991499999999998</v>
      </c>
      <c r="GE93">
        <v>27.9345</v>
      </c>
      <c r="GF93">
        <v>30</v>
      </c>
      <c r="GG93">
        <v>28.244900000000001</v>
      </c>
      <c r="GH93">
        <v>28.301400000000001</v>
      </c>
      <c r="GI93">
        <v>-1</v>
      </c>
      <c r="GJ93">
        <v>0</v>
      </c>
      <c r="GK93">
        <v>100</v>
      </c>
      <c r="GL93">
        <v>25.994599999999998</v>
      </c>
      <c r="GM93">
        <v>432.1</v>
      </c>
      <c r="GN93">
        <v>63.216500000000003</v>
      </c>
      <c r="GO93">
        <v>102.52</v>
      </c>
      <c r="GP93">
        <v>96.7393</v>
      </c>
    </row>
    <row r="94" spans="1:198" x14ac:dyDescent="0.35">
      <c r="A94">
        <v>78</v>
      </c>
      <c r="B94">
        <v>1775508211.5999999</v>
      </c>
      <c r="C94">
        <v>4620.5999999046326</v>
      </c>
      <c r="D94" t="s">
        <v>565</v>
      </c>
      <c r="E94" t="s">
        <v>566</v>
      </c>
      <c r="F94">
        <v>60</v>
      </c>
      <c r="G94">
        <v>1775508203.599999</v>
      </c>
      <c r="H94">
        <f t="shared" si="60"/>
        <v>9.2705829475162223E-4</v>
      </c>
      <c r="I94">
        <f t="shared" si="61"/>
        <v>0.92705829475162227</v>
      </c>
      <c r="J94">
        <f t="shared" si="62"/>
        <v>-0.20112849411280478</v>
      </c>
      <c r="K94">
        <f t="shared" si="63"/>
        <v>58.885980645161283</v>
      </c>
      <c r="L94">
        <f t="shared" si="64"/>
        <v>67.509323658983774</v>
      </c>
      <c r="M94">
        <f t="shared" si="65"/>
        <v>6.7642305081797129</v>
      </c>
      <c r="N94">
        <f t="shared" si="66"/>
        <v>5.9001975608012769</v>
      </c>
      <c r="O94">
        <f t="shared" si="67"/>
        <v>2.6587187967083582E-2</v>
      </c>
      <c r="P94">
        <f t="shared" si="68"/>
        <v>2.3917051262071487</v>
      </c>
      <c r="Q94">
        <f t="shared" si="69"/>
        <v>2.6424078730610416E-2</v>
      </c>
      <c r="R94">
        <f t="shared" si="70"/>
        <v>1.6529620385959103E-2</v>
      </c>
      <c r="S94">
        <f t="shared" si="71"/>
        <v>0</v>
      </c>
      <c r="T94">
        <f t="shared" si="72"/>
        <v>25.006833936644611</v>
      </c>
      <c r="U94">
        <f t="shared" si="73"/>
        <v>25.305309677419359</v>
      </c>
      <c r="V94">
        <f t="shared" si="74"/>
        <v>3.2380173700556631</v>
      </c>
      <c r="W94">
        <f t="shared" si="75"/>
        <v>-6.9335750268502778</v>
      </c>
      <c r="X94">
        <f t="shared" si="76"/>
        <v>-0.2244136700355138</v>
      </c>
      <c r="Y94">
        <f t="shared" si="77"/>
        <v>3.2366227980006212</v>
      </c>
      <c r="Z94">
        <f t="shared" si="78"/>
        <v>3.4624310400911771</v>
      </c>
      <c r="AA94">
        <f t="shared" si="79"/>
        <v>-40.88327079854654</v>
      </c>
      <c r="AB94">
        <f t="shared" si="80"/>
        <v>-0.93378679737320103</v>
      </c>
      <c r="AC94">
        <f t="shared" si="81"/>
        <v>-8.283587013509576E-2</v>
      </c>
      <c r="AD94">
        <f t="shared" si="82"/>
        <v>-41.899893466054841</v>
      </c>
      <c r="AE94">
        <v>18</v>
      </c>
      <c r="AF94">
        <v>4</v>
      </c>
      <c r="AG94">
        <f t="shared" si="83"/>
        <v>1</v>
      </c>
      <c r="AH94">
        <f t="shared" si="84"/>
        <v>0</v>
      </c>
      <c r="AI94">
        <f t="shared" si="85"/>
        <v>25718.356191254985</v>
      </c>
      <c r="AJ94">
        <f t="shared" si="86"/>
        <v>0</v>
      </c>
      <c r="AK94">
        <f t="shared" si="87"/>
        <v>0</v>
      </c>
      <c r="AL94">
        <f t="shared" si="88"/>
        <v>0</v>
      </c>
      <c r="AM94">
        <f t="shared" si="89"/>
        <v>0</v>
      </c>
      <c r="AN94">
        <v>3</v>
      </c>
      <c r="AO94">
        <v>0.5</v>
      </c>
      <c r="AP94" t="s">
        <v>331</v>
      </c>
      <c r="AQ94">
        <v>2</v>
      </c>
      <c r="AR94">
        <v>1775508203.599999</v>
      </c>
      <c r="AS94">
        <v>58.885980645161283</v>
      </c>
      <c r="AT94">
        <v>58.798058064516127</v>
      </c>
      <c r="AU94">
        <v>-2.239724838709678</v>
      </c>
      <c r="AV94">
        <v>-2.7972051612903219</v>
      </c>
      <c r="AW94">
        <v>51.037980645161277</v>
      </c>
      <c r="AX94">
        <v>-1.2477248387096771</v>
      </c>
      <c r="AY94">
        <v>500.00041935483881</v>
      </c>
      <c r="AZ94">
        <v>100.15961290322581</v>
      </c>
      <c r="BA94">
        <v>3.7369403225806452E-2</v>
      </c>
      <c r="BB94">
        <v>25.29806774193548</v>
      </c>
      <c r="BC94">
        <v>25.305309677419359</v>
      </c>
      <c r="BD94">
        <v>999.90000000000032</v>
      </c>
      <c r="BE94">
        <v>0</v>
      </c>
      <c r="BF94">
        <v>0</v>
      </c>
      <c r="BG94">
        <v>5001.4838709677406</v>
      </c>
      <c r="BH94">
        <v>0.36061825806451608</v>
      </c>
      <c r="BI94">
        <v>0.22961599999999999</v>
      </c>
      <c r="BJ94">
        <v>6.8496336774193547E-2</v>
      </c>
      <c r="BK94">
        <v>58.734948387096757</v>
      </c>
      <c r="BL94">
        <v>58.634048387096769</v>
      </c>
      <c r="BM94">
        <v>0.55656545161290316</v>
      </c>
      <c r="BN94">
        <v>58.798058064516127</v>
      </c>
      <c r="BO94">
        <v>-2.7972051612903219</v>
      </c>
      <c r="BP94">
        <v>-0.22442174193548389</v>
      </c>
      <c r="BQ94">
        <v>-0.28016706451612899</v>
      </c>
      <c r="BR94">
        <v>-99.900000000000034</v>
      </c>
      <c r="BS94">
        <v>-99.900000000000034</v>
      </c>
      <c r="BT94">
        <v>0</v>
      </c>
      <c r="BU94">
        <v>0</v>
      </c>
      <c r="BV94">
        <v>0</v>
      </c>
      <c r="BW94">
        <v>24</v>
      </c>
      <c r="BX94">
        <v>-1</v>
      </c>
      <c r="BY94">
        <v>1775508232.5999999</v>
      </c>
      <c r="BZ94" t="s">
        <v>567</v>
      </c>
      <c r="CA94">
        <v>1775508224.5999999</v>
      </c>
      <c r="CB94">
        <v>1775508232.5999999</v>
      </c>
      <c r="CC94">
        <v>81</v>
      </c>
      <c r="CD94">
        <v>1.9E-2</v>
      </c>
      <c r="CE94">
        <v>1E-3</v>
      </c>
      <c r="CF94">
        <v>7.8479999999999999</v>
      </c>
      <c r="CG94">
        <v>-0.99199999999999999</v>
      </c>
      <c r="CH94">
        <v>59</v>
      </c>
      <c r="CI94">
        <v>-3</v>
      </c>
      <c r="CJ94">
        <v>0.16</v>
      </c>
      <c r="CK94">
        <v>0.12</v>
      </c>
      <c r="CL94">
        <v>58.91146333333333</v>
      </c>
      <c r="CM94">
        <v>-0.76401555987773495</v>
      </c>
      <c r="CN94">
        <v>0.119195248740133</v>
      </c>
      <c r="CO94">
        <v>-1</v>
      </c>
      <c r="CP94">
        <v>500.01936666666671</v>
      </c>
      <c r="CQ94">
        <v>-0.18225062517368121</v>
      </c>
      <c r="CR94">
        <v>7.7896933330020832E-2</v>
      </c>
      <c r="CS94">
        <v>-1</v>
      </c>
      <c r="CT94">
        <v>0</v>
      </c>
      <c r="CU94">
        <v>0</v>
      </c>
      <c r="CV94" t="s">
        <v>333</v>
      </c>
      <c r="CW94">
        <v>3.16743</v>
      </c>
      <c r="CX94">
        <v>2.65863</v>
      </c>
      <c r="CY94">
        <v>1.5177100000000001E-2</v>
      </c>
      <c r="CZ94">
        <v>1.7456099999999999E-2</v>
      </c>
      <c r="DA94">
        <v>-1.11983E-2</v>
      </c>
      <c r="DB94">
        <v>-2.8047800000000001E-2</v>
      </c>
      <c r="DC94">
        <v>21324.2</v>
      </c>
      <c r="DD94">
        <v>21640.9</v>
      </c>
      <c r="DE94">
        <v>23178.400000000001</v>
      </c>
      <c r="DF94">
        <v>22374</v>
      </c>
      <c r="DG94">
        <v>30217.5</v>
      </c>
      <c r="DH94">
        <v>27419.599999999999</v>
      </c>
      <c r="DI94">
        <v>40725</v>
      </c>
      <c r="DJ94">
        <v>37070</v>
      </c>
      <c r="DK94">
        <v>2.1029599999999999</v>
      </c>
      <c r="DL94">
        <v>1.8556999999999999</v>
      </c>
      <c r="DM94">
        <v>2.5799900000000001E-2</v>
      </c>
      <c r="DN94">
        <v>0</v>
      </c>
      <c r="DO94">
        <v>24.8828</v>
      </c>
      <c r="DP94">
        <v>999.9</v>
      </c>
      <c r="DQ94">
        <v>80.2</v>
      </c>
      <c r="DR94">
        <v>27.8</v>
      </c>
      <c r="DS94">
        <v>30.0366</v>
      </c>
      <c r="DT94">
        <v>30.540099999999999</v>
      </c>
      <c r="DU94">
        <v>8.8501600000000007</v>
      </c>
      <c r="DV94">
        <v>1</v>
      </c>
      <c r="DW94">
        <v>5.63455E-2</v>
      </c>
      <c r="DX94">
        <v>-0.233959</v>
      </c>
      <c r="DY94">
        <v>20.368400000000001</v>
      </c>
      <c r="DZ94">
        <v>5.2125000000000004</v>
      </c>
      <c r="EA94">
        <v>11.8482</v>
      </c>
      <c r="EB94">
        <v>4.9684799999999996</v>
      </c>
      <c r="EC94">
        <v>3.2921399999999998</v>
      </c>
      <c r="ED94">
        <v>894.7</v>
      </c>
      <c r="EE94">
        <v>0</v>
      </c>
      <c r="EF94">
        <v>9999</v>
      </c>
      <c r="EG94">
        <v>114.3</v>
      </c>
      <c r="EH94">
        <v>4.9716699999999996</v>
      </c>
      <c r="EI94">
        <v>1.8717999999999999</v>
      </c>
      <c r="EJ94">
        <v>1.8689</v>
      </c>
      <c r="EK94">
        <v>1.87134</v>
      </c>
      <c r="EL94">
        <v>1.8690500000000001</v>
      </c>
      <c r="EM94">
        <v>1.8680600000000001</v>
      </c>
      <c r="EN94">
        <v>1.8698699999999999</v>
      </c>
      <c r="EO94">
        <v>1.8716699999999999</v>
      </c>
      <c r="EP94">
        <v>0</v>
      </c>
      <c r="EQ94">
        <v>0</v>
      </c>
      <c r="ER94">
        <v>0</v>
      </c>
      <c r="ES94">
        <v>0</v>
      </c>
      <c r="ET94" t="s">
        <v>334</v>
      </c>
      <c r="EU94" t="s">
        <v>335</v>
      </c>
      <c r="EV94" t="s">
        <v>336</v>
      </c>
      <c r="EW94" t="s">
        <v>336</v>
      </c>
      <c r="EX94" t="s">
        <v>336</v>
      </c>
      <c r="EY94" t="s">
        <v>336</v>
      </c>
      <c r="EZ94">
        <v>0</v>
      </c>
      <c r="FA94">
        <v>100</v>
      </c>
      <c r="FB94">
        <v>100</v>
      </c>
      <c r="FC94">
        <v>7.8479999999999999</v>
      </c>
      <c r="FD94">
        <v>-0.99199999999999999</v>
      </c>
      <c r="FE94">
        <v>7.82856666666666</v>
      </c>
      <c r="FF94">
        <v>0</v>
      </c>
      <c r="FG94">
        <v>0</v>
      </c>
      <c r="FH94">
        <v>0</v>
      </c>
      <c r="FI94">
        <v>-0.99291450000000037</v>
      </c>
      <c r="FJ94">
        <v>0</v>
      </c>
      <c r="FK94">
        <v>0</v>
      </c>
      <c r="FL94">
        <v>0</v>
      </c>
      <c r="FM94">
        <v>-1</v>
      </c>
      <c r="FN94">
        <v>-1</v>
      </c>
      <c r="FO94">
        <v>-1</v>
      </c>
      <c r="FP94">
        <v>-1</v>
      </c>
      <c r="FQ94">
        <v>0.7</v>
      </c>
      <c r="FR94">
        <v>0.7</v>
      </c>
      <c r="FS94">
        <v>0.142822</v>
      </c>
      <c r="FT94">
        <v>4.99756</v>
      </c>
      <c r="FU94">
        <v>1.5979000000000001</v>
      </c>
      <c r="FV94">
        <v>2.16309</v>
      </c>
      <c r="FW94">
        <v>1.5478499999999999</v>
      </c>
      <c r="FX94">
        <v>2.4291999999999998</v>
      </c>
      <c r="FY94">
        <v>32.244599999999998</v>
      </c>
      <c r="FZ94">
        <v>16.049600000000002</v>
      </c>
      <c r="GA94">
        <v>3</v>
      </c>
      <c r="GB94">
        <v>492.20800000000003</v>
      </c>
      <c r="GC94">
        <v>425.154</v>
      </c>
      <c r="GD94">
        <v>26.034099999999999</v>
      </c>
      <c r="GE94">
        <v>27.9298</v>
      </c>
      <c r="GF94">
        <v>30.0001</v>
      </c>
      <c r="GG94">
        <v>28.244900000000001</v>
      </c>
      <c r="GH94">
        <v>28.298999999999999</v>
      </c>
      <c r="GI94">
        <v>-1</v>
      </c>
      <c r="GJ94">
        <v>0</v>
      </c>
      <c r="GK94">
        <v>100</v>
      </c>
      <c r="GL94">
        <v>26.033799999999999</v>
      </c>
      <c r="GM94">
        <v>432.1</v>
      </c>
      <c r="GN94">
        <v>63.216500000000003</v>
      </c>
      <c r="GO94">
        <v>102.52</v>
      </c>
      <c r="GP94">
        <v>96.738799999999998</v>
      </c>
    </row>
    <row r="95" spans="1:198" x14ac:dyDescent="0.35">
      <c r="A95">
        <v>79</v>
      </c>
      <c r="B95">
        <v>1775508271.5999999</v>
      </c>
      <c r="C95">
        <v>4680.5999999046326</v>
      </c>
      <c r="D95" t="s">
        <v>568</v>
      </c>
      <c r="E95" t="s">
        <v>569</v>
      </c>
      <c r="F95">
        <v>60</v>
      </c>
      <c r="G95">
        <v>1775508263.599999</v>
      </c>
      <c r="H95">
        <f t="shared" si="60"/>
        <v>9.2810024041886814E-4</v>
      </c>
      <c r="I95">
        <f t="shared" si="61"/>
        <v>0.92810024041886818</v>
      </c>
      <c r="J95">
        <f t="shared" si="62"/>
        <v>0.167420686341404</v>
      </c>
      <c r="K95">
        <f t="shared" si="63"/>
        <v>59.182509677419347</v>
      </c>
      <c r="L95">
        <f t="shared" si="64"/>
        <v>46.111995489548136</v>
      </c>
      <c r="M95">
        <f t="shared" si="65"/>
        <v>4.62028785436984</v>
      </c>
      <c r="N95">
        <f t="shared" si="66"/>
        <v>5.9299153669392775</v>
      </c>
      <c r="O95">
        <f t="shared" si="67"/>
        <v>2.6615843609634291E-2</v>
      </c>
      <c r="P95">
        <f t="shared" si="68"/>
        <v>2.3924249272643552</v>
      </c>
      <c r="Q95">
        <f t="shared" si="69"/>
        <v>2.6452432606038578E-2</v>
      </c>
      <c r="R95">
        <f t="shared" si="70"/>
        <v>1.6547368451826285E-2</v>
      </c>
      <c r="S95">
        <f t="shared" si="71"/>
        <v>0</v>
      </c>
      <c r="T95">
        <f t="shared" si="72"/>
        <v>25.01285319880207</v>
      </c>
      <c r="U95">
        <f t="shared" si="73"/>
        <v>25.305483870967741</v>
      </c>
      <c r="V95">
        <f t="shared" si="74"/>
        <v>3.2380509207927899</v>
      </c>
      <c r="W95">
        <f t="shared" si="75"/>
        <v>-6.9355733501500607</v>
      </c>
      <c r="X95">
        <f t="shared" si="76"/>
        <v>-0.22456201348518331</v>
      </c>
      <c r="Y95">
        <f t="shared" si="77"/>
        <v>3.2378291187753727</v>
      </c>
      <c r="Z95">
        <f t="shared" si="78"/>
        <v>3.4626129342779732</v>
      </c>
      <c r="AA95">
        <f t="shared" si="79"/>
        <v>-40.929220602472085</v>
      </c>
      <c r="AB95">
        <f t="shared" si="80"/>
        <v>-0.14853550750361424</v>
      </c>
      <c r="AC95">
        <f t="shared" si="81"/>
        <v>-1.3172990247400072E-2</v>
      </c>
      <c r="AD95">
        <f t="shared" si="82"/>
        <v>-41.0909291002231</v>
      </c>
      <c r="AE95">
        <v>18</v>
      </c>
      <c r="AF95">
        <v>4</v>
      </c>
      <c r="AG95">
        <f t="shared" si="83"/>
        <v>1</v>
      </c>
      <c r="AH95">
        <f t="shared" si="84"/>
        <v>0</v>
      </c>
      <c r="AI95">
        <f t="shared" si="85"/>
        <v>25728.833147098481</v>
      </c>
      <c r="AJ95">
        <f t="shared" si="86"/>
        <v>0</v>
      </c>
      <c r="AK95">
        <f t="shared" si="87"/>
        <v>0</v>
      </c>
      <c r="AL95">
        <f t="shared" si="88"/>
        <v>0</v>
      </c>
      <c r="AM95">
        <f t="shared" si="89"/>
        <v>0</v>
      </c>
      <c r="AN95">
        <v>3</v>
      </c>
      <c r="AO95">
        <v>0.5</v>
      </c>
      <c r="AP95" t="s">
        <v>331</v>
      </c>
      <c r="AQ95">
        <v>2</v>
      </c>
      <c r="AR95">
        <v>1775508263.599999</v>
      </c>
      <c r="AS95">
        <v>59.182509677419347</v>
      </c>
      <c r="AT95">
        <v>59.315916129032253</v>
      </c>
      <c r="AU95">
        <v>-2.241202903225807</v>
      </c>
      <c r="AV95">
        <v>-2.79930129032258</v>
      </c>
      <c r="AW95">
        <v>51.32150967741935</v>
      </c>
      <c r="AX95">
        <v>-1.249202903225807</v>
      </c>
      <c r="AY95">
        <v>500.00877419354828</v>
      </c>
      <c r="AZ95">
        <v>100.1595806451613</v>
      </c>
      <c r="BA95">
        <v>3.7511354838709682E-2</v>
      </c>
      <c r="BB95">
        <v>25.30433225806452</v>
      </c>
      <c r="BC95">
        <v>25.305483870967741</v>
      </c>
      <c r="BD95">
        <v>999.90000000000032</v>
      </c>
      <c r="BE95">
        <v>0</v>
      </c>
      <c r="BF95">
        <v>0</v>
      </c>
      <c r="BG95">
        <v>5003.3387096774204</v>
      </c>
      <c r="BH95">
        <v>0.39236767741935502</v>
      </c>
      <c r="BI95">
        <v>0.22961599999999999</v>
      </c>
      <c r="BJ95">
        <v>-0.14651695806451609</v>
      </c>
      <c r="BK95">
        <v>59.037074193548371</v>
      </c>
      <c r="BL95">
        <v>59.15032258064516</v>
      </c>
      <c r="BM95">
        <v>0.55813190322580652</v>
      </c>
      <c r="BN95">
        <v>59.315916129032253</v>
      </c>
      <c r="BO95">
        <v>-2.79930129032258</v>
      </c>
      <c r="BP95">
        <v>-0.2244745483870968</v>
      </c>
      <c r="BQ95">
        <v>-0.28037674193548379</v>
      </c>
      <c r="BR95">
        <v>-99.900000000000034</v>
      </c>
      <c r="BS95">
        <v>-99.900000000000034</v>
      </c>
      <c r="BT95">
        <v>0</v>
      </c>
      <c r="BU95">
        <v>0</v>
      </c>
      <c r="BV95">
        <v>0</v>
      </c>
      <c r="BW95">
        <v>24</v>
      </c>
      <c r="BX95">
        <v>-1</v>
      </c>
      <c r="BY95">
        <v>1775508292.5999999</v>
      </c>
      <c r="BZ95" t="s">
        <v>570</v>
      </c>
      <c r="CA95">
        <v>1775508287.5999999</v>
      </c>
      <c r="CB95">
        <v>1775508292.5999999</v>
      </c>
      <c r="CC95">
        <v>82</v>
      </c>
      <c r="CD95">
        <v>1.2999999999999999E-2</v>
      </c>
      <c r="CE95">
        <v>0</v>
      </c>
      <c r="CF95">
        <v>7.8609999999999998</v>
      </c>
      <c r="CG95">
        <v>-0.99199999999999999</v>
      </c>
      <c r="CH95">
        <v>60</v>
      </c>
      <c r="CI95">
        <v>-3</v>
      </c>
      <c r="CJ95">
        <v>0.31</v>
      </c>
      <c r="CK95">
        <v>0.12</v>
      </c>
      <c r="CL95">
        <v>59.267668333333333</v>
      </c>
      <c r="CM95">
        <v>0.43807202000567202</v>
      </c>
      <c r="CN95">
        <v>8.5570266431875514E-2</v>
      </c>
      <c r="CO95">
        <v>-1</v>
      </c>
      <c r="CP95">
        <v>500.01568333333341</v>
      </c>
      <c r="CQ95">
        <v>-0.17542539594281559</v>
      </c>
      <c r="CR95">
        <v>7.1367941371145729E-2</v>
      </c>
      <c r="CS95">
        <v>-1</v>
      </c>
      <c r="CT95">
        <v>0</v>
      </c>
      <c r="CU95">
        <v>0</v>
      </c>
      <c r="CV95" t="s">
        <v>333</v>
      </c>
      <c r="CW95">
        <v>3.1672799999999999</v>
      </c>
      <c r="CX95">
        <v>2.65883</v>
      </c>
      <c r="CY95">
        <v>1.53151E-2</v>
      </c>
      <c r="CZ95">
        <v>1.76936E-2</v>
      </c>
      <c r="DA95">
        <v>-1.12064E-2</v>
      </c>
      <c r="DB95">
        <v>-2.8107099999999999E-2</v>
      </c>
      <c r="DC95">
        <v>21320.5</v>
      </c>
      <c r="DD95">
        <v>21635.9</v>
      </c>
      <c r="DE95">
        <v>23177.5</v>
      </c>
      <c r="DF95">
        <v>22374.3</v>
      </c>
      <c r="DG95">
        <v>30216.7</v>
      </c>
      <c r="DH95">
        <v>27421.4</v>
      </c>
      <c r="DI95">
        <v>40723.699999999997</v>
      </c>
      <c r="DJ95">
        <v>37070.400000000001</v>
      </c>
      <c r="DK95">
        <v>2.10284</v>
      </c>
      <c r="DL95">
        <v>1.85568</v>
      </c>
      <c r="DM95">
        <v>2.5889300000000001E-2</v>
      </c>
      <c r="DN95">
        <v>0</v>
      </c>
      <c r="DO95">
        <v>24.880600000000001</v>
      </c>
      <c r="DP95">
        <v>999.9</v>
      </c>
      <c r="DQ95">
        <v>80.099999999999994</v>
      </c>
      <c r="DR95">
        <v>27.8</v>
      </c>
      <c r="DS95">
        <v>29.996099999999998</v>
      </c>
      <c r="DT95">
        <v>30.7502</v>
      </c>
      <c r="DU95">
        <v>9.2668300000000006</v>
      </c>
      <c r="DV95">
        <v>1</v>
      </c>
      <c r="DW95">
        <v>5.6717499999999997E-2</v>
      </c>
      <c r="DX95">
        <v>-0.178536</v>
      </c>
      <c r="DY95">
        <v>20.368300000000001</v>
      </c>
      <c r="DZ95">
        <v>5.2123799999999996</v>
      </c>
      <c r="EA95">
        <v>11.8482</v>
      </c>
      <c r="EB95">
        <v>4.9683200000000003</v>
      </c>
      <c r="EC95">
        <v>3.2920199999999999</v>
      </c>
      <c r="ED95">
        <v>894.7</v>
      </c>
      <c r="EE95">
        <v>0</v>
      </c>
      <c r="EF95">
        <v>9999</v>
      </c>
      <c r="EG95">
        <v>114.3</v>
      </c>
      <c r="EH95">
        <v>4.9716500000000003</v>
      </c>
      <c r="EI95">
        <v>1.8717999999999999</v>
      </c>
      <c r="EJ95">
        <v>1.8689</v>
      </c>
      <c r="EK95">
        <v>1.87134</v>
      </c>
      <c r="EL95">
        <v>1.8690500000000001</v>
      </c>
      <c r="EM95">
        <v>1.8680300000000001</v>
      </c>
      <c r="EN95">
        <v>1.86985</v>
      </c>
      <c r="EO95">
        <v>1.8716600000000001</v>
      </c>
      <c r="EP95">
        <v>0</v>
      </c>
      <c r="EQ95">
        <v>0</v>
      </c>
      <c r="ER95">
        <v>0</v>
      </c>
      <c r="ES95">
        <v>0</v>
      </c>
      <c r="ET95" t="s">
        <v>334</v>
      </c>
      <c r="EU95" t="s">
        <v>335</v>
      </c>
      <c r="EV95" t="s">
        <v>336</v>
      </c>
      <c r="EW95" t="s">
        <v>336</v>
      </c>
      <c r="EX95" t="s">
        <v>336</v>
      </c>
      <c r="EY95" t="s">
        <v>336</v>
      </c>
      <c r="EZ95">
        <v>0</v>
      </c>
      <c r="FA95">
        <v>100</v>
      </c>
      <c r="FB95">
        <v>100</v>
      </c>
      <c r="FC95">
        <v>7.8609999999999998</v>
      </c>
      <c r="FD95">
        <v>-0.99199999999999999</v>
      </c>
      <c r="FE95">
        <v>7.847875000000009</v>
      </c>
      <c r="FF95">
        <v>0</v>
      </c>
      <c r="FG95">
        <v>0</v>
      </c>
      <c r="FH95">
        <v>0</v>
      </c>
      <c r="FI95">
        <v>-0.99196750000000011</v>
      </c>
      <c r="FJ95">
        <v>0</v>
      </c>
      <c r="FK95">
        <v>0</v>
      </c>
      <c r="FL95">
        <v>0</v>
      </c>
      <c r="FM95">
        <v>-1</v>
      </c>
      <c r="FN95">
        <v>-1</v>
      </c>
      <c r="FO95">
        <v>-1</v>
      </c>
      <c r="FP95">
        <v>-1</v>
      </c>
      <c r="FQ95">
        <v>0.8</v>
      </c>
      <c r="FR95">
        <v>0.7</v>
      </c>
      <c r="FS95">
        <v>0.142822</v>
      </c>
      <c r="FT95">
        <v>4.99756</v>
      </c>
      <c r="FU95">
        <v>1.5979000000000001</v>
      </c>
      <c r="FV95">
        <v>2.16309</v>
      </c>
      <c r="FW95">
        <v>1.5478499999999999</v>
      </c>
      <c r="FX95">
        <v>2.3742700000000001</v>
      </c>
      <c r="FY95">
        <v>32.244599999999998</v>
      </c>
      <c r="FZ95">
        <v>16.040800000000001</v>
      </c>
      <c r="GA95">
        <v>3</v>
      </c>
      <c r="GB95">
        <v>492.12099999999998</v>
      </c>
      <c r="GC95">
        <v>425.142</v>
      </c>
      <c r="GD95">
        <v>25.9925</v>
      </c>
      <c r="GE95">
        <v>27.927499999999998</v>
      </c>
      <c r="GF95">
        <v>30.0001</v>
      </c>
      <c r="GG95">
        <v>28.242599999999999</v>
      </c>
      <c r="GH95">
        <v>28.298999999999999</v>
      </c>
      <c r="GI95">
        <v>-1</v>
      </c>
      <c r="GJ95">
        <v>0</v>
      </c>
      <c r="GK95">
        <v>100</v>
      </c>
      <c r="GL95">
        <v>25.9894</v>
      </c>
      <c r="GM95">
        <v>432.1</v>
      </c>
      <c r="GN95">
        <v>63.216500000000003</v>
      </c>
      <c r="GO95">
        <v>102.517</v>
      </c>
      <c r="GP95">
        <v>96.739900000000006</v>
      </c>
    </row>
    <row r="96" spans="1:198" x14ac:dyDescent="0.35">
      <c r="A96">
        <v>80</v>
      </c>
      <c r="B96">
        <v>1775508331.5999999</v>
      </c>
      <c r="C96">
        <v>4740.5999999046326</v>
      </c>
      <c r="D96" t="s">
        <v>571</v>
      </c>
      <c r="E96" t="s">
        <v>572</v>
      </c>
      <c r="F96">
        <v>60</v>
      </c>
      <c r="G96">
        <v>1775508323.599999</v>
      </c>
      <c r="H96">
        <f t="shared" si="60"/>
        <v>9.3398815124497755E-4</v>
      </c>
      <c r="I96">
        <f t="shared" si="61"/>
        <v>0.93398815124497758</v>
      </c>
      <c r="J96">
        <f t="shared" si="62"/>
        <v>9.8673076468691848E-2</v>
      </c>
      <c r="K96">
        <f t="shared" si="63"/>
        <v>59.650590322580648</v>
      </c>
      <c r="L96">
        <f t="shared" si="64"/>
        <v>50.637426127396928</v>
      </c>
      <c r="M96">
        <f t="shared" si="65"/>
        <v>5.0737924951295499</v>
      </c>
      <c r="N96">
        <f t="shared" si="66"/>
        <v>5.9768977346383805</v>
      </c>
      <c r="O96">
        <f t="shared" si="67"/>
        <v>2.680123736940157E-2</v>
      </c>
      <c r="P96">
        <f t="shared" si="68"/>
        <v>2.3906525010168806</v>
      </c>
      <c r="Q96">
        <f t="shared" si="69"/>
        <v>2.6635427572239325E-2</v>
      </c>
      <c r="R96">
        <f t="shared" si="70"/>
        <v>1.6661953949894275E-2</v>
      </c>
      <c r="S96">
        <f t="shared" si="71"/>
        <v>0</v>
      </c>
      <c r="T96">
        <f t="shared" si="72"/>
        <v>25.002269985521181</v>
      </c>
      <c r="U96">
        <f t="shared" si="73"/>
        <v>25.293777419354839</v>
      </c>
      <c r="V96">
        <f t="shared" si="74"/>
        <v>3.2357968625655014</v>
      </c>
      <c r="W96">
        <f t="shared" si="75"/>
        <v>-6.9506834355580667</v>
      </c>
      <c r="X96">
        <f t="shared" si="76"/>
        <v>-0.22493705878535558</v>
      </c>
      <c r="Y96">
        <f t="shared" si="77"/>
        <v>3.236186209180961</v>
      </c>
      <c r="Z96">
        <f t="shared" si="78"/>
        <v>3.4607339213508568</v>
      </c>
      <c r="AA96">
        <f t="shared" si="79"/>
        <v>-41.18887746990351</v>
      </c>
      <c r="AB96">
        <f t="shared" si="80"/>
        <v>0.26068001850646888</v>
      </c>
      <c r="AC96">
        <f t="shared" si="81"/>
        <v>2.3133401567465683E-2</v>
      </c>
      <c r="AD96">
        <f t="shared" si="82"/>
        <v>-40.905064049829576</v>
      </c>
      <c r="AE96">
        <v>18</v>
      </c>
      <c r="AF96">
        <v>4</v>
      </c>
      <c r="AG96">
        <f t="shared" si="83"/>
        <v>1</v>
      </c>
      <c r="AH96">
        <f t="shared" si="84"/>
        <v>0</v>
      </c>
      <c r="AI96">
        <f t="shared" si="85"/>
        <v>25702.391076490829</v>
      </c>
      <c r="AJ96">
        <f t="shared" si="86"/>
        <v>0</v>
      </c>
      <c r="AK96">
        <f t="shared" si="87"/>
        <v>0</v>
      </c>
      <c r="AL96">
        <f t="shared" si="88"/>
        <v>0</v>
      </c>
      <c r="AM96">
        <f t="shared" si="89"/>
        <v>0</v>
      </c>
      <c r="AN96">
        <v>3</v>
      </c>
      <c r="AO96">
        <v>0.5</v>
      </c>
      <c r="AP96" t="s">
        <v>331</v>
      </c>
      <c r="AQ96">
        <v>2</v>
      </c>
      <c r="AR96">
        <v>1775508323.599999</v>
      </c>
      <c r="AS96">
        <v>59.650590322580648</v>
      </c>
      <c r="AT96">
        <v>59.743222580645167</v>
      </c>
      <c r="AU96">
        <v>-2.2449151612903231</v>
      </c>
      <c r="AV96">
        <v>-2.8065699999999998</v>
      </c>
      <c r="AW96">
        <v>51.802590322580663</v>
      </c>
      <c r="AX96">
        <v>-1.253915161290323</v>
      </c>
      <c r="AY96">
        <v>499.99651612903227</v>
      </c>
      <c r="AZ96">
        <v>100.16090322580639</v>
      </c>
      <c r="BA96">
        <v>3.7564254838709683E-2</v>
      </c>
      <c r="BB96">
        <v>25.2958</v>
      </c>
      <c r="BC96">
        <v>25.293777419354839</v>
      </c>
      <c r="BD96">
        <v>999.90000000000032</v>
      </c>
      <c r="BE96">
        <v>0</v>
      </c>
      <c r="BF96">
        <v>0</v>
      </c>
      <c r="BG96">
        <v>4998.7096774193551</v>
      </c>
      <c r="BH96">
        <v>0.38928393548387091</v>
      </c>
      <c r="BI96">
        <v>0.22961599999999999</v>
      </c>
      <c r="BJ96">
        <v>-7.9377925806451602E-2</v>
      </c>
      <c r="BK96">
        <v>59.530129032258067</v>
      </c>
      <c r="BL96">
        <v>59.576006451612912</v>
      </c>
      <c r="BM96">
        <v>0.5606473870967742</v>
      </c>
      <c r="BN96">
        <v>59.743222580645167</v>
      </c>
      <c r="BO96">
        <v>-2.8065699999999998</v>
      </c>
      <c r="BP96">
        <v>-0.22495367741935479</v>
      </c>
      <c r="BQ96">
        <v>-0.2811087096774193</v>
      </c>
      <c r="BR96">
        <v>-99.900000000000034</v>
      </c>
      <c r="BS96">
        <v>-99.900000000000034</v>
      </c>
      <c r="BT96">
        <v>0</v>
      </c>
      <c r="BU96">
        <v>0</v>
      </c>
      <c r="BV96">
        <v>0</v>
      </c>
      <c r="BW96">
        <v>24</v>
      </c>
      <c r="BX96">
        <v>-1</v>
      </c>
      <c r="BY96">
        <v>1775508354.0999999</v>
      </c>
      <c r="BZ96" t="s">
        <v>573</v>
      </c>
      <c r="CA96">
        <v>1775508345.5999999</v>
      </c>
      <c r="CB96">
        <v>1775508354.0999999</v>
      </c>
      <c r="CC96">
        <v>83</v>
      </c>
      <c r="CD96">
        <v>-1.2999999999999999E-2</v>
      </c>
      <c r="CE96">
        <v>1E-3</v>
      </c>
      <c r="CF96">
        <v>7.8479999999999999</v>
      </c>
      <c r="CG96">
        <v>-0.99099999999999999</v>
      </c>
      <c r="CH96">
        <v>60</v>
      </c>
      <c r="CI96">
        <v>-3</v>
      </c>
      <c r="CJ96">
        <v>0.34</v>
      </c>
      <c r="CK96">
        <v>0.16</v>
      </c>
      <c r="CL96">
        <v>59.748408196721307</v>
      </c>
      <c r="CM96">
        <v>-0.1053138022211686</v>
      </c>
      <c r="CN96">
        <v>3.5964286908177927E-2</v>
      </c>
      <c r="CO96">
        <v>-1</v>
      </c>
      <c r="CP96">
        <v>500.02773770491808</v>
      </c>
      <c r="CQ96">
        <v>-0.36670756213658451</v>
      </c>
      <c r="CR96">
        <v>0.1276311156932084</v>
      </c>
      <c r="CS96">
        <v>-1</v>
      </c>
      <c r="CT96">
        <v>0</v>
      </c>
      <c r="CU96">
        <v>0</v>
      </c>
      <c r="CV96" t="s">
        <v>333</v>
      </c>
      <c r="CW96">
        <v>3.1672600000000002</v>
      </c>
      <c r="CX96">
        <v>2.6587000000000001</v>
      </c>
      <c r="CY96">
        <v>1.5438800000000001E-2</v>
      </c>
      <c r="CZ96">
        <v>1.7755099999999999E-2</v>
      </c>
      <c r="DA96">
        <v>-1.1259099999999999E-2</v>
      </c>
      <c r="DB96">
        <v>-2.81596E-2</v>
      </c>
      <c r="DC96">
        <v>21317.599999999999</v>
      </c>
      <c r="DD96">
        <v>21634.5</v>
      </c>
      <c r="DE96">
        <v>23177.4</v>
      </c>
      <c r="DF96">
        <v>22374.3</v>
      </c>
      <c r="DG96">
        <v>30218</v>
      </c>
      <c r="DH96">
        <v>27422.799999999999</v>
      </c>
      <c r="DI96">
        <v>40723.300000000003</v>
      </c>
      <c r="DJ96">
        <v>37070.400000000001</v>
      </c>
      <c r="DK96">
        <v>2.1026600000000002</v>
      </c>
      <c r="DL96">
        <v>1.8554999999999999</v>
      </c>
      <c r="DM96">
        <v>2.5671699999999999E-2</v>
      </c>
      <c r="DN96">
        <v>0</v>
      </c>
      <c r="DO96">
        <v>24.878499999999999</v>
      </c>
      <c r="DP96">
        <v>999.9</v>
      </c>
      <c r="DQ96">
        <v>80.099999999999994</v>
      </c>
      <c r="DR96">
        <v>27.8</v>
      </c>
      <c r="DS96">
        <v>29.996700000000001</v>
      </c>
      <c r="DT96">
        <v>30.720099999999999</v>
      </c>
      <c r="DU96">
        <v>9.2548100000000009</v>
      </c>
      <c r="DV96">
        <v>1</v>
      </c>
      <c r="DW96">
        <v>5.66382E-2</v>
      </c>
      <c r="DX96">
        <v>-0.214087</v>
      </c>
      <c r="DY96">
        <v>20.368600000000001</v>
      </c>
      <c r="DZ96">
        <v>5.2119</v>
      </c>
      <c r="EA96">
        <v>11.8482</v>
      </c>
      <c r="EB96">
        <v>4.968</v>
      </c>
      <c r="EC96">
        <v>3.2921</v>
      </c>
      <c r="ED96">
        <v>894.7</v>
      </c>
      <c r="EE96">
        <v>0</v>
      </c>
      <c r="EF96">
        <v>9999</v>
      </c>
      <c r="EG96">
        <v>114.3</v>
      </c>
      <c r="EH96">
        <v>4.97166</v>
      </c>
      <c r="EI96">
        <v>1.8717999999999999</v>
      </c>
      <c r="EJ96">
        <v>1.8689</v>
      </c>
      <c r="EK96">
        <v>1.8713500000000001</v>
      </c>
      <c r="EL96">
        <v>1.8690500000000001</v>
      </c>
      <c r="EM96">
        <v>1.86805</v>
      </c>
      <c r="EN96">
        <v>1.8699300000000001</v>
      </c>
      <c r="EO96">
        <v>1.87168</v>
      </c>
      <c r="EP96">
        <v>0</v>
      </c>
      <c r="EQ96">
        <v>0</v>
      </c>
      <c r="ER96">
        <v>0</v>
      </c>
      <c r="ES96">
        <v>0</v>
      </c>
      <c r="ET96" t="s">
        <v>334</v>
      </c>
      <c r="EU96" t="s">
        <v>335</v>
      </c>
      <c r="EV96" t="s">
        <v>336</v>
      </c>
      <c r="EW96" t="s">
        <v>336</v>
      </c>
      <c r="EX96" t="s">
        <v>336</v>
      </c>
      <c r="EY96" t="s">
        <v>336</v>
      </c>
      <c r="EZ96">
        <v>0</v>
      </c>
      <c r="FA96">
        <v>100</v>
      </c>
      <c r="FB96">
        <v>100</v>
      </c>
      <c r="FC96">
        <v>7.8479999999999999</v>
      </c>
      <c r="FD96">
        <v>-0.99099999999999999</v>
      </c>
      <c r="FE96">
        <v>7.861239999999988</v>
      </c>
      <c r="FF96">
        <v>0</v>
      </c>
      <c r="FG96">
        <v>0</v>
      </c>
      <c r="FH96">
        <v>0</v>
      </c>
      <c r="FI96">
        <v>-0.99200749999999993</v>
      </c>
      <c r="FJ96">
        <v>0</v>
      </c>
      <c r="FK96">
        <v>0</v>
      </c>
      <c r="FL96">
        <v>0</v>
      </c>
      <c r="FM96">
        <v>-1</v>
      </c>
      <c r="FN96">
        <v>-1</v>
      </c>
      <c r="FO96">
        <v>-1</v>
      </c>
      <c r="FP96">
        <v>-1</v>
      </c>
      <c r="FQ96">
        <v>0.7</v>
      </c>
      <c r="FR96">
        <v>0.7</v>
      </c>
      <c r="FS96">
        <v>0.142822</v>
      </c>
      <c r="FT96">
        <v>4.99756</v>
      </c>
      <c r="FU96">
        <v>1.5979000000000001</v>
      </c>
      <c r="FV96">
        <v>2.16431</v>
      </c>
      <c r="FW96">
        <v>1.5478499999999999</v>
      </c>
      <c r="FX96">
        <v>2.34253</v>
      </c>
      <c r="FY96">
        <v>32.266599999999997</v>
      </c>
      <c r="FZ96">
        <v>16.023299999999999</v>
      </c>
      <c r="GA96">
        <v>3</v>
      </c>
      <c r="GB96">
        <v>492.00900000000001</v>
      </c>
      <c r="GC96">
        <v>425.01900000000001</v>
      </c>
      <c r="GD96">
        <v>25.993500000000001</v>
      </c>
      <c r="GE96">
        <v>27.9251</v>
      </c>
      <c r="GF96">
        <v>30.0001</v>
      </c>
      <c r="GG96">
        <v>28.241299999999999</v>
      </c>
      <c r="GH96">
        <v>28.296700000000001</v>
      </c>
      <c r="GI96">
        <v>-1</v>
      </c>
      <c r="GJ96">
        <v>0</v>
      </c>
      <c r="GK96">
        <v>100</v>
      </c>
      <c r="GL96">
        <v>25.994499999999999</v>
      </c>
      <c r="GM96">
        <v>432.1</v>
      </c>
      <c r="GN96">
        <v>63.216500000000003</v>
      </c>
      <c r="GO96">
        <v>102.51600000000001</v>
      </c>
      <c r="GP96">
        <v>96.739699999999999</v>
      </c>
    </row>
    <row r="97" spans="1:198" x14ac:dyDescent="0.35">
      <c r="A97">
        <v>81</v>
      </c>
      <c r="B97">
        <v>1775508391.5999999</v>
      </c>
      <c r="C97">
        <v>4800.5999999046326</v>
      </c>
      <c r="D97" t="s">
        <v>574</v>
      </c>
      <c r="E97" t="s">
        <v>575</v>
      </c>
      <c r="F97">
        <v>60</v>
      </c>
      <c r="G97">
        <v>1775508383.849999</v>
      </c>
      <c r="H97">
        <f t="shared" si="60"/>
        <v>9.3474360713882774E-4</v>
      </c>
      <c r="I97">
        <f t="shared" si="61"/>
        <v>0.93474360713882776</v>
      </c>
      <c r="J97">
        <f t="shared" si="62"/>
        <v>0.15024399419382972</v>
      </c>
      <c r="K97">
        <f t="shared" si="63"/>
        <v>59.964359999999999</v>
      </c>
      <c r="L97">
        <f t="shared" si="64"/>
        <v>47.925688464060237</v>
      </c>
      <c r="M97">
        <f t="shared" si="65"/>
        <v>4.8021087711640922</v>
      </c>
      <c r="N97">
        <f t="shared" si="66"/>
        <v>6.0083723018226589</v>
      </c>
      <c r="O97">
        <f t="shared" si="67"/>
        <v>2.6812060169737986E-2</v>
      </c>
      <c r="P97">
        <f t="shared" si="68"/>
        <v>2.3915485953281657</v>
      </c>
      <c r="Q97">
        <f t="shared" si="69"/>
        <v>2.6646178641740827E-2</v>
      </c>
      <c r="R97">
        <f t="shared" si="70"/>
        <v>1.6668679773561446E-2</v>
      </c>
      <c r="S97">
        <f t="shared" si="71"/>
        <v>0</v>
      </c>
      <c r="T97">
        <f t="shared" si="72"/>
        <v>25.005941250087513</v>
      </c>
      <c r="U97">
        <f t="shared" si="73"/>
        <v>25.301956666666658</v>
      </c>
      <c r="V97">
        <f t="shared" si="74"/>
        <v>3.2373716189765944</v>
      </c>
      <c r="W97">
        <f t="shared" si="75"/>
        <v>-6.9434512115859315</v>
      </c>
      <c r="X97">
        <f t="shared" si="76"/>
        <v>-0.22475389869146536</v>
      </c>
      <c r="Y97">
        <f t="shared" si="77"/>
        <v>3.2369191032326712</v>
      </c>
      <c r="Z97">
        <f t="shared" si="78"/>
        <v>3.4621255176680599</v>
      </c>
      <c r="AA97">
        <f t="shared" si="79"/>
        <v>-41.2221930748223</v>
      </c>
      <c r="AB97">
        <f t="shared" si="80"/>
        <v>-0.30299294449623715</v>
      </c>
      <c r="AC97">
        <f t="shared" si="81"/>
        <v>-2.6879902409069307E-2</v>
      </c>
      <c r="AD97">
        <f t="shared" si="82"/>
        <v>-41.55206592172761</v>
      </c>
      <c r="AE97">
        <v>18</v>
      </c>
      <c r="AF97">
        <v>4</v>
      </c>
      <c r="AG97">
        <f t="shared" si="83"/>
        <v>1</v>
      </c>
      <c r="AH97">
        <f t="shared" si="84"/>
        <v>0</v>
      </c>
      <c r="AI97">
        <f t="shared" si="85"/>
        <v>25715.749723991608</v>
      </c>
      <c r="AJ97">
        <f t="shared" si="86"/>
        <v>0</v>
      </c>
      <c r="AK97">
        <f t="shared" si="87"/>
        <v>0</v>
      </c>
      <c r="AL97">
        <f t="shared" si="88"/>
        <v>0</v>
      </c>
      <c r="AM97">
        <f t="shared" si="89"/>
        <v>0</v>
      </c>
      <c r="AN97">
        <v>3</v>
      </c>
      <c r="AO97">
        <v>0.5</v>
      </c>
      <c r="AP97" t="s">
        <v>331</v>
      </c>
      <c r="AQ97">
        <v>2</v>
      </c>
      <c r="AR97">
        <v>1775508383.849999</v>
      </c>
      <c r="AS97">
        <v>59.964359999999999</v>
      </c>
      <c r="AT97">
        <v>60.088140000000003</v>
      </c>
      <c r="AU97">
        <v>-2.243074</v>
      </c>
      <c r="AV97">
        <v>-2.8051910000000002</v>
      </c>
      <c r="AW97">
        <v>52.123359999999998</v>
      </c>
      <c r="AX97">
        <v>-1.2520739999999999</v>
      </c>
      <c r="AY97">
        <v>499.98860000000002</v>
      </c>
      <c r="AZ97">
        <v>100.1615666666667</v>
      </c>
      <c r="BA97">
        <v>3.7489936666666661E-2</v>
      </c>
      <c r="BB97">
        <v>25.299606666666669</v>
      </c>
      <c r="BC97">
        <v>25.301956666666658</v>
      </c>
      <c r="BD97">
        <v>999.9000000000002</v>
      </c>
      <c r="BE97">
        <v>0</v>
      </c>
      <c r="BF97">
        <v>0</v>
      </c>
      <c r="BG97">
        <v>5000.9833333333336</v>
      </c>
      <c r="BH97">
        <v>0.4107063333333334</v>
      </c>
      <c r="BI97">
        <v>0.22961599999999999</v>
      </c>
      <c r="BJ97">
        <v>-0.1163789333333333</v>
      </c>
      <c r="BK97">
        <v>59.837539999999997</v>
      </c>
      <c r="BL97">
        <v>59.920043333333332</v>
      </c>
      <c r="BM97">
        <v>0.56225993333333335</v>
      </c>
      <c r="BN97">
        <v>60.088140000000003</v>
      </c>
      <c r="BO97">
        <v>-2.8051910000000002</v>
      </c>
      <c r="BP97">
        <v>-0.22465533333333329</v>
      </c>
      <c r="BQ97">
        <v>-0.28097216666666669</v>
      </c>
      <c r="BR97">
        <v>-99.900000000000034</v>
      </c>
      <c r="BS97">
        <v>-99.900000000000034</v>
      </c>
      <c r="BT97">
        <v>0</v>
      </c>
      <c r="BU97">
        <v>0</v>
      </c>
      <c r="BV97">
        <v>0</v>
      </c>
      <c r="BW97">
        <v>24</v>
      </c>
      <c r="BX97">
        <v>-1</v>
      </c>
      <c r="BY97">
        <v>1775508412.5999999</v>
      </c>
      <c r="BZ97" t="s">
        <v>576</v>
      </c>
      <c r="CA97">
        <v>1775508409.0999999</v>
      </c>
      <c r="CB97">
        <v>1775508412.5999999</v>
      </c>
      <c r="CC97">
        <v>84</v>
      </c>
      <c r="CD97">
        <v>-8.0000000000000002E-3</v>
      </c>
      <c r="CE97">
        <v>0</v>
      </c>
      <c r="CF97">
        <v>7.8410000000000002</v>
      </c>
      <c r="CG97">
        <v>-0.99099999999999999</v>
      </c>
      <c r="CH97">
        <v>60</v>
      </c>
      <c r="CI97">
        <v>-3</v>
      </c>
      <c r="CJ97">
        <v>0.23</v>
      </c>
      <c r="CK97">
        <v>0.14000000000000001</v>
      </c>
      <c r="CL97">
        <v>60.068986666666667</v>
      </c>
      <c r="CM97">
        <v>0.27096793553782211</v>
      </c>
      <c r="CN97">
        <v>5.5534981368103163E-2</v>
      </c>
      <c r="CO97">
        <v>-1</v>
      </c>
      <c r="CP97">
        <v>500.05476666666669</v>
      </c>
      <c r="CQ97">
        <v>-0.59827952208950153</v>
      </c>
      <c r="CR97">
        <v>0.2077495580955305</v>
      </c>
      <c r="CS97">
        <v>-1</v>
      </c>
      <c r="CT97">
        <v>0</v>
      </c>
      <c r="CU97">
        <v>0</v>
      </c>
      <c r="CV97" t="s">
        <v>333</v>
      </c>
      <c r="CW97">
        <v>3.1673</v>
      </c>
      <c r="CX97">
        <v>2.6586500000000002</v>
      </c>
      <c r="CY97">
        <v>1.5548299999999999E-2</v>
      </c>
      <c r="CZ97">
        <v>1.78748E-2</v>
      </c>
      <c r="DA97">
        <v>-1.1221399999999999E-2</v>
      </c>
      <c r="DB97">
        <v>-2.8148599999999999E-2</v>
      </c>
      <c r="DC97">
        <v>21314.9</v>
      </c>
      <c r="DD97">
        <v>21631.599999999999</v>
      </c>
      <c r="DE97">
        <v>23177</v>
      </c>
      <c r="DF97">
        <v>22374</v>
      </c>
      <c r="DG97">
        <v>30216.400000000001</v>
      </c>
      <c r="DH97">
        <v>27422.1</v>
      </c>
      <c r="DI97">
        <v>40722.699999999997</v>
      </c>
      <c r="DJ97">
        <v>37069.800000000003</v>
      </c>
      <c r="DK97">
        <v>2.1029</v>
      </c>
      <c r="DL97">
        <v>1.8555200000000001</v>
      </c>
      <c r="DM97">
        <v>2.59876E-2</v>
      </c>
      <c r="DN97">
        <v>0</v>
      </c>
      <c r="DO97">
        <v>24.872299999999999</v>
      </c>
      <c r="DP97">
        <v>999.9</v>
      </c>
      <c r="DQ97">
        <v>80.099999999999994</v>
      </c>
      <c r="DR97">
        <v>27.9</v>
      </c>
      <c r="DS97">
        <v>30.1708</v>
      </c>
      <c r="DT97">
        <v>30.930099999999999</v>
      </c>
      <c r="DU97">
        <v>9.2468000000000004</v>
      </c>
      <c r="DV97">
        <v>1</v>
      </c>
      <c r="DW97">
        <v>5.6402399999999998E-2</v>
      </c>
      <c r="DX97">
        <v>-0.17674500000000001</v>
      </c>
      <c r="DY97">
        <v>20.368600000000001</v>
      </c>
      <c r="DZ97">
        <v>5.2114200000000004</v>
      </c>
      <c r="EA97">
        <v>11.8482</v>
      </c>
      <c r="EB97">
        <v>4.9685199999999998</v>
      </c>
      <c r="EC97">
        <v>3.2920199999999999</v>
      </c>
      <c r="ED97">
        <v>894.7</v>
      </c>
      <c r="EE97">
        <v>0</v>
      </c>
      <c r="EF97">
        <v>9999</v>
      </c>
      <c r="EG97">
        <v>114.3</v>
      </c>
      <c r="EH97">
        <v>4.9716399999999998</v>
      </c>
      <c r="EI97">
        <v>1.8717999999999999</v>
      </c>
      <c r="EJ97">
        <v>1.8689</v>
      </c>
      <c r="EK97">
        <v>1.87134</v>
      </c>
      <c r="EL97">
        <v>1.8690500000000001</v>
      </c>
      <c r="EM97">
        <v>1.86802</v>
      </c>
      <c r="EN97">
        <v>1.8698399999999999</v>
      </c>
      <c r="EO97">
        <v>1.8716600000000001</v>
      </c>
      <c r="EP97">
        <v>0</v>
      </c>
      <c r="EQ97">
        <v>0</v>
      </c>
      <c r="ER97">
        <v>0</v>
      </c>
      <c r="ES97">
        <v>0</v>
      </c>
      <c r="ET97" t="s">
        <v>334</v>
      </c>
      <c r="EU97" t="s">
        <v>335</v>
      </c>
      <c r="EV97" t="s">
        <v>336</v>
      </c>
      <c r="EW97" t="s">
        <v>336</v>
      </c>
      <c r="EX97" t="s">
        <v>336</v>
      </c>
      <c r="EY97" t="s">
        <v>336</v>
      </c>
      <c r="EZ97">
        <v>0</v>
      </c>
      <c r="FA97">
        <v>100</v>
      </c>
      <c r="FB97">
        <v>100</v>
      </c>
      <c r="FC97">
        <v>7.8410000000000002</v>
      </c>
      <c r="FD97">
        <v>-0.99099999999999999</v>
      </c>
      <c r="FE97">
        <v>7.8483949999999822</v>
      </c>
      <c r="FF97">
        <v>0</v>
      </c>
      <c r="FG97">
        <v>0</v>
      </c>
      <c r="FH97">
        <v>0</v>
      </c>
      <c r="FI97">
        <v>-0.99085666666666605</v>
      </c>
      <c r="FJ97">
        <v>0</v>
      </c>
      <c r="FK97">
        <v>0</v>
      </c>
      <c r="FL97">
        <v>0</v>
      </c>
      <c r="FM97">
        <v>-1</v>
      </c>
      <c r="FN97">
        <v>-1</v>
      </c>
      <c r="FO97">
        <v>-1</v>
      </c>
      <c r="FP97">
        <v>-1</v>
      </c>
      <c r="FQ97">
        <v>0.8</v>
      </c>
      <c r="FR97">
        <v>0.6</v>
      </c>
      <c r="FS97">
        <v>0.142822</v>
      </c>
      <c r="FT97">
        <v>4.99756</v>
      </c>
      <c r="FU97">
        <v>1.5979000000000001</v>
      </c>
      <c r="FV97">
        <v>2.16309</v>
      </c>
      <c r="FW97">
        <v>1.5478499999999999</v>
      </c>
      <c r="FX97">
        <v>2.4145500000000002</v>
      </c>
      <c r="FY97">
        <v>32.266599999999997</v>
      </c>
      <c r="FZ97">
        <v>16.0321</v>
      </c>
      <c r="GA97">
        <v>3</v>
      </c>
      <c r="GB97">
        <v>492.137</v>
      </c>
      <c r="GC97">
        <v>425.03100000000001</v>
      </c>
      <c r="GD97">
        <v>26.019100000000002</v>
      </c>
      <c r="GE97">
        <v>27.922699999999999</v>
      </c>
      <c r="GF97">
        <v>30.0001</v>
      </c>
      <c r="GG97">
        <v>28.240200000000002</v>
      </c>
      <c r="GH97">
        <v>28.296700000000001</v>
      </c>
      <c r="GI97">
        <v>-1</v>
      </c>
      <c r="GJ97">
        <v>0</v>
      </c>
      <c r="GK97">
        <v>100</v>
      </c>
      <c r="GL97">
        <v>26.0017</v>
      </c>
      <c r="GM97">
        <v>432.1</v>
      </c>
      <c r="GN97">
        <v>63.216500000000003</v>
      </c>
      <c r="GO97">
        <v>102.514</v>
      </c>
      <c r="GP97">
        <v>96.738399999999999</v>
      </c>
    </row>
    <row r="98" spans="1:198" x14ac:dyDescent="0.35">
      <c r="A98">
        <v>82</v>
      </c>
      <c r="B98">
        <v>1775508451.5999999</v>
      </c>
      <c r="C98">
        <v>4860.5999999046326</v>
      </c>
      <c r="D98" t="s">
        <v>577</v>
      </c>
      <c r="E98" t="s">
        <v>578</v>
      </c>
      <c r="F98">
        <v>60</v>
      </c>
      <c r="G98">
        <v>1775508443.599999</v>
      </c>
      <c r="H98">
        <f t="shared" si="60"/>
        <v>9.4260129789029397E-4</v>
      </c>
      <c r="I98">
        <f t="shared" si="61"/>
        <v>0.94260129789029401</v>
      </c>
      <c r="J98">
        <f t="shared" si="62"/>
        <v>0.14634411906881672</v>
      </c>
      <c r="K98">
        <f t="shared" si="63"/>
        <v>59.942235483870967</v>
      </c>
      <c r="L98">
        <f t="shared" si="64"/>
        <v>48.201567261891263</v>
      </c>
      <c r="M98">
        <f t="shared" si="65"/>
        <v>4.8297955174049108</v>
      </c>
      <c r="N98">
        <f t="shared" si="66"/>
        <v>6.0062101024693995</v>
      </c>
      <c r="O98">
        <f t="shared" si="67"/>
        <v>2.7033988637675085E-2</v>
      </c>
      <c r="P98">
        <f t="shared" si="68"/>
        <v>2.3909212490886009</v>
      </c>
      <c r="Q98">
        <f t="shared" si="69"/>
        <v>2.6865315051432512E-2</v>
      </c>
      <c r="R98">
        <f t="shared" si="70"/>
        <v>1.6805888706820125E-2</v>
      </c>
      <c r="S98">
        <f t="shared" si="71"/>
        <v>0</v>
      </c>
      <c r="T98">
        <f t="shared" si="72"/>
        <v>25.00814735411938</v>
      </c>
      <c r="U98">
        <f t="shared" si="73"/>
        <v>25.305493548387091</v>
      </c>
      <c r="V98">
        <f t="shared" si="74"/>
        <v>3.2380527847315346</v>
      </c>
      <c r="W98">
        <f t="shared" si="75"/>
        <v>-6.9403894904966235</v>
      </c>
      <c r="X98">
        <f t="shared" si="76"/>
        <v>-0.2247182105935234</v>
      </c>
      <c r="Y98">
        <f t="shared" si="77"/>
        <v>3.2378328464306918</v>
      </c>
      <c r="Z98">
        <f t="shared" si="78"/>
        <v>3.4627709953250578</v>
      </c>
      <c r="AA98">
        <f t="shared" si="79"/>
        <v>-41.568717236961966</v>
      </c>
      <c r="AB98">
        <f t="shared" si="80"/>
        <v>-0.14719473747886952</v>
      </c>
      <c r="AC98">
        <f t="shared" si="81"/>
        <v>-1.306229475676051E-2</v>
      </c>
      <c r="AD98">
        <f t="shared" si="82"/>
        <v>-41.728974269197593</v>
      </c>
      <c r="AE98">
        <v>18</v>
      </c>
      <c r="AF98">
        <v>4</v>
      </c>
      <c r="AG98">
        <f t="shared" si="83"/>
        <v>1</v>
      </c>
      <c r="AH98">
        <f t="shared" si="84"/>
        <v>0</v>
      </c>
      <c r="AI98">
        <f t="shared" si="85"/>
        <v>25705.703503907454</v>
      </c>
      <c r="AJ98">
        <f t="shared" si="86"/>
        <v>0</v>
      </c>
      <c r="AK98">
        <f t="shared" si="87"/>
        <v>0</v>
      </c>
      <c r="AL98">
        <f t="shared" si="88"/>
        <v>0</v>
      </c>
      <c r="AM98">
        <f t="shared" si="89"/>
        <v>0</v>
      </c>
      <c r="AN98">
        <v>3</v>
      </c>
      <c r="AO98">
        <v>0.5</v>
      </c>
      <c r="AP98" t="s">
        <v>331</v>
      </c>
      <c r="AQ98">
        <v>2</v>
      </c>
      <c r="AR98">
        <v>1775508443.599999</v>
      </c>
      <c r="AS98">
        <v>59.942235483870967</v>
      </c>
      <c r="AT98">
        <v>60.063941935483882</v>
      </c>
      <c r="AU98">
        <v>-2.242697419354839</v>
      </c>
      <c r="AV98">
        <v>-2.809521935483871</v>
      </c>
      <c r="AW98">
        <v>52.098235483870972</v>
      </c>
      <c r="AX98">
        <v>-1.252697419354839</v>
      </c>
      <c r="AY98">
        <v>500.0040967741935</v>
      </c>
      <c r="AZ98">
        <v>100.16248387096771</v>
      </c>
      <c r="BA98">
        <v>3.7484548387096757E-2</v>
      </c>
      <c r="BB98">
        <v>25.304351612903229</v>
      </c>
      <c r="BC98">
        <v>25.305493548387091</v>
      </c>
      <c r="BD98">
        <v>999.90000000000032</v>
      </c>
      <c r="BE98">
        <v>0</v>
      </c>
      <c r="BF98">
        <v>0</v>
      </c>
      <c r="BG98">
        <v>4999.322580645161</v>
      </c>
      <c r="BH98">
        <v>0.39544858064516142</v>
      </c>
      <c r="BI98">
        <v>0.22961599999999999</v>
      </c>
      <c r="BJ98">
        <v>-0.1250974709677419</v>
      </c>
      <c r="BK98">
        <v>59.804641935483858</v>
      </c>
      <c r="BL98">
        <v>59.895661290322579</v>
      </c>
      <c r="BM98">
        <v>0.56559264516129037</v>
      </c>
      <c r="BN98">
        <v>60.063941935483882</v>
      </c>
      <c r="BO98">
        <v>-2.809521935483871</v>
      </c>
      <c r="BP98">
        <v>-0.2247577419354839</v>
      </c>
      <c r="BQ98">
        <v>-0.28140896774193552</v>
      </c>
      <c r="BR98">
        <v>-99.900000000000034</v>
      </c>
      <c r="BS98">
        <v>-99.900000000000034</v>
      </c>
      <c r="BT98">
        <v>0</v>
      </c>
      <c r="BU98">
        <v>0</v>
      </c>
      <c r="BV98">
        <v>0</v>
      </c>
      <c r="BW98">
        <v>24</v>
      </c>
      <c r="BX98">
        <v>-1</v>
      </c>
      <c r="BY98">
        <v>1775508472.5999999</v>
      </c>
      <c r="BZ98" t="s">
        <v>579</v>
      </c>
      <c r="CA98">
        <v>1775508465.5999999</v>
      </c>
      <c r="CB98">
        <v>1775508472.5999999</v>
      </c>
      <c r="CC98">
        <v>85</v>
      </c>
      <c r="CD98">
        <v>4.0000000000000001E-3</v>
      </c>
      <c r="CE98">
        <v>1E-3</v>
      </c>
      <c r="CF98">
        <v>7.8440000000000003</v>
      </c>
      <c r="CG98">
        <v>-0.99</v>
      </c>
      <c r="CH98">
        <v>60</v>
      </c>
      <c r="CI98">
        <v>-3</v>
      </c>
      <c r="CJ98">
        <v>0.16</v>
      </c>
      <c r="CK98">
        <v>0.14000000000000001</v>
      </c>
      <c r="CL98">
        <v>60.049698333333332</v>
      </c>
      <c r="CM98">
        <v>-0.1087832175603228</v>
      </c>
      <c r="CN98">
        <v>0.101881732892714</v>
      </c>
      <c r="CO98">
        <v>-1</v>
      </c>
      <c r="CP98">
        <v>500.00956666666667</v>
      </c>
      <c r="CQ98">
        <v>-9.0558488468402032E-2</v>
      </c>
      <c r="CR98">
        <v>8.343347982408475E-2</v>
      </c>
      <c r="CS98">
        <v>-1</v>
      </c>
      <c r="CT98">
        <v>0</v>
      </c>
      <c r="CU98">
        <v>0</v>
      </c>
      <c r="CV98" t="s">
        <v>333</v>
      </c>
      <c r="CW98">
        <v>3.1673800000000001</v>
      </c>
      <c r="CX98">
        <v>2.65883</v>
      </c>
      <c r="CY98">
        <v>1.55283E-2</v>
      </c>
      <c r="CZ98">
        <v>1.7865700000000002E-2</v>
      </c>
      <c r="DA98">
        <v>-1.12525E-2</v>
      </c>
      <c r="DB98">
        <v>-2.8211E-2</v>
      </c>
      <c r="DC98">
        <v>21315.3</v>
      </c>
      <c r="DD98">
        <v>21631.7</v>
      </c>
      <c r="DE98">
        <v>23177</v>
      </c>
      <c r="DF98">
        <v>22373.9</v>
      </c>
      <c r="DG98">
        <v>30217.3</v>
      </c>
      <c r="DH98">
        <v>27423.599999999999</v>
      </c>
      <c r="DI98">
        <v>40722.699999999997</v>
      </c>
      <c r="DJ98">
        <v>37069.699999999997</v>
      </c>
      <c r="DK98">
        <v>2.10284</v>
      </c>
      <c r="DL98">
        <v>1.8554999999999999</v>
      </c>
      <c r="DM98">
        <v>2.5638899999999999E-2</v>
      </c>
      <c r="DN98">
        <v>0</v>
      </c>
      <c r="DO98">
        <v>24.878499999999999</v>
      </c>
      <c r="DP98">
        <v>999.9</v>
      </c>
      <c r="DQ98">
        <v>80</v>
      </c>
      <c r="DR98">
        <v>27.8</v>
      </c>
      <c r="DS98">
        <v>29.9602</v>
      </c>
      <c r="DT98">
        <v>31.0501</v>
      </c>
      <c r="DU98">
        <v>9.0825300000000002</v>
      </c>
      <c r="DV98">
        <v>1</v>
      </c>
      <c r="DW98">
        <v>5.6886199999999998E-2</v>
      </c>
      <c r="DX98">
        <v>-0.15845100000000001</v>
      </c>
      <c r="DY98">
        <v>20.3687</v>
      </c>
      <c r="DZ98">
        <v>5.2123799999999996</v>
      </c>
      <c r="EA98">
        <v>11.8482</v>
      </c>
      <c r="EB98">
        <v>4.9679200000000003</v>
      </c>
      <c r="EC98">
        <v>3.2920199999999999</v>
      </c>
      <c r="ED98">
        <v>894.7</v>
      </c>
      <c r="EE98">
        <v>0</v>
      </c>
      <c r="EF98">
        <v>9999</v>
      </c>
      <c r="EG98">
        <v>114.3</v>
      </c>
      <c r="EH98">
        <v>4.9716399999999998</v>
      </c>
      <c r="EI98">
        <v>1.8717999999999999</v>
      </c>
      <c r="EJ98">
        <v>1.8689100000000001</v>
      </c>
      <c r="EK98">
        <v>1.87134</v>
      </c>
      <c r="EL98">
        <v>1.8690500000000001</v>
      </c>
      <c r="EM98">
        <v>1.86805</v>
      </c>
      <c r="EN98">
        <v>1.8698699999999999</v>
      </c>
      <c r="EO98">
        <v>1.8716999999999999</v>
      </c>
      <c r="EP98">
        <v>0</v>
      </c>
      <c r="EQ98">
        <v>0</v>
      </c>
      <c r="ER98">
        <v>0</v>
      </c>
      <c r="ES98">
        <v>0</v>
      </c>
      <c r="ET98" t="s">
        <v>334</v>
      </c>
      <c r="EU98" t="s">
        <v>335</v>
      </c>
      <c r="EV98" t="s">
        <v>336</v>
      </c>
      <c r="EW98" t="s">
        <v>336</v>
      </c>
      <c r="EX98" t="s">
        <v>336</v>
      </c>
      <c r="EY98" t="s">
        <v>336</v>
      </c>
      <c r="EZ98">
        <v>0</v>
      </c>
      <c r="FA98">
        <v>100</v>
      </c>
      <c r="FB98">
        <v>100</v>
      </c>
      <c r="FC98">
        <v>7.8440000000000003</v>
      </c>
      <c r="FD98">
        <v>-0.99</v>
      </c>
      <c r="FE98">
        <v>7.840609523809519</v>
      </c>
      <c r="FF98">
        <v>0</v>
      </c>
      <c r="FG98">
        <v>0</v>
      </c>
      <c r="FH98">
        <v>0</v>
      </c>
      <c r="FI98">
        <v>-0.99123199999999967</v>
      </c>
      <c r="FJ98">
        <v>0</v>
      </c>
      <c r="FK98">
        <v>0</v>
      </c>
      <c r="FL98">
        <v>0</v>
      </c>
      <c r="FM98">
        <v>-1</v>
      </c>
      <c r="FN98">
        <v>-1</v>
      </c>
      <c r="FO98">
        <v>-1</v>
      </c>
      <c r="FP98">
        <v>-1</v>
      </c>
      <c r="FQ98">
        <v>0.7</v>
      </c>
      <c r="FR98">
        <v>0.7</v>
      </c>
      <c r="FS98">
        <v>0.142822</v>
      </c>
      <c r="FT98">
        <v>4.99756</v>
      </c>
      <c r="FU98">
        <v>1.5979000000000001</v>
      </c>
      <c r="FV98">
        <v>2.16309</v>
      </c>
      <c r="FW98">
        <v>1.5478499999999999</v>
      </c>
      <c r="FX98">
        <v>2.4108900000000002</v>
      </c>
      <c r="FY98">
        <v>32.266599999999997</v>
      </c>
      <c r="FZ98">
        <v>16.0321</v>
      </c>
      <c r="GA98">
        <v>3</v>
      </c>
      <c r="GB98">
        <v>492.084</v>
      </c>
      <c r="GC98">
        <v>425.00200000000001</v>
      </c>
      <c r="GD98">
        <v>25.958500000000001</v>
      </c>
      <c r="GE98">
        <v>27.922699999999999</v>
      </c>
      <c r="GF98">
        <v>30.0002</v>
      </c>
      <c r="GG98">
        <v>28.2378</v>
      </c>
      <c r="GH98">
        <v>28.2943</v>
      </c>
      <c r="GI98">
        <v>-1</v>
      </c>
      <c r="GJ98">
        <v>0</v>
      </c>
      <c r="GK98">
        <v>100</v>
      </c>
      <c r="GL98">
        <v>25.956399999999999</v>
      </c>
      <c r="GM98">
        <v>432.1</v>
      </c>
      <c r="GN98">
        <v>63.216500000000003</v>
      </c>
      <c r="GO98">
        <v>102.514</v>
      </c>
      <c r="GP98">
        <v>96.738</v>
      </c>
    </row>
    <row r="99" spans="1:198" x14ac:dyDescent="0.35">
      <c r="A99">
        <v>83</v>
      </c>
      <c r="B99">
        <v>1775508511.5999999</v>
      </c>
      <c r="C99">
        <v>4920.5999999046326</v>
      </c>
      <c r="D99" t="s">
        <v>580</v>
      </c>
      <c r="E99" t="s">
        <v>581</v>
      </c>
      <c r="F99">
        <v>60</v>
      </c>
      <c r="G99">
        <v>1775508503.599999</v>
      </c>
      <c r="H99">
        <f t="shared" si="60"/>
        <v>9.2725966200601017E-4</v>
      </c>
      <c r="I99">
        <f t="shared" si="61"/>
        <v>0.92725966200601018</v>
      </c>
      <c r="J99">
        <f t="shared" si="62"/>
        <v>0.17987290492563285</v>
      </c>
      <c r="K99">
        <f t="shared" si="63"/>
        <v>60.215196774193537</v>
      </c>
      <c r="L99">
        <f t="shared" si="64"/>
        <v>46.352037876953212</v>
      </c>
      <c r="M99">
        <f t="shared" si="65"/>
        <v>4.6445437527834992</v>
      </c>
      <c r="N99">
        <f t="shared" si="66"/>
        <v>6.0336530778351385</v>
      </c>
      <c r="O99">
        <f t="shared" si="67"/>
        <v>2.6602244809320125E-2</v>
      </c>
      <c r="P99">
        <f t="shared" si="68"/>
        <v>2.3893445263661013</v>
      </c>
      <c r="Q99">
        <f t="shared" si="69"/>
        <v>2.6438791129899178E-2</v>
      </c>
      <c r="R99">
        <f t="shared" si="70"/>
        <v>1.6538846277167285E-2</v>
      </c>
      <c r="S99">
        <f t="shared" si="71"/>
        <v>0</v>
      </c>
      <c r="T99">
        <f t="shared" si="72"/>
        <v>25.003292683526496</v>
      </c>
      <c r="U99">
        <f t="shared" si="73"/>
        <v>25.295512903225809</v>
      </c>
      <c r="V99">
        <f t="shared" si="74"/>
        <v>3.2361309405818446</v>
      </c>
      <c r="W99">
        <f t="shared" si="75"/>
        <v>-6.9632999204868273</v>
      </c>
      <c r="X99">
        <f t="shared" si="76"/>
        <v>-0.22533268210617002</v>
      </c>
      <c r="Y99">
        <f t="shared" si="77"/>
        <v>3.2360042606123489</v>
      </c>
      <c r="Z99">
        <f t="shared" si="78"/>
        <v>3.4614636226880147</v>
      </c>
      <c r="AA99">
        <f t="shared" si="79"/>
        <v>-40.892151094465049</v>
      </c>
      <c r="AB99">
        <f t="shared" si="80"/>
        <v>-8.4768147709233174E-2</v>
      </c>
      <c r="AC99">
        <f t="shared" si="81"/>
        <v>-7.5266868816942206E-3</v>
      </c>
      <c r="AD99">
        <f t="shared" si="82"/>
        <v>-40.98444592905598</v>
      </c>
      <c r="AE99">
        <v>18</v>
      </c>
      <c r="AF99">
        <v>4</v>
      </c>
      <c r="AG99">
        <f t="shared" si="83"/>
        <v>1</v>
      </c>
      <c r="AH99">
        <f t="shared" si="84"/>
        <v>0</v>
      </c>
      <c r="AI99">
        <f t="shared" si="85"/>
        <v>25682.323800064103</v>
      </c>
      <c r="AJ99">
        <f t="shared" si="86"/>
        <v>0</v>
      </c>
      <c r="AK99">
        <f t="shared" si="87"/>
        <v>0</v>
      </c>
      <c r="AL99">
        <f t="shared" si="88"/>
        <v>0</v>
      </c>
      <c r="AM99">
        <f t="shared" si="89"/>
        <v>0</v>
      </c>
      <c r="AN99">
        <v>3</v>
      </c>
      <c r="AO99">
        <v>0.5</v>
      </c>
      <c r="AP99" t="s">
        <v>331</v>
      </c>
      <c r="AQ99">
        <v>2</v>
      </c>
      <c r="AR99">
        <v>1775508503.599999</v>
      </c>
      <c r="AS99">
        <v>60.215196774193537</v>
      </c>
      <c r="AT99">
        <v>60.356625806451611</v>
      </c>
      <c r="AU99">
        <v>-2.2487954838709681</v>
      </c>
      <c r="AV99">
        <v>-2.8064190322580642</v>
      </c>
      <c r="AW99">
        <v>52.355196774193537</v>
      </c>
      <c r="AX99">
        <v>-1.2587954838709681</v>
      </c>
      <c r="AY99">
        <v>499.98509677419361</v>
      </c>
      <c r="AZ99">
        <v>100.1642258064516</v>
      </c>
      <c r="BA99">
        <v>3.7274829032258067E-2</v>
      </c>
      <c r="BB99">
        <v>25.294854838709671</v>
      </c>
      <c r="BC99">
        <v>25.295512903225809</v>
      </c>
      <c r="BD99">
        <v>999.90000000000032</v>
      </c>
      <c r="BE99">
        <v>0</v>
      </c>
      <c r="BF99">
        <v>0</v>
      </c>
      <c r="BG99">
        <v>4995.177419354839</v>
      </c>
      <c r="BH99">
        <v>0.38296541935483869</v>
      </c>
      <c r="BI99">
        <v>0.22961599999999999</v>
      </c>
      <c r="BJ99">
        <v>-0.15720980548387101</v>
      </c>
      <c r="BK99">
        <v>60.064329032258073</v>
      </c>
      <c r="BL99">
        <v>60.187712903225801</v>
      </c>
      <c r="BM99">
        <v>0.55735151612903222</v>
      </c>
      <c r="BN99">
        <v>60.356625806451611</v>
      </c>
      <c r="BO99">
        <v>-2.8064190322580642</v>
      </c>
      <c r="BP99">
        <v>-0.2252761612903226</v>
      </c>
      <c r="BQ99">
        <v>-0.28110274193548401</v>
      </c>
      <c r="BR99">
        <v>-99.900000000000034</v>
      </c>
      <c r="BS99">
        <v>-99.900000000000034</v>
      </c>
      <c r="BT99">
        <v>0</v>
      </c>
      <c r="BU99">
        <v>0</v>
      </c>
      <c r="BV99">
        <v>0</v>
      </c>
      <c r="BW99">
        <v>24</v>
      </c>
      <c r="BX99">
        <v>-0.98924741935483884</v>
      </c>
      <c r="BY99">
        <v>1775508533.5999999</v>
      </c>
      <c r="BZ99" t="s">
        <v>582</v>
      </c>
      <c r="CA99">
        <v>1775508523.5999999</v>
      </c>
      <c r="CB99">
        <v>1775508533.5999999</v>
      </c>
      <c r="CC99">
        <v>86</v>
      </c>
      <c r="CD99">
        <v>1.6E-2</v>
      </c>
      <c r="CE99">
        <v>1E-3</v>
      </c>
      <c r="CF99">
        <v>7.86</v>
      </c>
      <c r="CG99">
        <v>-0.99</v>
      </c>
      <c r="CH99">
        <v>60</v>
      </c>
      <c r="CI99">
        <v>-3</v>
      </c>
      <c r="CJ99">
        <v>0.16</v>
      </c>
      <c r="CK99">
        <v>0.14000000000000001</v>
      </c>
      <c r="CL99">
        <v>60.30556</v>
      </c>
      <c r="CM99">
        <v>0.34306996387897559</v>
      </c>
      <c r="CN99">
        <v>9.8799433534138476E-2</v>
      </c>
      <c r="CO99">
        <v>-1</v>
      </c>
      <c r="CP99">
        <v>500.03431666666671</v>
      </c>
      <c r="CQ99">
        <v>-0.3762545151424056</v>
      </c>
      <c r="CR99">
        <v>0.13580568123445891</v>
      </c>
      <c r="CS99">
        <v>-1</v>
      </c>
      <c r="CT99">
        <v>0</v>
      </c>
      <c r="CU99">
        <v>0</v>
      </c>
      <c r="CV99" t="s">
        <v>333</v>
      </c>
      <c r="CW99">
        <v>3.1673100000000001</v>
      </c>
      <c r="CX99">
        <v>2.6587499999999999</v>
      </c>
      <c r="CY99">
        <v>1.56247E-2</v>
      </c>
      <c r="CZ99">
        <v>1.7915E-2</v>
      </c>
      <c r="DA99">
        <v>-1.13116E-2</v>
      </c>
      <c r="DB99">
        <v>-2.8187199999999999E-2</v>
      </c>
      <c r="DC99">
        <v>21312.7</v>
      </c>
      <c r="DD99">
        <v>21630.7</v>
      </c>
      <c r="DE99">
        <v>23176.400000000001</v>
      </c>
      <c r="DF99">
        <v>22374</v>
      </c>
      <c r="DG99">
        <v>30218.400000000001</v>
      </c>
      <c r="DH99">
        <v>27423.1</v>
      </c>
      <c r="DI99">
        <v>40721.800000000003</v>
      </c>
      <c r="DJ99">
        <v>37069.800000000003</v>
      </c>
      <c r="DK99">
        <v>2.1026199999999999</v>
      </c>
      <c r="DL99">
        <v>1.8555600000000001</v>
      </c>
      <c r="DM99">
        <v>2.5335E-2</v>
      </c>
      <c r="DN99">
        <v>0</v>
      </c>
      <c r="DO99">
        <v>24.874400000000001</v>
      </c>
      <c r="DP99">
        <v>999.9</v>
      </c>
      <c r="DQ99">
        <v>80</v>
      </c>
      <c r="DR99">
        <v>27.9</v>
      </c>
      <c r="DS99">
        <v>30.131799999999998</v>
      </c>
      <c r="DT99">
        <v>30.900099999999998</v>
      </c>
      <c r="DU99">
        <v>8.9222800000000007</v>
      </c>
      <c r="DV99">
        <v>1</v>
      </c>
      <c r="DW99">
        <v>5.6439000000000003E-2</v>
      </c>
      <c r="DX99">
        <v>-0.22564500000000001</v>
      </c>
      <c r="DY99">
        <v>20.368500000000001</v>
      </c>
      <c r="DZ99">
        <v>5.2127400000000002</v>
      </c>
      <c r="EA99">
        <v>11.8482</v>
      </c>
      <c r="EB99">
        <v>4.9686399999999997</v>
      </c>
      <c r="EC99">
        <v>3.2920799999999999</v>
      </c>
      <c r="ED99">
        <v>894.7</v>
      </c>
      <c r="EE99">
        <v>0</v>
      </c>
      <c r="EF99">
        <v>9999</v>
      </c>
      <c r="EG99">
        <v>114.4</v>
      </c>
      <c r="EH99">
        <v>4.9716399999999998</v>
      </c>
      <c r="EI99">
        <v>1.8717999999999999</v>
      </c>
      <c r="EJ99">
        <v>1.8689</v>
      </c>
      <c r="EK99">
        <v>1.87134</v>
      </c>
      <c r="EL99">
        <v>1.8690500000000001</v>
      </c>
      <c r="EM99">
        <v>1.8680399999999999</v>
      </c>
      <c r="EN99">
        <v>1.86988</v>
      </c>
      <c r="EO99">
        <v>1.87165</v>
      </c>
      <c r="EP99">
        <v>0</v>
      </c>
      <c r="EQ99">
        <v>0</v>
      </c>
      <c r="ER99">
        <v>0</v>
      </c>
      <c r="ES99">
        <v>0</v>
      </c>
      <c r="ET99" t="s">
        <v>334</v>
      </c>
      <c r="EU99" t="s">
        <v>335</v>
      </c>
      <c r="EV99" t="s">
        <v>336</v>
      </c>
      <c r="EW99" t="s">
        <v>336</v>
      </c>
      <c r="EX99" t="s">
        <v>336</v>
      </c>
      <c r="EY99" t="s">
        <v>336</v>
      </c>
      <c r="EZ99">
        <v>0</v>
      </c>
      <c r="FA99">
        <v>100</v>
      </c>
      <c r="FB99">
        <v>100</v>
      </c>
      <c r="FC99">
        <v>7.86</v>
      </c>
      <c r="FD99">
        <v>-0.99</v>
      </c>
      <c r="FE99">
        <v>7.8442249999999936</v>
      </c>
      <c r="FF99">
        <v>0</v>
      </c>
      <c r="FG99">
        <v>0</v>
      </c>
      <c r="FH99">
        <v>0</v>
      </c>
      <c r="FI99">
        <v>-0.99027149999999953</v>
      </c>
      <c r="FJ99">
        <v>0</v>
      </c>
      <c r="FK99">
        <v>0</v>
      </c>
      <c r="FL99">
        <v>0</v>
      </c>
      <c r="FM99">
        <v>-1</v>
      </c>
      <c r="FN99">
        <v>-1</v>
      </c>
      <c r="FO99">
        <v>-1</v>
      </c>
      <c r="FP99">
        <v>-1</v>
      </c>
      <c r="FQ99">
        <v>0.8</v>
      </c>
      <c r="FR99">
        <v>0.7</v>
      </c>
      <c r="FS99">
        <v>0.142822</v>
      </c>
      <c r="FT99">
        <v>4.99756</v>
      </c>
      <c r="FU99">
        <v>1.5979000000000001</v>
      </c>
      <c r="FV99">
        <v>2.16187</v>
      </c>
      <c r="FW99">
        <v>1.5478499999999999</v>
      </c>
      <c r="FX99">
        <v>2.4450699999999999</v>
      </c>
      <c r="FY99">
        <v>32.288699999999999</v>
      </c>
      <c r="FZ99">
        <v>16.0321</v>
      </c>
      <c r="GA99">
        <v>3</v>
      </c>
      <c r="GB99">
        <v>491.95800000000003</v>
      </c>
      <c r="GC99">
        <v>425.03699999999998</v>
      </c>
      <c r="GD99">
        <v>25.995000000000001</v>
      </c>
      <c r="GE99">
        <v>27.920300000000001</v>
      </c>
      <c r="GF99">
        <v>30</v>
      </c>
      <c r="GG99">
        <v>28.2378</v>
      </c>
      <c r="GH99">
        <v>28.2943</v>
      </c>
      <c r="GI99">
        <v>-1</v>
      </c>
      <c r="GJ99">
        <v>0</v>
      </c>
      <c r="GK99">
        <v>100</v>
      </c>
      <c r="GL99">
        <v>25.997399999999999</v>
      </c>
      <c r="GM99">
        <v>432.1</v>
      </c>
      <c r="GN99">
        <v>63.216500000000003</v>
      </c>
      <c r="GO99">
        <v>102.512</v>
      </c>
      <c r="GP99">
        <v>96.738299999999995</v>
      </c>
    </row>
    <row r="100" spans="1:198" x14ac:dyDescent="0.35">
      <c r="A100">
        <v>84</v>
      </c>
      <c r="B100">
        <v>1775508571.5999999</v>
      </c>
      <c r="C100">
        <v>4980.5999999046326</v>
      </c>
      <c r="D100" t="s">
        <v>583</v>
      </c>
      <c r="E100" t="s">
        <v>584</v>
      </c>
      <c r="F100">
        <v>60</v>
      </c>
      <c r="G100">
        <v>1775508563.599999</v>
      </c>
      <c r="H100">
        <f t="shared" si="60"/>
        <v>9.1839271178174506E-4</v>
      </c>
      <c r="I100">
        <f t="shared" si="61"/>
        <v>0.91839271178174509</v>
      </c>
      <c r="J100">
        <f t="shared" si="62"/>
        <v>0.21133512937252152</v>
      </c>
      <c r="K100">
        <f t="shared" si="63"/>
        <v>60.512603225806437</v>
      </c>
      <c r="L100">
        <f t="shared" si="64"/>
        <v>44.666319375344649</v>
      </c>
      <c r="M100">
        <f t="shared" si="65"/>
        <v>4.4756562003901683</v>
      </c>
      <c r="N100">
        <f t="shared" si="66"/>
        <v>6.0634861259427613</v>
      </c>
      <c r="O100">
        <f t="shared" si="67"/>
        <v>2.6352382794122109E-2</v>
      </c>
      <c r="P100">
        <f t="shared" si="68"/>
        <v>2.3935905753298812</v>
      </c>
      <c r="Q100">
        <f t="shared" si="69"/>
        <v>2.6192257871104567E-2</v>
      </c>
      <c r="R100">
        <f t="shared" si="70"/>
        <v>1.6384466528405139E-2</v>
      </c>
      <c r="S100">
        <f t="shared" si="71"/>
        <v>0</v>
      </c>
      <c r="T100">
        <f t="shared" si="72"/>
        <v>25.002989181242853</v>
      </c>
      <c r="U100">
        <f t="shared" si="73"/>
        <v>25.287338709677421</v>
      </c>
      <c r="V100">
        <f t="shared" si="74"/>
        <v>3.2345576839727084</v>
      </c>
      <c r="W100">
        <f t="shared" si="75"/>
        <v>-6.9895846275610278</v>
      </c>
      <c r="X100">
        <f t="shared" si="76"/>
        <v>-0.22613534365168106</v>
      </c>
      <c r="Y100">
        <f t="shared" si="77"/>
        <v>3.235318773593411</v>
      </c>
      <c r="Z100">
        <f t="shared" si="78"/>
        <v>3.4606930276243895</v>
      </c>
      <c r="AA100">
        <f t="shared" si="79"/>
        <v>-40.501118589574958</v>
      </c>
      <c r="AB100">
        <f t="shared" si="80"/>
        <v>0.51034526048119111</v>
      </c>
      <c r="AC100">
        <f t="shared" si="81"/>
        <v>4.5231243014609866E-2</v>
      </c>
      <c r="AD100">
        <f t="shared" si="82"/>
        <v>-39.945542086079158</v>
      </c>
      <c r="AE100">
        <v>18</v>
      </c>
      <c r="AF100">
        <v>4</v>
      </c>
      <c r="AG100">
        <f t="shared" si="83"/>
        <v>1</v>
      </c>
      <c r="AH100">
        <f t="shared" si="84"/>
        <v>0</v>
      </c>
      <c r="AI100">
        <f t="shared" si="85"/>
        <v>25747.590656629036</v>
      </c>
      <c r="AJ100">
        <f t="shared" si="86"/>
        <v>0</v>
      </c>
      <c r="AK100">
        <f t="shared" si="87"/>
        <v>0</v>
      </c>
      <c r="AL100">
        <f t="shared" si="88"/>
        <v>0</v>
      </c>
      <c r="AM100">
        <f t="shared" si="89"/>
        <v>0</v>
      </c>
      <c r="AN100">
        <v>3</v>
      </c>
      <c r="AO100">
        <v>0.5</v>
      </c>
      <c r="AP100" t="s">
        <v>331</v>
      </c>
      <c r="AQ100">
        <v>2</v>
      </c>
      <c r="AR100">
        <v>1775508563.599999</v>
      </c>
      <c r="AS100">
        <v>60.512603225806437</v>
      </c>
      <c r="AT100">
        <v>60.672748387096767</v>
      </c>
      <c r="AU100">
        <v>-2.256793870967742</v>
      </c>
      <c r="AV100">
        <v>-2.809071290322581</v>
      </c>
      <c r="AW100">
        <v>52.641603225806442</v>
      </c>
      <c r="AX100">
        <v>-1.266793870967742</v>
      </c>
      <c r="AY100">
        <v>500.0016129032258</v>
      </c>
      <c r="AZ100">
        <v>100.1647741935484</v>
      </c>
      <c r="BA100">
        <v>3.7263112903225808E-2</v>
      </c>
      <c r="BB100">
        <v>25.291293548387099</v>
      </c>
      <c r="BC100">
        <v>25.287338709677421</v>
      </c>
      <c r="BD100">
        <v>999.90000000000032</v>
      </c>
      <c r="BE100">
        <v>0</v>
      </c>
      <c r="BF100">
        <v>0</v>
      </c>
      <c r="BG100">
        <v>5006.0806451612907</v>
      </c>
      <c r="BH100">
        <v>0.3822576774193549</v>
      </c>
      <c r="BI100">
        <v>0.23331922580645159</v>
      </c>
      <c r="BJ100">
        <v>-0.17132287096774201</v>
      </c>
      <c r="BK100">
        <v>60.365206451612913</v>
      </c>
      <c r="BL100">
        <v>60.502796774193541</v>
      </c>
      <c r="BM100">
        <v>0.55255574193548396</v>
      </c>
      <c r="BN100">
        <v>60.672748387096767</v>
      </c>
      <c r="BO100">
        <v>-2.809071290322581</v>
      </c>
      <c r="BP100">
        <v>-0.22602345161290319</v>
      </c>
      <c r="BQ100">
        <v>-0.28137012903225811</v>
      </c>
      <c r="BR100">
        <v>-99.900000000000034</v>
      </c>
      <c r="BS100">
        <v>-99.900000000000034</v>
      </c>
      <c r="BT100">
        <v>0</v>
      </c>
      <c r="BU100">
        <v>0</v>
      </c>
      <c r="BV100">
        <v>0</v>
      </c>
      <c r="BW100">
        <v>24</v>
      </c>
      <c r="BX100">
        <v>-1</v>
      </c>
      <c r="BY100">
        <v>1775508591.5999999</v>
      </c>
      <c r="BZ100" t="s">
        <v>585</v>
      </c>
      <c r="CA100">
        <v>1775508583.5999999</v>
      </c>
      <c r="CB100">
        <v>1775508591.5999999</v>
      </c>
      <c r="CC100">
        <v>87</v>
      </c>
      <c r="CD100">
        <v>1.0999999999999999E-2</v>
      </c>
      <c r="CE100">
        <v>0</v>
      </c>
      <c r="CF100">
        <v>7.8710000000000004</v>
      </c>
      <c r="CG100">
        <v>-0.99</v>
      </c>
      <c r="CH100">
        <v>60</v>
      </c>
      <c r="CI100">
        <v>-3</v>
      </c>
      <c r="CJ100">
        <v>0.28999999999999998</v>
      </c>
      <c r="CK100">
        <v>0.14000000000000001</v>
      </c>
      <c r="CL100">
        <v>60.589749180327871</v>
      </c>
      <c r="CM100">
        <v>0.5911716552088937</v>
      </c>
      <c r="CN100">
        <v>9.2285010457093211E-2</v>
      </c>
      <c r="CO100">
        <v>-1</v>
      </c>
      <c r="CP100">
        <v>500.11860655737712</v>
      </c>
      <c r="CQ100">
        <v>-1.33092120571081</v>
      </c>
      <c r="CR100">
        <v>0.4144591687729352</v>
      </c>
      <c r="CS100">
        <v>-1</v>
      </c>
      <c r="CT100">
        <v>0</v>
      </c>
      <c r="CU100">
        <v>0</v>
      </c>
      <c r="CV100" t="s">
        <v>333</v>
      </c>
      <c r="CW100">
        <v>3.1673399999999998</v>
      </c>
      <c r="CX100">
        <v>2.65856</v>
      </c>
      <c r="CY100">
        <v>1.5714200000000001E-2</v>
      </c>
      <c r="CZ100">
        <v>1.8055499999999999E-2</v>
      </c>
      <c r="DA100">
        <v>-1.13965E-2</v>
      </c>
      <c r="DB100">
        <v>-2.8203200000000001E-2</v>
      </c>
      <c r="DC100">
        <v>21311.1</v>
      </c>
      <c r="DD100">
        <v>21627.8</v>
      </c>
      <c r="DE100">
        <v>23176.7</v>
      </c>
      <c r="DF100">
        <v>22374.2</v>
      </c>
      <c r="DG100">
        <v>30221.4</v>
      </c>
      <c r="DH100">
        <v>27423.7</v>
      </c>
      <c r="DI100">
        <v>40722.400000000001</v>
      </c>
      <c r="DJ100">
        <v>37070</v>
      </c>
      <c r="DK100">
        <v>2.1029800000000001</v>
      </c>
      <c r="DL100">
        <v>1.8545799999999999</v>
      </c>
      <c r="DM100">
        <v>2.5385600000000001E-2</v>
      </c>
      <c r="DN100">
        <v>0</v>
      </c>
      <c r="DO100">
        <v>24.865400000000001</v>
      </c>
      <c r="DP100">
        <v>999.9</v>
      </c>
      <c r="DQ100">
        <v>80</v>
      </c>
      <c r="DR100">
        <v>27.9</v>
      </c>
      <c r="DS100">
        <v>30.1343</v>
      </c>
      <c r="DT100">
        <v>30.900099999999998</v>
      </c>
      <c r="DU100">
        <v>9.2027199999999993</v>
      </c>
      <c r="DV100">
        <v>1</v>
      </c>
      <c r="DW100">
        <v>5.6117899999999998E-2</v>
      </c>
      <c r="DX100">
        <v>-0.27960099999999999</v>
      </c>
      <c r="DY100">
        <v>20.368400000000001</v>
      </c>
      <c r="DZ100">
        <v>5.2123799999999996</v>
      </c>
      <c r="EA100">
        <v>11.8482</v>
      </c>
      <c r="EB100">
        <v>4.9686000000000003</v>
      </c>
      <c r="EC100">
        <v>3.2920600000000002</v>
      </c>
      <c r="ED100">
        <v>894.7</v>
      </c>
      <c r="EE100">
        <v>0</v>
      </c>
      <c r="EF100">
        <v>9999</v>
      </c>
      <c r="EG100">
        <v>114.4</v>
      </c>
      <c r="EH100">
        <v>4.9716500000000003</v>
      </c>
      <c r="EI100">
        <v>1.8717999999999999</v>
      </c>
      <c r="EJ100">
        <v>1.8689</v>
      </c>
      <c r="EK100">
        <v>1.87134</v>
      </c>
      <c r="EL100">
        <v>1.8690500000000001</v>
      </c>
      <c r="EM100">
        <v>1.8680300000000001</v>
      </c>
      <c r="EN100">
        <v>1.8698699999999999</v>
      </c>
      <c r="EO100">
        <v>1.87168</v>
      </c>
      <c r="EP100">
        <v>0</v>
      </c>
      <c r="EQ100">
        <v>0</v>
      </c>
      <c r="ER100">
        <v>0</v>
      </c>
      <c r="ES100">
        <v>0</v>
      </c>
      <c r="ET100" t="s">
        <v>334</v>
      </c>
      <c r="EU100" t="s">
        <v>335</v>
      </c>
      <c r="EV100" t="s">
        <v>336</v>
      </c>
      <c r="EW100" t="s">
        <v>336</v>
      </c>
      <c r="EX100" t="s">
        <v>336</v>
      </c>
      <c r="EY100" t="s">
        <v>336</v>
      </c>
      <c r="EZ100">
        <v>0</v>
      </c>
      <c r="FA100">
        <v>100</v>
      </c>
      <c r="FB100">
        <v>100</v>
      </c>
      <c r="FC100">
        <v>7.8710000000000004</v>
      </c>
      <c r="FD100">
        <v>-0.99</v>
      </c>
      <c r="FE100">
        <v>7.8598249999999936</v>
      </c>
      <c r="FF100">
        <v>0</v>
      </c>
      <c r="FG100">
        <v>0</v>
      </c>
      <c r="FH100">
        <v>0</v>
      </c>
      <c r="FI100">
        <v>-0.98972149999999992</v>
      </c>
      <c r="FJ100">
        <v>0</v>
      </c>
      <c r="FK100">
        <v>0</v>
      </c>
      <c r="FL100">
        <v>0</v>
      </c>
      <c r="FM100">
        <v>-1</v>
      </c>
      <c r="FN100">
        <v>-1</v>
      </c>
      <c r="FO100">
        <v>-1</v>
      </c>
      <c r="FP100">
        <v>-1</v>
      </c>
      <c r="FQ100">
        <v>0.8</v>
      </c>
      <c r="FR100">
        <v>0.6</v>
      </c>
      <c r="FS100">
        <v>0.142822</v>
      </c>
      <c r="FT100">
        <v>4.99756</v>
      </c>
      <c r="FU100">
        <v>1.5979000000000001</v>
      </c>
      <c r="FV100">
        <v>2.16309</v>
      </c>
      <c r="FW100">
        <v>1.5478499999999999</v>
      </c>
      <c r="FX100">
        <v>2.4108900000000002</v>
      </c>
      <c r="FY100">
        <v>32.288699999999999</v>
      </c>
      <c r="FZ100">
        <v>16.014600000000002</v>
      </c>
      <c r="GA100">
        <v>3</v>
      </c>
      <c r="GB100">
        <v>492.13600000000002</v>
      </c>
      <c r="GC100">
        <v>424.42700000000002</v>
      </c>
      <c r="GD100">
        <v>26.047599999999999</v>
      </c>
      <c r="GE100">
        <v>27.915600000000001</v>
      </c>
      <c r="GF100">
        <v>30.0001</v>
      </c>
      <c r="GG100">
        <v>28.234200000000001</v>
      </c>
      <c r="GH100">
        <v>28.2896</v>
      </c>
      <c r="GI100">
        <v>-1</v>
      </c>
      <c r="GJ100">
        <v>0</v>
      </c>
      <c r="GK100">
        <v>100</v>
      </c>
      <c r="GL100">
        <v>26.0519</v>
      </c>
      <c r="GM100">
        <v>432.1</v>
      </c>
      <c r="GN100">
        <v>63.216500000000003</v>
      </c>
      <c r="GO100">
        <v>102.514</v>
      </c>
      <c r="GP100">
        <v>96.739000000000004</v>
      </c>
    </row>
    <row r="101" spans="1:198" x14ac:dyDescent="0.35">
      <c r="A101">
        <v>85</v>
      </c>
      <c r="B101">
        <v>1775508631.5999999</v>
      </c>
      <c r="C101">
        <v>5040.5999999046326</v>
      </c>
      <c r="D101" t="s">
        <v>586</v>
      </c>
      <c r="E101" t="s">
        <v>587</v>
      </c>
      <c r="F101">
        <v>60</v>
      </c>
      <c r="G101">
        <v>1775508623.599999</v>
      </c>
      <c r="H101">
        <f t="shared" si="60"/>
        <v>9.2320845653044898E-4</v>
      </c>
      <c r="I101">
        <f t="shared" si="61"/>
        <v>0.92320845653044903</v>
      </c>
      <c r="J101">
        <f t="shared" si="62"/>
        <v>8.4032448023353551E-2</v>
      </c>
      <c r="K101">
        <f t="shared" si="63"/>
        <v>60.474951612903219</v>
      </c>
      <c r="L101">
        <f t="shared" si="64"/>
        <v>52.209670289101723</v>
      </c>
      <c r="M101">
        <f t="shared" si="65"/>
        <v>5.231576007976499</v>
      </c>
      <c r="N101">
        <f t="shared" si="66"/>
        <v>6.0597836414156658</v>
      </c>
      <c r="O101">
        <f t="shared" si="67"/>
        <v>2.6475032594077293E-2</v>
      </c>
      <c r="P101">
        <f t="shared" si="68"/>
        <v>2.3900031091392271</v>
      </c>
      <c r="Q101">
        <f t="shared" si="69"/>
        <v>2.6313177635271318E-2</v>
      </c>
      <c r="R101">
        <f t="shared" si="70"/>
        <v>1.6460195439689372E-2</v>
      </c>
      <c r="S101">
        <f t="shared" si="71"/>
        <v>0</v>
      </c>
      <c r="T101">
        <f t="shared" si="72"/>
        <v>25.013022630016671</v>
      </c>
      <c r="U101">
        <f t="shared" si="73"/>
        <v>25.299896774193549</v>
      </c>
      <c r="V101">
        <f t="shared" si="74"/>
        <v>3.236974963316138</v>
      </c>
      <c r="W101">
        <f t="shared" si="75"/>
        <v>-6.9764825184405703</v>
      </c>
      <c r="X101">
        <f t="shared" si="76"/>
        <v>-0.22587184618652495</v>
      </c>
      <c r="Y101">
        <f t="shared" si="77"/>
        <v>3.2376178911004185</v>
      </c>
      <c r="Z101">
        <f t="shared" si="78"/>
        <v>3.462846809502663</v>
      </c>
      <c r="AA101">
        <f t="shared" si="79"/>
        <v>-40.7134929329928</v>
      </c>
      <c r="AB101">
        <f t="shared" si="80"/>
        <v>0.43019223318158412</v>
      </c>
      <c r="AC101">
        <f t="shared" si="81"/>
        <v>3.81893184348173E-2</v>
      </c>
      <c r="AD101">
        <f t="shared" si="82"/>
        <v>-40.245111381376397</v>
      </c>
      <c r="AE101">
        <v>18</v>
      </c>
      <c r="AF101">
        <v>4</v>
      </c>
      <c r="AG101">
        <f t="shared" si="83"/>
        <v>1</v>
      </c>
      <c r="AH101">
        <f t="shared" si="84"/>
        <v>0</v>
      </c>
      <c r="AI101">
        <f t="shared" si="85"/>
        <v>25691.613908005376</v>
      </c>
      <c r="AJ101">
        <f t="shared" si="86"/>
        <v>0</v>
      </c>
      <c r="AK101">
        <f t="shared" si="87"/>
        <v>0</v>
      </c>
      <c r="AL101">
        <f t="shared" si="88"/>
        <v>0</v>
      </c>
      <c r="AM101">
        <f t="shared" si="89"/>
        <v>0</v>
      </c>
      <c r="AN101">
        <v>3</v>
      </c>
      <c r="AO101">
        <v>0.5</v>
      </c>
      <c r="AP101" t="s">
        <v>331</v>
      </c>
      <c r="AQ101">
        <v>2</v>
      </c>
      <c r="AR101">
        <v>1775508623.599999</v>
      </c>
      <c r="AS101">
        <v>60.474951612903219</v>
      </c>
      <c r="AT101">
        <v>60.558870967741917</v>
      </c>
      <c r="AU101">
        <v>-2.25413806451613</v>
      </c>
      <c r="AV101">
        <v>-2.8093203225806458</v>
      </c>
      <c r="AW101">
        <v>52.608951612903219</v>
      </c>
      <c r="AX101">
        <v>-1.2641380645161291</v>
      </c>
      <c r="AY101">
        <v>499.99229032258069</v>
      </c>
      <c r="AZ101">
        <v>100.1658709677419</v>
      </c>
      <c r="BA101">
        <v>3.7328535483870967E-2</v>
      </c>
      <c r="BB101">
        <v>25.30323548387096</v>
      </c>
      <c r="BC101">
        <v>25.299896774193549</v>
      </c>
      <c r="BD101">
        <v>999.90000000000032</v>
      </c>
      <c r="BE101">
        <v>0</v>
      </c>
      <c r="BF101">
        <v>0</v>
      </c>
      <c r="BG101">
        <v>4996.7903225806449</v>
      </c>
      <c r="BH101">
        <v>0.39390964516129029</v>
      </c>
      <c r="BI101">
        <v>0.22961599999999999</v>
      </c>
      <c r="BJ101">
        <v>-7.8644763548387092E-2</v>
      </c>
      <c r="BK101">
        <v>60.344196774193549</v>
      </c>
      <c r="BL101">
        <v>60.389219354838723</v>
      </c>
      <c r="BM101">
        <v>0.55507899999999988</v>
      </c>
      <c r="BN101">
        <v>60.558870967741917</v>
      </c>
      <c r="BO101">
        <v>-2.8093203225806458</v>
      </c>
      <c r="BP101">
        <v>-0.22579777419354841</v>
      </c>
      <c r="BQ101">
        <v>-0.28139767741935479</v>
      </c>
      <c r="BR101">
        <v>-99.900000000000034</v>
      </c>
      <c r="BS101">
        <v>-99.900000000000034</v>
      </c>
      <c r="BT101">
        <v>0</v>
      </c>
      <c r="BU101">
        <v>0</v>
      </c>
      <c r="BV101">
        <v>0</v>
      </c>
      <c r="BW101">
        <v>24</v>
      </c>
      <c r="BX101">
        <v>-1</v>
      </c>
      <c r="BY101">
        <v>1775508653.5999999</v>
      </c>
      <c r="BZ101" t="s">
        <v>588</v>
      </c>
      <c r="CA101">
        <v>1775508645.5999999</v>
      </c>
      <c r="CB101">
        <v>1775508653.5999999</v>
      </c>
      <c r="CC101">
        <v>88</v>
      </c>
      <c r="CD101">
        <v>-5.0000000000000001E-3</v>
      </c>
      <c r="CE101">
        <v>0</v>
      </c>
      <c r="CF101">
        <v>7.8659999999999997</v>
      </c>
      <c r="CG101">
        <v>-0.99</v>
      </c>
      <c r="CH101">
        <v>60</v>
      </c>
      <c r="CI101">
        <v>-3</v>
      </c>
      <c r="CJ101">
        <v>0.27</v>
      </c>
      <c r="CK101">
        <v>0.15</v>
      </c>
      <c r="CL101">
        <v>60.556171666666657</v>
      </c>
      <c r="CM101">
        <v>0.1352685746039842</v>
      </c>
      <c r="CN101">
        <v>4.1551438369274031E-2</v>
      </c>
      <c r="CO101">
        <v>-1</v>
      </c>
      <c r="CP101">
        <v>499.99971666666659</v>
      </c>
      <c r="CQ101">
        <v>-0.1555198666289225</v>
      </c>
      <c r="CR101">
        <v>5.7026044244907828E-2</v>
      </c>
      <c r="CS101">
        <v>-1</v>
      </c>
      <c r="CT101">
        <v>0</v>
      </c>
      <c r="CU101">
        <v>0</v>
      </c>
      <c r="CV101" t="s">
        <v>333</v>
      </c>
      <c r="CW101">
        <v>3.16723</v>
      </c>
      <c r="CX101">
        <v>2.6588799999999999</v>
      </c>
      <c r="CY101">
        <v>1.5684799999999999E-2</v>
      </c>
      <c r="CZ101">
        <v>1.80307E-2</v>
      </c>
      <c r="DA101">
        <v>-1.13775E-2</v>
      </c>
      <c r="DB101">
        <v>-2.8203800000000001E-2</v>
      </c>
      <c r="DC101">
        <v>21311.4</v>
      </c>
      <c r="DD101">
        <v>21628.400000000001</v>
      </c>
      <c r="DE101">
        <v>23176.400000000001</v>
      </c>
      <c r="DF101">
        <v>22374.2</v>
      </c>
      <c r="DG101">
        <v>30220.400000000001</v>
      </c>
      <c r="DH101">
        <v>27423.9</v>
      </c>
      <c r="DI101">
        <v>40721.699999999997</v>
      </c>
      <c r="DJ101">
        <v>37070.199999999997</v>
      </c>
      <c r="DK101">
        <v>2.1030199999999999</v>
      </c>
      <c r="DL101">
        <v>1.8553200000000001</v>
      </c>
      <c r="DM101">
        <v>2.7024699999999999E-2</v>
      </c>
      <c r="DN101">
        <v>0</v>
      </c>
      <c r="DO101">
        <v>24.856100000000001</v>
      </c>
      <c r="DP101">
        <v>999.9</v>
      </c>
      <c r="DQ101">
        <v>79.900000000000006</v>
      </c>
      <c r="DR101">
        <v>27.9</v>
      </c>
      <c r="DS101">
        <v>30.093</v>
      </c>
      <c r="DT101">
        <v>30.5702</v>
      </c>
      <c r="DU101">
        <v>9.2748399999999993</v>
      </c>
      <c r="DV101">
        <v>1</v>
      </c>
      <c r="DW101">
        <v>5.5947200000000002E-2</v>
      </c>
      <c r="DX101">
        <v>-0.20535700000000001</v>
      </c>
      <c r="DY101">
        <v>20.368500000000001</v>
      </c>
      <c r="DZ101">
        <v>5.2110599999999998</v>
      </c>
      <c r="EA101">
        <v>11.8482</v>
      </c>
      <c r="EB101">
        <v>4.9680400000000002</v>
      </c>
      <c r="EC101">
        <v>3.2920600000000002</v>
      </c>
      <c r="ED101">
        <v>894.7</v>
      </c>
      <c r="EE101">
        <v>0</v>
      </c>
      <c r="EF101">
        <v>9999</v>
      </c>
      <c r="EG101">
        <v>114.4</v>
      </c>
      <c r="EH101">
        <v>4.9716399999999998</v>
      </c>
      <c r="EI101">
        <v>1.8717999999999999</v>
      </c>
      <c r="EJ101">
        <v>1.8689</v>
      </c>
      <c r="EK101">
        <v>1.87134</v>
      </c>
      <c r="EL101">
        <v>1.8690500000000001</v>
      </c>
      <c r="EM101">
        <v>1.8680000000000001</v>
      </c>
      <c r="EN101">
        <v>1.86985</v>
      </c>
      <c r="EO101">
        <v>1.87164</v>
      </c>
      <c r="EP101">
        <v>0</v>
      </c>
      <c r="EQ101">
        <v>0</v>
      </c>
      <c r="ER101">
        <v>0</v>
      </c>
      <c r="ES101">
        <v>0</v>
      </c>
      <c r="ET101" t="s">
        <v>334</v>
      </c>
      <c r="EU101" t="s">
        <v>335</v>
      </c>
      <c r="EV101" t="s">
        <v>336</v>
      </c>
      <c r="EW101" t="s">
        <v>336</v>
      </c>
      <c r="EX101" t="s">
        <v>336</v>
      </c>
      <c r="EY101" t="s">
        <v>336</v>
      </c>
      <c r="EZ101">
        <v>0</v>
      </c>
      <c r="FA101">
        <v>100</v>
      </c>
      <c r="FB101">
        <v>100</v>
      </c>
      <c r="FC101">
        <v>7.8659999999999997</v>
      </c>
      <c r="FD101">
        <v>-0.99</v>
      </c>
      <c r="FE101">
        <v>7.87127499999999</v>
      </c>
      <c r="FF101">
        <v>0</v>
      </c>
      <c r="FG101">
        <v>0</v>
      </c>
      <c r="FH101">
        <v>0</v>
      </c>
      <c r="FI101">
        <v>-0.99010250000000077</v>
      </c>
      <c r="FJ101">
        <v>0</v>
      </c>
      <c r="FK101">
        <v>0</v>
      </c>
      <c r="FL101">
        <v>0</v>
      </c>
      <c r="FM101">
        <v>-1</v>
      </c>
      <c r="FN101">
        <v>-1</v>
      </c>
      <c r="FO101">
        <v>-1</v>
      </c>
      <c r="FP101">
        <v>-1</v>
      </c>
      <c r="FQ101">
        <v>0.8</v>
      </c>
      <c r="FR101">
        <v>0.7</v>
      </c>
      <c r="FS101">
        <v>0.142822</v>
      </c>
      <c r="FT101">
        <v>4.99756</v>
      </c>
      <c r="FU101">
        <v>1.5979000000000001</v>
      </c>
      <c r="FV101">
        <v>2.16309</v>
      </c>
      <c r="FW101">
        <v>1.5478499999999999</v>
      </c>
      <c r="FX101">
        <v>2.2997999999999998</v>
      </c>
      <c r="FY101">
        <v>32.288699999999999</v>
      </c>
      <c r="FZ101">
        <v>16.014600000000002</v>
      </c>
      <c r="GA101">
        <v>3</v>
      </c>
      <c r="GB101">
        <v>492.11700000000002</v>
      </c>
      <c r="GC101">
        <v>424.84500000000003</v>
      </c>
      <c r="GD101">
        <v>26.01</v>
      </c>
      <c r="GE101">
        <v>27.910799999999998</v>
      </c>
      <c r="GF101">
        <v>30.0001</v>
      </c>
      <c r="GG101">
        <v>28.228999999999999</v>
      </c>
      <c r="GH101">
        <v>28.287299999999998</v>
      </c>
      <c r="GI101">
        <v>-1</v>
      </c>
      <c r="GJ101">
        <v>0</v>
      </c>
      <c r="GK101">
        <v>100</v>
      </c>
      <c r="GL101">
        <v>26.007999999999999</v>
      </c>
      <c r="GM101">
        <v>432.1</v>
      </c>
      <c r="GN101">
        <v>63.216500000000003</v>
      </c>
      <c r="GO101">
        <v>102.512</v>
      </c>
      <c r="GP101">
        <v>96.739400000000003</v>
      </c>
    </row>
    <row r="102" spans="1:198" x14ac:dyDescent="0.35">
      <c r="A102">
        <v>86</v>
      </c>
      <c r="B102">
        <v>1775508691.5999999</v>
      </c>
      <c r="C102">
        <v>5100.5999999046326</v>
      </c>
      <c r="D102" t="s">
        <v>589</v>
      </c>
      <c r="E102" t="s">
        <v>590</v>
      </c>
      <c r="F102">
        <v>60</v>
      </c>
      <c r="G102">
        <v>1775508683.599999</v>
      </c>
      <c r="H102">
        <f t="shared" si="60"/>
        <v>9.2167660045488554E-4</v>
      </c>
      <c r="I102">
        <f t="shared" si="61"/>
        <v>0.92167660045488553</v>
      </c>
      <c r="J102">
        <f t="shared" si="62"/>
        <v>0.12360067524523403</v>
      </c>
      <c r="K102">
        <f t="shared" si="63"/>
        <v>60.490077419354833</v>
      </c>
      <c r="L102">
        <f t="shared" si="64"/>
        <v>49.878101456967144</v>
      </c>
      <c r="M102">
        <f t="shared" si="65"/>
        <v>4.9980390553539573</v>
      </c>
      <c r="N102">
        <f t="shared" si="66"/>
        <v>6.0614129361792148</v>
      </c>
      <c r="O102">
        <f t="shared" si="67"/>
        <v>2.6442553545977229E-2</v>
      </c>
      <c r="P102">
        <f t="shared" si="68"/>
        <v>2.3913866191274304</v>
      </c>
      <c r="Q102">
        <f t="shared" si="69"/>
        <v>2.6281186952853603E-2</v>
      </c>
      <c r="R102">
        <f t="shared" si="70"/>
        <v>1.6440157781750436E-2</v>
      </c>
      <c r="S102">
        <f t="shared" si="71"/>
        <v>0</v>
      </c>
      <c r="T102">
        <f t="shared" si="72"/>
        <v>25.009666864130939</v>
      </c>
      <c r="U102">
        <f t="shared" si="73"/>
        <v>25.289648387096779</v>
      </c>
      <c r="V102">
        <f t="shared" si="74"/>
        <v>3.2350021512392173</v>
      </c>
      <c r="W102">
        <f t="shared" si="75"/>
        <v>-6.9949816013209123</v>
      </c>
      <c r="X102">
        <f t="shared" si="76"/>
        <v>-0.22641702675673325</v>
      </c>
      <c r="Y102">
        <f t="shared" si="77"/>
        <v>3.2368494967017112</v>
      </c>
      <c r="Z102">
        <f t="shared" si="78"/>
        <v>3.4614191779959507</v>
      </c>
      <c r="AA102">
        <f t="shared" si="79"/>
        <v>-40.645938080060454</v>
      </c>
      <c r="AB102">
        <f t="shared" si="80"/>
        <v>1.2372586946622621</v>
      </c>
      <c r="AC102">
        <f t="shared" si="81"/>
        <v>0.1097633700308478</v>
      </c>
      <c r="AD102">
        <f t="shared" si="82"/>
        <v>-39.298916015367347</v>
      </c>
      <c r="AE102">
        <v>18</v>
      </c>
      <c r="AF102">
        <v>4</v>
      </c>
      <c r="AG102">
        <f t="shared" si="83"/>
        <v>1</v>
      </c>
      <c r="AH102">
        <f t="shared" si="84"/>
        <v>0</v>
      </c>
      <c r="AI102">
        <f t="shared" si="85"/>
        <v>25713.05461197472</v>
      </c>
      <c r="AJ102">
        <f t="shared" si="86"/>
        <v>0</v>
      </c>
      <c r="AK102">
        <f t="shared" si="87"/>
        <v>0</v>
      </c>
      <c r="AL102">
        <f t="shared" si="88"/>
        <v>0</v>
      </c>
      <c r="AM102">
        <f t="shared" si="89"/>
        <v>0</v>
      </c>
      <c r="AN102">
        <v>3</v>
      </c>
      <c r="AO102">
        <v>0.5</v>
      </c>
      <c r="AP102" t="s">
        <v>331</v>
      </c>
      <c r="AQ102">
        <v>2</v>
      </c>
      <c r="AR102">
        <v>1775508683.599999</v>
      </c>
      <c r="AS102">
        <v>60.490077419354833</v>
      </c>
      <c r="AT102">
        <v>60.597690322580647</v>
      </c>
      <c r="AU102">
        <v>-2.2595364516129028</v>
      </c>
      <c r="AV102">
        <v>-2.8137977419354838</v>
      </c>
      <c r="AW102">
        <v>52.660077419354828</v>
      </c>
      <c r="AX102">
        <v>-1.2695364516129031</v>
      </c>
      <c r="AY102">
        <v>499.99477419354832</v>
      </c>
      <c r="AZ102">
        <v>100.1677419354839</v>
      </c>
      <c r="BA102">
        <v>3.7336232258064532E-2</v>
      </c>
      <c r="BB102">
        <v>25.299245161290312</v>
      </c>
      <c r="BC102">
        <v>25.289648387096779</v>
      </c>
      <c r="BD102">
        <v>999.90000000000032</v>
      </c>
      <c r="BE102">
        <v>0</v>
      </c>
      <c r="BF102">
        <v>0</v>
      </c>
      <c r="BG102">
        <v>5000.2580645161288</v>
      </c>
      <c r="BH102">
        <v>0.3960049677419355</v>
      </c>
      <c r="BI102">
        <v>0.23331922580645159</v>
      </c>
      <c r="BJ102">
        <v>-7.1733641935483858E-2</v>
      </c>
      <c r="BK102">
        <v>60.389516129032259</v>
      </c>
      <c r="BL102">
        <v>60.427661290322582</v>
      </c>
      <c r="BM102">
        <v>0.55450738709677416</v>
      </c>
      <c r="BN102">
        <v>60.597690322580647</v>
      </c>
      <c r="BO102">
        <v>-2.8137977419354838</v>
      </c>
      <c r="BP102">
        <v>-0.2263080967741935</v>
      </c>
      <c r="BQ102">
        <v>-0.2818517741935484</v>
      </c>
      <c r="BR102">
        <v>-99.900000000000034</v>
      </c>
      <c r="BS102">
        <v>-99.900000000000034</v>
      </c>
      <c r="BT102">
        <v>0</v>
      </c>
      <c r="BU102">
        <v>0</v>
      </c>
      <c r="BV102">
        <v>0</v>
      </c>
      <c r="BW102">
        <v>24</v>
      </c>
      <c r="BX102">
        <v>-1</v>
      </c>
      <c r="BY102">
        <v>1775508710.5999999</v>
      </c>
      <c r="BZ102" t="s">
        <v>591</v>
      </c>
      <c r="CA102">
        <v>1775508704.5999999</v>
      </c>
      <c r="CB102">
        <v>1775508710.5999999</v>
      </c>
      <c r="CC102">
        <v>89</v>
      </c>
      <c r="CD102">
        <v>-3.5999999999999997E-2</v>
      </c>
      <c r="CE102">
        <v>0</v>
      </c>
      <c r="CF102">
        <v>7.83</v>
      </c>
      <c r="CG102">
        <v>-0.99</v>
      </c>
      <c r="CH102">
        <v>60</v>
      </c>
      <c r="CI102">
        <v>-3</v>
      </c>
      <c r="CJ102">
        <v>0.19</v>
      </c>
      <c r="CK102">
        <v>0.12</v>
      </c>
      <c r="CL102">
        <v>60.605801666666672</v>
      </c>
      <c r="CM102">
        <v>9.0348430118542961E-3</v>
      </c>
      <c r="CN102">
        <v>2.8104539915979509E-2</v>
      </c>
      <c r="CO102">
        <v>-1</v>
      </c>
      <c r="CP102">
        <v>500.04406666666671</v>
      </c>
      <c r="CQ102">
        <v>-0.49551764378868751</v>
      </c>
      <c r="CR102">
        <v>0.17934453496614439</v>
      </c>
      <c r="CS102">
        <v>-1</v>
      </c>
      <c r="CT102">
        <v>0</v>
      </c>
      <c r="CU102">
        <v>0</v>
      </c>
      <c r="CV102" t="s">
        <v>333</v>
      </c>
      <c r="CW102">
        <v>3.1673300000000002</v>
      </c>
      <c r="CX102">
        <v>2.6587999999999998</v>
      </c>
      <c r="CY102">
        <v>1.5692999999999999E-2</v>
      </c>
      <c r="CZ102">
        <v>1.8021100000000002E-2</v>
      </c>
      <c r="DA102">
        <v>-1.14086E-2</v>
      </c>
      <c r="DB102">
        <v>-2.8269099999999998E-2</v>
      </c>
      <c r="DC102">
        <v>21311.200000000001</v>
      </c>
      <c r="DD102">
        <v>21628.7</v>
      </c>
      <c r="DE102">
        <v>23176.3</v>
      </c>
      <c r="DF102">
        <v>22374.3</v>
      </c>
      <c r="DG102">
        <v>30221.200000000001</v>
      </c>
      <c r="DH102">
        <v>27425.5</v>
      </c>
      <c r="DI102">
        <v>40721.699999999997</v>
      </c>
      <c r="DJ102">
        <v>37070.1</v>
      </c>
      <c r="DK102">
        <v>2.1030000000000002</v>
      </c>
      <c r="DL102">
        <v>1.8549199999999999</v>
      </c>
      <c r="DM102">
        <v>2.6297600000000001E-2</v>
      </c>
      <c r="DN102">
        <v>0</v>
      </c>
      <c r="DO102">
        <v>24.851199999999999</v>
      </c>
      <c r="DP102">
        <v>999.9</v>
      </c>
      <c r="DQ102">
        <v>79.900000000000006</v>
      </c>
      <c r="DR102">
        <v>27.9</v>
      </c>
      <c r="DS102">
        <v>30.092700000000001</v>
      </c>
      <c r="DT102">
        <v>30.4801</v>
      </c>
      <c r="DU102">
        <v>9.1426300000000005</v>
      </c>
      <c r="DV102">
        <v>1</v>
      </c>
      <c r="DW102">
        <v>5.5313000000000001E-2</v>
      </c>
      <c r="DX102">
        <v>-0.227266</v>
      </c>
      <c r="DY102">
        <v>20.368200000000002</v>
      </c>
      <c r="DZ102">
        <v>5.2126200000000003</v>
      </c>
      <c r="EA102">
        <v>11.8482</v>
      </c>
      <c r="EB102">
        <v>4.9678800000000001</v>
      </c>
      <c r="EC102">
        <v>3.2920600000000002</v>
      </c>
      <c r="ED102">
        <v>894.7</v>
      </c>
      <c r="EE102">
        <v>0</v>
      </c>
      <c r="EF102">
        <v>9999</v>
      </c>
      <c r="EG102">
        <v>114.4</v>
      </c>
      <c r="EH102">
        <v>4.9716399999999998</v>
      </c>
      <c r="EI102">
        <v>1.8717999999999999</v>
      </c>
      <c r="EJ102">
        <v>1.8689</v>
      </c>
      <c r="EK102">
        <v>1.87134</v>
      </c>
      <c r="EL102">
        <v>1.8690500000000001</v>
      </c>
      <c r="EM102">
        <v>1.86805</v>
      </c>
      <c r="EN102">
        <v>1.86992</v>
      </c>
      <c r="EO102">
        <v>1.8716699999999999</v>
      </c>
      <c r="EP102">
        <v>0</v>
      </c>
      <c r="EQ102">
        <v>0</v>
      </c>
      <c r="ER102">
        <v>0</v>
      </c>
      <c r="ES102">
        <v>0</v>
      </c>
      <c r="ET102" t="s">
        <v>334</v>
      </c>
      <c r="EU102" t="s">
        <v>335</v>
      </c>
      <c r="EV102" t="s">
        <v>336</v>
      </c>
      <c r="EW102" t="s">
        <v>336</v>
      </c>
      <c r="EX102" t="s">
        <v>336</v>
      </c>
      <c r="EY102" t="s">
        <v>336</v>
      </c>
      <c r="EZ102">
        <v>0</v>
      </c>
      <c r="FA102">
        <v>100</v>
      </c>
      <c r="FB102">
        <v>100</v>
      </c>
      <c r="FC102">
        <v>7.83</v>
      </c>
      <c r="FD102">
        <v>-0.99</v>
      </c>
      <c r="FE102">
        <v>7.8658800000000042</v>
      </c>
      <c r="FF102">
        <v>0</v>
      </c>
      <c r="FG102">
        <v>0</v>
      </c>
      <c r="FH102">
        <v>0</v>
      </c>
      <c r="FI102">
        <v>-0.98975349999999973</v>
      </c>
      <c r="FJ102">
        <v>0</v>
      </c>
      <c r="FK102">
        <v>0</v>
      </c>
      <c r="FL102">
        <v>0</v>
      </c>
      <c r="FM102">
        <v>-1</v>
      </c>
      <c r="FN102">
        <v>-1</v>
      </c>
      <c r="FO102">
        <v>-1</v>
      </c>
      <c r="FP102">
        <v>-1</v>
      </c>
      <c r="FQ102">
        <v>0.8</v>
      </c>
      <c r="FR102">
        <v>0.6</v>
      </c>
      <c r="FS102">
        <v>0.142822</v>
      </c>
      <c r="FT102">
        <v>4.99756</v>
      </c>
      <c r="FU102">
        <v>1.5979000000000001</v>
      </c>
      <c r="FV102">
        <v>2.16309</v>
      </c>
      <c r="FW102">
        <v>1.5478499999999999</v>
      </c>
      <c r="FX102">
        <v>2.3144499999999999</v>
      </c>
      <c r="FY102">
        <v>32.288699999999999</v>
      </c>
      <c r="FZ102">
        <v>16.005800000000001</v>
      </c>
      <c r="GA102">
        <v>3</v>
      </c>
      <c r="GB102">
        <v>492.08</v>
      </c>
      <c r="GC102">
        <v>424.577</v>
      </c>
      <c r="GD102">
        <v>26.0214</v>
      </c>
      <c r="GE102">
        <v>27.903700000000001</v>
      </c>
      <c r="GF102">
        <v>30.0001</v>
      </c>
      <c r="GG102">
        <v>28.2257</v>
      </c>
      <c r="GH102">
        <v>28.282599999999999</v>
      </c>
      <c r="GI102">
        <v>-1</v>
      </c>
      <c r="GJ102">
        <v>0</v>
      </c>
      <c r="GK102">
        <v>100</v>
      </c>
      <c r="GL102">
        <v>26.018000000000001</v>
      </c>
      <c r="GM102">
        <v>432.1</v>
      </c>
      <c r="GN102">
        <v>63.216500000000003</v>
      </c>
      <c r="GO102">
        <v>102.512</v>
      </c>
      <c r="GP102">
        <v>96.7393</v>
      </c>
    </row>
    <row r="103" spans="1:198" x14ac:dyDescent="0.35">
      <c r="A103">
        <v>87</v>
      </c>
      <c r="B103">
        <v>1775508751.5999999</v>
      </c>
      <c r="C103">
        <v>5160.5999999046326</v>
      </c>
      <c r="D103" t="s">
        <v>592</v>
      </c>
      <c r="E103" t="s">
        <v>593</v>
      </c>
      <c r="F103">
        <v>60</v>
      </c>
      <c r="G103">
        <v>1775508743.599999</v>
      </c>
      <c r="H103">
        <f t="shared" si="60"/>
        <v>9.0030231369853054E-4</v>
      </c>
      <c r="I103">
        <f t="shared" si="61"/>
        <v>0.90030231369853053</v>
      </c>
      <c r="J103">
        <f t="shared" si="62"/>
        <v>-6.2181864156941116E-2</v>
      </c>
      <c r="K103">
        <f t="shared" si="63"/>
        <v>59.668287096774193</v>
      </c>
      <c r="L103">
        <f t="shared" si="64"/>
        <v>60.18096098173622</v>
      </c>
      <c r="M103">
        <f t="shared" si="65"/>
        <v>6.0304894088516043</v>
      </c>
      <c r="N103">
        <f t="shared" si="66"/>
        <v>5.9791164433318844</v>
      </c>
      <c r="O103">
        <f t="shared" si="67"/>
        <v>2.5821805014553556E-2</v>
      </c>
      <c r="P103">
        <f t="shared" si="68"/>
        <v>2.3912343433581178</v>
      </c>
      <c r="Q103">
        <f t="shared" si="69"/>
        <v>2.5667892237871612E-2</v>
      </c>
      <c r="R103">
        <f t="shared" si="70"/>
        <v>1.6056184503126555E-2</v>
      </c>
      <c r="S103">
        <f t="shared" si="71"/>
        <v>0</v>
      </c>
      <c r="T103">
        <f t="shared" si="72"/>
        <v>25.010954898770628</v>
      </c>
      <c r="U103">
        <f t="shared" si="73"/>
        <v>25.289632258064511</v>
      </c>
      <c r="V103">
        <f t="shared" si="74"/>
        <v>3.2349990472325074</v>
      </c>
      <c r="W103">
        <f t="shared" si="75"/>
        <v>-7.0144668863902808</v>
      </c>
      <c r="X103">
        <f t="shared" si="76"/>
        <v>-0.22697468343154498</v>
      </c>
      <c r="Y103">
        <f t="shared" si="77"/>
        <v>3.2358080394096578</v>
      </c>
      <c r="Z103">
        <f t="shared" si="78"/>
        <v>3.4619737306640523</v>
      </c>
      <c r="AA103">
        <f t="shared" si="79"/>
        <v>-39.703332034105195</v>
      </c>
      <c r="AB103">
        <f t="shared" si="80"/>
        <v>0.54186400765333043</v>
      </c>
      <c r="AC103">
        <f t="shared" si="81"/>
        <v>4.8073199641309544E-2</v>
      </c>
      <c r="AD103">
        <f t="shared" si="82"/>
        <v>-39.113394826810556</v>
      </c>
      <c r="AE103">
        <v>18</v>
      </c>
      <c r="AF103">
        <v>4</v>
      </c>
      <c r="AG103">
        <f t="shared" si="83"/>
        <v>1</v>
      </c>
      <c r="AH103">
        <f t="shared" si="84"/>
        <v>0</v>
      </c>
      <c r="AI103">
        <f t="shared" si="85"/>
        <v>25711.168527542821</v>
      </c>
      <c r="AJ103">
        <f t="shared" si="86"/>
        <v>0</v>
      </c>
      <c r="AK103">
        <f t="shared" si="87"/>
        <v>0</v>
      </c>
      <c r="AL103">
        <f t="shared" si="88"/>
        <v>0</v>
      </c>
      <c r="AM103">
        <f t="shared" si="89"/>
        <v>0</v>
      </c>
      <c r="AN103">
        <v>3</v>
      </c>
      <c r="AO103">
        <v>0.5</v>
      </c>
      <c r="AP103" t="s">
        <v>331</v>
      </c>
      <c r="AQ103">
        <v>2</v>
      </c>
      <c r="AR103">
        <v>1775508743.599999</v>
      </c>
      <c r="AS103">
        <v>59.668287096774193</v>
      </c>
      <c r="AT103">
        <v>59.663209677419353</v>
      </c>
      <c r="AU103">
        <v>-2.265082258064516</v>
      </c>
      <c r="AV103">
        <v>-2.8064870967741928</v>
      </c>
      <c r="AW103">
        <v>51.790287096774193</v>
      </c>
      <c r="AX103">
        <v>-1.2740822580645159</v>
      </c>
      <c r="AY103">
        <v>500.00009677419348</v>
      </c>
      <c r="AZ103">
        <v>100.1682903225806</v>
      </c>
      <c r="BA103">
        <v>3.764375483870968E-2</v>
      </c>
      <c r="BB103">
        <v>25.293835483870961</v>
      </c>
      <c r="BC103">
        <v>25.289632258064511</v>
      </c>
      <c r="BD103">
        <v>999.90000000000032</v>
      </c>
      <c r="BE103">
        <v>0</v>
      </c>
      <c r="BF103">
        <v>0</v>
      </c>
      <c r="BG103">
        <v>4999.8387096774204</v>
      </c>
      <c r="BH103">
        <v>0.409414</v>
      </c>
      <c r="BI103">
        <v>0.22961599999999999</v>
      </c>
      <c r="BJ103">
        <v>-4.3091006774193537E-2</v>
      </c>
      <c r="BK103">
        <v>59.485451612903219</v>
      </c>
      <c r="BL103">
        <v>59.496235483870962</v>
      </c>
      <c r="BM103">
        <v>0.54262977419354841</v>
      </c>
      <c r="BN103">
        <v>59.663209677419353</v>
      </c>
      <c r="BO103">
        <v>-2.8064870967741928</v>
      </c>
      <c r="BP103">
        <v>-0.2267667741935484</v>
      </c>
      <c r="BQ103">
        <v>-0.281121129032258</v>
      </c>
      <c r="BR103">
        <v>-99.900000000000034</v>
      </c>
      <c r="BS103">
        <v>-99.900000000000034</v>
      </c>
      <c r="BT103">
        <v>0</v>
      </c>
      <c r="BU103">
        <v>0</v>
      </c>
      <c r="BV103">
        <v>0</v>
      </c>
      <c r="BW103">
        <v>24</v>
      </c>
      <c r="BX103">
        <v>-1</v>
      </c>
      <c r="BY103">
        <v>1775508771.5999999</v>
      </c>
      <c r="BZ103" t="s">
        <v>594</v>
      </c>
      <c r="CA103">
        <v>1775508767.5999999</v>
      </c>
      <c r="CB103">
        <v>1775508771.5999999</v>
      </c>
      <c r="CC103">
        <v>90</v>
      </c>
      <c r="CD103">
        <v>4.8000000000000001E-2</v>
      </c>
      <c r="CE103">
        <v>-1E-3</v>
      </c>
      <c r="CF103">
        <v>7.8780000000000001</v>
      </c>
      <c r="CG103">
        <v>-0.99099999999999999</v>
      </c>
      <c r="CH103">
        <v>60</v>
      </c>
      <c r="CI103">
        <v>-3</v>
      </c>
      <c r="CJ103">
        <v>0.18</v>
      </c>
      <c r="CK103">
        <v>0.12</v>
      </c>
      <c r="CL103">
        <v>59.713674999999988</v>
      </c>
      <c r="CM103">
        <v>-0.45512008891345718</v>
      </c>
      <c r="CN103">
        <v>0.15023667730728549</v>
      </c>
      <c r="CO103">
        <v>-1</v>
      </c>
      <c r="CP103">
        <v>499.99288333333328</v>
      </c>
      <c r="CQ103">
        <v>5.3071408723845657E-2</v>
      </c>
      <c r="CR103">
        <v>5.2890481710373929E-2</v>
      </c>
      <c r="CS103">
        <v>-1</v>
      </c>
      <c r="CT103">
        <v>0</v>
      </c>
      <c r="CU103">
        <v>0</v>
      </c>
      <c r="CV103" t="s">
        <v>333</v>
      </c>
      <c r="CW103">
        <v>3.1673300000000002</v>
      </c>
      <c r="CX103">
        <v>2.6587700000000001</v>
      </c>
      <c r="CY103">
        <v>1.5426799999999999E-2</v>
      </c>
      <c r="CZ103">
        <v>1.7759E-2</v>
      </c>
      <c r="DA103">
        <v>-1.1472700000000001E-2</v>
      </c>
      <c r="DB103">
        <v>-2.8164700000000001E-2</v>
      </c>
      <c r="DC103">
        <v>21316.9</v>
      </c>
      <c r="DD103">
        <v>21634.400000000001</v>
      </c>
      <c r="DE103">
        <v>23176.2</v>
      </c>
      <c r="DF103">
        <v>22374.1</v>
      </c>
      <c r="DG103">
        <v>30222.799999999999</v>
      </c>
      <c r="DH103">
        <v>27422.6</v>
      </c>
      <c r="DI103">
        <v>40721.300000000003</v>
      </c>
      <c r="DJ103">
        <v>37069.9</v>
      </c>
      <c r="DK103">
        <v>2.1034000000000002</v>
      </c>
      <c r="DL103">
        <v>1.8549800000000001</v>
      </c>
      <c r="DM103">
        <v>2.7179700000000001E-2</v>
      </c>
      <c r="DN103">
        <v>0</v>
      </c>
      <c r="DO103">
        <v>24.843</v>
      </c>
      <c r="DP103">
        <v>999.9</v>
      </c>
      <c r="DQ103">
        <v>79.8</v>
      </c>
      <c r="DR103">
        <v>27.9</v>
      </c>
      <c r="DS103">
        <v>30.055299999999999</v>
      </c>
      <c r="DT103">
        <v>30.840199999999999</v>
      </c>
      <c r="DU103">
        <v>9.1586499999999997</v>
      </c>
      <c r="DV103">
        <v>1</v>
      </c>
      <c r="DW103">
        <v>5.5134099999999998E-2</v>
      </c>
      <c r="DX103">
        <v>-0.28008499999999997</v>
      </c>
      <c r="DY103">
        <v>20.367799999999999</v>
      </c>
      <c r="DZ103">
        <v>5.2127400000000002</v>
      </c>
      <c r="EA103">
        <v>11.8482</v>
      </c>
      <c r="EB103">
        <v>4.96828</v>
      </c>
      <c r="EC103">
        <v>3.2920600000000002</v>
      </c>
      <c r="ED103">
        <v>894.7</v>
      </c>
      <c r="EE103">
        <v>0</v>
      </c>
      <c r="EF103">
        <v>9999</v>
      </c>
      <c r="EG103">
        <v>114.4</v>
      </c>
      <c r="EH103">
        <v>4.9716199999999997</v>
      </c>
      <c r="EI103">
        <v>1.8717999999999999</v>
      </c>
      <c r="EJ103">
        <v>1.8689100000000001</v>
      </c>
      <c r="EK103">
        <v>1.87134</v>
      </c>
      <c r="EL103">
        <v>1.8690500000000001</v>
      </c>
      <c r="EM103">
        <v>1.8680399999999999</v>
      </c>
      <c r="EN103">
        <v>1.86982</v>
      </c>
      <c r="EO103">
        <v>1.87165</v>
      </c>
      <c r="EP103">
        <v>0</v>
      </c>
      <c r="EQ103">
        <v>0</v>
      </c>
      <c r="ER103">
        <v>0</v>
      </c>
      <c r="ES103">
        <v>0</v>
      </c>
      <c r="ET103" t="s">
        <v>334</v>
      </c>
      <c r="EU103" t="s">
        <v>335</v>
      </c>
      <c r="EV103" t="s">
        <v>336</v>
      </c>
      <c r="EW103" t="s">
        <v>336</v>
      </c>
      <c r="EX103" t="s">
        <v>336</v>
      </c>
      <c r="EY103" t="s">
        <v>336</v>
      </c>
      <c r="EZ103">
        <v>0</v>
      </c>
      <c r="FA103">
        <v>100</v>
      </c>
      <c r="FB103">
        <v>100</v>
      </c>
      <c r="FC103">
        <v>7.8780000000000001</v>
      </c>
      <c r="FD103">
        <v>-0.99099999999999999</v>
      </c>
      <c r="FE103">
        <v>7.8298350000000028</v>
      </c>
      <c r="FF103">
        <v>0</v>
      </c>
      <c r="FG103">
        <v>0</v>
      </c>
      <c r="FH103">
        <v>0</v>
      </c>
      <c r="FI103">
        <v>-0.98977550000000014</v>
      </c>
      <c r="FJ103">
        <v>0</v>
      </c>
      <c r="FK103">
        <v>0</v>
      </c>
      <c r="FL103">
        <v>0</v>
      </c>
      <c r="FM103">
        <v>-1</v>
      </c>
      <c r="FN103">
        <v>-1</v>
      </c>
      <c r="FO103">
        <v>-1</v>
      </c>
      <c r="FP103">
        <v>-1</v>
      </c>
      <c r="FQ103">
        <v>0.8</v>
      </c>
      <c r="FR103">
        <v>0.7</v>
      </c>
      <c r="FS103">
        <v>0.142822</v>
      </c>
      <c r="FT103">
        <v>4.99756</v>
      </c>
      <c r="FU103">
        <v>1.5979000000000001</v>
      </c>
      <c r="FV103">
        <v>2.16309</v>
      </c>
      <c r="FW103">
        <v>1.5478499999999999</v>
      </c>
      <c r="FX103">
        <v>2.34131</v>
      </c>
      <c r="FY103">
        <v>32.288699999999999</v>
      </c>
      <c r="FZ103">
        <v>16.005800000000001</v>
      </c>
      <c r="GA103">
        <v>3</v>
      </c>
      <c r="GB103">
        <v>492.25299999999999</v>
      </c>
      <c r="GC103">
        <v>424.56299999999999</v>
      </c>
      <c r="GD103">
        <v>26.052499999999998</v>
      </c>
      <c r="GE103">
        <v>27.8965</v>
      </c>
      <c r="GF103">
        <v>30.0001</v>
      </c>
      <c r="GG103">
        <v>28.218900000000001</v>
      </c>
      <c r="GH103">
        <v>28.2758</v>
      </c>
      <c r="GI103">
        <v>-1</v>
      </c>
      <c r="GJ103">
        <v>0</v>
      </c>
      <c r="GK103">
        <v>100</v>
      </c>
      <c r="GL103">
        <v>26.055900000000001</v>
      </c>
      <c r="GM103">
        <v>432.1</v>
      </c>
      <c r="GN103">
        <v>63.216500000000003</v>
      </c>
      <c r="GO103">
        <v>102.511</v>
      </c>
      <c r="GP103">
        <v>96.738799999999998</v>
      </c>
    </row>
    <row r="104" spans="1:198" x14ac:dyDescent="0.35">
      <c r="A104">
        <v>88</v>
      </c>
      <c r="B104">
        <v>1775508811.5999999</v>
      </c>
      <c r="C104">
        <v>5220.5999999046326</v>
      </c>
      <c r="D104" t="s">
        <v>595</v>
      </c>
      <c r="E104" t="s">
        <v>596</v>
      </c>
      <c r="F104">
        <v>60</v>
      </c>
      <c r="G104">
        <v>1775508803.599999</v>
      </c>
      <c r="H104">
        <f t="shared" si="60"/>
        <v>8.9753874621658453E-4</v>
      </c>
      <c r="I104">
        <f t="shared" si="61"/>
        <v>0.89753874621658458</v>
      </c>
      <c r="J104">
        <f t="shared" si="62"/>
        <v>-4.7810700389228543E-2</v>
      </c>
      <c r="K104">
        <f t="shared" si="63"/>
        <v>59.839780645161291</v>
      </c>
      <c r="L104">
        <f t="shared" si="64"/>
        <v>59.481292588052</v>
      </c>
      <c r="M104">
        <f t="shared" si="65"/>
        <v>5.9604017163515435</v>
      </c>
      <c r="N104">
        <f t="shared" si="66"/>
        <v>5.9963244869894323</v>
      </c>
      <c r="O104">
        <f t="shared" si="67"/>
        <v>2.5736161155590437E-2</v>
      </c>
      <c r="P104">
        <f t="shared" si="68"/>
        <v>2.3901051240628948</v>
      </c>
      <c r="Q104">
        <f t="shared" si="69"/>
        <v>2.5583192622845242E-2</v>
      </c>
      <c r="R104">
        <f t="shared" si="70"/>
        <v>1.6003163091428289E-2</v>
      </c>
      <c r="S104">
        <f t="shared" si="71"/>
        <v>0</v>
      </c>
      <c r="T104">
        <f t="shared" si="72"/>
        <v>25.018292699969219</v>
      </c>
      <c r="U104">
        <f t="shared" si="73"/>
        <v>25.293309677419359</v>
      </c>
      <c r="V104">
        <f t="shared" si="74"/>
        <v>3.2357068281067578</v>
      </c>
      <c r="W104">
        <f t="shared" si="75"/>
        <v>-7.0146477116247743</v>
      </c>
      <c r="X104">
        <f t="shared" si="76"/>
        <v>-0.22706953580897724</v>
      </c>
      <c r="Y104">
        <f t="shared" si="77"/>
        <v>3.2370768304254876</v>
      </c>
      <c r="Z104">
        <f t="shared" si="78"/>
        <v>3.4627763639157352</v>
      </c>
      <c r="AA104">
        <f t="shared" si="79"/>
        <v>-39.581458708151381</v>
      </c>
      <c r="AB104">
        <f t="shared" si="80"/>
        <v>0.91695127893896777</v>
      </c>
      <c r="AC104">
        <f t="shared" si="81"/>
        <v>8.1392904171033426E-2</v>
      </c>
      <c r="AD104">
        <f t="shared" si="82"/>
        <v>-38.583114525041381</v>
      </c>
      <c r="AE104">
        <v>18</v>
      </c>
      <c r="AF104">
        <v>4</v>
      </c>
      <c r="AG104">
        <f t="shared" si="83"/>
        <v>1</v>
      </c>
      <c r="AH104">
        <f t="shared" si="84"/>
        <v>0</v>
      </c>
      <c r="AI104">
        <f t="shared" si="85"/>
        <v>25693.296671420023</v>
      </c>
      <c r="AJ104">
        <f t="shared" si="86"/>
        <v>0</v>
      </c>
      <c r="AK104">
        <f t="shared" si="87"/>
        <v>0</v>
      </c>
      <c r="AL104">
        <f t="shared" si="88"/>
        <v>0</v>
      </c>
      <c r="AM104">
        <f t="shared" si="89"/>
        <v>0</v>
      </c>
      <c r="AN104">
        <v>3</v>
      </c>
      <c r="AO104">
        <v>0.5</v>
      </c>
      <c r="AP104" t="s">
        <v>331</v>
      </c>
      <c r="AQ104">
        <v>2</v>
      </c>
      <c r="AR104">
        <v>1775508803.599999</v>
      </c>
      <c r="AS104">
        <v>59.839780645161291</v>
      </c>
      <c r="AT104">
        <v>59.843319354838712</v>
      </c>
      <c r="AU104">
        <v>-2.2660200000000001</v>
      </c>
      <c r="AV104">
        <v>-2.8057661290322589</v>
      </c>
      <c r="AW104">
        <v>51.972780645161293</v>
      </c>
      <c r="AX104">
        <v>-1.27502</v>
      </c>
      <c r="AY104">
        <v>499.99761290322579</v>
      </c>
      <c r="AZ104">
        <v>100.168870967742</v>
      </c>
      <c r="BA104">
        <v>3.7453693548387103E-2</v>
      </c>
      <c r="BB104">
        <v>25.30042580645161</v>
      </c>
      <c r="BC104">
        <v>25.293309677419359</v>
      </c>
      <c r="BD104">
        <v>999.90000000000032</v>
      </c>
      <c r="BE104">
        <v>0</v>
      </c>
      <c r="BF104">
        <v>0</v>
      </c>
      <c r="BG104">
        <v>4996.9032258064517</v>
      </c>
      <c r="BH104">
        <v>0.40481822580645171</v>
      </c>
      <c r="BI104">
        <v>0.23331922580645159</v>
      </c>
      <c r="BJ104">
        <v>7.4830849354838727E-3</v>
      </c>
      <c r="BK104">
        <v>59.715503225806458</v>
      </c>
      <c r="BL104">
        <v>59.675887096774183</v>
      </c>
      <c r="BM104">
        <v>0.53997712903225803</v>
      </c>
      <c r="BN104">
        <v>59.843319354838712</v>
      </c>
      <c r="BO104">
        <v>-2.8057661290322589</v>
      </c>
      <c r="BP104">
        <v>-0.22696161290322581</v>
      </c>
      <c r="BQ104">
        <v>-0.28105054838709681</v>
      </c>
      <c r="BR104">
        <v>-99.900000000000034</v>
      </c>
      <c r="BS104">
        <v>-99.900000000000034</v>
      </c>
      <c r="BT104">
        <v>0</v>
      </c>
      <c r="BU104">
        <v>0</v>
      </c>
      <c r="BV104">
        <v>0</v>
      </c>
      <c r="BW104">
        <v>24</v>
      </c>
      <c r="BX104">
        <v>-1</v>
      </c>
      <c r="BY104">
        <v>1775508832.5999999</v>
      </c>
      <c r="BZ104" t="s">
        <v>597</v>
      </c>
      <c r="CA104">
        <v>1775508823.5999999</v>
      </c>
      <c r="CB104">
        <v>1775508832.5999999</v>
      </c>
      <c r="CC104">
        <v>91</v>
      </c>
      <c r="CD104">
        <v>-1.0999999999999999E-2</v>
      </c>
      <c r="CE104">
        <v>-1E-3</v>
      </c>
      <c r="CF104">
        <v>7.867</v>
      </c>
      <c r="CG104">
        <v>-0.99099999999999999</v>
      </c>
      <c r="CH104">
        <v>60</v>
      </c>
      <c r="CI104">
        <v>-3</v>
      </c>
      <c r="CJ104">
        <v>0.22</v>
      </c>
      <c r="CK104">
        <v>0.13</v>
      </c>
      <c r="CL104">
        <v>59.925461666666671</v>
      </c>
      <c r="CM104">
        <v>-0.43624084467906599</v>
      </c>
      <c r="CN104">
        <v>0.1098278821484876</v>
      </c>
      <c r="CO104">
        <v>-1</v>
      </c>
      <c r="CP104">
        <v>499.99993333333327</v>
      </c>
      <c r="CQ104">
        <v>-2.2813003611327001E-2</v>
      </c>
      <c r="CR104">
        <v>5.7057826418076003E-2</v>
      </c>
      <c r="CS104">
        <v>-1</v>
      </c>
      <c r="CT104">
        <v>0</v>
      </c>
      <c r="CU104">
        <v>0</v>
      </c>
      <c r="CV104" t="s">
        <v>333</v>
      </c>
      <c r="CW104">
        <v>3.16737</v>
      </c>
      <c r="CX104">
        <v>2.6589</v>
      </c>
      <c r="CY104">
        <v>1.54772E-2</v>
      </c>
      <c r="CZ104">
        <v>1.7783400000000001E-2</v>
      </c>
      <c r="DA104">
        <v>-1.14681E-2</v>
      </c>
      <c r="DB104">
        <v>-2.8145400000000001E-2</v>
      </c>
      <c r="DC104">
        <v>21315.9</v>
      </c>
      <c r="DD104">
        <v>21634</v>
      </c>
      <c r="DE104">
        <v>23176.3</v>
      </c>
      <c r="DF104">
        <v>22374.3</v>
      </c>
      <c r="DG104">
        <v>30222.9</v>
      </c>
      <c r="DH104">
        <v>27422.3</v>
      </c>
      <c r="DI104">
        <v>40721.4</v>
      </c>
      <c r="DJ104">
        <v>37070.199999999997</v>
      </c>
      <c r="DK104">
        <v>2.1032199999999999</v>
      </c>
      <c r="DL104">
        <v>1.8551200000000001</v>
      </c>
      <c r="DM104">
        <v>2.7620800000000001E-2</v>
      </c>
      <c r="DN104">
        <v>0</v>
      </c>
      <c r="DO104">
        <v>24.8386</v>
      </c>
      <c r="DP104">
        <v>999.9</v>
      </c>
      <c r="DQ104">
        <v>79.8</v>
      </c>
      <c r="DR104">
        <v>27.9</v>
      </c>
      <c r="DS104">
        <v>30.055499999999999</v>
      </c>
      <c r="DT104">
        <v>31.020099999999999</v>
      </c>
      <c r="DU104">
        <v>9.0985600000000009</v>
      </c>
      <c r="DV104">
        <v>1</v>
      </c>
      <c r="DW104">
        <v>5.4969499999999998E-2</v>
      </c>
      <c r="DX104">
        <v>-0.184253</v>
      </c>
      <c r="DY104">
        <v>20.368200000000002</v>
      </c>
      <c r="DZ104">
        <v>5.2112999999999996</v>
      </c>
      <c r="EA104">
        <v>11.8482</v>
      </c>
      <c r="EB104">
        <v>4.9683999999999999</v>
      </c>
      <c r="EC104">
        <v>3.2920400000000001</v>
      </c>
      <c r="ED104">
        <v>894.7</v>
      </c>
      <c r="EE104">
        <v>0</v>
      </c>
      <c r="EF104">
        <v>9999</v>
      </c>
      <c r="EG104">
        <v>114.4</v>
      </c>
      <c r="EH104">
        <v>4.9716399999999998</v>
      </c>
      <c r="EI104">
        <v>1.8717999999999999</v>
      </c>
      <c r="EJ104">
        <v>1.8689100000000001</v>
      </c>
      <c r="EK104">
        <v>1.87134</v>
      </c>
      <c r="EL104">
        <v>1.8690500000000001</v>
      </c>
      <c r="EM104">
        <v>1.8680699999999999</v>
      </c>
      <c r="EN104">
        <v>1.8698600000000001</v>
      </c>
      <c r="EO104">
        <v>1.8716699999999999</v>
      </c>
      <c r="EP104">
        <v>0</v>
      </c>
      <c r="EQ104">
        <v>0</v>
      </c>
      <c r="ER104">
        <v>0</v>
      </c>
      <c r="ES104">
        <v>0</v>
      </c>
      <c r="ET104" t="s">
        <v>334</v>
      </c>
      <c r="EU104" t="s">
        <v>335</v>
      </c>
      <c r="EV104" t="s">
        <v>336</v>
      </c>
      <c r="EW104" t="s">
        <v>336</v>
      </c>
      <c r="EX104" t="s">
        <v>336</v>
      </c>
      <c r="EY104" t="s">
        <v>336</v>
      </c>
      <c r="EZ104">
        <v>0</v>
      </c>
      <c r="FA104">
        <v>100</v>
      </c>
      <c r="FB104">
        <v>100</v>
      </c>
      <c r="FC104">
        <v>7.867</v>
      </c>
      <c r="FD104">
        <v>-0.99099999999999999</v>
      </c>
      <c r="FE104">
        <v>7.8780199999999923</v>
      </c>
      <c r="FF104">
        <v>0</v>
      </c>
      <c r="FG104">
        <v>0</v>
      </c>
      <c r="FH104">
        <v>0</v>
      </c>
      <c r="FI104">
        <v>-0.99077050000000022</v>
      </c>
      <c r="FJ104">
        <v>0</v>
      </c>
      <c r="FK104">
        <v>0</v>
      </c>
      <c r="FL104">
        <v>0</v>
      </c>
      <c r="FM104">
        <v>-1</v>
      </c>
      <c r="FN104">
        <v>-1</v>
      </c>
      <c r="FO104">
        <v>-1</v>
      </c>
      <c r="FP104">
        <v>-1</v>
      </c>
      <c r="FQ104">
        <v>0.7</v>
      </c>
      <c r="FR104">
        <v>0.7</v>
      </c>
      <c r="FS104">
        <v>0.142822</v>
      </c>
      <c r="FT104">
        <v>4.99756</v>
      </c>
      <c r="FU104">
        <v>1.5979000000000001</v>
      </c>
      <c r="FV104">
        <v>2.16309</v>
      </c>
      <c r="FW104">
        <v>1.5478499999999999</v>
      </c>
      <c r="FX104">
        <v>2.3718300000000001</v>
      </c>
      <c r="FY104">
        <v>32.288699999999999</v>
      </c>
      <c r="FZ104">
        <v>16.005800000000001</v>
      </c>
      <c r="GA104">
        <v>3</v>
      </c>
      <c r="GB104">
        <v>492.09500000000003</v>
      </c>
      <c r="GC104">
        <v>424.60199999999998</v>
      </c>
      <c r="GD104">
        <v>26.052499999999998</v>
      </c>
      <c r="GE104">
        <v>27.889500000000002</v>
      </c>
      <c r="GF104">
        <v>30.0001</v>
      </c>
      <c r="GG104">
        <v>28.2118</v>
      </c>
      <c r="GH104">
        <v>28.269600000000001</v>
      </c>
      <c r="GI104">
        <v>-1</v>
      </c>
      <c r="GJ104">
        <v>0</v>
      </c>
      <c r="GK104">
        <v>100</v>
      </c>
      <c r="GL104">
        <v>26.048200000000001</v>
      </c>
      <c r="GM104">
        <v>432.1</v>
      </c>
      <c r="GN104">
        <v>63.216500000000003</v>
      </c>
      <c r="GO104">
        <v>102.511</v>
      </c>
      <c r="GP104">
        <v>96.739400000000003</v>
      </c>
    </row>
    <row r="105" spans="1:198" x14ac:dyDescent="0.35">
      <c r="A105">
        <v>89</v>
      </c>
      <c r="B105">
        <v>1775508871.5999999</v>
      </c>
      <c r="C105">
        <v>5280.5999999046326</v>
      </c>
      <c r="D105" t="s">
        <v>598</v>
      </c>
      <c r="E105" t="s">
        <v>599</v>
      </c>
      <c r="F105">
        <v>60</v>
      </c>
      <c r="G105">
        <v>1775508863.599999</v>
      </c>
      <c r="H105">
        <f t="shared" si="60"/>
        <v>9.0687002047345761E-4</v>
      </c>
      <c r="I105">
        <f t="shared" si="61"/>
        <v>0.90687002047345766</v>
      </c>
      <c r="J105">
        <f t="shared" si="62"/>
        <v>0.20518628261979019</v>
      </c>
      <c r="K105">
        <f t="shared" si="63"/>
        <v>60.383158064516131</v>
      </c>
      <c r="L105">
        <f t="shared" si="64"/>
        <v>44.744789799837761</v>
      </c>
      <c r="M105">
        <f t="shared" si="65"/>
        <v>4.4837917895839716</v>
      </c>
      <c r="N105">
        <f t="shared" si="66"/>
        <v>6.0508834563753009</v>
      </c>
      <c r="O105">
        <f t="shared" si="67"/>
        <v>2.6003908153426562E-2</v>
      </c>
      <c r="P105">
        <f t="shared" si="68"/>
        <v>2.3926590095135052</v>
      </c>
      <c r="Q105">
        <f t="shared" si="69"/>
        <v>2.5847916260803086E-2</v>
      </c>
      <c r="R105">
        <f t="shared" si="70"/>
        <v>1.6168884787483958E-2</v>
      </c>
      <c r="S105">
        <f t="shared" si="71"/>
        <v>0</v>
      </c>
      <c r="T105">
        <f t="shared" si="72"/>
        <v>25.01978511918395</v>
      </c>
      <c r="U105">
        <f t="shared" si="73"/>
        <v>25.295170967741939</v>
      </c>
      <c r="V105">
        <f t="shared" si="74"/>
        <v>3.2360651161353506</v>
      </c>
      <c r="W105">
        <f t="shared" si="75"/>
        <v>-7.0087249480030174</v>
      </c>
      <c r="X105">
        <f t="shared" si="76"/>
        <v>-0.22693375946001879</v>
      </c>
      <c r="Y105">
        <f t="shared" si="77"/>
        <v>3.2378750934530336</v>
      </c>
      <c r="Z105">
        <f t="shared" si="78"/>
        <v>3.4629988755953693</v>
      </c>
      <c r="AA105">
        <f t="shared" si="79"/>
        <v>-39.992967902879478</v>
      </c>
      <c r="AB105">
        <f t="shared" si="80"/>
        <v>1.2125345056967676</v>
      </c>
      <c r="AC105">
        <f t="shared" si="81"/>
        <v>0.10751862490503369</v>
      </c>
      <c r="AD105">
        <f t="shared" si="82"/>
        <v>-38.672914772277679</v>
      </c>
      <c r="AE105">
        <v>18</v>
      </c>
      <c r="AF105">
        <v>4</v>
      </c>
      <c r="AG105">
        <f t="shared" si="83"/>
        <v>1</v>
      </c>
      <c r="AH105">
        <f t="shared" si="84"/>
        <v>0</v>
      </c>
      <c r="AI105">
        <f t="shared" si="85"/>
        <v>25731.950718142671</v>
      </c>
      <c r="AJ105">
        <f t="shared" si="86"/>
        <v>0</v>
      </c>
      <c r="AK105">
        <f t="shared" si="87"/>
        <v>0</v>
      </c>
      <c r="AL105">
        <f t="shared" si="88"/>
        <v>0</v>
      </c>
      <c r="AM105">
        <f t="shared" si="89"/>
        <v>0</v>
      </c>
      <c r="AN105">
        <v>3</v>
      </c>
      <c r="AO105">
        <v>0.5</v>
      </c>
      <c r="AP105" t="s">
        <v>331</v>
      </c>
      <c r="AQ105">
        <v>2</v>
      </c>
      <c r="AR105">
        <v>1775508863.599999</v>
      </c>
      <c r="AS105">
        <v>60.383158064516131</v>
      </c>
      <c r="AT105">
        <v>60.539122580645177</v>
      </c>
      <c r="AU105">
        <v>-2.264624193548388</v>
      </c>
      <c r="AV105">
        <v>-2.809967741935484</v>
      </c>
      <c r="AW105">
        <v>52.48715806451613</v>
      </c>
      <c r="AX105">
        <v>-1.274624193548388</v>
      </c>
      <c r="AY105">
        <v>500.00980645161292</v>
      </c>
      <c r="AZ105">
        <v>100.1706774193548</v>
      </c>
      <c r="BA105">
        <v>3.7454290322580651E-2</v>
      </c>
      <c r="BB105">
        <v>25.304570967741942</v>
      </c>
      <c r="BC105">
        <v>25.295170967741939</v>
      </c>
      <c r="BD105">
        <v>999.90000000000032</v>
      </c>
      <c r="BE105">
        <v>0</v>
      </c>
      <c r="BF105">
        <v>0</v>
      </c>
      <c r="BG105">
        <v>5003.3870967741932</v>
      </c>
      <c r="BH105">
        <v>0.3886686774193549</v>
      </c>
      <c r="BI105">
        <v>0.23331922580645159</v>
      </c>
      <c r="BJ105">
        <v>-0.18499912580645159</v>
      </c>
      <c r="BK105">
        <v>60.217664516129027</v>
      </c>
      <c r="BL105">
        <v>60.369474193548371</v>
      </c>
      <c r="BM105">
        <v>0.54406312903225806</v>
      </c>
      <c r="BN105">
        <v>60.539122580645177</v>
      </c>
      <c r="BO105">
        <v>-2.809967741935484</v>
      </c>
      <c r="BP105">
        <v>-0.22697729032258071</v>
      </c>
      <c r="BQ105">
        <v>-0.28147654838709679</v>
      </c>
      <c r="BR105">
        <v>-99.900000000000034</v>
      </c>
      <c r="BS105">
        <v>-99.900000000000034</v>
      </c>
      <c r="BT105">
        <v>0</v>
      </c>
      <c r="BU105">
        <v>0</v>
      </c>
      <c r="BV105">
        <v>0</v>
      </c>
      <c r="BW105">
        <v>24</v>
      </c>
      <c r="BX105">
        <v>-1</v>
      </c>
      <c r="BY105">
        <v>1775508892.5999999</v>
      </c>
      <c r="BZ105" t="s">
        <v>600</v>
      </c>
      <c r="CA105">
        <v>1775508883.5999999</v>
      </c>
      <c r="CB105">
        <v>1775508892.5999999</v>
      </c>
      <c r="CC105">
        <v>92</v>
      </c>
      <c r="CD105">
        <v>2.9000000000000001E-2</v>
      </c>
      <c r="CE105">
        <v>1E-3</v>
      </c>
      <c r="CF105">
        <v>7.8959999999999999</v>
      </c>
      <c r="CG105">
        <v>-0.99</v>
      </c>
      <c r="CH105">
        <v>61</v>
      </c>
      <c r="CI105">
        <v>-3</v>
      </c>
      <c r="CJ105">
        <v>0.21</v>
      </c>
      <c r="CK105">
        <v>0.13</v>
      </c>
      <c r="CL105">
        <v>60.433830000000007</v>
      </c>
      <c r="CM105">
        <v>0.79134648513487071</v>
      </c>
      <c r="CN105">
        <v>0.1220275942836975</v>
      </c>
      <c r="CO105">
        <v>-1</v>
      </c>
      <c r="CP105">
        <v>500.01215000000002</v>
      </c>
      <c r="CQ105">
        <v>-9.2042233953945882E-2</v>
      </c>
      <c r="CR105">
        <v>7.598175767906E-2</v>
      </c>
      <c r="CS105">
        <v>-1</v>
      </c>
      <c r="CT105">
        <v>0</v>
      </c>
      <c r="CU105">
        <v>0</v>
      </c>
      <c r="CV105" t="s">
        <v>333</v>
      </c>
      <c r="CW105">
        <v>3.1674600000000002</v>
      </c>
      <c r="CX105">
        <v>2.6587900000000002</v>
      </c>
      <c r="CY105">
        <v>1.56775E-2</v>
      </c>
      <c r="CZ105">
        <v>1.8003000000000002E-2</v>
      </c>
      <c r="DA105">
        <v>-1.1464E-2</v>
      </c>
      <c r="DB105">
        <v>-2.82064E-2</v>
      </c>
      <c r="DC105">
        <v>21311.200000000001</v>
      </c>
      <c r="DD105">
        <v>21629.1</v>
      </c>
      <c r="DE105">
        <v>23175.8</v>
      </c>
      <c r="DF105">
        <v>22374.2</v>
      </c>
      <c r="DG105">
        <v>30222.2</v>
      </c>
      <c r="DH105">
        <v>27423.9</v>
      </c>
      <c r="DI105">
        <v>40720.699999999997</v>
      </c>
      <c r="DJ105">
        <v>37070.199999999997</v>
      </c>
      <c r="DK105">
        <v>2.1036199999999998</v>
      </c>
      <c r="DL105">
        <v>1.85534</v>
      </c>
      <c r="DM105">
        <v>2.7507500000000001E-2</v>
      </c>
      <c r="DN105">
        <v>0</v>
      </c>
      <c r="DO105">
        <v>24.838899999999999</v>
      </c>
      <c r="DP105">
        <v>999.9</v>
      </c>
      <c r="DQ105">
        <v>79.8</v>
      </c>
      <c r="DR105">
        <v>27.9</v>
      </c>
      <c r="DS105">
        <v>30.054099999999998</v>
      </c>
      <c r="DT105">
        <v>30.930199999999999</v>
      </c>
      <c r="DU105">
        <v>8.8982399999999995</v>
      </c>
      <c r="DV105">
        <v>1</v>
      </c>
      <c r="DW105">
        <v>5.4508099999999997E-2</v>
      </c>
      <c r="DX105">
        <v>-0.20752899999999999</v>
      </c>
      <c r="DY105">
        <v>20.368300000000001</v>
      </c>
      <c r="DZ105">
        <v>5.2123799999999996</v>
      </c>
      <c r="EA105">
        <v>11.8482</v>
      </c>
      <c r="EB105">
        <v>4.9677600000000002</v>
      </c>
      <c r="EC105">
        <v>3.2920199999999999</v>
      </c>
      <c r="ED105">
        <v>894.7</v>
      </c>
      <c r="EE105">
        <v>0</v>
      </c>
      <c r="EF105">
        <v>9999</v>
      </c>
      <c r="EG105">
        <v>114.5</v>
      </c>
      <c r="EH105">
        <v>4.9716300000000002</v>
      </c>
      <c r="EI105">
        <v>1.8717999999999999</v>
      </c>
      <c r="EJ105">
        <v>1.8689</v>
      </c>
      <c r="EK105">
        <v>1.87134</v>
      </c>
      <c r="EL105">
        <v>1.8690500000000001</v>
      </c>
      <c r="EM105">
        <v>1.86799</v>
      </c>
      <c r="EN105">
        <v>1.8698900000000001</v>
      </c>
      <c r="EO105">
        <v>1.8716600000000001</v>
      </c>
      <c r="EP105">
        <v>0</v>
      </c>
      <c r="EQ105">
        <v>0</v>
      </c>
      <c r="ER105">
        <v>0</v>
      </c>
      <c r="ES105">
        <v>0</v>
      </c>
      <c r="ET105" t="s">
        <v>334</v>
      </c>
      <c r="EU105" t="s">
        <v>335</v>
      </c>
      <c r="EV105" t="s">
        <v>336</v>
      </c>
      <c r="EW105" t="s">
        <v>336</v>
      </c>
      <c r="EX105" t="s">
        <v>336</v>
      </c>
      <c r="EY105" t="s">
        <v>336</v>
      </c>
      <c r="EZ105">
        <v>0</v>
      </c>
      <c r="FA105">
        <v>100</v>
      </c>
      <c r="FB105">
        <v>100</v>
      </c>
      <c r="FC105">
        <v>7.8959999999999999</v>
      </c>
      <c r="FD105">
        <v>-0.99</v>
      </c>
      <c r="FE105">
        <v>7.8669549999999973</v>
      </c>
      <c r="FF105">
        <v>0</v>
      </c>
      <c r="FG105">
        <v>0</v>
      </c>
      <c r="FH105">
        <v>0</v>
      </c>
      <c r="FI105">
        <v>-0.99128099999999963</v>
      </c>
      <c r="FJ105">
        <v>0</v>
      </c>
      <c r="FK105">
        <v>0</v>
      </c>
      <c r="FL105">
        <v>0</v>
      </c>
      <c r="FM105">
        <v>-1</v>
      </c>
      <c r="FN105">
        <v>-1</v>
      </c>
      <c r="FO105">
        <v>-1</v>
      </c>
      <c r="FP105">
        <v>-1</v>
      </c>
      <c r="FQ105">
        <v>0.8</v>
      </c>
      <c r="FR105">
        <v>0.7</v>
      </c>
      <c r="FS105">
        <v>0.142822</v>
      </c>
      <c r="FT105">
        <v>4.99756</v>
      </c>
      <c r="FU105">
        <v>1.5979000000000001</v>
      </c>
      <c r="FV105">
        <v>2.16309</v>
      </c>
      <c r="FW105">
        <v>1.5478499999999999</v>
      </c>
      <c r="FX105">
        <v>2.4352999999999998</v>
      </c>
      <c r="FY105">
        <v>32.288699999999999</v>
      </c>
      <c r="FZ105">
        <v>16.005800000000001</v>
      </c>
      <c r="GA105">
        <v>3</v>
      </c>
      <c r="GB105">
        <v>492.28500000000003</v>
      </c>
      <c r="GC105">
        <v>424.68799999999999</v>
      </c>
      <c r="GD105">
        <v>26.0106</v>
      </c>
      <c r="GE105">
        <v>27.882300000000001</v>
      </c>
      <c r="GF105">
        <v>30.0001</v>
      </c>
      <c r="GG105">
        <v>28.207100000000001</v>
      </c>
      <c r="GH105">
        <v>28.2637</v>
      </c>
      <c r="GI105">
        <v>-1</v>
      </c>
      <c r="GJ105">
        <v>0</v>
      </c>
      <c r="GK105">
        <v>100</v>
      </c>
      <c r="GL105">
        <v>26.008299999999998</v>
      </c>
      <c r="GM105">
        <v>432.1</v>
      </c>
      <c r="GN105">
        <v>63.216500000000003</v>
      </c>
      <c r="GO105">
        <v>102.509</v>
      </c>
      <c r="GP105">
        <v>96.7393</v>
      </c>
    </row>
    <row r="106" spans="1:198" x14ac:dyDescent="0.35">
      <c r="A106">
        <v>90</v>
      </c>
      <c r="B106">
        <v>1775508931.5999999</v>
      </c>
      <c r="C106">
        <v>5340.5999999046326</v>
      </c>
      <c r="D106" t="s">
        <v>601</v>
      </c>
      <c r="E106" t="s">
        <v>602</v>
      </c>
      <c r="F106">
        <v>60</v>
      </c>
      <c r="G106">
        <v>1775508923.599999</v>
      </c>
      <c r="H106">
        <f t="shared" si="60"/>
        <v>9.0821638929240299E-4</v>
      </c>
      <c r="I106">
        <f t="shared" si="61"/>
        <v>0.908216389292403</v>
      </c>
      <c r="J106">
        <f t="shared" si="62"/>
        <v>0.14999613824607241</v>
      </c>
      <c r="K106">
        <f t="shared" si="63"/>
        <v>60.713661290322577</v>
      </c>
      <c r="L106">
        <f t="shared" si="64"/>
        <v>48.39277508074214</v>
      </c>
      <c r="M106">
        <f t="shared" si="65"/>
        <v>4.8493541532977877</v>
      </c>
      <c r="N106">
        <f t="shared" si="66"/>
        <v>6.0840083059693324</v>
      </c>
      <c r="O106">
        <f t="shared" si="67"/>
        <v>2.6046905957985676E-2</v>
      </c>
      <c r="P106">
        <f t="shared" si="68"/>
        <v>2.3916496873002222</v>
      </c>
      <c r="Q106">
        <f t="shared" si="69"/>
        <v>2.589033382484E-2</v>
      </c>
      <c r="R106">
        <f t="shared" si="70"/>
        <v>1.619544744562754E-2</v>
      </c>
      <c r="S106">
        <f t="shared" si="71"/>
        <v>0</v>
      </c>
      <c r="T106">
        <f t="shared" si="72"/>
        <v>25.013911803214654</v>
      </c>
      <c r="U106">
        <f t="shared" si="73"/>
        <v>25.291048387096779</v>
      </c>
      <c r="V106">
        <f t="shared" si="74"/>
        <v>3.2352715889376205</v>
      </c>
      <c r="W106">
        <f t="shared" si="75"/>
        <v>-7.0194413119577526</v>
      </c>
      <c r="X106">
        <f t="shared" si="76"/>
        <v>-0.22720857638325234</v>
      </c>
      <c r="Y106">
        <f t="shared" si="77"/>
        <v>3.2368470122572033</v>
      </c>
      <c r="Z106">
        <f t="shared" si="78"/>
        <v>3.4624801653208728</v>
      </c>
      <c r="AA106">
        <f t="shared" si="79"/>
        <v>-40.052342767794975</v>
      </c>
      <c r="AB106">
        <f t="shared" si="80"/>
        <v>1.0552170119940101</v>
      </c>
      <c r="AC106">
        <f t="shared" si="81"/>
        <v>9.3603903233529351E-2</v>
      </c>
      <c r="AD106">
        <f t="shared" si="82"/>
        <v>-38.903521852567437</v>
      </c>
      <c r="AE106">
        <v>18</v>
      </c>
      <c r="AF106">
        <v>4</v>
      </c>
      <c r="AG106">
        <f t="shared" si="83"/>
        <v>1</v>
      </c>
      <c r="AH106">
        <f t="shared" si="84"/>
        <v>0</v>
      </c>
      <c r="AI106">
        <f t="shared" si="85"/>
        <v>25716.96536557428</v>
      </c>
      <c r="AJ106">
        <f t="shared" si="86"/>
        <v>0</v>
      </c>
      <c r="AK106">
        <f t="shared" si="87"/>
        <v>0</v>
      </c>
      <c r="AL106">
        <f t="shared" si="88"/>
        <v>0</v>
      </c>
      <c r="AM106">
        <f t="shared" si="89"/>
        <v>0</v>
      </c>
      <c r="AN106">
        <v>3</v>
      </c>
      <c r="AO106">
        <v>0.5</v>
      </c>
      <c r="AP106" t="s">
        <v>331</v>
      </c>
      <c r="AQ106">
        <v>2</v>
      </c>
      <c r="AR106">
        <v>1775508923.599999</v>
      </c>
      <c r="AS106">
        <v>60.713661290322577</v>
      </c>
      <c r="AT106">
        <v>60.836741935483872</v>
      </c>
      <c r="AU106">
        <v>-2.2673645161290321</v>
      </c>
      <c r="AV106">
        <v>-2.8135222580645158</v>
      </c>
      <c r="AW106">
        <v>52.834661290322593</v>
      </c>
      <c r="AX106">
        <v>-1.276364516129032</v>
      </c>
      <c r="AY106">
        <v>500.00700000000001</v>
      </c>
      <c r="AZ106">
        <v>100.1706451612903</v>
      </c>
      <c r="BA106">
        <v>3.7581070967741943E-2</v>
      </c>
      <c r="BB106">
        <v>25.299232258064521</v>
      </c>
      <c r="BC106">
        <v>25.291048387096779</v>
      </c>
      <c r="BD106">
        <v>999.90000000000032</v>
      </c>
      <c r="BE106">
        <v>0</v>
      </c>
      <c r="BF106">
        <v>0</v>
      </c>
      <c r="BG106">
        <v>5000.7903225806449</v>
      </c>
      <c r="BH106">
        <v>0.38361396774193551</v>
      </c>
      <c r="BI106">
        <v>0.23331922580645159</v>
      </c>
      <c r="BJ106">
        <v>-0.10594469354838711</v>
      </c>
      <c r="BK106">
        <v>60.593474193548388</v>
      </c>
      <c r="BL106">
        <v>60.666070967741931</v>
      </c>
      <c r="BM106">
        <v>0.54719864516129024</v>
      </c>
      <c r="BN106">
        <v>60.836741935483872</v>
      </c>
      <c r="BO106">
        <v>-2.8135222580645158</v>
      </c>
      <c r="BP106">
        <v>-0.22701877419354841</v>
      </c>
      <c r="BQ106">
        <v>-0.28183206451612902</v>
      </c>
      <c r="BR106">
        <v>-99.900000000000034</v>
      </c>
      <c r="BS106">
        <v>-99.900000000000034</v>
      </c>
      <c r="BT106">
        <v>0</v>
      </c>
      <c r="BU106">
        <v>0</v>
      </c>
      <c r="BV106">
        <v>0</v>
      </c>
      <c r="BW106">
        <v>24</v>
      </c>
      <c r="BX106">
        <v>-1</v>
      </c>
      <c r="BY106">
        <v>1775508951.5999999</v>
      </c>
      <c r="BZ106" t="s">
        <v>603</v>
      </c>
      <c r="CA106">
        <v>1775508946.5999999</v>
      </c>
      <c r="CB106">
        <v>1775508951.5999999</v>
      </c>
      <c r="CC106">
        <v>93</v>
      </c>
      <c r="CD106">
        <v>-1.7000000000000001E-2</v>
      </c>
      <c r="CE106">
        <v>-1E-3</v>
      </c>
      <c r="CF106">
        <v>7.8789999999999996</v>
      </c>
      <c r="CG106">
        <v>-0.99099999999999999</v>
      </c>
      <c r="CH106">
        <v>61</v>
      </c>
      <c r="CI106">
        <v>-3</v>
      </c>
      <c r="CJ106">
        <v>0.08</v>
      </c>
      <c r="CK106">
        <v>0.11</v>
      </c>
      <c r="CL106">
        <v>60.807157377049187</v>
      </c>
      <c r="CM106">
        <v>0.28570343733470732</v>
      </c>
      <c r="CN106">
        <v>5.7295339149027853E-2</v>
      </c>
      <c r="CO106">
        <v>-1</v>
      </c>
      <c r="CP106">
        <v>500.03162295081972</v>
      </c>
      <c r="CQ106">
        <v>-0.33200211528305651</v>
      </c>
      <c r="CR106">
        <v>0.13183212921337539</v>
      </c>
      <c r="CS106">
        <v>-1</v>
      </c>
      <c r="CT106">
        <v>0</v>
      </c>
      <c r="CU106">
        <v>0</v>
      </c>
      <c r="CV106" t="s">
        <v>333</v>
      </c>
      <c r="CW106">
        <v>3.1671999999999998</v>
      </c>
      <c r="CX106">
        <v>2.6590099999999999</v>
      </c>
      <c r="CY106">
        <v>1.5758299999999999E-2</v>
      </c>
      <c r="CZ106">
        <v>1.8133699999999999E-2</v>
      </c>
      <c r="DA106">
        <v>-1.1485499999999999E-2</v>
      </c>
      <c r="DB106">
        <v>-2.8244999999999999E-2</v>
      </c>
      <c r="DC106">
        <v>21309.3</v>
      </c>
      <c r="DD106">
        <v>21626</v>
      </c>
      <c r="DE106">
        <v>23175.7</v>
      </c>
      <c r="DF106">
        <v>22374</v>
      </c>
      <c r="DG106">
        <v>30222.7</v>
      </c>
      <c r="DH106">
        <v>27424.6</v>
      </c>
      <c r="DI106">
        <v>40720.5</v>
      </c>
      <c r="DJ106">
        <v>37069.699999999997</v>
      </c>
      <c r="DK106">
        <v>2.1032999999999999</v>
      </c>
      <c r="DL106">
        <v>1.8554200000000001</v>
      </c>
      <c r="DM106">
        <v>2.7328700000000001E-2</v>
      </c>
      <c r="DN106">
        <v>0</v>
      </c>
      <c r="DO106">
        <v>24.843800000000002</v>
      </c>
      <c r="DP106">
        <v>999.9</v>
      </c>
      <c r="DQ106">
        <v>79.8</v>
      </c>
      <c r="DR106">
        <v>27.9</v>
      </c>
      <c r="DS106">
        <v>30.054600000000001</v>
      </c>
      <c r="DT106">
        <v>30.9602</v>
      </c>
      <c r="DU106">
        <v>9.3109000000000002</v>
      </c>
      <c r="DV106">
        <v>1</v>
      </c>
      <c r="DW106">
        <v>5.42032E-2</v>
      </c>
      <c r="DX106">
        <v>-0.30594300000000002</v>
      </c>
      <c r="DY106">
        <v>20.367799999999999</v>
      </c>
      <c r="DZ106">
        <v>5.2125000000000004</v>
      </c>
      <c r="EA106">
        <v>11.8482</v>
      </c>
      <c r="EB106">
        <v>4.9682399999999998</v>
      </c>
      <c r="EC106">
        <v>3.2920400000000001</v>
      </c>
      <c r="ED106">
        <v>894.7</v>
      </c>
      <c r="EE106">
        <v>0</v>
      </c>
      <c r="EF106">
        <v>9999</v>
      </c>
      <c r="EG106">
        <v>114.5</v>
      </c>
      <c r="EH106">
        <v>4.9716399999999998</v>
      </c>
      <c r="EI106">
        <v>1.8717999999999999</v>
      </c>
      <c r="EJ106">
        <v>1.8689</v>
      </c>
      <c r="EK106">
        <v>1.87134</v>
      </c>
      <c r="EL106">
        <v>1.8690500000000001</v>
      </c>
      <c r="EM106">
        <v>1.8680600000000001</v>
      </c>
      <c r="EN106">
        <v>1.8698999999999999</v>
      </c>
      <c r="EO106">
        <v>1.87165</v>
      </c>
      <c r="EP106">
        <v>0</v>
      </c>
      <c r="EQ106">
        <v>0</v>
      </c>
      <c r="ER106">
        <v>0</v>
      </c>
      <c r="ES106">
        <v>0</v>
      </c>
      <c r="ET106" t="s">
        <v>334</v>
      </c>
      <c r="EU106" t="s">
        <v>335</v>
      </c>
      <c r="EV106" t="s">
        <v>336</v>
      </c>
      <c r="EW106" t="s">
        <v>336</v>
      </c>
      <c r="EX106" t="s">
        <v>336</v>
      </c>
      <c r="EY106" t="s">
        <v>336</v>
      </c>
      <c r="EZ106">
        <v>0</v>
      </c>
      <c r="FA106">
        <v>100</v>
      </c>
      <c r="FB106">
        <v>100</v>
      </c>
      <c r="FC106">
        <v>7.8789999999999996</v>
      </c>
      <c r="FD106">
        <v>-0.99099999999999999</v>
      </c>
      <c r="FE106">
        <v>7.89614499999999</v>
      </c>
      <c r="FF106">
        <v>0</v>
      </c>
      <c r="FG106">
        <v>0</v>
      </c>
      <c r="FH106">
        <v>0</v>
      </c>
      <c r="FI106">
        <v>-0.98995850000000019</v>
      </c>
      <c r="FJ106">
        <v>0</v>
      </c>
      <c r="FK106">
        <v>0</v>
      </c>
      <c r="FL106">
        <v>0</v>
      </c>
      <c r="FM106">
        <v>-1</v>
      </c>
      <c r="FN106">
        <v>-1</v>
      </c>
      <c r="FO106">
        <v>-1</v>
      </c>
      <c r="FP106">
        <v>-1</v>
      </c>
      <c r="FQ106">
        <v>0.8</v>
      </c>
      <c r="FR106">
        <v>0.7</v>
      </c>
      <c r="FS106">
        <v>0.142822</v>
      </c>
      <c r="FT106">
        <v>4.99756</v>
      </c>
      <c r="FU106">
        <v>1.5979000000000001</v>
      </c>
      <c r="FV106">
        <v>2.16187</v>
      </c>
      <c r="FW106">
        <v>1.5478499999999999</v>
      </c>
      <c r="FX106">
        <v>2.33765</v>
      </c>
      <c r="FY106">
        <v>32.288699999999999</v>
      </c>
      <c r="FZ106">
        <v>15.988300000000001</v>
      </c>
      <c r="GA106">
        <v>3</v>
      </c>
      <c r="GB106">
        <v>492.06599999999997</v>
      </c>
      <c r="GC106">
        <v>424.702</v>
      </c>
      <c r="GD106">
        <v>26.017499999999998</v>
      </c>
      <c r="GE106">
        <v>27.879899999999999</v>
      </c>
      <c r="GF106">
        <v>30.0001</v>
      </c>
      <c r="GG106">
        <v>28.202300000000001</v>
      </c>
      <c r="GH106">
        <v>28.259</v>
      </c>
      <c r="GI106">
        <v>-1</v>
      </c>
      <c r="GJ106">
        <v>0</v>
      </c>
      <c r="GK106">
        <v>100</v>
      </c>
      <c r="GL106">
        <v>26.0215</v>
      </c>
      <c r="GM106">
        <v>432.1</v>
      </c>
      <c r="GN106">
        <v>63.216500000000003</v>
      </c>
      <c r="GO106">
        <v>102.509</v>
      </c>
      <c r="GP106">
        <v>96.738299999999995</v>
      </c>
    </row>
    <row r="107" spans="1:198" x14ac:dyDescent="0.35">
      <c r="A107">
        <v>91</v>
      </c>
      <c r="B107">
        <v>1775508991.5999999</v>
      </c>
      <c r="C107">
        <v>5400.5999999046326</v>
      </c>
      <c r="D107" t="s">
        <v>604</v>
      </c>
      <c r="E107" t="s">
        <v>605</v>
      </c>
      <c r="F107">
        <v>60</v>
      </c>
      <c r="G107">
        <v>1775508983.599999</v>
      </c>
      <c r="H107">
        <f t="shared" si="60"/>
        <v>9.1979835276188458E-4</v>
      </c>
      <c r="I107">
        <f t="shared" si="61"/>
        <v>0.9197983527618846</v>
      </c>
      <c r="J107">
        <f t="shared" si="62"/>
        <v>-2.3649533240308232E-2</v>
      </c>
      <c r="K107">
        <f t="shared" si="63"/>
        <v>60.555535483870983</v>
      </c>
      <c r="L107">
        <f t="shared" si="64"/>
        <v>58.655169316374668</v>
      </c>
      <c r="M107">
        <f t="shared" si="65"/>
        <v>5.8778176570493015</v>
      </c>
      <c r="N107">
        <f t="shared" si="66"/>
        <v>6.0682528044430475</v>
      </c>
      <c r="O107">
        <f t="shared" si="67"/>
        <v>2.6385541954942585E-2</v>
      </c>
      <c r="P107">
        <f t="shared" si="68"/>
        <v>2.3922811982352248</v>
      </c>
      <c r="Q107">
        <f t="shared" si="69"/>
        <v>2.622492784865494E-2</v>
      </c>
      <c r="R107">
        <f t="shared" si="70"/>
        <v>1.6404928821790669E-2</v>
      </c>
      <c r="S107">
        <f t="shared" si="71"/>
        <v>0</v>
      </c>
      <c r="T107">
        <f t="shared" si="72"/>
        <v>25.015350976560836</v>
      </c>
      <c r="U107">
        <f t="shared" si="73"/>
        <v>25.292883870967739</v>
      </c>
      <c r="V107">
        <f t="shared" si="74"/>
        <v>3.2356248676062203</v>
      </c>
      <c r="W107">
        <f t="shared" si="75"/>
        <v>-6.9893049185711655</v>
      </c>
      <c r="X107">
        <f t="shared" si="76"/>
        <v>-0.22630049059407448</v>
      </c>
      <c r="Y107">
        <f t="shared" si="77"/>
        <v>3.2378111018275253</v>
      </c>
      <c r="Z107">
        <f t="shared" si="78"/>
        <v>3.4619253582002947</v>
      </c>
      <c r="AA107">
        <f t="shared" si="79"/>
        <v>-40.563107356799108</v>
      </c>
      <c r="AB107">
        <f t="shared" si="80"/>
        <v>1.4644637972153869</v>
      </c>
      <c r="AC107">
        <f t="shared" si="81"/>
        <v>0.12987665573175367</v>
      </c>
      <c r="AD107">
        <f t="shared" si="82"/>
        <v>-38.968766903851964</v>
      </c>
      <c r="AE107">
        <v>18</v>
      </c>
      <c r="AF107">
        <v>4</v>
      </c>
      <c r="AG107">
        <f t="shared" si="83"/>
        <v>1</v>
      </c>
      <c r="AH107">
        <f t="shared" si="84"/>
        <v>0</v>
      </c>
      <c r="AI107">
        <f t="shared" si="85"/>
        <v>25726.136435117784</v>
      </c>
      <c r="AJ107">
        <f t="shared" si="86"/>
        <v>0</v>
      </c>
      <c r="AK107">
        <f t="shared" si="87"/>
        <v>0</v>
      </c>
      <c r="AL107">
        <f t="shared" si="88"/>
        <v>0</v>
      </c>
      <c r="AM107">
        <f t="shared" si="89"/>
        <v>0</v>
      </c>
      <c r="AN107">
        <v>3</v>
      </c>
      <c r="AO107">
        <v>0.5</v>
      </c>
      <c r="AP107" t="s">
        <v>331</v>
      </c>
      <c r="AQ107">
        <v>2</v>
      </c>
      <c r="AR107">
        <v>1775508983.599999</v>
      </c>
      <c r="AS107">
        <v>60.555535483870983</v>
      </c>
      <c r="AT107">
        <v>60.574764516129036</v>
      </c>
      <c r="AU107">
        <v>-2.258269032258065</v>
      </c>
      <c r="AV107">
        <v>-2.811377741935484</v>
      </c>
      <c r="AW107">
        <v>52.66653548387098</v>
      </c>
      <c r="AX107">
        <v>-1.2672690322580651</v>
      </c>
      <c r="AY107">
        <v>500.01499999999999</v>
      </c>
      <c r="AZ107">
        <v>100.1721935483871</v>
      </c>
      <c r="BA107">
        <v>3.7519006451612907E-2</v>
      </c>
      <c r="BB107">
        <v>25.304238709677421</v>
      </c>
      <c r="BC107">
        <v>25.292883870967739</v>
      </c>
      <c r="BD107">
        <v>999.90000000000032</v>
      </c>
      <c r="BE107">
        <v>0</v>
      </c>
      <c r="BF107">
        <v>0</v>
      </c>
      <c r="BG107">
        <v>5002.3387096774204</v>
      </c>
      <c r="BH107">
        <v>0.38459941935483882</v>
      </c>
      <c r="BI107">
        <v>0.23331922580645159</v>
      </c>
      <c r="BJ107">
        <v>-2.943576774193549E-2</v>
      </c>
      <c r="BK107">
        <v>60.408916129032249</v>
      </c>
      <c r="BL107">
        <v>60.404941935483869</v>
      </c>
      <c r="BM107">
        <v>0.55335393548387102</v>
      </c>
      <c r="BN107">
        <v>60.574764516129036</v>
      </c>
      <c r="BO107">
        <v>-2.811377741935484</v>
      </c>
      <c r="BP107">
        <v>-0.22619148387096771</v>
      </c>
      <c r="BQ107">
        <v>-0.28162206451612898</v>
      </c>
      <c r="BR107">
        <v>-99.900000000000034</v>
      </c>
      <c r="BS107">
        <v>-99.900000000000034</v>
      </c>
      <c r="BT107">
        <v>0</v>
      </c>
      <c r="BU107">
        <v>0</v>
      </c>
      <c r="BV107">
        <v>0</v>
      </c>
      <c r="BW107">
        <v>24</v>
      </c>
      <c r="BX107">
        <v>-1</v>
      </c>
      <c r="BY107">
        <v>1775509011.5999999</v>
      </c>
      <c r="BZ107" t="s">
        <v>606</v>
      </c>
      <c r="CA107">
        <v>1775509006.5999999</v>
      </c>
      <c r="CB107">
        <v>1775509011.5999999</v>
      </c>
      <c r="CC107">
        <v>94</v>
      </c>
      <c r="CD107">
        <v>0.01</v>
      </c>
      <c r="CE107">
        <v>0</v>
      </c>
      <c r="CF107">
        <v>7.8890000000000002</v>
      </c>
      <c r="CG107">
        <v>-0.99099999999999999</v>
      </c>
      <c r="CH107">
        <v>61</v>
      </c>
      <c r="CI107">
        <v>-3</v>
      </c>
      <c r="CJ107">
        <v>0.12</v>
      </c>
      <c r="CK107">
        <v>0.13</v>
      </c>
      <c r="CL107">
        <v>60.65820999999999</v>
      </c>
      <c r="CM107">
        <v>-0.4539467629896255</v>
      </c>
      <c r="CN107">
        <v>0.1114498058918605</v>
      </c>
      <c r="CO107">
        <v>-1</v>
      </c>
      <c r="CP107">
        <v>500.01638333333341</v>
      </c>
      <c r="CQ107">
        <v>-8.6390664060589529E-3</v>
      </c>
      <c r="CR107">
        <v>5.1184337339552542E-2</v>
      </c>
      <c r="CS107">
        <v>-1</v>
      </c>
      <c r="CT107">
        <v>0</v>
      </c>
      <c r="CU107">
        <v>0</v>
      </c>
      <c r="CV107" t="s">
        <v>333</v>
      </c>
      <c r="CW107">
        <v>3.1672899999999999</v>
      </c>
      <c r="CX107">
        <v>2.65889</v>
      </c>
      <c r="CY107">
        <v>1.5698299999999998E-2</v>
      </c>
      <c r="CZ107">
        <v>1.8037399999999999E-2</v>
      </c>
      <c r="DA107">
        <v>-1.13864E-2</v>
      </c>
      <c r="DB107">
        <v>-2.8220800000000001E-2</v>
      </c>
      <c r="DC107">
        <v>21310.2</v>
      </c>
      <c r="DD107">
        <v>21627.8</v>
      </c>
      <c r="DE107">
        <v>23175.3</v>
      </c>
      <c r="DF107">
        <v>22373.7</v>
      </c>
      <c r="DG107">
        <v>30219.1</v>
      </c>
      <c r="DH107">
        <v>27423.4</v>
      </c>
      <c r="DI107">
        <v>40719.599999999999</v>
      </c>
      <c r="DJ107">
        <v>37069.1</v>
      </c>
      <c r="DK107">
        <v>2.1036600000000001</v>
      </c>
      <c r="DL107">
        <v>1.8552999999999999</v>
      </c>
      <c r="DM107">
        <v>2.7477700000000001E-2</v>
      </c>
      <c r="DN107">
        <v>0</v>
      </c>
      <c r="DO107">
        <v>24.845099999999999</v>
      </c>
      <c r="DP107">
        <v>999.9</v>
      </c>
      <c r="DQ107">
        <v>79.7</v>
      </c>
      <c r="DR107">
        <v>27.9</v>
      </c>
      <c r="DS107">
        <v>30.0168</v>
      </c>
      <c r="DT107">
        <v>30.840199999999999</v>
      </c>
      <c r="DU107">
        <v>9.2347800000000007</v>
      </c>
      <c r="DV107">
        <v>1</v>
      </c>
      <c r="DW107">
        <v>5.4817100000000001E-2</v>
      </c>
      <c r="DX107">
        <v>-0.20283699999999999</v>
      </c>
      <c r="DY107">
        <v>20.368099999999998</v>
      </c>
      <c r="DZ107">
        <v>5.2112999999999996</v>
      </c>
      <c r="EA107">
        <v>11.8482</v>
      </c>
      <c r="EB107">
        <v>4.96868</v>
      </c>
      <c r="EC107">
        <v>3.2920400000000001</v>
      </c>
      <c r="ED107">
        <v>894.7</v>
      </c>
      <c r="EE107">
        <v>0</v>
      </c>
      <c r="EF107">
        <v>9999</v>
      </c>
      <c r="EG107">
        <v>114.5</v>
      </c>
      <c r="EH107">
        <v>4.97166</v>
      </c>
      <c r="EI107">
        <v>1.8717999999999999</v>
      </c>
      <c r="EJ107">
        <v>1.8689</v>
      </c>
      <c r="EK107">
        <v>1.87134</v>
      </c>
      <c r="EL107">
        <v>1.8690500000000001</v>
      </c>
      <c r="EM107">
        <v>1.86805</v>
      </c>
      <c r="EN107">
        <v>1.86992</v>
      </c>
      <c r="EO107">
        <v>1.87168</v>
      </c>
      <c r="EP107">
        <v>0</v>
      </c>
      <c r="EQ107">
        <v>0</v>
      </c>
      <c r="ER107">
        <v>0</v>
      </c>
      <c r="ES107">
        <v>0</v>
      </c>
      <c r="ET107" t="s">
        <v>334</v>
      </c>
      <c r="EU107" t="s">
        <v>335</v>
      </c>
      <c r="EV107" t="s">
        <v>336</v>
      </c>
      <c r="EW107" t="s">
        <v>336</v>
      </c>
      <c r="EX107" t="s">
        <v>336</v>
      </c>
      <c r="EY107" t="s">
        <v>336</v>
      </c>
      <c r="EZ107">
        <v>0</v>
      </c>
      <c r="FA107">
        <v>100</v>
      </c>
      <c r="FB107">
        <v>100</v>
      </c>
      <c r="FC107">
        <v>7.8890000000000002</v>
      </c>
      <c r="FD107">
        <v>-0.99099999999999999</v>
      </c>
      <c r="FE107">
        <v>7.8787949999999816</v>
      </c>
      <c r="FF107">
        <v>0</v>
      </c>
      <c r="FG107">
        <v>0</v>
      </c>
      <c r="FH107">
        <v>0</v>
      </c>
      <c r="FI107">
        <v>-0.99075600000000019</v>
      </c>
      <c r="FJ107">
        <v>0</v>
      </c>
      <c r="FK107">
        <v>0</v>
      </c>
      <c r="FL107">
        <v>0</v>
      </c>
      <c r="FM107">
        <v>-1</v>
      </c>
      <c r="FN107">
        <v>-1</v>
      </c>
      <c r="FO107">
        <v>-1</v>
      </c>
      <c r="FP107">
        <v>-1</v>
      </c>
      <c r="FQ107">
        <v>0.8</v>
      </c>
      <c r="FR107">
        <v>0.7</v>
      </c>
      <c r="FS107">
        <v>0.142822</v>
      </c>
      <c r="FT107">
        <v>4.99756</v>
      </c>
      <c r="FU107">
        <v>1.5979000000000001</v>
      </c>
      <c r="FV107">
        <v>2.1606399999999999</v>
      </c>
      <c r="FW107">
        <v>1.5478499999999999</v>
      </c>
      <c r="FX107">
        <v>2.3156699999999999</v>
      </c>
      <c r="FY107">
        <v>32.310699999999997</v>
      </c>
      <c r="FZ107">
        <v>15.9795</v>
      </c>
      <c r="GA107">
        <v>3</v>
      </c>
      <c r="GB107">
        <v>492.23899999999998</v>
      </c>
      <c r="GC107">
        <v>424.61399999999998</v>
      </c>
      <c r="GD107">
        <v>26.008600000000001</v>
      </c>
      <c r="GE107">
        <v>27.877600000000001</v>
      </c>
      <c r="GF107">
        <v>30.0001</v>
      </c>
      <c r="GG107">
        <v>28.1983</v>
      </c>
      <c r="GH107">
        <v>28.256699999999999</v>
      </c>
      <c r="GI107">
        <v>-1</v>
      </c>
      <c r="GJ107">
        <v>0</v>
      </c>
      <c r="GK107">
        <v>100</v>
      </c>
      <c r="GL107">
        <v>26.005500000000001</v>
      </c>
      <c r="GM107">
        <v>432.1</v>
      </c>
      <c r="GN107">
        <v>63.216500000000003</v>
      </c>
      <c r="GO107">
        <v>102.50700000000001</v>
      </c>
      <c r="GP107">
        <v>96.736699999999999</v>
      </c>
    </row>
    <row r="108" spans="1:198" x14ac:dyDescent="0.35">
      <c r="A108">
        <v>92</v>
      </c>
      <c r="B108">
        <v>1775509051.5999999</v>
      </c>
      <c r="C108">
        <v>5460.5999999046326</v>
      </c>
      <c r="D108" t="s">
        <v>607</v>
      </c>
      <c r="E108" t="s">
        <v>608</v>
      </c>
      <c r="F108">
        <v>60</v>
      </c>
      <c r="G108">
        <v>1775509043.599999</v>
      </c>
      <c r="H108">
        <f t="shared" si="60"/>
        <v>9.0697077193983302E-4</v>
      </c>
      <c r="I108">
        <f t="shared" si="61"/>
        <v>0.906970771939833</v>
      </c>
      <c r="J108">
        <f t="shared" si="62"/>
        <v>-0.38423515368174271</v>
      </c>
      <c r="K108">
        <f t="shared" si="63"/>
        <v>59.88748064516129</v>
      </c>
      <c r="L108">
        <f t="shared" si="64"/>
        <v>79.729014483130811</v>
      </c>
      <c r="M108">
        <f t="shared" si="65"/>
        <v>7.9897629291678127</v>
      </c>
      <c r="N108">
        <f t="shared" si="66"/>
        <v>6.0014133610193259</v>
      </c>
      <c r="O108">
        <f t="shared" si="67"/>
        <v>2.6012491701123078E-2</v>
      </c>
      <c r="P108">
        <f t="shared" si="68"/>
        <v>2.3930742964503571</v>
      </c>
      <c r="Q108">
        <f t="shared" si="69"/>
        <v>2.5856424056133281E-2</v>
      </c>
      <c r="R108">
        <f t="shared" si="70"/>
        <v>1.6174208915572617E-2</v>
      </c>
      <c r="S108">
        <f t="shared" si="71"/>
        <v>0</v>
      </c>
      <c r="T108">
        <f t="shared" si="72"/>
        <v>25.014500871499763</v>
      </c>
      <c r="U108">
        <f t="shared" si="73"/>
        <v>25.29559032258064</v>
      </c>
      <c r="V108">
        <f t="shared" si="74"/>
        <v>3.2361458443925279</v>
      </c>
      <c r="W108">
        <f t="shared" si="75"/>
        <v>-6.9883120404439207</v>
      </c>
      <c r="X108">
        <f t="shared" si="76"/>
        <v>-0.22620153375613333</v>
      </c>
      <c r="Y108">
        <f t="shared" si="77"/>
        <v>3.2368550867079522</v>
      </c>
      <c r="Z108">
        <f t="shared" si="78"/>
        <v>3.4623473781486611</v>
      </c>
      <c r="AA108">
        <f t="shared" si="79"/>
        <v>-39.997411042546638</v>
      </c>
      <c r="AB108">
        <f t="shared" si="80"/>
        <v>0.47527616554507368</v>
      </c>
      <c r="AC108">
        <f t="shared" si="81"/>
        <v>4.2135641102617145E-2</v>
      </c>
      <c r="AD108">
        <f t="shared" si="82"/>
        <v>-39.479999235898944</v>
      </c>
      <c r="AE108">
        <v>18</v>
      </c>
      <c r="AF108">
        <v>4</v>
      </c>
      <c r="AG108">
        <f t="shared" si="83"/>
        <v>1</v>
      </c>
      <c r="AH108">
        <f t="shared" si="84"/>
        <v>0</v>
      </c>
      <c r="AI108">
        <f t="shared" si="85"/>
        <v>25738.630634136305</v>
      </c>
      <c r="AJ108">
        <f t="shared" si="86"/>
        <v>0</v>
      </c>
      <c r="AK108">
        <f t="shared" si="87"/>
        <v>0</v>
      </c>
      <c r="AL108">
        <f t="shared" si="88"/>
        <v>0</v>
      </c>
      <c r="AM108">
        <f t="shared" si="89"/>
        <v>0</v>
      </c>
      <c r="AN108">
        <v>3</v>
      </c>
      <c r="AO108">
        <v>0.5</v>
      </c>
      <c r="AP108" t="s">
        <v>331</v>
      </c>
      <c r="AQ108">
        <v>2</v>
      </c>
      <c r="AR108">
        <v>1775509043.599999</v>
      </c>
      <c r="AS108">
        <v>59.88748064516129</v>
      </c>
      <c r="AT108">
        <v>59.68953225806451</v>
      </c>
      <c r="AU108">
        <v>-2.257241612903226</v>
      </c>
      <c r="AV108">
        <v>-2.802644193548387</v>
      </c>
      <c r="AW108">
        <v>52.016480645161288</v>
      </c>
      <c r="AX108">
        <v>-1.2642416129032259</v>
      </c>
      <c r="AY108">
        <v>500.00754838709679</v>
      </c>
      <c r="AZ108">
        <v>100.17400000000001</v>
      </c>
      <c r="BA108">
        <v>3.7484877419354842E-2</v>
      </c>
      <c r="BB108">
        <v>25.299274193548381</v>
      </c>
      <c r="BC108">
        <v>25.29559032258064</v>
      </c>
      <c r="BD108">
        <v>999.90000000000032</v>
      </c>
      <c r="BE108">
        <v>0</v>
      </c>
      <c r="BF108">
        <v>0</v>
      </c>
      <c r="BG108">
        <v>5004.2903225806449</v>
      </c>
      <c r="BH108">
        <v>0.38478374193548398</v>
      </c>
      <c r="BI108">
        <v>0.23331922580645159</v>
      </c>
      <c r="BJ108">
        <v>0.21590911290322581</v>
      </c>
      <c r="BK108">
        <v>59.770661290322593</v>
      </c>
      <c r="BL108">
        <v>59.522722580645173</v>
      </c>
      <c r="BM108">
        <v>0.54746561290322571</v>
      </c>
      <c r="BN108">
        <v>59.68953225806451</v>
      </c>
      <c r="BO108">
        <v>-2.802644193548387</v>
      </c>
      <c r="BP108">
        <v>-0.2259103225806452</v>
      </c>
      <c r="BQ108">
        <v>-0.28075232258064509</v>
      </c>
      <c r="BR108">
        <v>-99.900000000000034</v>
      </c>
      <c r="BS108">
        <v>-99.900000000000034</v>
      </c>
      <c r="BT108">
        <v>0</v>
      </c>
      <c r="BU108">
        <v>0</v>
      </c>
      <c r="BV108">
        <v>0</v>
      </c>
      <c r="BW108">
        <v>24</v>
      </c>
      <c r="BX108">
        <v>-1</v>
      </c>
      <c r="BY108">
        <v>1775509070.5999999</v>
      </c>
      <c r="BZ108" t="s">
        <v>609</v>
      </c>
      <c r="CA108">
        <v>1775509068.5999999</v>
      </c>
      <c r="CB108">
        <v>1775509070.5999999</v>
      </c>
      <c r="CC108">
        <v>95</v>
      </c>
      <c r="CD108">
        <v>-1.7999999999999999E-2</v>
      </c>
      <c r="CE108">
        <v>-2E-3</v>
      </c>
      <c r="CF108">
        <v>7.8710000000000004</v>
      </c>
      <c r="CG108">
        <v>-0.99299999999999999</v>
      </c>
      <c r="CH108">
        <v>60</v>
      </c>
      <c r="CI108">
        <v>-3</v>
      </c>
      <c r="CJ108">
        <v>0.4</v>
      </c>
      <c r="CK108">
        <v>0.14000000000000001</v>
      </c>
      <c r="CL108">
        <v>59.961361666666669</v>
      </c>
      <c r="CM108">
        <v>-2.0384198944150511</v>
      </c>
      <c r="CN108">
        <v>0.31335195286432938</v>
      </c>
      <c r="CO108">
        <v>-1</v>
      </c>
      <c r="CP108">
        <v>500.00358333333332</v>
      </c>
      <c r="CQ108">
        <v>-3.0298416226537259E-2</v>
      </c>
      <c r="CR108">
        <v>5.1074550631624922E-2</v>
      </c>
      <c r="CS108">
        <v>-1</v>
      </c>
      <c r="CT108">
        <v>0</v>
      </c>
      <c r="CU108">
        <v>0</v>
      </c>
      <c r="CV108" t="s">
        <v>333</v>
      </c>
      <c r="CW108">
        <v>3.16736</v>
      </c>
      <c r="CX108">
        <v>2.6589900000000002</v>
      </c>
      <c r="CY108">
        <v>1.54281E-2</v>
      </c>
      <c r="CZ108">
        <v>1.7831799999999998E-2</v>
      </c>
      <c r="DA108">
        <v>-1.1348199999999999E-2</v>
      </c>
      <c r="DB108">
        <v>-2.8101399999999999E-2</v>
      </c>
      <c r="DC108">
        <v>21315.8</v>
      </c>
      <c r="DD108">
        <v>21632</v>
      </c>
      <c r="DE108">
        <v>23175</v>
      </c>
      <c r="DF108">
        <v>22373.3</v>
      </c>
      <c r="DG108">
        <v>30217.599999999999</v>
      </c>
      <c r="DH108">
        <v>27419.7</v>
      </c>
      <c r="DI108">
        <v>40719.1</v>
      </c>
      <c r="DJ108">
        <v>37068.300000000003</v>
      </c>
      <c r="DK108">
        <v>2.1036600000000001</v>
      </c>
      <c r="DL108">
        <v>1.85544</v>
      </c>
      <c r="DM108">
        <v>2.69771E-2</v>
      </c>
      <c r="DN108">
        <v>0</v>
      </c>
      <c r="DO108">
        <v>24.847300000000001</v>
      </c>
      <c r="DP108">
        <v>999.9</v>
      </c>
      <c r="DQ108">
        <v>79.7</v>
      </c>
      <c r="DR108">
        <v>27.9</v>
      </c>
      <c r="DS108">
        <v>30.018599999999999</v>
      </c>
      <c r="DT108">
        <v>30.930199999999999</v>
      </c>
      <c r="DU108">
        <v>8.9302899999999994</v>
      </c>
      <c r="DV108">
        <v>1</v>
      </c>
      <c r="DW108">
        <v>5.4766299999999997E-2</v>
      </c>
      <c r="DX108">
        <v>-0.22053400000000001</v>
      </c>
      <c r="DY108">
        <v>20.367999999999999</v>
      </c>
      <c r="DZ108">
        <v>5.2117800000000001</v>
      </c>
      <c r="EA108">
        <v>11.8482</v>
      </c>
      <c r="EB108">
        <v>4.9677199999999999</v>
      </c>
      <c r="EC108">
        <v>3.2920199999999999</v>
      </c>
      <c r="ED108">
        <v>894.7</v>
      </c>
      <c r="EE108">
        <v>0</v>
      </c>
      <c r="EF108">
        <v>9999</v>
      </c>
      <c r="EG108">
        <v>114.5</v>
      </c>
      <c r="EH108">
        <v>4.9716500000000003</v>
      </c>
      <c r="EI108">
        <v>1.8717999999999999</v>
      </c>
      <c r="EJ108">
        <v>1.8689</v>
      </c>
      <c r="EK108">
        <v>1.87134</v>
      </c>
      <c r="EL108">
        <v>1.8690500000000001</v>
      </c>
      <c r="EM108">
        <v>1.86805</v>
      </c>
      <c r="EN108">
        <v>1.8698600000000001</v>
      </c>
      <c r="EO108">
        <v>1.87168</v>
      </c>
      <c r="EP108">
        <v>0</v>
      </c>
      <c r="EQ108">
        <v>0</v>
      </c>
      <c r="ER108">
        <v>0</v>
      </c>
      <c r="ES108">
        <v>0</v>
      </c>
      <c r="ET108" t="s">
        <v>334</v>
      </c>
      <c r="EU108" t="s">
        <v>335</v>
      </c>
      <c r="EV108" t="s">
        <v>336</v>
      </c>
      <c r="EW108" t="s">
        <v>336</v>
      </c>
      <c r="EX108" t="s">
        <v>336</v>
      </c>
      <c r="EY108" t="s">
        <v>336</v>
      </c>
      <c r="EZ108">
        <v>0</v>
      </c>
      <c r="FA108">
        <v>100</v>
      </c>
      <c r="FB108">
        <v>100</v>
      </c>
      <c r="FC108">
        <v>7.8710000000000004</v>
      </c>
      <c r="FD108">
        <v>-0.99299999999999999</v>
      </c>
      <c r="FE108">
        <v>7.8889699999999996</v>
      </c>
      <c r="FF108">
        <v>0</v>
      </c>
      <c r="FG108">
        <v>0</v>
      </c>
      <c r="FH108">
        <v>0</v>
      </c>
      <c r="FI108">
        <v>-0.99093749999999958</v>
      </c>
      <c r="FJ108">
        <v>0</v>
      </c>
      <c r="FK108">
        <v>0</v>
      </c>
      <c r="FL108">
        <v>0</v>
      </c>
      <c r="FM108">
        <v>-1</v>
      </c>
      <c r="FN108">
        <v>-1</v>
      </c>
      <c r="FO108">
        <v>-1</v>
      </c>
      <c r="FP108">
        <v>-1</v>
      </c>
      <c r="FQ108">
        <v>0.8</v>
      </c>
      <c r="FR108">
        <v>0.7</v>
      </c>
      <c r="FS108">
        <v>0.142822</v>
      </c>
      <c r="FT108">
        <v>4.99756</v>
      </c>
      <c r="FU108">
        <v>1.5979000000000001</v>
      </c>
      <c r="FV108">
        <v>2.16187</v>
      </c>
      <c r="FW108">
        <v>1.5478499999999999</v>
      </c>
      <c r="FX108">
        <v>2.4218799999999998</v>
      </c>
      <c r="FY108">
        <v>32.310699999999997</v>
      </c>
      <c r="FZ108">
        <v>15.9795</v>
      </c>
      <c r="GA108">
        <v>3</v>
      </c>
      <c r="GB108">
        <v>492.23399999999998</v>
      </c>
      <c r="GC108">
        <v>424.68</v>
      </c>
      <c r="GD108">
        <v>26.011199999999999</v>
      </c>
      <c r="GE108">
        <v>27.877300000000002</v>
      </c>
      <c r="GF108">
        <v>30</v>
      </c>
      <c r="GG108">
        <v>28.197600000000001</v>
      </c>
      <c r="GH108">
        <v>28.254300000000001</v>
      </c>
      <c r="GI108">
        <v>-1</v>
      </c>
      <c r="GJ108">
        <v>0</v>
      </c>
      <c r="GK108">
        <v>100</v>
      </c>
      <c r="GL108">
        <v>26.0092</v>
      </c>
      <c r="GM108">
        <v>432.1</v>
      </c>
      <c r="GN108">
        <v>63.216500000000003</v>
      </c>
      <c r="GO108">
        <v>102.505</v>
      </c>
      <c r="GP108">
        <v>96.734800000000007</v>
      </c>
    </row>
    <row r="109" spans="1:198" x14ac:dyDescent="0.35">
      <c r="A109">
        <v>93</v>
      </c>
      <c r="B109">
        <v>1775509111.5999999</v>
      </c>
      <c r="C109">
        <v>5520.5999999046326</v>
      </c>
      <c r="D109" t="s">
        <v>610</v>
      </c>
      <c r="E109" t="s">
        <v>611</v>
      </c>
      <c r="F109">
        <v>60</v>
      </c>
      <c r="G109">
        <v>1775509103.599999</v>
      </c>
      <c r="H109">
        <f t="shared" si="60"/>
        <v>9.1107074063439175E-4</v>
      </c>
      <c r="I109">
        <f t="shared" si="61"/>
        <v>0.91107074063439175</v>
      </c>
      <c r="J109">
        <f t="shared" si="62"/>
        <v>0.18050346279159948</v>
      </c>
      <c r="K109">
        <f t="shared" si="63"/>
        <v>60.22605161290322</v>
      </c>
      <c r="L109">
        <f t="shared" si="64"/>
        <v>46.136218240272122</v>
      </c>
      <c r="M109">
        <f t="shared" si="65"/>
        <v>4.6234706551393865</v>
      </c>
      <c r="N109">
        <f t="shared" si="66"/>
        <v>6.0354617896294602</v>
      </c>
      <c r="O109">
        <f t="shared" si="67"/>
        <v>2.6134604236851808E-2</v>
      </c>
      <c r="P109">
        <f t="shared" si="68"/>
        <v>2.3911394412339373</v>
      </c>
      <c r="Q109">
        <f t="shared" si="69"/>
        <v>2.5976946018489565E-2</v>
      </c>
      <c r="R109">
        <f t="shared" si="70"/>
        <v>1.6249676821706003E-2</v>
      </c>
      <c r="S109">
        <f t="shared" si="71"/>
        <v>0</v>
      </c>
      <c r="T109">
        <f t="shared" si="72"/>
        <v>25.013726918924458</v>
      </c>
      <c r="U109">
        <f t="shared" si="73"/>
        <v>25.292877419354831</v>
      </c>
      <c r="V109">
        <f t="shared" si="74"/>
        <v>3.2356236257944042</v>
      </c>
      <c r="W109">
        <f t="shared" si="75"/>
        <v>-6.9916652780886404</v>
      </c>
      <c r="X109">
        <f t="shared" si="76"/>
        <v>-0.22631984425420751</v>
      </c>
      <c r="Y109">
        <f t="shared" si="77"/>
        <v>3.2369948396053378</v>
      </c>
      <c r="Z109">
        <f t="shared" si="78"/>
        <v>3.4619434700486118</v>
      </c>
      <c r="AA109">
        <f t="shared" si="79"/>
        <v>-40.178219661976676</v>
      </c>
      <c r="AB109">
        <f t="shared" si="80"/>
        <v>0.91817977386818772</v>
      </c>
      <c r="AC109">
        <f t="shared" si="81"/>
        <v>8.1466344955364298E-2</v>
      </c>
      <c r="AD109">
        <f t="shared" si="82"/>
        <v>-39.178573543153121</v>
      </c>
      <c r="AE109">
        <v>18</v>
      </c>
      <c r="AF109">
        <v>4</v>
      </c>
      <c r="AG109">
        <f t="shared" si="83"/>
        <v>1</v>
      </c>
      <c r="AH109">
        <f t="shared" si="84"/>
        <v>0</v>
      </c>
      <c r="AI109">
        <f t="shared" si="85"/>
        <v>25708.862923214077</v>
      </c>
      <c r="AJ109">
        <f t="shared" si="86"/>
        <v>0</v>
      </c>
      <c r="AK109">
        <f t="shared" si="87"/>
        <v>0</v>
      </c>
      <c r="AL109">
        <f t="shared" si="88"/>
        <v>0</v>
      </c>
      <c r="AM109">
        <f t="shared" si="89"/>
        <v>0</v>
      </c>
      <c r="AN109">
        <v>3</v>
      </c>
      <c r="AO109">
        <v>0.5</v>
      </c>
      <c r="AP109" t="s">
        <v>331</v>
      </c>
      <c r="AQ109">
        <v>2</v>
      </c>
      <c r="AR109">
        <v>1775509103.599999</v>
      </c>
      <c r="AS109">
        <v>60.22605161290322</v>
      </c>
      <c r="AT109">
        <v>60.367277419354849</v>
      </c>
      <c r="AU109">
        <v>-2.2583774193548392</v>
      </c>
      <c r="AV109">
        <v>-2.8062606451612901</v>
      </c>
      <c r="AW109">
        <v>52.358051612903218</v>
      </c>
      <c r="AX109">
        <v>-1.2673774193548391</v>
      </c>
      <c r="AY109">
        <v>499.99429032258058</v>
      </c>
      <c r="AZ109">
        <v>100.17632258064521</v>
      </c>
      <c r="BA109">
        <v>3.7150293548387101E-2</v>
      </c>
      <c r="BB109">
        <v>25.29999999999999</v>
      </c>
      <c r="BC109">
        <v>25.292877419354831</v>
      </c>
      <c r="BD109">
        <v>999.90000000000032</v>
      </c>
      <c r="BE109">
        <v>0</v>
      </c>
      <c r="BF109">
        <v>0</v>
      </c>
      <c r="BG109">
        <v>4999.1935483870966</v>
      </c>
      <c r="BH109">
        <v>0.38484635483870971</v>
      </c>
      <c r="BI109">
        <v>0.23331922580645159</v>
      </c>
      <c r="BJ109">
        <v>-0.13804796451612911</v>
      </c>
      <c r="BK109">
        <v>60.093416129032263</v>
      </c>
      <c r="BL109">
        <v>60.198338709677422</v>
      </c>
      <c r="BM109">
        <v>0.5461898387096773</v>
      </c>
      <c r="BN109">
        <v>60.367277419354849</v>
      </c>
      <c r="BO109">
        <v>-2.8062606451612901</v>
      </c>
      <c r="BP109">
        <v>-0.2264056451612903</v>
      </c>
      <c r="BQ109">
        <v>-0.28112093548387102</v>
      </c>
      <c r="BR109">
        <v>-99.900000000000034</v>
      </c>
      <c r="BS109">
        <v>-99.900000000000034</v>
      </c>
      <c r="BT109">
        <v>0</v>
      </c>
      <c r="BU109">
        <v>0</v>
      </c>
      <c r="BV109">
        <v>0</v>
      </c>
      <c r="BW109">
        <v>24</v>
      </c>
      <c r="BX109">
        <v>-1</v>
      </c>
      <c r="BY109">
        <v>1775509131.0999999</v>
      </c>
      <c r="BZ109" t="s">
        <v>612</v>
      </c>
      <c r="CA109">
        <v>1775509127.5999999</v>
      </c>
      <c r="CB109">
        <v>1775509131.0999999</v>
      </c>
      <c r="CC109">
        <v>96</v>
      </c>
      <c r="CD109">
        <v>-4.0000000000000001E-3</v>
      </c>
      <c r="CE109">
        <v>1E-3</v>
      </c>
      <c r="CF109">
        <v>7.8680000000000003</v>
      </c>
      <c r="CG109">
        <v>-0.99099999999999999</v>
      </c>
      <c r="CH109">
        <v>59</v>
      </c>
      <c r="CI109">
        <v>-3</v>
      </c>
      <c r="CJ109">
        <v>0.28000000000000003</v>
      </c>
      <c r="CK109">
        <v>0.14000000000000001</v>
      </c>
      <c r="CL109">
        <v>60.304916666666671</v>
      </c>
      <c r="CM109">
        <v>0.31152120033351333</v>
      </c>
      <c r="CN109">
        <v>0.13994438796258399</v>
      </c>
      <c r="CO109">
        <v>-1</v>
      </c>
      <c r="CP109">
        <v>500.00545</v>
      </c>
      <c r="CQ109">
        <v>-5.3538205055847561E-2</v>
      </c>
      <c r="CR109">
        <v>5.066176237229026E-2</v>
      </c>
      <c r="CS109">
        <v>-1</v>
      </c>
      <c r="CT109">
        <v>0</v>
      </c>
      <c r="CU109">
        <v>0</v>
      </c>
      <c r="CV109" t="s">
        <v>333</v>
      </c>
      <c r="CW109">
        <v>3.16744</v>
      </c>
      <c r="CX109">
        <v>2.6585100000000002</v>
      </c>
      <c r="CY109">
        <v>1.5608800000000001E-2</v>
      </c>
      <c r="CZ109">
        <v>1.7862699999999999E-2</v>
      </c>
      <c r="DA109">
        <v>-1.1391699999999999E-2</v>
      </c>
      <c r="DB109">
        <v>-2.8184500000000001E-2</v>
      </c>
      <c r="DC109">
        <v>21311.200000000001</v>
      </c>
      <c r="DD109">
        <v>21631.1</v>
      </c>
      <c r="DE109">
        <v>23174.2</v>
      </c>
      <c r="DF109">
        <v>22373.1</v>
      </c>
      <c r="DG109">
        <v>30218</v>
      </c>
      <c r="DH109">
        <v>27421.7</v>
      </c>
      <c r="DI109">
        <v>40718</v>
      </c>
      <c r="DJ109">
        <v>37068.1</v>
      </c>
      <c r="DK109">
        <v>2.1036800000000002</v>
      </c>
      <c r="DL109">
        <v>1.8554600000000001</v>
      </c>
      <c r="DM109">
        <v>2.6679000000000001E-2</v>
      </c>
      <c r="DN109">
        <v>0</v>
      </c>
      <c r="DO109">
        <v>24.851299999999998</v>
      </c>
      <c r="DP109">
        <v>999.9</v>
      </c>
      <c r="DQ109">
        <v>79.7</v>
      </c>
      <c r="DR109">
        <v>27.9</v>
      </c>
      <c r="DS109">
        <v>30.017299999999999</v>
      </c>
      <c r="DT109">
        <v>30.510200000000001</v>
      </c>
      <c r="DU109">
        <v>8.9543300000000006</v>
      </c>
      <c r="DV109">
        <v>1</v>
      </c>
      <c r="DW109">
        <v>5.5030500000000003E-2</v>
      </c>
      <c r="DX109">
        <v>-0.225832</v>
      </c>
      <c r="DY109">
        <v>20.367899999999999</v>
      </c>
      <c r="DZ109">
        <v>5.2123799999999996</v>
      </c>
      <c r="EA109">
        <v>11.8482</v>
      </c>
      <c r="EB109">
        <v>4.9682000000000004</v>
      </c>
      <c r="EC109">
        <v>3.2919999999999998</v>
      </c>
      <c r="ED109">
        <v>894.7</v>
      </c>
      <c r="EE109">
        <v>0</v>
      </c>
      <c r="EF109">
        <v>9999</v>
      </c>
      <c r="EG109">
        <v>114.5</v>
      </c>
      <c r="EH109">
        <v>4.97166</v>
      </c>
      <c r="EI109">
        <v>1.8717999999999999</v>
      </c>
      <c r="EJ109">
        <v>1.8689</v>
      </c>
      <c r="EK109">
        <v>1.87134</v>
      </c>
      <c r="EL109">
        <v>1.8690500000000001</v>
      </c>
      <c r="EM109">
        <v>1.86809</v>
      </c>
      <c r="EN109">
        <v>1.8698999999999999</v>
      </c>
      <c r="EO109">
        <v>1.87171</v>
      </c>
      <c r="EP109">
        <v>0</v>
      </c>
      <c r="EQ109">
        <v>0</v>
      </c>
      <c r="ER109">
        <v>0</v>
      </c>
      <c r="ES109">
        <v>0</v>
      </c>
      <c r="ET109" t="s">
        <v>334</v>
      </c>
      <c r="EU109" t="s">
        <v>335</v>
      </c>
      <c r="EV109" t="s">
        <v>336</v>
      </c>
      <c r="EW109" t="s">
        <v>336</v>
      </c>
      <c r="EX109" t="s">
        <v>336</v>
      </c>
      <c r="EY109" t="s">
        <v>336</v>
      </c>
      <c r="EZ109">
        <v>0</v>
      </c>
      <c r="FA109">
        <v>100</v>
      </c>
      <c r="FB109">
        <v>100</v>
      </c>
      <c r="FC109">
        <v>7.8680000000000003</v>
      </c>
      <c r="FD109">
        <v>-0.99099999999999999</v>
      </c>
      <c r="FE109">
        <v>7.8711699999999993</v>
      </c>
      <c r="FF109">
        <v>0</v>
      </c>
      <c r="FG109">
        <v>0</v>
      </c>
      <c r="FH109">
        <v>0</v>
      </c>
      <c r="FI109">
        <v>-0.99269450000000004</v>
      </c>
      <c r="FJ109">
        <v>0</v>
      </c>
      <c r="FK109">
        <v>0</v>
      </c>
      <c r="FL109">
        <v>0</v>
      </c>
      <c r="FM109">
        <v>-1</v>
      </c>
      <c r="FN109">
        <v>-1</v>
      </c>
      <c r="FO109">
        <v>-1</v>
      </c>
      <c r="FP109">
        <v>-1</v>
      </c>
      <c r="FQ109">
        <v>0.7</v>
      </c>
      <c r="FR109">
        <v>0.7</v>
      </c>
      <c r="FS109">
        <v>0.142822</v>
      </c>
      <c r="FT109">
        <v>4.99756</v>
      </c>
      <c r="FU109">
        <v>1.5979000000000001</v>
      </c>
      <c r="FV109">
        <v>2.16187</v>
      </c>
      <c r="FW109">
        <v>1.5478499999999999</v>
      </c>
      <c r="FX109">
        <v>2.4340799999999998</v>
      </c>
      <c r="FY109">
        <v>32.310699999999997</v>
      </c>
      <c r="FZ109">
        <v>15.988300000000001</v>
      </c>
      <c r="GA109">
        <v>3</v>
      </c>
      <c r="GB109">
        <v>492.22699999999998</v>
      </c>
      <c r="GC109">
        <v>424.67399999999998</v>
      </c>
      <c r="GD109">
        <v>26.013400000000001</v>
      </c>
      <c r="GE109">
        <v>27.8752</v>
      </c>
      <c r="GF109">
        <v>30.0001</v>
      </c>
      <c r="GG109">
        <v>28.1952</v>
      </c>
      <c r="GH109">
        <v>28.251899999999999</v>
      </c>
      <c r="GI109">
        <v>-1</v>
      </c>
      <c r="GJ109">
        <v>0</v>
      </c>
      <c r="GK109">
        <v>100</v>
      </c>
      <c r="GL109">
        <v>26.014199999999999</v>
      </c>
      <c r="GM109">
        <v>432.1</v>
      </c>
      <c r="GN109">
        <v>63.216500000000003</v>
      </c>
      <c r="GO109">
        <v>102.502</v>
      </c>
      <c r="GP109">
        <v>96.734099999999998</v>
      </c>
    </row>
    <row r="110" spans="1:198" x14ac:dyDescent="0.35">
      <c r="A110">
        <v>94</v>
      </c>
      <c r="B110">
        <v>1775509171.5999999</v>
      </c>
      <c r="C110">
        <v>5580.5999999046326</v>
      </c>
      <c r="D110" t="s">
        <v>613</v>
      </c>
      <c r="E110" t="s">
        <v>614</v>
      </c>
      <c r="F110">
        <v>60</v>
      </c>
      <c r="G110">
        <v>1775509163.849999</v>
      </c>
      <c r="H110">
        <f t="shared" si="60"/>
        <v>8.9106037005431092E-4</v>
      </c>
      <c r="I110">
        <f t="shared" si="61"/>
        <v>0.89106037005431094</v>
      </c>
      <c r="J110">
        <f t="shared" si="62"/>
        <v>0.15948077359455343</v>
      </c>
      <c r="K110">
        <f t="shared" si="63"/>
        <v>57.491943333333332</v>
      </c>
      <c r="L110">
        <f t="shared" si="64"/>
        <v>44.594839540886888</v>
      </c>
      <c r="M110">
        <f t="shared" si="65"/>
        <v>4.4690536072330493</v>
      </c>
      <c r="N110">
        <f t="shared" si="66"/>
        <v>5.761531589436494</v>
      </c>
      <c r="O110">
        <f t="shared" si="67"/>
        <v>2.5556772466126473E-2</v>
      </c>
      <c r="P110">
        <f t="shared" si="68"/>
        <v>2.3910683042817347</v>
      </c>
      <c r="Q110">
        <f t="shared" si="69"/>
        <v>2.5405982607441011E-2</v>
      </c>
      <c r="R110">
        <f t="shared" si="70"/>
        <v>1.5892212713475608E-2</v>
      </c>
      <c r="S110">
        <f t="shared" si="71"/>
        <v>0</v>
      </c>
      <c r="T110">
        <f t="shared" si="72"/>
        <v>25.019296685286555</v>
      </c>
      <c r="U110">
        <f t="shared" si="73"/>
        <v>25.29388333333333</v>
      </c>
      <c r="V110">
        <f t="shared" si="74"/>
        <v>3.2358172499825102</v>
      </c>
      <c r="W110">
        <f t="shared" si="75"/>
        <v>-6.9887843782393748</v>
      </c>
      <c r="X110">
        <f t="shared" si="76"/>
        <v>-0.22621703534634707</v>
      </c>
      <c r="Y110">
        <f t="shared" si="77"/>
        <v>3.2368581301593395</v>
      </c>
      <c r="Z110">
        <f t="shared" si="78"/>
        <v>3.4620342853288575</v>
      </c>
      <c r="AA110">
        <f t="shared" si="79"/>
        <v>-39.295762319395109</v>
      </c>
      <c r="AB110">
        <f t="shared" si="80"/>
        <v>0.69695866369878456</v>
      </c>
      <c r="AC110">
        <f t="shared" si="81"/>
        <v>6.1840230255801737E-2</v>
      </c>
      <c r="AD110">
        <f t="shared" si="82"/>
        <v>-38.536963425440518</v>
      </c>
      <c r="AE110">
        <v>18</v>
      </c>
      <c r="AF110">
        <v>4</v>
      </c>
      <c r="AG110">
        <f t="shared" si="83"/>
        <v>1</v>
      </c>
      <c r="AH110">
        <f t="shared" si="84"/>
        <v>0</v>
      </c>
      <c r="AI110">
        <f t="shared" si="85"/>
        <v>25707.800284730867</v>
      </c>
      <c r="AJ110">
        <f t="shared" si="86"/>
        <v>0</v>
      </c>
      <c r="AK110">
        <f t="shared" si="87"/>
        <v>0</v>
      </c>
      <c r="AL110">
        <f t="shared" si="88"/>
        <v>0</v>
      </c>
      <c r="AM110">
        <f t="shared" si="89"/>
        <v>0</v>
      </c>
      <c r="AN110">
        <v>3</v>
      </c>
      <c r="AO110">
        <v>0.5</v>
      </c>
      <c r="AP110" t="s">
        <v>331</v>
      </c>
      <c r="AQ110">
        <v>2</v>
      </c>
      <c r="AR110">
        <v>1775509163.849999</v>
      </c>
      <c r="AS110">
        <v>57.491943333333332</v>
      </c>
      <c r="AT110">
        <v>57.618369999999999</v>
      </c>
      <c r="AU110">
        <v>-2.2573263333333329</v>
      </c>
      <c r="AV110">
        <v>-2.7931733333333342</v>
      </c>
      <c r="AW110">
        <v>49.622943333333332</v>
      </c>
      <c r="AX110">
        <v>-1.262326333333333</v>
      </c>
      <c r="AY110">
        <v>499.99633333333333</v>
      </c>
      <c r="AZ110">
        <v>100.1772</v>
      </c>
      <c r="BA110">
        <v>3.7391043333333332E-2</v>
      </c>
      <c r="BB110">
        <v>25.299289999999989</v>
      </c>
      <c r="BC110">
        <v>25.29388333333333</v>
      </c>
      <c r="BD110">
        <v>999.9000000000002</v>
      </c>
      <c r="BE110">
        <v>0</v>
      </c>
      <c r="BF110">
        <v>0</v>
      </c>
      <c r="BG110">
        <v>4998.9666666666662</v>
      </c>
      <c r="BH110">
        <v>0.39481526666666678</v>
      </c>
      <c r="BI110">
        <v>0.23344266666666669</v>
      </c>
      <c r="BJ110">
        <v>-0.12789319566666671</v>
      </c>
      <c r="BK110">
        <v>57.361193333333347</v>
      </c>
      <c r="BL110">
        <v>57.457880000000003</v>
      </c>
      <c r="BM110">
        <v>0.53938120000000001</v>
      </c>
      <c r="BN110">
        <v>57.618369999999999</v>
      </c>
      <c r="BO110">
        <v>-2.7931733333333342</v>
      </c>
      <c r="BP110">
        <v>-0.2257786333333334</v>
      </c>
      <c r="BQ110">
        <v>-0.27981230000000001</v>
      </c>
      <c r="BR110">
        <v>-99.900000000000034</v>
      </c>
      <c r="BS110">
        <v>-99.900000000000034</v>
      </c>
      <c r="BT110">
        <v>0</v>
      </c>
      <c r="BU110">
        <v>0</v>
      </c>
      <c r="BV110">
        <v>0</v>
      </c>
      <c r="BW110">
        <v>24</v>
      </c>
      <c r="BX110">
        <v>-1</v>
      </c>
      <c r="BY110">
        <v>1775509191.5999999</v>
      </c>
      <c r="BZ110" t="s">
        <v>615</v>
      </c>
      <c r="CA110">
        <v>1775509187.5999999</v>
      </c>
      <c r="CB110">
        <v>1775509191.5999999</v>
      </c>
      <c r="CC110">
        <v>97</v>
      </c>
      <c r="CD110">
        <v>2E-3</v>
      </c>
      <c r="CE110">
        <v>-3.0000000000000001E-3</v>
      </c>
      <c r="CF110">
        <v>7.8689999999999998</v>
      </c>
      <c r="CG110">
        <v>-0.995</v>
      </c>
      <c r="CH110">
        <v>58</v>
      </c>
      <c r="CI110">
        <v>-3</v>
      </c>
      <c r="CJ110">
        <v>0.21</v>
      </c>
      <c r="CK110">
        <v>0.15</v>
      </c>
      <c r="CL110">
        <v>57.535465000000002</v>
      </c>
      <c r="CM110">
        <v>0.39669252570180769</v>
      </c>
      <c r="CN110">
        <v>0.1097254161152586</v>
      </c>
      <c r="CO110">
        <v>-1</v>
      </c>
      <c r="CP110">
        <v>500.00839999999988</v>
      </c>
      <c r="CQ110">
        <v>-7.4467352041959547E-2</v>
      </c>
      <c r="CR110">
        <v>4.5396475634128158E-2</v>
      </c>
      <c r="CS110">
        <v>-1</v>
      </c>
      <c r="CT110">
        <v>0</v>
      </c>
      <c r="CU110">
        <v>0</v>
      </c>
      <c r="CV110" t="s">
        <v>333</v>
      </c>
      <c r="CW110">
        <v>3.1673100000000001</v>
      </c>
      <c r="CX110">
        <v>2.65883</v>
      </c>
      <c r="CY110">
        <v>1.4837700000000001E-2</v>
      </c>
      <c r="CZ110">
        <v>1.7272200000000001E-2</v>
      </c>
      <c r="DA110">
        <v>-1.1332099999999999E-2</v>
      </c>
      <c r="DB110">
        <v>-2.7978599999999999E-2</v>
      </c>
      <c r="DC110">
        <v>21327.7</v>
      </c>
      <c r="DD110">
        <v>21644.2</v>
      </c>
      <c r="DE110">
        <v>23174</v>
      </c>
      <c r="DF110">
        <v>22373.1</v>
      </c>
      <c r="DG110">
        <v>30215.9</v>
      </c>
      <c r="DH110">
        <v>27416.5</v>
      </c>
      <c r="DI110">
        <v>40717.5</v>
      </c>
      <c r="DJ110">
        <v>37068.300000000003</v>
      </c>
      <c r="DK110">
        <v>2.10338</v>
      </c>
      <c r="DL110">
        <v>1.8553999999999999</v>
      </c>
      <c r="DM110">
        <v>2.7149900000000001E-2</v>
      </c>
      <c r="DN110">
        <v>0</v>
      </c>
      <c r="DO110">
        <v>24.851299999999998</v>
      </c>
      <c r="DP110">
        <v>999.9</v>
      </c>
      <c r="DQ110">
        <v>79.7</v>
      </c>
      <c r="DR110">
        <v>27.9</v>
      </c>
      <c r="DS110">
        <v>30.014500000000002</v>
      </c>
      <c r="DT110">
        <v>30.7502</v>
      </c>
      <c r="DU110">
        <v>9.1466399999999997</v>
      </c>
      <c r="DV110">
        <v>1</v>
      </c>
      <c r="DW110">
        <v>5.5128000000000003E-2</v>
      </c>
      <c r="DX110">
        <v>-0.21732899999999999</v>
      </c>
      <c r="DY110">
        <v>20.367999999999999</v>
      </c>
      <c r="DZ110">
        <v>5.2121399999999998</v>
      </c>
      <c r="EA110">
        <v>11.8482</v>
      </c>
      <c r="EB110">
        <v>4.9685199999999998</v>
      </c>
      <c r="EC110">
        <v>3.2920400000000001</v>
      </c>
      <c r="ED110">
        <v>894.7</v>
      </c>
      <c r="EE110">
        <v>0</v>
      </c>
      <c r="EF110">
        <v>9999</v>
      </c>
      <c r="EG110">
        <v>114.5</v>
      </c>
      <c r="EH110">
        <v>4.9716300000000002</v>
      </c>
      <c r="EI110">
        <v>1.8717999999999999</v>
      </c>
      <c r="EJ110">
        <v>1.8689</v>
      </c>
      <c r="EK110">
        <v>1.87134</v>
      </c>
      <c r="EL110">
        <v>1.8690500000000001</v>
      </c>
      <c r="EM110">
        <v>1.86802</v>
      </c>
      <c r="EN110">
        <v>1.86985</v>
      </c>
      <c r="EO110">
        <v>1.8716900000000001</v>
      </c>
      <c r="EP110">
        <v>0</v>
      </c>
      <c r="EQ110">
        <v>0</v>
      </c>
      <c r="ER110">
        <v>0</v>
      </c>
      <c r="ES110">
        <v>0</v>
      </c>
      <c r="ET110" t="s">
        <v>334</v>
      </c>
      <c r="EU110" t="s">
        <v>335</v>
      </c>
      <c r="EV110" t="s">
        <v>336</v>
      </c>
      <c r="EW110" t="s">
        <v>336</v>
      </c>
      <c r="EX110" t="s">
        <v>336</v>
      </c>
      <c r="EY110" t="s">
        <v>336</v>
      </c>
      <c r="EZ110">
        <v>0</v>
      </c>
      <c r="FA110">
        <v>100</v>
      </c>
      <c r="FB110">
        <v>100</v>
      </c>
      <c r="FC110">
        <v>7.8689999999999998</v>
      </c>
      <c r="FD110">
        <v>-0.995</v>
      </c>
      <c r="FE110">
        <v>7.8675349999999966</v>
      </c>
      <c r="FF110">
        <v>0</v>
      </c>
      <c r="FG110">
        <v>0</v>
      </c>
      <c r="FH110">
        <v>0</v>
      </c>
      <c r="FI110">
        <v>-0.99146571428571373</v>
      </c>
      <c r="FJ110">
        <v>0</v>
      </c>
      <c r="FK110">
        <v>0</v>
      </c>
      <c r="FL110">
        <v>0</v>
      </c>
      <c r="FM110">
        <v>-1</v>
      </c>
      <c r="FN110">
        <v>-1</v>
      </c>
      <c r="FO110">
        <v>-1</v>
      </c>
      <c r="FP110">
        <v>-1</v>
      </c>
      <c r="FQ110">
        <v>0.7</v>
      </c>
      <c r="FR110">
        <v>0.7</v>
      </c>
      <c r="FS110">
        <v>0.142822</v>
      </c>
      <c r="FT110">
        <v>4.99756</v>
      </c>
      <c r="FU110">
        <v>1.5979000000000001</v>
      </c>
      <c r="FV110">
        <v>2.16187</v>
      </c>
      <c r="FW110">
        <v>1.5478499999999999</v>
      </c>
      <c r="FX110">
        <v>2.36206</v>
      </c>
      <c r="FY110">
        <v>32.310699999999997</v>
      </c>
      <c r="FZ110">
        <v>15.962</v>
      </c>
      <c r="GA110">
        <v>3</v>
      </c>
      <c r="GB110">
        <v>492.03699999999998</v>
      </c>
      <c r="GC110">
        <v>424.62200000000001</v>
      </c>
      <c r="GD110">
        <v>26.0291</v>
      </c>
      <c r="GE110">
        <v>27.872800000000002</v>
      </c>
      <c r="GF110">
        <v>30.0001</v>
      </c>
      <c r="GG110">
        <v>28.192799999999998</v>
      </c>
      <c r="GH110">
        <v>28.249600000000001</v>
      </c>
      <c r="GI110">
        <v>-1</v>
      </c>
      <c r="GJ110">
        <v>0</v>
      </c>
      <c r="GK110">
        <v>100</v>
      </c>
      <c r="GL110">
        <v>26.021899999999999</v>
      </c>
      <c r="GM110">
        <v>432.1</v>
      </c>
      <c r="GN110">
        <v>63.216500000000003</v>
      </c>
      <c r="GO110">
        <v>102.501</v>
      </c>
      <c r="GP110">
        <v>96.734499999999997</v>
      </c>
    </row>
    <row r="111" spans="1:198" x14ac:dyDescent="0.35">
      <c r="A111">
        <v>95</v>
      </c>
      <c r="B111">
        <v>1775509232</v>
      </c>
      <c r="C111">
        <v>5641</v>
      </c>
      <c r="D111" t="s">
        <v>616</v>
      </c>
      <c r="E111" t="s">
        <v>617</v>
      </c>
      <c r="F111">
        <v>60</v>
      </c>
      <c r="G111">
        <v>1775509224.25</v>
      </c>
      <c r="H111">
        <f t="shared" si="60"/>
        <v>8.9688626771450752E-4</v>
      </c>
      <c r="I111">
        <f t="shared" si="61"/>
        <v>0.89688626771450752</v>
      </c>
      <c r="J111">
        <f t="shared" si="62"/>
        <v>-1.8299410392332568E-2</v>
      </c>
      <c r="K111">
        <f t="shared" si="63"/>
        <v>57.767270000000018</v>
      </c>
      <c r="L111">
        <f t="shared" si="64"/>
        <v>55.729423913870974</v>
      </c>
      <c r="M111">
        <f t="shared" si="65"/>
        <v>5.5849052908873924</v>
      </c>
      <c r="N111">
        <f t="shared" si="66"/>
        <v>5.7891273443223197</v>
      </c>
      <c r="O111">
        <f t="shared" si="67"/>
        <v>2.5724623985615893E-2</v>
      </c>
      <c r="P111">
        <f t="shared" si="68"/>
        <v>2.3895943389622962</v>
      </c>
      <c r="Q111">
        <f t="shared" si="69"/>
        <v>2.557175967114491E-2</v>
      </c>
      <c r="R111">
        <f t="shared" si="70"/>
        <v>1.599600820234719E-2</v>
      </c>
      <c r="S111">
        <f t="shared" si="71"/>
        <v>0</v>
      </c>
      <c r="T111">
        <f t="shared" si="72"/>
        <v>25.020867205841469</v>
      </c>
      <c r="U111">
        <f t="shared" si="73"/>
        <v>25.29763333333333</v>
      </c>
      <c r="V111">
        <f t="shared" si="74"/>
        <v>3.236539161069985</v>
      </c>
      <c r="W111">
        <f t="shared" si="75"/>
        <v>-6.9656973692593365</v>
      </c>
      <c r="X111">
        <f t="shared" si="76"/>
        <v>-0.22551749311055863</v>
      </c>
      <c r="Y111">
        <f t="shared" si="77"/>
        <v>3.2375436536448028</v>
      </c>
      <c r="Z111">
        <f t="shared" si="78"/>
        <v>3.4620566541805435</v>
      </c>
      <c r="AA111">
        <f t="shared" si="79"/>
        <v>-39.552684406209785</v>
      </c>
      <c r="AB111">
        <f t="shared" si="80"/>
        <v>0.67205174217814667</v>
      </c>
      <c r="AC111">
        <f t="shared" si="81"/>
        <v>5.966924654754744E-2</v>
      </c>
      <c r="AD111">
        <f t="shared" si="82"/>
        <v>-38.820963417484087</v>
      </c>
      <c r="AE111">
        <v>18</v>
      </c>
      <c r="AF111">
        <v>4</v>
      </c>
      <c r="AG111">
        <f t="shared" si="83"/>
        <v>1</v>
      </c>
      <c r="AH111">
        <f t="shared" si="84"/>
        <v>0</v>
      </c>
      <c r="AI111">
        <f t="shared" si="85"/>
        <v>25684.932225178141</v>
      </c>
      <c r="AJ111">
        <f t="shared" si="86"/>
        <v>0</v>
      </c>
      <c r="AK111">
        <f t="shared" si="87"/>
        <v>0</v>
      </c>
      <c r="AL111">
        <f t="shared" si="88"/>
        <v>0</v>
      </c>
      <c r="AM111">
        <f t="shared" si="89"/>
        <v>0</v>
      </c>
      <c r="AN111">
        <v>3</v>
      </c>
      <c r="AO111">
        <v>0.5</v>
      </c>
      <c r="AP111" t="s">
        <v>331</v>
      </c>
      <c r="AQ111">
        <v>2</v>
      </c>
      <c r="AR111">
        <v>1775509224.25</v>
      </c>
      <c r="AS111">
        <v>57.767270000000018</v>
      </c>
      <c r="AT111">
        <v>57.787376666666653</v>
      </c>
      <c r="AU111">
        <v>-2.2503443333333339</v>
      </c>
      <c r="AV111">
        <v>-2.789684666666667</v>
      </c>
      <c r="AW111">
        <v>49.878270000000008</v>
      </c>
      <c r="AX111">
        <v>-1.257344333333333</v>
      </c>
      <c r="AY111">
        <v>500.00223333333338</v>
      </c>
      <c r="AZ111">
        <v>100.17733333333329</v>
      </c>
      <c r="BA111">
        <v>3.7327050000000001E-2</v>
      </c>
      <c r="BB111">
        <v>25.302849999999999</v>
      </c>
      <c r="BC111">
        <v>25.29763333333333</v>
      </c>
      <c r="BD111">
        <v>999.9000000000002</v>
      </c>
      <c r="BE111">
        <v>0</v>
      </c>
      <c r="BF111">
        <v>0</v>
      </c>
      <c r="BG111">
        <v>4995.166666666667</v>
      </c>
      <c r="BH111">
        <v>0.37296320000000011</v>
      </c>
      <c r="BI111">
        <v>0.2334426666666666</v>
      </c>
      <c r="BJ111">
        <v>-3.9713035000000001E-2</v>
      </c>
      <c r="BK111">
        <v>57.617903333333317</v>
      </c>
      <c r="BL111">
        <v>57.626620000000003</v>
      </c>
      <c r="BM111">
        <v>0.53768223333333331</v>
      </c>
      <c r="BN111">
        <v>57.787376666666653</v>
      </c>
      <c r="BO111">
        <v>-2.789684666666667</v>
      </c>
      <c r="BP111">
        <v>-0.22559966666666659</v>
      </c>
      <c r="BQ111">
        <v>-0.27946330000000003</v>
      </c>
      <c r="BR111">
        <v>-99.900000000000034</v>
      </c>
      <c r="BS111">
        <v>-99.900000000000034</v>
      </c>
      <c r="BT111">
        <v>0</v>
      </c>
      <c r="BU111">
        <v>0</v>
      </c>
      <c r="BV111">
        <v>0</v>
      </c>
      <c r="BW111">
        <v>24</v>
      </c>
      <c r="BX111">
        <v>-1</v>
      </c>
      <c r="BY111">
        <v>1775509252</v>
      </c>
      <c r="BZ111" t="s">
        <v>618</v>
      </c>
      <c r="CA111">
        <v>1775509247</v>
      </c>
      <c r="CB111">
        <v>1775509252</v>
      </c>
      <c r="CC111">
        <v>98</v>
      </c>
      <c r="CD111">
        <v>1.9E-2</v>
      </c>
      <c r="CE111">
        <v>2E-3</v>
      </c>
      <c r="CF111">
        <v>7.8890000000000002</v>
      </c>
      <c r="CG111">
        <v>-0.99299999999999999</v>
      </c>
      <c r="CH111">
        <v>59</v>
      </c>
      <c r="CI111">
        <v>-3</v>
      </c>
      <c r="CJ111">
        <v>0.14000000000000001</v>
      </c>
      <c r="CK111">
        <v>0.13</v>
      </c>
      <c r="CL111">
        <v>57.816467213114763</v>
      </c>
      <c r="CM111">
        <v>-0.27067245842493609</v>
      </c>
      <c r="CN111">
        <v>7.6596624334538746E-2</v>
      </c>
      <c r="CO111">
        <v>-1</v>
      </c>
      <c r="CP111">
        <v>500.00219672131152</v>
      </c>
      <c r="CQ111">
        <v>-3.653392546920823E-2</v>
      </c>
      <c r="CR111">
        <v>4.8103310840736248E-2</v>
      </c>
      <c r="CS111">
        <v>-1</v>
      </c>
      <c r="CT111">
        <v>0</v>
      </c>
      <c r="CU111">
        <v>0</v>
      </c>
      <c r="CV111" t="s">
        <v>333</v>
      </c>
      <c r="CW111">
        <v>3.1673100000000001</v>
      </c>
      <c r="CX111">
        <v>2.65863</v>
      </c>
      <c r="CY111">
        <v>1.48854E-2</v>
      </c>
      <c r="CZ111">
        <v>1.7241599999999999E-2</v>
      </c>
      <c r="DA111">
        <v>-1.12795E-2</v>
      </c>
      <c r="DB111">
        <v>-2.79825E-2</v>
      </c>
      <c r="DC111">
        <v>21326.3</v>
      </c>
      <c r="DD111">
        <v>21644.7</v>
      </c>
      <c r="DE111">
        <v>23173.599999999999</v>
      </c>
      <c r="DF111">
        <v>22373</v>
      </c>
      <c r="DG111">
        <v>30213.8</v>
      </c>
      <c r="DH111">
        <v>27416.400000000001</v>
      </c>
      <c r="DI111">
        <v>40716.699999999997</v>
      </c>
      <c r="DJ111">
        <v>37068.1</v>
      </c>
      <c r="DK111">
        <v>2.1034199999999998</v>
      </c>
      <c r="DL111">
        <v>1.8555999999999999</v>
      </c>
      <c r="DM111">
        <v>2.6079999999999999E-2</v>
      </c>
      <c r="DN111">
        <v>0</v>
      </c>
      <c r="DO111">
        <v>24.855499999999999</v>
      </c>
      <c r="DP111">
        <v>999.9</v>
      </c>
      <c r="DQ111">
        <v>79.7</v>
      </c>
      <c r="DR111">
        <v>27.9</v>
      </c>
      <c r="DS111">
        <v>30.017499999999998</v>
      </c>
      <c r="DT111">
        <v>30.940200000000001</v>
      </c>
      <c r="DU111">
        <v>9.1466399999999997</v>
      </c>
      <c r="DV111">
        <v>1</v>
      </c>
      <c r="DW111">
        <v>5.5627999999999997E-2</v>
      </c>
      <c r="DX111">
        <v>-0.20077999999999999</v>
      </c>
      <c r="DY111">
        <v>20.367999999999999</v>
      </c>
      <c r="DZ111">
        <v>5.2122599999999997</v>
      </c>
      <c r="EA111">
        <v>11.8482</v>
      </c>
      <c r="EB111">
        <v>4.9684400000000002</v>
      </c>
      <c r="EC111">
        <v>3.2920199999999999</v>
      </c>
      <c r="ED111">
        <v>894.7</v>
      </c>
      <c r="EE111">
        <v>0</v>
      </c>
      <c r="EF111">
        <v>9999</v>
      </c>
      <c r="EG111">
        <v>114.6</v>
      </c>
      <c r="EH111">
        <v>4.9716500000000003</v>
      </c>
      <c r="EI111">
        <v>1.8717999999999999</v>
      </c>
      <c r="EJ111">
        <v>1.8689100000000001</v>
      </c>
      <c r="EK111">
        <v>1.87134</v>
      </c>
      <c r="EL111">
        <v>1.8690599999999999</v>
      </c>
      <c r="EM111">
        <v>1.86805</v>
      </c>
      <c r="EN111">
        <v>1.86991</v>
      </c>
      <c r="EO111">
        <v>1.87168</v>
      </c>
      <c r="EP111">
        <v>0</v>
      </c>
      <c r="EQ111">
        <v>0</v>
      </c>
      <c r="ER111">
        <v>0</v>
      </c>
      <c r="ES111">
        <v>0</v>
      </c>
      <c r="ET111" t="s">
        <v>334</v>
      </c>
      <c r="EU111" t="s">
        <v>335</v>
      </c>
      <c r="EV111" t="s">
        <v>336</v>
      </c>
      <c r="EW111" t="s">
        <v>336</v>
      </c>
      <c r="EX111" t="s">
        <v>336</v>
      </c>
      <c r="EY111" t="s">
        <v>336</v>
      </c>
      <c r="EZ111">
        <v>0</v>
      </c>
      <c r="FA111">
        <v>100</v>
      </c>
      <c r="FB111">
        <v>100</v>
      </c>
      <c r="FC111">
        <v>7.8890000000000002</v>
      </c>
      <c r="FD111">
        <v>-0.99299999999999999</v>
      </c>
      <c r="FE111">
        <v>7.8694149999999956</v>
      </c>
      <c r="FF111">
        <v>0</v>
      </c>
      <c r="FG111">
        <v>0</v>
      </c>
      <c r="FH111">
        <v>0</v>
      </c>
      <c r="FI111">
        <v>-0.99465799999999982</v>
      </c>
      <c r="FJ111">
        <v>0</v>
      </c>
      <c r="FK111">
        <v>0</v>
      </c>
      <c r="FL111">
        <v>0</v>
      </c>
      <c r="FM111">
        <v>-1</v>
      </c>
      <c r="FN111">
        <v>-1</v>
      </c>
      <c r="FO111">
        <v>-1</v>
      </c>
      <c r="FP111">
        <v>-1</v>
      </c>
      <c r="FQ111">
        <v>0.7</v>
      </c>
      <c r="FR111">
        <v>0.7</v>
      </c>
      <c r="FS111">
        <v>0.142822</v>
      </c>
      <c r="FT111">
        <v>4.99756</v>
      </c>
      <c r="FU111">
        <v>1.5979000000000001</v>
      </c>
      <c r="FV111">
        <v>2.16309</v>
      </c>
      <c r="FW111">
        <v>1.5478499999999999</v>
      </c>
      <c r="FX111">
        <v>2.3889200000000002</v>
      </c>
      <c r="FY111">
        <v>32.332799999999999</v>
      </c>
      <c r="FZ111">
        <v>15.970800000000001</v>
      </c>
      <c r="GA111">
        <v>3</v>
      </c>
      <c r="GB111">
        <v>492.05900000000003</v>
      </c>
      <c r="GC111">
        <v>424.74</v>
      </c>
      <c r="GD111">
        <v>26.007000000000001</v>
      </c>
      <c r="GE111">
        <v>27.872800000000002</v>
      </c>
      <c r="GF111">
        <v>30.0001</v>
      </c>
      <c r="GG111">
        <v>28.192799999999998</v>
      </c>
      <c r="GH111">
        <v>28.249600000000001</v>
      </c>
      <c r="GI111">
        <v>-1</v>
      </c>
      <c r="GJ111">
        <v>0</v>
      </c>
      <c r="GK111">
        <v>100</v>
      </c>
      <c r="GL111">
        <v>26.004999999999999</v>
      </c>
      <c r="GM111">
        <v>432.1</v>
      </c>
      <c r="GN111">
        <v>63.216500000000003</v>
      </c>
      <c r="GO111">
        <v>102.499</v>
      </c>
      <c r="GP111">
        <v>96.733900000000006</v>
      </c>
    </row>
    <row r="112" spans="1:198" x14ac:dyDescent="0.35">
      <c r="A112">
        <v>96</v>
      </c>
      <c r="B112">
        <v>1775509292</v>
      </c>
      <c r="C112">
        <v>5701</v>
      </c>
      <c r="D112" t="s">
        <v>619</v>
      </c>
      <c r="E112" t="s">
        <v>620</v>
      </c>
      <c r="F112">
        <v>60</v>
      </c>
      <c r="G112">
        <v>1775509284</v>
      </c>
      <c r="H112">
        <f t="shared" si="60"/>
        <v>9.1297014354476996E-4</v>
      </c>
      <c r="I112">
        <f t="shared" si="61"/>
        <v>0.91297014354477002</v>
      </c>
      <c r="J112">
        <f t="shared" si="62"/>
        <v>0.26102048288719332</v>
      </c>
      <c r="K112">
        <f t="shared" si="63"/>
        <v>58.790993548387092</v>
      </c>
      <c r="L112">
        <f t="shared" si="64"/>
        <v>39.990784636149513</v>
      </c>
      <c r="M112">
        <f t="shared" si="65"/>
        <v>4.0077616290133369</v>
      </c>
      <c r="N112">
        <f t="shared" si="66"/>
        <v>5.891864593769645</v>
      </c>
      <c r="O112">
        <f t="shared" si="67"/>
        <v>2.6187554078209562E-2</v>
      </c>
      <c r="P112">
        <f t="shared" si="68"/>
        <v>2.3908761022165907</v>
      </c>
      <c r="Q112">
        <f t="shared" si="69"/>
        <v>2.6029241134620022E-2</v>
      </c>
      <c r="R112">
        <f t="shared" si="70"/>
        <v>1.6282419595470988E-2</v>
      </c>
      <c r="S112">
        <f t="shared" si="71"/>
        <v>0</v>
      </c>
      <c r="T112">
        <f t="shared" si="72"/>
        <v>25.013068808858318</v>
      </c>
      <c r="U112">
        <f t="shared" si="73"/>
        <v>25.296890322580641</v>
      </c>
      <c r="V112">
        <f t="shared" si="74"/>
        <v>3.2363961131720993</v>
      </c>
      <c r="W112">
        <f t="shared" si="75"/>
        <v>-6.9787807838742122</v>
      </c>
      <c r="X112">
        <f t="shared" si="76"/>
        <v>-0.22590234036474929</v>
      </c>
      <c r="Y112">
        <f t="shared" si="77"/>
        <v>3.2369886282535081</v>
      </c>
      <c r="Z112">
        <f t="shared" si="78"/>
        <v>3.4622984535368486</v>
      </c>
      <c r="AA112">
        <f t="shared" si="79"/>
        <v>-40.261983330324355</v>
      </c>
      <c r="AB112">
        <f t="shared" si="80"/>
        <v>0.39666985306850205</v>
      </c>
      <c r="AC112">
        <f t="shared" si="81"/>
        <v>3.519947861375624E-2</v>
      </c>
      <c r="AD112">
        <f t="shared" si="82"/>
        <v>-39.830113998642098</v>
      </c>
      <c r="AE112">
        <v>18</v>
      </c>
      <c r="AF112">
        <v>4</v>
      </c>
      <c r="AG112">
        <f t="shared" si="83"/>
        <v>1</v>
      </c>
      <c r="AH112">
        <f t="shared" si="84"/>
        <v>0</v>
      </c>
      <c r="AI112">
        <f t="shared" si="85"/>
        <v>25704.693419319658</v>
      </c>
      <c r="AJ112">
        <f t="shared" si="86"/>
        <v>0</v>
      </c>
      <c r="AK112">
        <f t="shared" si="87"/>
        <v>0</v>
      </c>
      <c r="AL112">
        <f t="shared" si="88"/>
        <v>0</v>
      </c>
      <c r="AM112">
        <f t="shared" si="89"/>
        <v>0</v>
      </c>
      <c r="AN112">
        <v>3</v>
      </c>
      <c r="AO112">
        <v>0.5</v>
      </c>
      <c r="AP112" t="s">
        <v>331</v>
      </c>
      <c r="AQ112">
        <v>2</v>
      </c>
      <c r="AR112">
        <v>1775509284</v>
      </c>
      <c r="AS112">
        <v>58.790993548387092</v>
      </c>
      <c r="AT112">
        <v>58.979812903225799</v>
      </c>
      <c r="AU112">
        <v>-2.254129032258064</v>
      </c>
      <c r="AV112">
        <v>-2.803152903225806</v>
      </c>
      <c r="AW112">
        <v>50.900993548387092</v>
      </c>
      <c r="AX112">
        <v>-1.2641290322580649</v>
      </c>
      <c r="AY112">
        <v>499.99361290322571</v>
      </c>
      <c r="AZ112">
        <v>100.17987096774191</v>
      </c>
      <c r="BA112">
        <v>3.7258190322580639E-2</v>
      </c>
      <c r="BB112">
        <v>25.299967741935479</v>
      </c>
      <c r="BC112">
        <v>25.296890322580641</v>
      </c>
      <c r="BD112">
        <v>999.90000000000032</v>
      </c>
      <c r="BE112">
        <v>0</v>
      </c>
      <c r="BF112">
        <v>0</v>
      </c>
      <c r="BG112">
        <v>4998.3387096774204</v>
      </c>
      <c r="BH112">
        <v>0.40617741935483881</v>
      </c>
      <c r="BI112">
        <v>0.23331922580645159</v>
      </c>
      <c r="BJ112">
        <v>-0.19031764516129029</v>
      </c>
      <c r="BK112">
        <v>58.657087096774198</v>
      </c>
      <c r="BL112">
        <v>58.814951612903229</v>
      </c>
      <c r="BM112">
        <v>0.54597564516129038</v>
      </c>
      <c r="BN112">
        <v>58.979812903225799</v>
      </c>
      <c r="BO112">
        <v>-2.803152903225806</v>
      </c>
      <c r="BP112">
        <v>-0.2261238064516129</v>
      </c>
      <c r="BQ112">
        <v>-0.28081954838709677</v>
      </c>
      <c r="BR112">
        <v>-99.900000000000034</v>
      </c>
      <c r="BS112">
        <v>-99.900000000000034</v>
      </c>
      <c r="BT112">
        <v>0</v>
      </c>
      <c r="BU112">
        <v>0</v>
      </c>
      <c r="BV112">
        <v>0</v>
      </c>
      <c r="BW112">
        <v>24</v>
      </c>
      <c r="BX112">
        <v>-1</v>
      </c>
      <c r="BY112">
        <v>1775509312.5</v>
      </c>
      <c r="BZ112" t="s">
        <v>621</v>
      </c>
      <c r="CA112">
        <v>1775509312.5</v>
      </c>
      <c r="CB112">
        <v>1775509312</v>
      </c>
      <c r="CC112">
        <v>99</v>
      </c>
      <c r="CD112">
        <v>2E-3</v>
      </c>
      <c r="CE112">
        <v>3.0000000000000001E-3</v>
      </c>
      <c r="CF112">
        <v>7.89</v>
      </c>
      <c r="CG112">
        <v>-0.99</v>
      </c>
      <c r="CH112">
        <v>59</v>
      </c>
      <c r="CI112">
        <v>-3</v>
      </c>
      <c r="CJ112">
        <v>0.39</v>
      </c>
      <c r="CK112">
        <v>0.13</v>
      </c>
      <c r="CL112">
        <v>58.875446666666669</v>
      </c>
      <c r="CM112">
        <v>0.84599033064736018</v>
      </c>
      <c r="CN112">
        <v>0.12462278746503611</v>
      </c>
      <c r="CO112">
        <v>-1</v>
      </c>
      <c r="CP112">
        <v>500.00709999999998</v>
      </c>
      <c r="CQ112">
        <v>-9.6853570434685413E-2</v>
      </c>
      <c r="CR112">
        <v>6.0574389527806513E-2</v>
      </c>
      <c r="CS112">
        <v>-1</v>
      </c>
      <c r="CT112">
        <v>0</v>
      </c>
      <c r="CU112">
        <v>0</v>
      </c>
      <c r="CV112" t="s">
        <v>333</v>
      </c>
      <c r="CW112">
        <v>3.1673399999999998</v>
      </c>
      <c r="CX112">
        <v>2.6583399999999999</v>
      </c>
      <c r="CY112">
        <v>1.52152E-2</v>
      </c>
      <c r="CZ112">
        <v>1.7559200000000001E-2</v>
      </c>
      <c r="DA112">
        <v>-1.13813E-2</v>
      </c>
      <c r="DB112">
        <v>-2.8154599999999998E-2</v>
      </c>
      <c r="DC112">
        <v>21318.6</v>
      </c>
      <c r="DD112">
        <v>21637.5</v>
      </c>
      <c r="DE112">
        <v>23173</v>
      </c>
      <c r="DF112">
        <v>22372.799999999999</v>
      </c>
      <c r="DG112">
        <v>30216.1</v>
      </c>
      <c r="DH112">
        <v>27420.7</v>
      </c>
      <c r="DI112">
        <v>40715.699999999997</v>
      </c>
      <c r="DJ112">
        <v>37067.800000000003</v>
      </c>
      <c r="DK112">
        <v>2.1031599999999999</v>
      </c>
      <c r="DL112">
        <v>1.8553999999999999</v>
      </c>
      <c r="DM112">
        <v>2.66939E-2</v>
      </c>
      <c r="DN112">
        <v>0</v>
      </c>
      <c r="DO112">
        <v>24.863800000000001</v>
      </c>
      <c r="DP112">
        <v>999.9</v>
      </c>
      <c r="DQ112">
        <v>79.599999999999994</v>
      </c>
      <c r="DR112">
        <v>27.9</v>
      </c>
      <c r="DS112">
        <v>29.9771</v>
      </c>
      <c r="DT112">
        <v>30.8201</v>
      </c>
      <c r="DU112">
        <v>9.1185899999999993</v>
      </c>
      <c r="DV112">
        <v>1</v>
      </c>
      <c r="DW112">
        <v>5.5599599999999999E-2</v>
      </c>
      <c r="DX112">
        <v>-0.201739</v>
      </c>
      <c r="DY112">
        <v>20.367799999999999</v>
      </c>
      <c r="DZ112">
        <v>5.2123799999999996</v>
      </c>
      <c r="EA112">
        <v>11.8482</v>
      </c>
      <c r="EB112">
        <v>4.9685199999999998</v>
      </c>
      <c r="EC112">
        <v>3.2921200000000002</v>
      </c>
      <c r="ED112">
        <v>894.7</v>
      </c>
      <c r="EE112">
        <v>0</v>
      </c>
      <c r="EF112">
        <v>9999</v>
      </c>
      <c r="EG112">
        <v>114.6</v>
      </c>
      <c r="EH112">
        <v>4.9716300000000002</v>
      </c>
      <c r="EI112">
        <v>1.8717999999999999</v>
      </c>
      <c r="EJ112">
        <v>1.8689100000000001</v>
      </c>
      <c r="EK112">
        <v>1.87134</v>
      </c>
      <c r="EL112">
        <v>1.8690500000000001</v>
      </c>
      <c r="EM112">
        <v>1.86802</v>
      </c>
      <c r="EN112">
        <v>1.86985</v>
      </c>
      <c r="EO112">
        <v>1.87165</v>
      </c>
      <c r="EP112">
        <v>0</v>
      </c>
      <c r="EQ112">
        <v>0</v>
      </c>
      <c r="ER112">
        <v>0</v>
      </c>
      <c r="ES112">
        <v>0</v>
      </c>
      <c r="ET112" t="s">
        <v>334</v>
      </c>
      <c r="EU112" t="s">
        <v>335</v>
      </c>
      <c r="EV112" t="s">
        <v>336</v>
      </c>
      <c r="EW112" t="s">
        <v>336</v>
      </c>
      <c r="EX112" t="s">
        <v>336</v>
      </c>
      <c r="EY112" t="s">
        <v>336</v>
      </c>
      <c r="EZ112">
        <v>0</v>
      </c>
      <c r="FA112">
        <v>100</v>
      </c>
      <c r="FB112">
        <v>100</v>
      </c>
      <c r="FC112">
        <v>7.89</v>
      </c>
      <c r="FD112">
        <v>-0.99</v>
      </c>
      <c r="FE112">
        <v>7.8884999999999996</v>
      </c>
      <c r="FF112">
        <v>0</v>
      </c>
      <c r="FG112">
        <v>0</v>
      </c>
      <c r="FH112">
        <v>0</v>
      </c>
      <c r="FI112">
        <v>-0.99304849999999956</v>
      </c>
      <c r="FJ112">
        <v>0</v>
      </c>
      <c r="FK112">
        <v>0</v>
      </c>
      <c r="FL112">
        <v>0</v>
      </c>
      <c r="FM112">
        <v>-1</v>
      </c>
      <c r="FN112">
        <v>-1</v>
      </c>
      <c r="FO112">
        <v>-1</v>
      </c>
      <c r="FP112">
        <v>-1</v>
      </c>
      <c r="FQ112">
        <v>0.8</v>
      </c>
      <c r="FR112">
        <v>0.7</v>
      </c>
      <c r="FS112">
        <v>0.142822</v>
      </c>
      <c r="FT112">
        <v>4.99756</v>
      </c>
      <c r="FU112">
        <v>1.5979000000000001</v>
      </c>
      <c r="FV112">
        <v>2.16187</v>
      </c>
      <c r="FW112">
        <v>1.5478499999999999</v>
      </c>
      <c r="FX112">
        <v>2.3754900000000001</v>
      </c>
      <c r="FY112">
        <v>32.332799999999999</v>
      </c>
      <c r="FZ112">
        <v>15.970800000000001</v>
      </c>
      <c r="GA112">
        <v>3</v>
      </c>
      <c r="GB112">
        <v>491.90800000000002</v>
      </c>
      <c r="GC112">
        <v>424.60899999999998</v>
      </c>
      <c r="GD112">
        <v>25.985499999999998</v>
      </c>
      <c r="GE112">
        <v>27.8752</v>
      </c>
      <c r="GF112">
        <v>30.0001</v>
      </c>
      <c r="GG112">
        <v>28.192399999999999</v>
      </c>
      <c r="GH112">
        <v>28.247699999999998</v>
      </c>
      <c r="GI112">
        <v>-1</v>
      </c>
      <c r="GJ112">
        <v>0</v>
      </c>
      <c r="GK112">
        <v>100</v>
      </c>
      <c r="GL112">
        <v>25.985800000000001</v>
      </c>
      <c r="GM112">
        <v>432.1</v>
      </c>
      <c r="GN112">
        <v>63.216500000000003</v>
      </c>
      <c r="GO112">
        <v>102.497</v>
      </c>
      <c r="GP112">
        <v>96.733099999999993</v>
      </c>
    </row>
    <row r="113" spans="1:198" x14ac:dyDescent="0.35">
      <c r="A113">
        <v>97</v>
      </c>
      <c r="B113">
        <v>1775509352</v>
      </c>
      <c r="C113">
        <v>5761</v>
      </c>
      <c r="D113" t="s">
        <v>622</v>
      </c>
      <c r="E113" t="s">
        <v>623</v>
      </c>
      <c r="F113">
        <v>60</v>
      </c>
      <c r="G113">
        <v>1775509344.25</v>
      </c>
      <c r="H113">
        <f t="shared" ref="H113:H144" si="90">(I113)/1000</f>
        <v>9.3078560423378502E-4</v>
      </c>
      <c r="I113">
        <f t="shared" ref="I113:I144" si="91">1000*AY113*AG113*(AU113-AV113)/(100*AN113*(1000-AG113*AU113))</f>
        <v>0.93078560423378498</v>
      </c>
      <c r="J113">
        <f t="shared" ref="J113:J144" si="92">AY113*AG113*(AT113-AS113*(1000-AG113*AV113)/(1000-AG113*AU113))/(100*AN113)</f>
        <v>-0.12083897682695152</v>
      </c>
      <c r="K113">
        <f t="shared" ref="K113:K144" si="93">AS113 - IF(AG113&gt;1, J113*AN113*100/(AI113), 0)</f>
        <v>57.738996666666679</v>
      </c>
      <c r="L113">
        <f t="shared" ref="L113:L144" si="94">((R113-H113/2)*K113-J113)/(R113+H113/2)</f>
        <v>61.670426795462127</v>
      </c>
      <c r="M113">
        <f t="shared" ref="M113:M144" si="95">L113*(AZ113+BA113)/1000</f>
        <v>6.1805384659468876</v>
      </c>
      <c r="N113">
        <f t="shared" ref="N113:N144" si="96">(AS113 - IF(AG113&gt;1, J113*AN113*100/(AI113), 0))*(AZ113+BA113)/1000</f>
        <v>5.7865351097224949</v>
      </c>
      <c r="O113">
        <f t="shared" ref="O113:O144" si="97">2/((1/Q113-1/P113)+SIGN(Q113)*SQRT((1/Q113-1/P113)*(1/Q113-1/P113) + 4*AO113/((AO113+1)*(AO113+1))*(2*1/Q113*1/P113-1/P113*1/P113)))</f>
        <v>2.6702956136483279E-2</v>
      </c>
      <c r="P113">
        <f t="shared" ref="P113:P144" si="98">IF(LEFT(AP113,1)&lt;&gt;"0",IF(LEFT(AP113,1)="1",3,AQ113),$D$5+$E$5*(BG113*AZ113/($K$5*1000))+$F$5*(BG113*AZ113/($K$5*1000))*MAX(MIN(AN113,$J$5),$I$5)*MAX(MIN(AN113,$J$5),$I$5)+$G$5*MAX(MIN(AN113,$J$5),$I$5)*(BG113*AZ113/($K$5*1000))+$H$5*(BG113*AZ113/($K$5*1000))*(BG113*AZ113/($K$5*1000)))</f>
        <v>2.3929089424731753</v>
      </c>
      <c r="Q113">
        <f t="shared" ref="Q113:Q144" si="99">H113*(1000-(1000*0.61365*EXP(17.502*U113/(240.97+U113))/(AZ113+BA113)+AU113)/2)/(1000*0.61365*EXP(17.502*U113/(240.97+U113))/(AZ113+BA113)-AU113)</f>
        <v>2.6538510323163553E-2</v>
      </c>
      <c r="R113">
        <f t="shared" ref="R113:R144" si="100">1/((AO113+1)/(O113/1.6)+1/(P113/1.37)) + AO113/((AO113+1)/(O113/1.6) + AO113/(P113/1.37))</f>
        <v>1.6601259212190522E-2</v>
      </c>
      <c r="S113">
        <f t="shared" ref="S113:S144" si="101">(AJ113*AM113)</f>
        <v>0</v>
      </c>
      <c r="T113">
        <f t="shared" ref="T113:T144" si="102">(BB113+(S113+2*0.95*0.0000000567*(((BB113+$B$7)+273)^4-(BB113+273)^4)-44100*H113)/(1.84*29.3*P113+8*0.95*0.0000000567*(BB113+273)^3))</f>
        <v>25.009931377725561</v>
      </c>
      <c r="U113">
        <f t="shared" ref="U113:U144" si="103">($C$7*BC113+$D$7*BD113+$E$7*T113)</f>
        <v>25.296283333333339</v>
      </c>
      <c r="V113">
        <f t="shared" ref="V113:V144" si="104">0.61365*EXP(17.502*U113/(240.97+U113))</f>
        <v>3.2362792568690244</v>
      </c>
      <c r="W113">
        <f t="shared" ref="W113:W144" si="105">(X113/Y113*100)</f>
        <v>-6.9779740339189651</v>
      </c>
      <c r="X113">
        <f t="shared" ref="X113:X144" si="106">AU113*(AZ113+BA113)/1000</f>
        <v>-0.22590622079027053</v>
      </c>
      <c r="Y113">
        <f t="shared" ref="Y113:Y144" si="107">0.61365*EXP(17.502*BB113/(240.97+BB113))</f>
        <v>3.2374184783745497</v>
      </c>
      <c r="Z113">
        <f t="shared" ref="Z113:Z144" si="108">(V113-AU113*(AZ113+BA113)/1000)</f>
        <v>3.4621854776592951</v>
      </c>
      <c r="AA113">
        <f t="shared" ref="AA113:AA144" si="109">(-H113*44100)</f>
        <v>-41.047645146709918</v>
      </c>
      <c r="AB113">
        <f t="shared" ref="AB113:AB144" si="110">2*29.3*P113*0.92*(BB113-U113)</f>
        <v>0.76328849919530439</v>
      </c>
      <c r="AC113">
        <f t="shared" ref="AC113:AC144" si="111">2*0.95*0.0000000567*(((BB113+$B$7)+273)^4-(U113+273)^4)</f>
        <v>6.7675301893705547E-2</v>
      </c>
      <c r="AD113">
        <f t="shared" ref="AD113:AD144" si="112">S113+AC113+AA113+AB113</f>
        <v>-40.216681345620906</v>
      </c>
      <c r="AE113">
        <v>18</v>
      </c>
      <c r="AF113">
        <v>4</v>
      </c>
      <c r="AG113">
        <f t="shared" ref="AG113:AG144" si="113">IF(AE113*$H$13&gt;=AI113,1,(AI113/(AI113-AE113*$H$13)))</f>
        <v>1</v>
      </c>
      <c r="AH113">
        <f t="shared" ref="AH113:AH144" si="114">(AG113-1)*100</f>
        <v>0</v>
      </c>
      <c r="AI113">
        <f t="shared" ref="AI113:AI144" si="115">MAX(0,($B$13+$C$13*BG113)/(1+$D$13*BG113)*AZ113/(BB113+273)*$E$13)</f>
        <v>25735.541780998825</v>
      </c>
      <c r="AJ113">
        <f t="shared" ref="AJ113:AJ144" si="116">$B$11*BH113+$C$11*BI113+$D$11*BT113</f>
        <v>0</v>
      </c>
      <c r="AK113">
        <f t="shared" ref="AK113:AK144" si="117">AJ113*AL113</f>
        <v>0</v>
      </c>
      <c r="AL113">
        <f t="shared" ref="AL113:AL144" si="118">($B$11*$D$9+$C$11*$D$9+$D$11*(BU113*$E$9+BV113*$G$9))/($B$11+$C$11+$D$11)</f>
        <v>0</v>
      </c>
      <c r="AM113">
        <f t="shared" ref="AM113:AM144" si="119">($B$11*$K$9+$C$11*$K$9+$D$11*(BU113*$L$9+BV113*$N$9))/($B$11+$C$11+$D$11)</f>
        <v>0</v>
      </c>
      <c r="AN113">
        <v>3</v>
      </c>
      <c r="AO113">
        <v>0.5</v>
      </c>
      <c r="AP113" t="s">
        <v>331</v>
      </c>
      <c r="AQ113">
        <v>2</v>
      </c>
      <c r="AR113">
        <v>1775509344.25</v>
      </c>
      <c r="AS113">
        <v>57.738996666666679</v>
      </c>
      <c r="AT113">
        <v>57.698739999999979</v>
      </c>
      <c r="AU113">
        <v>-2.2541293333333341</v>
      </c>
      <c r="AV113">
        <v>-2.8138436666666671</v>
      </c>
      <c r="AW113">
        <v>49.893996666666681</v>
      </c>
      <c r="AX113">
        <v>-1.265129333333334</v>
      </c>
      <c r="AY113">
        <v>500.01420000000002</v>
      </c>
      <c r="AZ113">
        <v>100.18163333333329</v>
      </c>
      <c r="BA113">
        <v>3.7203913333333352E-2</v>
      </c>
      <c r="BB113">
        <v>25.302199999999988</v>
      </c>
      <c r="BC113">
        <v>25.296283333333339</v>
      </c>
      <c r="BD113">
        <v>999.9000000000002</v>
      </c>
      <c r="BE113">
        <v>0</v>
      </c>
      <c r="BF113">
        <v>0</v>
      </c>
      <c r="BG113">
        <v>5003.4833333333336</v>
      </c>
      <c r="BH113">
        <v>0.38783879999999998</v>
      </c>
      <c r="BI113">
        <v>0.2334426666666666</v>
      </c>
      <c r="BJ113">
        <v>8.5593648666666675E-2</v>
      </c>
      <c r="BK113">
        <v>57.654299999999999</v>
      </c>
      <c r="BL113">
        <v>57.53684333333333</v>
      </c>
      <c r="BM113">
        <v>0.55832443333333337</v>
      </c>
      <c r="BN113">
        <v>57.698739999999979</v>
      </c>
      <c r="BO113">
        <v>-2.8138436666666671</v>
      </c>
      <c r="BP113">
        <v>-0.22596136666666669</v>
      </c>
      <c r="BQ113">
        <v>-0.28189526666666659</v>
      </c>
      <c r="BR113">
        <v>-99.900000000000034</v>
      </c>
      <c r="BS113">
        <v>-99.900000000000034</v>
      </c>
      <c r="BT113">
        <v>0</v>
      </c>
      <c r="BU113">
        <v>0</v>
      </c>
      <c r="BV113">
        <v>0</v>
      </c>
      <c r="BW113">
        <v>24</v>
      </c>
      <c r="BX113">
        <v>-1</v>
      </c>
      <c r="BY113">
        <v>1775509372</v>
      </c>
      <c r="BZ113" t="s">
        <v>624</v>
      </c>
      <c r="CA113">
        <v>1775509371.5</v>
      </c>
      <c r="CB113">
        <v>1775509372</v>
      </c>
      <c r="CC113">
        <v>100</v>
      </c>
      <c r="CD113">
        <v>-4.5999999999999999E-2</v>
      </c>
      <c r="CE113">
        <v>1E-3</v>
      </c>
      <c r="CF113">
        <v>7.8449999999999998</v>
      </c>
      <c r="CG113">
        <v>-0.98899999999999999</v>
      </c>
      <c r="CH113">
        <v>57</v>
      </c>
      <c r="CI113">
        <v>-3</v>
      </c>
      <c r="CJ113">
        <v>0.45</v>
      </c>
      <c r="CK113">
        <v>0.09</v>
      </c>
      <c r="CL113">
        <v>57.827276666666663</v>
      </c>
      <c r="CM113">
        <v>-1.272065351486432</v>
      </c>
      <c r="CN113">
        <v>0.22488957169143159</v>
      </c>
      <c r="CO113">
        <v>-1</v>
      </c>
      <c r="CP113">
        <v>500.01110000000011</v>
      </c>
      <c r="CQ113">
        <v>-1.0983050847379119E-2</v>
      </c>
      <c r="CR113">
        <v>6.3459882340472007E-2</v>
      </c>
      <c r="CS113">
        <v>-1</v>
      </c>
      <c r="CT113">
        <v>0</v>
      </c>
      <c r="CU113">
        <v>0</v>
      </c>
      <c r="CV113" t="s">
        <v>333</v>
      </c>
      <c r="CW113">
        <v>3.1672799999999999</v>
      </c>
      <c r="CX113">
        <v>2.6583800000000002</v>
      </c>
      <c r="CY113">
        <v>1.4841200000000001E-2</v>
      </c>
      <c r="CZ113">
        <v>1.7205600000000001E-2</v>
      </c>
      <c r="DA113">
        <v>-1.1372E-2</v>
      </c>
      <c r="DB113">
        <v>-2.8294199999999999E-2</v>
      </c>
      <c r="DC113">
        <v>21326.2</v>
      </c>
      <c r="DD113">
        <v>21645.4</v>
      </c>
      <c r="DE113">
        <v>23172.400000000001</v>
      </c>
      <c r="DF113">
        <v>22372.799999999999</v>
      </c>
      <c r="DG113">
        <v>30215.200000000001</v>
      </c>
      <c r="DH113">
        <v>27424.3</v>
      </c>
      <c r="DI113">
        <v>40714.9</v>
      </c>
      <c r="DJ113">
        <v>37067.699999999997</v>
      </c>
      <c r="DK113">
        <v>2.1034600000000001</v>
      </c>
      <c r="DL113">
        <v>1.85514</v>
      </c>
      <c r="DM113">
        <v>2.6103899999999999E-2</v>
      </c>
      <c r="DN113">
        <v>0</v>
      </c>
      <c r="DO113">
        <v>24.866</v>
      </c>
      <c r="DP113">
        <v>999.9</v>
      </c>
      <c r="DQ113">
        <v>79.599999999999994</v>
      </c>
      <c r="DR113">
        <v>27.9</v>
      </c>
      <c r="DS113">
        <v>29.976600000000001</v>
      </c>
      <c r="DT113">
        <v>30.670100000000001</v>
      </c>
      <c r="DU113">
        <v>9.1867000000000001</v>
      </c>
      <c r="DV113">
        <v>1</v>
      </c>
      <c r="DW113">
        <v>5.5672800000000001E-2</v>
      </c>
      <c r="DX113">
        <v>-0.19989100000000001</v>
      </c>
      <c r="DY113">
        <v>20.367899999999999</v>
      </c>
      <c r="DZ113">
        <v>5.2117800000000001</v>
      </c>
      <c r="EA113">
        <v>11.8482</v>
      </c>
      <c r="EB113">
        <v>4.9685600000000001</v>
      </c>
      <c r="EC113">
        <v>3.2920400000000001</v>
      </c>
      <c r="ED113">
        <v>894.7</v>
      </c>
      <c r="EE113">
        <v>0</v>
      </c>
      <c r="EF113">
        <v>9999</v>
      </c>
      <c r="EG113">
        <v>114.6</v>
      </c>
      <c r="EH113">
        <v>4.9716300000000002</v>
      </c>
      <c r="EI113">
        <v>1.8717999999999999</v>
      </c>
      <c r="EJ113">
        <v>1.8689</v>
      </c>
      <c r="EK113">
        <v>1.87134</v>
      </c>
      <c r="EL113">
        <v>1.8690500000000001</v>
      </c>
      <c r="EM113">
        <v>1.86805</v>
      </c>
      <c r="EN113">
        <v>1.8698399999999999</v>
      </c>
      <c r="EO113">
        <v>1.8716600000000001</v>
      </c>
      <c r="EP113">
        <v>0</v>
      </c>
      <c r="EQ113">
        <v>0</v>
      </c>
      <c r="ER113">
        <v>0</v>
      </c>
      <c r="ES113">
        <v>0</v>
      </c>
      <c r="ET113" t="s">
        <v>334</v>
      </c>
      <c r="EU113" t="s">
        <v>335</v>
      </c>
      <c r="EV113" t="s">
        <v>336</v>
      </c>
      <c r="EW113" t="s">
        <v>336</v>
      </c>
      <c r="EX113" t="s">
        <v>336</v>
      </c>
      <c r="EY113" t="s">
        <v>336</v>
      </c>
      <c r="EZ113">
        <v>0</v>
      </c>
      <c r="FA113">
        <v>100</v>
      </c>
      <c r="FB113">
        <v>100</v>
      </c>
      <c r="FC113">
        <v>7.8449999999999998</v>
      </c>
      <c r="FD113">
        <v>-0.98899999999999999</v>
      </c>
      <c r="FE113">
        <v>7.8903380952380928</v>
      </c>
      <c r="FF113">
        <v>0</v>
      </c>
      <c r="FG113">
        <v>0</v>
      </c>
      <c r="FH113">
        <v>0</v>
      </c>
      <c r="FI113">
        <v>-0.99038950000000003</v>
      </c>
      <c r="FJ113">
        <v>0</v>
      </c>
      <c r="FK113">
        <v>0</v>
      </c>
      <c r="FL113">
        <v>0</v>
      </c>
      <c r="FM113">
        <v>-1</v>
      </c>
      <c r="FN113">
        <v>-1</v>
      </c>
      <c r="FO113">
        <v>-1</v>
      </c>
      <c r="FP113">
        <v>-1</v>
      </c>
      <c r="FQ113">
        <v>0.7</v>
      </c>
      <c r="FR113">
        <v>0.7</v>
      </c>
      <c r="FS113">
        <v>0.142822</v>
      </c>
      <c r="FT113">
        <v>4.99756</v>
      </c>
      <c r="FU113">
        <v>1.5979000000000001</v>
      </c>
      <c r="FV113">
        <v>2.16187</v>
      </c>
      <c r="FW113">
        <v>1.5478499999999999</v>
      </c>
      <c r="FX113">
        <v>2.3815900000000001</v>
      </c>
      <c r="FY113">
        <v>32.332799999999999</v>
      </c>
      <c r="FZ113">
        <v>15.962</v>
      </c>
      <c r="GA113">
        <v>3</v>
      </c>
      <c r="GB113">
        <v>492.08199999999999</v>
      </c>
      <c r="GC113">
        <v>424.45299999999997</v>
      </c>
      <c r="GD113">
        <v>25.993099999999998</v>
      </c>
      <c r="GE113">
        <v>27.8752</v>
      </c>
      <c r="GF113">
        <v>30.0001</v>
      </c>
      <c r="GG113">
        <v>28.192799999999998</v>
      </c>
      <c r="GH113">
        <v>28.247299999999999</v>
      </c>
      <c r="GI113">
        <v>-1</v>
      </c>
      <c r="GJ113">
        <v>0</v>
      </c>
      <c r="GK113">
        <v>100</v>
      </c>
      <c r="GL113">
        <v>25.992000000000001</v>
      </c>
      <c r="GM113">
        <v>432.1</v>
      </c>
      <c r="GN113">
        <v>63.216500000000003</v>
      </c>
      <c r="GO113">
        <v>102.495</v>
      </c>
      <c r="GP113">
        <v>96.733099999999993</v>
      </c>
    </row>
    <row r="114" spans="1:198" x14ac:dyDescent="0.35">
      <c r="A114">
        <v>98</v>
      </c>
      <c r="B114">
        <v>1775509412</v>
      </c>
      <c r="C114">
        <v>5821</v>
      </c>
      <c r="D114" t="s">
        <v>625</v>
      </c>
      <c r="E114" t="s">
        <v>626</v>
      </c>
      <c r="F114">
        <v>60</v>
      </c>
      <c r="G114">
        <v>1775509404</v>
      </c>
      <c r="H114">
        <f t="shared" si="90"/>
        <v>9.4848434002477318E-4</v>
      </c>
      <c r="I114">
        <f t="shared" si="91"/>
        <v>0.94848434002477322</v>
      </c>
      <c r="J114">
        <f t="shared" si="92"/>
        <v>0.13562769033131156</v>
      </c>
      <c r="K114">
        <f t="shared" si="93"/>
        <v>57.01510322580647</v>
      </c>
      <c r="L114">
        <f t="shared" si="94"/>
        <v>46.111802009306281</v>
      </c>
      <c r="M114">
        <f t="shared" si="95"/>
        <v>4.6214151467550675</v>
      </c>
      <c r="N114">
        <f t="shared" si="96"/>
        <v>5.7141653581087137</v>
      </c>
      <c r="O114">
        <f t="shared" si="97"/>
        <v>2.7226118094078024E-2</v>
      </c>
      <c r="P114">
        <f t="shared" si="98"/>
        <v>2.3906427577104958</v>
      </c>
      <c r="Q114">
        <f t="shared" si="99"/>
        <v>2.7055026869501512E-2</v>
      </c>
      <c r="R114">
        <f t="shared" si="100"/>
        <v>1.6924673912283805E-2</v>
      </c>
      <c r="S114">
        <f t="shared" si="101"/>
        <v>0</v>
      </c>
      <c r="T114">
        <f t="shared" si="102"/>
        <v>25.00453408739428</v>
      </c>
      <c r="U114">
        <f t="shared" si="103"/>
        <v>25.291387096774191</v>
      </c>
      <c r="V114">
        <f t="shared" si="104"/>
        <v>3.235336778423187</v>
      </c>
      <c r="W114">
        <f t="shared" si="105"/>
        <v>-6.9635507004442116</v>
      </c>
      <c r="X114">
        <f t="shared" si="106"/>
        <v>-0.22544490073436396</v>
      </c>
      <c r="Y114">
        <f t="shared" si="107"/>
        <v>3.2374992361293877</v>
      </c>
      <c r="Z114">
        <f t="shared" si="108"/>
        <v>3.460781679157551</v>
      </c>
      <c r="AA114">
        <f t="shared" si="109"/>
        <v>-41.828159395092499</v>
      </c>
      <c r="AB114">
        <f t="shared" si="110"/>
        <v>1.447662081468688</v>
      </c>
      <c r="AC114">
        <f t="shared" si="111"/>
        <v>0.12847256507346858</v>
      </c>
      <c r="AD114">
        <f t="shared" si="112"/>
        <v>-40.252024748550348</v>
      </c>
      <c r="AE114">
        <v>18</v>
      </c>
      <c r="AF114">
        <v>4</v>
      </c>
      <c r="AG114">
        <f t="shared" si="113"/>
        <v>1</v>
      </c>
      <c r="AH114">
        <f t="shared" si="114"/>
        <v>0</v>
      </c>
      <c r="AI114">
        <f t="shared" si="115"/>
        <v>25700.702557297212</v>
      </c>
      <c r="AJ114">
        <f t="shared" si="116"/>
        <v>0</v>
      </c>
      <c r="AK114">
        <f t="shared" si="117"/>
        <v>0</v>
      </c>
      <c r="AL114">
        <f t="shared" si="118"/>
        <v>0</v>
      </c>
      <c r="AM114">
        <f t="shared" si="119"/>
        <v>0</v>
      </c>
      <c r="AN114">
        <v>3</v>
      </c>
      <c r="AO114">
        <v>0.5</v>
      </c>
      <c r="AP114" t="s">
        <v>331</v>
      </c>
      <c r="AQ114">
        <v>2</v>
      </c>
      <c r="AR114">
        <v>1775509404</v>
      </c>
      <c r="AS114">
        <v>57.01510322580647</v>
      </c>
      <c r="AT114">
        <v>57.128925806451633</v>
      </c>
      <c r="AU114">
        <v>-2.2494561290322581</v>
      </c>
      <c r="AV114">
        <v>-2.8198229032258069</v>
      </c>
      <c r="AW114">
        <v>49.13110322580647</v>
      </c>
      <c r="AX114">
        <v>-1.2614561290322579</v>
      </c>
      <c r="AY114">
        <v>500.00348387096773</v>
      </c>
      <c r="AZ114">
        <v>100.1846451612904</v>
      </c>
      <c r="BA114">
        <v>3.7314193548387102E-2</v>
      </c>
      <c r="BB114">
        <v>25.302619354838701</v>
      </c>
      <c r="BC114">
        <v>25.291387096774191</v>
      </c>
      <c r="BD114">
        <v>999.90000000000032</v>
      </c>
      <c r="BE114">
        <v>0</v>
      </c>
      <c r="BF114">
        <v>0</v>
      </c>
      <c r="BG114">
        <v>4997.5</v>
      </c>
      <c r="BH114">
        <v>0.42556638709677419</v>
      </c>
      <c r="BI114">
        <v>0.23331922580645159</v>
      </c>
      <c r="BJ114">
        <v>-0.15303332454838711</v>
      </c>
      <c r="BK114">
        <v>56.847951612903231</v>
      </c>
      <c r="BL114">
        <v>56.968290322580657</v>
      </c>
      <c r="BM114">
        <v>0.56904296774193552</v>
      </c>
      <c r="BN114">
        <v>57.128925806451633</v>
      </c>
      <c r="BO114">
        <v>-2.8198229032258069</v>
      </c>
      <c r="BP114">
        <v>-0.22549358064516131</v>
      </c>
      <c r="BQ114">
        <v>-0.282503</v>
      </c>
      <c r="BR114">
        <v>-99.900000000000034</v>
      </c>
      <c r="BS114">
        <v>-99.900000000000034</v>
      </c>
      <c r="BT114">
        <v>0</v>
      </c>
      <c r="BU114">
        <v>0</v>
      </c>
      <c r="BV114">
        <v>0</v>
      </c>
      <c r="BW114">
        <v>24</v>
      </c>
      <c r="BX114">
        <v>-1</v>
      </c>
      <c r="BY114">
        <v>1775509431</v>
      </c>
      <c r="BZ114" t="s">
        <v>627</v>
      </c>
      <c r="CA114">
        <v>1775509429</v>
      </c>
      <c r="CB114">
        <v>1775509431</v>
      </c>
      <c r="CC114">
        <v>101</v>
      </c>
      <c r="CD114">
        <v>3.9E-2</v>
      </c>
      <c r="CE114">
        <v>1E-3</v>
      </c>
      <c r="CF114">
        <v>7.8840000000000003</v>
      </c>
      <c r="CG114">
        <v>-0.98799999999999999</v>
      </c>
      <c r="CH114">
        <v>58</v>
      </c>
      <c r="CI114">
        <v>-3</v>
      </c>
      <c r="CJ114">
        <v>0.21</v>
      </c>
      <c r="CK114">
        <v>0.13</v>
      </c>
      <c r="CL114">
        <v>57.112313333333319</v>
      </c>
      <c r="CM114">
        <v>7.405190330654067E-2</v>
      </c>
      <c r="CN114">
        <v>9.4657372431076275E-2</v>
      </c>
      <c r="CO114">
        <v>-1</v>
      </c>
      <c r="CP114">
        <v>500.02341666666672</v>
      </c>
      <c r="CQ114">
        <v>-0.19312364545640209</v>
      </c>
      <c r="CR114">
        <v>7.9189286242241655E-2</v>
      </c>
      <c r="CS114">
        <v>-1</v>
      </c>
      <c r="CT114">
        <v>0</v>
      </c>
      <c r="CU114">
        <v>0</v>
      </c>
      <c r="CV114" t="s">
        <v>333</v>
      </c>
      <c r="CW114">
        <v>3.1673100000000001</v>
      </c>
      <c r="CX114">
        <v>2.6583899999999998</v>
      </c>
      <c r="CY114">
        <v>1.46877E-2</v>
      </c>
      <c r="CZ114">
        <v>1.7155299999999998E-2</v>
      </c>
      <c r="DA114">
        <v>-1.13341E-2</v>
      </c>
      <c r="DB114">
        <v>-2.83529E-2</v>
      </c>
      <c r="DC114">
        <v>21329.5</v>
      </c>
      <c r="DD114">
        <v>21646.1</v>
      </c>
      <c r="DE114">
        <v>23172.400000000001</v>
      </c>
      <c r="DF114">
        <v>22372.5</v>
      </c>
      <c r="DG114">
        <v>30214.1</v>
      </c>
      <c r="DH114">
        <v>27425.599999999999</v>
      </c>
      <c r="DI114">
        <v>40715</v>
      </c>
      <c r="DJ114">
        <v>37067.300000000003</v>
      </c>
      <c r="DK114">
        <v>2.10338</v>
      </c>
      <c r="DL114">
        <v>1.85558</v>
      </c>
      <c r="DM114">
        <v>2.5713400000000001E-2</v>
      </c>
      <c r="DN114">
        <v>0</v>
      </c>
      <c r="DO114">
        <v>24.870200000000001</v>
      </c>
      <c r="DP114">
        <v>999.9</v>
      </c>
      <c r="DQ114">
        <v>79.599999999999994</v>
      </c>
      <c r="DR114">
        <v>27.9</v>
      </c>
      <c r="DS114">
        <v>29.9758</v>
      </c>
      <c r="DT114">
        <v>30.340199999999999</v>
      </c>
      <c r="DU114">
        <v>9.2628199999999996</v>
      </c>
      <c r="DV114">
        <v>1</v>
      </c>
      <c r="DW114">
        <v>5.5941100000000001E-2</v>
      </c>
      <c r="DX114">
        <v>-0.17573900000000001</v>
      </c>
      <c r="DY114">
        <v>20.368099999999998</v>
      </c>
      <c r="DZ114">
        <v>5.2151300000000003</v>
      </c>
      <c r="EA114">
        <v>11.8482</v>
      </c>
      <c r="EB114">
        <v>4.9691999999999998</v>
      </c>
      <c r="EC114">
        <v>3.2920400000000001</v>
      </c>
      <c r="ED114">
        <v>894.7</v>
      </c>
      <c r="EE114">
        <v>0</v>
      </c>
      <c r="EF114">
        <v>9999</v>
      </c>
      <c r="EG114">
        <v>114.6</v>
      </c>
      <c r="EH114">
        <v>4.9716300000000002</v>
      </c>
      <c r="EI114">
        <v>1.8717999999999999</v>
      </c>
      <c r="EJ114">
        <v>1.8689100000000001</v>
      </c>
      <c r="EK114">
        <v>1.8713500000000001</v>
      </c>
      <c r="EL114">
        <v>1.8690500000000001</v>
      </c>
      <c r="EM114">
        <v>1.8680300000000001</v>
      </c>
      <c r="EN114">
        <v>1.86988</v>
      </c>
      <c r="EO114">
        <v>1.87165</v>
      </c>
      <c r="EP114">
        <v>0</v>
      </c>
      <c r="EQ114">
        <v>0</v>
      </c>
      <c r="ER114">
        <v>0</v>
      </c>
      <c r="ES114">
        <v>0</v>
      </c>
      <c r="ET114" t="s">
        <v>334</v>
      </c>
      <c r="EU114" t="s">
        <v>335</v>
      </c>
      <c r="EV114" t="s">
        <v>336</v>
      </c>
      <c r="EW114" t="s">
        <v>336</v>
      </c>
      <c r="EX114" t="s">
        <v>336</v>
      </c>
      <c r="EY114" t="s">
        <v>336</v>
      </c>
      <c r="EZ114">
        <v>0</v>
      </c>
      <c r="FA114">
        <v>100</v>
      </c>
      <c r="FB114">
        <v>100</v>
      </c>
      <c r="FC114">
        <v>7.8840000000000003</v>
      </c>
      <c r="FD114">
        <v>-0.98799999999999999</v>
      </c>
      <c r="FE114">
        <v>7.8447999999999922</v>
      </c>
      <c r="FF114">
        <v>0</v>
      </c>
      <c r="FG114">
        <v>0</v>
      </c>
      <c r="FH114">
        <v>0</v>
      </c>
      <c r="FI114">
        <v>-0.98932399999999965</v>
      </c>
      <c r="FJ114">
        <v>0</v>
      </c>
      <c r="FK114">
        <v>0</v>
      </c>
      <c r="FL114">
        <v>0</v>
      </c>
      <c r="FM114">
        <v>-1</v>
      </c>
      <c r="FN114">
        <v>-1</v>
      </c>
      <c r="FO114">
        <v>-1</v>
      </c>
      <c r="FP114">
        <v>-1</v>
      </c>
      <c r="FQ114">
        <v>0.7</v>
      </c>
      <c r="FR114">
        <v>0.7</v>
      </c>
      <c r="FS114">
        <v>0.142822</v>
      </c>
      <c r="FT114">
        <v>4.99756</v>
      </c>
      <c r="FU114">
        <v>1.5979000000000001</v>
      </c>
      <c r="FV114">
        <v>2.16187</v>
      </c>
      <c r="FW114">
        <v>1.5478499999999999</v>
      </c>
      <c r="FX114">
        <v>2.3083499999999999</v>
      </c>
      <c r="FY114">
        <v>32.354900000000001</v>
      </c>
      <c r="FZ114">
        <v>15.9445</v>
      </c>
      <c r="GA114">
        <v>3</v>
      </c>
      <c r="GB114">
        <v>492.03699999999998</v>
      </c>
      <c r="GC114">
        <v>424.72800000000001</v>
      </c>
      <c r="GD114">
        <v>25.972300000000001</v>
      </c>
      <c r="GE114">
        <v>27.877600000000001</v>
      </c>
      <c r="GF114">
        <v>30.0001</v>
      </c>
      <c r="GG114">
        <v>28.192799999999998</v>
      </c>
      <c r="GH114">
        <v>28.249600000000001</v>
      </c>
      <c r="GI114">
        <v>-1</v>
      </c>
      <c r="GJ114">
        <v>0</v>
      </c>
      <c r="GK114">
        <v>100</v>
      </c>
      <c r="GL114">
        <v>25.970700000000001</v>
      </c>
      <c r="GM114">
        <v>432.1</v>
      </c>
      <c r="GN114">
        <v>63.216500000000003</v>
      </c>
      <c r="GO114">
        <v>102.495</v>
      </c>
      <c r="GP114">
        <v>96.731899999999996</v>
      </c>
    </row>
    <row r="115" spans="1:198" x14ac:dyDescent="0.35">
      <c r="A115">
        <v>99</v>
      </c>
      <c r="B115">
        <v>1775509472</v>
      </c>
      <c r="C115">
        <v>5881</v>
      </c>
      <c r="D115" t="s">
        <v>628</v>
      </c>
      <c r="E115" t="s">
        <v>629</v>
      </c>
      <c r="F115">
        <v>60</v>
      </c>
      <c r="G115">
        <v>1775509464</v>
      </c>
      <c r="H115">
        <f t="shared" si="90"/>
        <v>9.4317912828640325E-4</v>
      </c>
      <c r="I115">
        <f t="shared" si="91"/>
        <v>0.94317912828640327</v>
      </c>
      <c r="J115">
        <f t="shared" si="92"/>
        <v>5.0346357762061318E-2</v>
      </c>
      <c r="K115">
        <f t="shared" si="93"/>
        <v>57.700335483870958</v>
      </c>
      <c r="L115">
        <f t="shared" si="94"/>
        <v>51.642194109067731</v>
      </c>
      <c r="M115">
        <f t="shared" si="95"/>
        <v>5.1757688707694207</v>
      </c>
      <c r="N115">
        <f t="shared" si="96"/>
        <v>5.7829378743985895</v>
      </c>
      <c r="O115">
        <f t="shared" si="97"/>
        <v>2.7060429221062301E-2</v>
      </c>
      <c r="P115">
        <f t="shared" si="98"/>
        <v>2.3894273151782799</v>
      </c>
      <c r="Q115">
        <f t="shared" si="99"/>
        <v>2.6891321692004415E-2</v>
      </c>
      <c r="R115">
        <f t="shared" si="100"/>
        <v>1.6822181479450974E-2</v>
      </c>
      <c r="S115">
        <f t="shared" si="101"/>
        <v>0</v>
      </c>
      <c r="T115">
        <f t="shared" si="102"/>
        <v>25.002039341926587</v>
      </c>
      <c r="U115">
        <f t="shared" si="103"/>
        <v>25.301670967741941</v>
      </c>
      <c r="V115">
        <f t="shared" si="104"/>
        <v>3.2373166018715493</v>
      </c>
      <c r="W115">
        <f t="shared" si="105"/>
        <v>-6.9538134166595169</v>
      </c>
      <c r="X115">
        <f t="shared" si="106"/>
        <v>-0.22507579334939085</v>
      </c>
      <c r="Y115">
        <f t="shared" si="107"/>
        <v>3.2367246554267353</v>
      </c>
      <c r="Z115">
        <f t="shared" si="108"/>
        <v>3.4623923952209403</v>
      </c>
      <c r="AA115">
        <f t="shared" si="109"/>
        <v>-41.594199557430386</v>
      </c>
      <c r="AB115">
        <f t="shared" si="110"/>
        <v>-0.39601394052124106</v>
      </c>
      <c r="AC115">
        <f t="shared" si="111"/>
        <v>-3.5163184774398559E-2</v>
      </c>
      <c r="AD115">
        <f t="shared" si="112"/>
        <v>-42.025376682726026</v>
      </c>
      <c r="AE115">
        <v>18</v>
      </c>
      <c r="AF115">
        <v>4</v>
      </c>
      <c r="AG115">
        <f t="shared" si="113"/>
        <v>1</v>
      </c>
      <c r="AH115">
        <f t="shared" si="114"/>
        <v>0</v>
      </c>
      <c r="AI115">
        <f t="shared" si="115"/>
        <v>25682.383183728634</v>
      </c>
      <c r="AJ115">
        <f t="shared" si="116"/>
        <v>0</v>
      </c>
      <c r="AK115">
        <f t="shared" si="117"/>
        <v>0</v>
      </c>
      <c r="AL115">
        <f t="shared" si="118"/>
        <v>0</v>
      </c>
      <c r="AM115">
        <f t="shared" si="119"/>
        <v>0</v>
      </c>
      <c r="AN115">
        <v>3</v>
      </c>
      <c r="AO115">
        <v>0.5</v>
      </c>
      <c r="AP115" t="s">
        <v>331</v>
      </c>
      <c r="AQ115">
        <v>2</v>
      </c>
      <c r="AR115">
        <v>1775509464</v>
      </c>
      <c r="AS115">
        <v>57.700335483870958</v>
      </c>
      <c r="AT115">
        <v>57.763200000000012</v>
      </c>
      <c r="AU115">
        <v>-2.245735483870968</v>
      </c>
      <c r="AV115">
        <v>-2.812946774193549</v>
      </c>
      <c r="AW115">
        <v>49.836335483870961</v>
      </c>
      <c r="AX115">
        <v>-1.2567354838709679</v>
      </c>
      <c r="AY115">
        <v>499.97096774193551</v>
      </c>
      <c r="AZ115">
        <v>100.1862903225807</v>
      </c>
      <c r="BA115">
        <v>3.7353541935483868E-2</v>
      </c>
      <c r="BB115">
        <v>25.298596774193548</v>
      </c>
      <c r="BC115">
        <v>25.301670967741941</v>
      </c>
      <c r="BD115">
        <v>999.90000000000032</v>
      </c>
      <c r="BE115">
        <v>0</v>
      </c>
      <c r="BF115">
        <v>0</v>
      </c>
      <c r="BG115">
        <v>4994.2903225806449</v>
      </c>
      <c r="BH115">
        <v>0.38022370967741947</v>
      </c>
      <c r="BI115">
        <v>0.23331922580645159</v>
      </c>
      <c r="BJ115">
        <v>-4.2708139193548392E-2</v>
      </c>
      <c r="BK115">
        <v>57.591183870967733</v>
      </c>
      <c r="BL115">
        <v>57.60116129032258</v>
      </c>
      <c r="BM115">
        <v>0.56782709677419352</v>
      </c>
      <c r="BN115">
        <v>57.763200000000012</v>
      </c>
      <c r="BO115">
        <v>-2.812946774193549</v>
      </c>
      <c r="BP115">
        <v>-0.22493035483870971</v>
      </c>
      <c r="BQ115">
        <v>-0.28181896774193549</v>
      </c>
      <c r="BR115">
        <v>-99.900000000000034</v>
      </c>
      <c r="BS115">
        <v>-99.900000000000034</v>
      </c>
      <c r="BT115">
        <v>0</v>
      </c>
      <c r="BU115">
        <v>0</v>
      </c>
      <c r="BV115">
        <v>0</v>
      </c>
      <c r="BW115">
        <v>24</v>
      </c>
      <c r="BX115">
        <v>-1</v>
      </c>
      <c r="BY115">
        <v>1775509492</v>
      </c>
      <c r="BZ115" t="s">
        <v>630</v>
      </c>
      <c r="CA115">
        <v>1775509484.5</v>
      </c>
      <c r="CB115">
        <v>1775509492</v>
      </c>
      <c r="CC115">
        <v>102</v>
      </c>
      <c r="CD115">
        <v>-0.02</v>
      </c>
      <c r="CE115">
        <v>-1E-3</v>
      </c>
      <c r="CF115">
        <v>7.8639999999999999</v>
      </c>
      <c r="CG115">
        <v>-0.98899999999999999</v>
      </c>
      <c r="CH115">
        <v>58</v>
      </c>
      <c r="CI115">
        <v>-3</v>
      </c>
      <c r="CJ115">
        <v>0.25</v>
      </c>
      <c r="CK115">
        <v>0.11</v>
      </c>
      <c r="CL115">
        <v>57.809486666666658</v>
      </c>
      <c r="CM115">
        <v>-0.1111055293137159</v>
      </c>
      <c r="CN115">
        <v>9.7003944020620042E-2</v>
      </c>
      <c r="CO115">
        <v>-1</v>
      </c>
      <c r="CP115">
        <v>499.9826666666666</v>
      </c>
      <c r="CQ115">
        <v>-8.3629897192173161E-2</v>
      </c>
      <c r="CR115">
        <v>6.216608578817253E-2</v>
      </c>
      <c r="CS115">
        <v>-1</v>
      </c>
      <c r="CT115">
        <v>0</v>
      </c>
      <c r="CU115">
        <v>0</v>
      </c>
      <c r="CV115" t="s">
        <v>333</v>
      </c>
      <c r="CW115">
        <v>3.16744</v>
      </c>
      <c r="CX115">
        <v>2.65876</v>
      </c>
      <c r="CY115">
        <v>1.4871799999999999E-2</v>
      </c>
      <c r="CZ115">
        <v>1.72059E-2</v>
      </c>
      <c r="DA115">
        <v>-1.1282199999999999E-2</v>
      </c>
      <c r="DB115">
        <v>-2.8258200000000001E-2</v>
      </c>
      <c r="DC115">
        <v>21325.200000000001</v>
      </c>
      <c r="DD115">
        <v>21645</v>
      </c>
      <c r="DE115">
        <v>23172.2</v>
      </c>
      <c r="DF115">
        <v>22372.5</v>
      </c>
      <c r="DG115">
        <v>30212.1</v>
      </c>
      <c r="DH115">
        <v>27422.7</v>
      </c>
      <c r="DI115">
        <v>40714.300000000003</v>
      </c>
      <c r="DJ115">
        <v>37066.800000000003</v>
      </c>
      <c r="DK115">
        <v>2.1036199999999998</v>
      </c>
      <c r="DL115">
        <v>1.8550599999999999</v>
      </c>
      <c r="DM115">
        <v>2.6002500000000001E-2</v>
      </c>
      <c r="DN115">
        <v>0</v>
      </c>
      <c r="DO115">
        <v>24.874400000000001</v>
      </c>
      <c r="DP115">
        <v>999.9</v>
      </c>
      <c r="DQ115">
        <v>79.599999999999994</v>
      </c>
      <c r="DR115">
        <v>28</v>
      </c>
      <c r="DS115">
        <v>30.149000000000001</v>
      </c>
      <c r="DT115">
        <v>30.940100000000001</v>
      </c>
      <c r="DU115">
        <v>8.90625</v>
      </c>
      <c r="DV115">
        <v>1</v>
      </c>
      <c r="DW115">
        <v>5.6247999999999999E-2</v>
      </c>
      <c r="DX115">
        <v>-0.208484</v>
      </c>
      <c r="DY115">
        <v>20.367999999999999</v>
      </c>
      <c r="DZ115">
        <v>5.2151300000000003</v>
      </c>
      <c r="EA115">
        <v>11.8482</v>
      </c>
      <c r="EB115">
        <v>4.9691599999999996</v>
      </c>
      <c r="EC115">
        <v>3.2920600000000002</v>
      </c>
      <c r="ED115">
        <v>894.7</v>
      </c>
      <c r="EE115">
        <v>0</v>
      </c>
      <c r="EF115">
        <v>9999</v>
      </c>
      <c r="EG115">
        <v>114.6</v>
      </c>
      <c r="EH115">
        <v>4.9716399999999998</v>
      </c>
      <c r="EI115">
        <v>1.8717999999999999</v>
      </c>
      <c r="EJ115">
        <v>1.8689</v>
      </c>
      <c r="EK115">
        <v>1.87134</v>
      </c>
      <c r="EL115">
        <v>1.8690500000000001</v>
      </c>
      <c r="EM115">
        <v>1.8680099999999999</v>
      </c>
      <c r="EN115">
        <v>1.8698600000000001</v>
      </c>
      <c r="EO115">
        <v>1.87165</v>
      </c>
      <c r="EP115">
        <v>0</v>
      </c>
      <c r="EQ115">
        <v>0</v>
      </c>
      <c r="ER115">
        <v>0</v>
      </c>
      <c r="ES115">
        <v>0</v>
      </c>
      <c r="ET115" t="s">
        <v>334</v>
      </c>
      <c r="EU115" t="s">
        <v>335</v>
      </c>
      <c r="EV115" t="s">
        <v>336</v>
      </c>
      <c r="EW115" t="s">
        <v>336</v>
      </c>
      <c r="EX115" t="s">
        <v>336</v>
      </c>
      <c r="EY115" t="s">
        <v>336</v>
      </c>
      <c r="EZ115">
        <v>0</v>
      </c>
      <c r="FA115">
        <v>100</v>
      </c>
      <c r="FB115">
        <v>100</v>
      </c>
      <c r="FC115">
        <v>7.8639999999999999</v>
      </c>
      <c r="FD115">
        <v>-0.98899999999999999</v>
      </c>
      <c r="FE115">
        <v>7.8841499999999982</v>
      </c>
      <c r="FF115">
        <v>0</v>
      </c>
      <c r="FG115">
        <v>0</v>
      </c>
      <c r="FH115">
        <v>0</v>
      </c>
      <c r="FI115">
        <v>-0.98838349999999964</v>
      </c>
      <c r="FJ115">
        <v>0</v>
      </c>
      <c r="FK115">
        <v>0</v>
      </c>
      <c r="FL115">
        <v>0</v>
      </c>
      <c r="FM115">
        <v>-1</v>
      </c>
      <c r="FN115">
        <v>-1</v>
      </c>
      <c r="FO115">
        <v>-1</v>
      </c>
      <c r="FP115">
        <v>-1</v>
      </c>
      <c r="FQ115">
        <v>0.7</v>
      </c>
      <c r="FR115">
        <v>0.7</v>
      </c>
      <c r="FS115">
        <v>0.142822</v>
      </c>
      <c r="FT115">
        <v>4.99756</v>
      </c>
      <c r="FU115">
        <v>1.5979000000000001</v>
      </c>
      <c r="FV115">
        <v>2.16309</v>
      </c>
      <c r="FW115">
        <v>1.5478499999999999</v>
      </c>
      <c r="FX115">
        <v>2.4401899999999999</v>
      </c>
      <c r="FY115">
        <v>32.354900000000001</v>
      </c>
      <c r="FZ115">
        <v>15.9445</v>
      </c>
      <c r="GA115">
        <v>3</v>
      </c>
      <c r="GB115">
        <v>492.19200000000001</v>
      </c>
      <c r="GC115">
        <v>424.43900000000002</v>
      </c>
      <c r="GD115">
        <v>25.990400000000001</v>
      </c>
      <c r="GE115">
        <v>27.882300000000001</v>
      </c>
      <c r="GF115">
        <v>30.0002</v>
      </c>
      <c r="GG115">
        <v>28.1952</v>
      </c>
      <c r="GH115">
        <v>28.251899999999999</v>
      </c>
      <c r="GI115">
        <v>-1</v>
      </c>
      <c r="GJ115">
        <v>0</v>
      </c>
      <c r="GK115">
        <v>100</v>
      </c>
      <c r="GL115">
        <v>25.9863</v>
      </c>
      <c r="GM115">
        <v>432.1</v>
      </c>
      <c r="GN115">
        <v>63.216500000000003</v>
      </c>
      <c r="GO115">
        <v>102.49299999999999</v>
      </c>
      <c r="GP115">
        <v>96.730999999999995</v>
      </c>
    </row>
    <row r="116" spans="1:198" x14ac:dyDescent="0.35">
      <c r="A116">
        <v>100</v>
      </c>
      <c r="B116">
        <v>1775509532</v>
      </c>
      <c r="C116">
        <v>5941</v>
      </c>
      <c r="D116" t="s">
        <v>631</v>
      </c>
      <c r="E116" t="s">
        <v>632</v>
      </c>
      <c r="F116">
        <v>60</v>
      </c>
      <c r="G116">
        <v>1775509524</v>
      </c>
      <c r="H116">
        <f t="shared" si="90"/>
        <v>9.2607564077330253E-4</v>
      </c>
      <c r="I116">
        <f t="shared" si="91"/>
        <v>0.92607564077330251</v>
      </c>
      <c r="J116">
        <f t="shared" si="92"/>
        <v>-0.25562572791761112</v>
      </c>
      <c r="K116">
        <f t="shared" si="93"/>
        <v>55.771458064516118</v>
      </c>
      <c r="L116">
        <f t="shared" si="94"/>
        <v>67.78285282321022</v>
      </c>
      <c r="M116">
        <f t="shared" si="95"/>
        <v>6.7934741168960011</v>
      </c>
      <c r="N116">
        <f t="shared" si="96"/>
        <v>5.5896431183124253</v>
      </c>
      <c r="O116">
        <f t="shared" si="97"/>
        <v>2.6569883004253184E-2</v>
      </c>
      <c r="P116">
        <f t="shared" si="98"/>
        <v>2.3920771484386756</v>
      </c>
      <c r="Q116">
        <f t="shared" si="99"/>
        <v>2.6407010491093525E-2</v>
      </c>
      <c r="R116">
        <f t="shared" si="100"/>
        <v>1.651893165539051E-2</v>
      </c>
      <c r="S116">
        <f t="shared" si="101"/>
        <v>0</v>
      </c>
      <c r="T116">
        <f t="shared" si="102"/>
        <v>25.003793064599559</v>
      </c>
      <c r="U116">
        <f t="shared" si="103"/>
        <v>25.297309677419349</v>
      </c>
      <c r="V116">
        <f t="shared" si="104"/>
        <v>3.2364768486437892</v>
      </c>
      <c r="W116">
        <f t="shared" si="105"/>
        <v>-6.9690498617200394</v>
      </c>
      <c r="X116">
        <f t="shared" si="106"/>
        <v>-0.2255163702978884</v>
      </c>
      <c r="Y116">
        <f t="shared" si="107"/>
        <v>3.2359701074405636</v>
      </c>
      <c r="Z116">
        <f t="shared" si="108"/>
        <v>3.4619932189416778</v>
      </c>
      <c r="AA116">
        <f t="shared" si="109"/>
        <v>-40.839935758102641</v>
      </c>
      <c r="AB116">
        <f t="shared" si="110"/>
        <v>-0.3394603780421051</v>
      </c>
      <c r="AC116">
        <f t="shared" si="111"/>
        <v>-3.0106992688718373E-2</v>
      </c>
      <c r="AD116">
        <f t="shared" si="112"/>
        <v>-41.209503128833461</v>
      </c>
      <c r="AE116">
        <v>18</v>
      </c>
      <c r="AF116">
        <v>4</v>
      </c>
      <c r="AG116">
        <f t="shared" si="113"/>
        <v>1</v>
      </c>
      <c r="AH116">
        <f t="shared" si="114"/>
        <v>0</v>
      </c>
      <c r="AI116">
        <f t="shared" si="115"/>
        <v>25723.250104205017</v>
      </c>
      <c r="AJ116">
        <f t="shared" si="116"/>
        <v>0</v>
      </c>
      <c r="AK116">
        <f t="shared" si="117"/>
        <v>0</v>
      </c>
      <c r="AL116">
        <f t="shared" si="118"/>
        <v>0</v>
      </c>
      <c r="AM116">
        <f t="shared" si="119"/>
        <v>0</v>
      </c>
      <c r="AN116">
        <v>3</v>
      </c>
      <c r="AO116">
        <v>0.5</v>
      </c>
      <c r="AP116" t="s">
        <v>331</v>
      </c>
      <c r="AQ116">
        <v>2</v>
      </c>
      <c r="AR116">
        <v>1775509524</v>
      </c>
      <c r="AS116">
        <v>55.771458064516118</v>
      </c>
      <c r="AT116">
        <v>55.649070967741928</v>
      </c>
      <c r="AU116">
        <v>-2.250121612903226</v>
      </c>
      <c r="AV116">
        <v>-2.8070209677419351</v>
      </c>
      <c r="AW116">
        <v>47.918458064516123</v>
      </c>
      <c r="AX116">
        <v>-1.260121612903226</v>
      </c>
      <c r="AY116">
        <v>499.99667741935491</v>
      </c>
      <c r="AZ116">
        <v>100.1868709677419</v>
      </c>
      <c r="BA116">
        <v>3.7209812903225808E-2</v>
      </c>
      <c r="BB116">
        <v>25.29467741935483</v>
      </c>
      <c r="BC116">
        <v>25.297309677419349</v>
      </c>
      <c r="BD116">
        <v>999.90000000000032</v>
      </c>
      <c r="BE116">
        <v>0</v>
      </c>
      <c r="BF116">
        <v>0</v>
      </c>
      <c r="BG116">
        <v>5001.0806451612907</v>
      </c>
      <c r="BH116">
        <v>0.39850225806451622</v>
      </c>
      <c r="BI116">
        <v>0.23331922580645159</v>
      </c>
      <c r="BJ116">
        <v>0.13378871000000001</v>
      </c>
      <c r="BK116">
        <v>55.65765161290323</v>
      </c>
      <c r="BL116">
        <v>55.493293548387093</v>
      </c>
      <c r="BM116">
        <v>0.55754112903225816</v>
      </c>
      <c r="BN116">
        <v>55.649070967741928</v>
      </c>
      <c r="BO116">
        <v>-2.8070209677419351</v>
      </c>
      <c r="BP116">
        <v>-0.2253685806451613</v>
      </c>
      <c r="BQ116">
        <v>-0.28122680645161302</v>
      </c>
      <c r="BR116">
        <v>-99.900000000000034</v>
      </c>
      <c r="BS116">
        <v>-99.900000000000034</v>
      </c>
      <c r="BT116">
        <v>0</v>
      </c>
      <c r="BU116">
        <v>0</v>
      </c>
      <c r="BV116">
        <v>0</v>
      </c>
      <c r="BW116">
        <v>24</v>
      </c>
      <c r="BX116">
        <v>-1</v>
      </c>
      <c r="BY116">
        <v>1775509552.5</v>
      </c>
      <c r="BZ116" t="s">
        <v>633</v>
      </c>
      <c r="CA116">
        <v>1775509549</v>
      </c>
      <c r="CB116">
        <v>1775509552.5</v>
      </c>
      <c r="CC116">
        <v>103</v>
      </c>
      <c r="CD116">
        <v>-1.0999999999999999E-2</v>
      </c>
      <c r="CE116">
        <v>0</v>
      </c>
      <c r="CF116">
        <v>7.8529999999999998</v>
      </c>
      <c r="CG116">
        <v>-0.99</v>
      </c>
      <c r="CH116">
        <v>56</v>
      </c>
      <c r="CI116">
        <v>-3</v>
      </c>
      <c r="CJ116">
        <v>0.22</v>
      </c>
      <c r="CK116">
        <v>0.15</v>
      </c>
      <c r="CL116">
        <v>55.958490163934442</v>
      </c>
      <c r="CM116">
        <v>-1.5508581702801389</v>
      </c>
      <c r="CN116">
        <v>0.44937858905014</v>
      </c>
      <c r="CO116">
        <v>-1</v>
      </c>
      <c r="CP116">
        <v>500.01286885245912</v>
      </c>
      <c r="CQ116">
        <v>-0.1230967741938309</v>
      </c>
      <c r="CR116">
        <v>8.5800469143477498E-2</v>
      </c>
      <c r="CS116">
        <v>-1</v>
      </c>
      <c r="CT116">
        <v>0</v>
      </c>
      <c r="CU116">
        <v>0</v>
      </c>
      <c r="CV116" t="s">
        <v>333</v>
      </c>
      <c r="CW116">
        <v>3.1672799999999999</v>
      </c>
      <c r="CX116">
        <v>2.6585800000000002</v>
      </c>
      <c r="CY116">
        <v>1.4307800000000001E-2</v>
      </c>
      <c r="CZ116">
        <v>1.6792899999999999E-2</v>
      </c>
      <c r="DA116">
        <v>-1.1327200000000001E-2</v>
      </c>
      <c r="DB116">
        <v>-2.81964E-2</v>
      </c>
      <c r="DC116">
        <v>21337</v>
      </c>
      <c r="DD116">
        <v>21654</v>
      </c>
      <c r="DE116">
        <v>23171.599999999999</v>
      </c>
      <c r="DF116">
        <v>22372.400000000001</v>
      </c>
      <c r="DG116">
        <v>30212.9</v>
      </c>
      <c r="DH116">
        <v>27421.1</v>
      </c>
      <c r="DI116">
        <v>40713.599999999999</v>
      </c>
      <c r="DJ116">
        <v>37066.800000000003</v>
      </c>
      <c r="DK116">
        <v>2.1032799999999998</v>
      </c>
      <c r="DL116">
        <v>1.85504</v>
      </c>
      <c r="DM116">
        <v>2.5591300000000001E-2</v>
      </c>
      <c r="DN116">
        <v>0</v>
      </c>
      <c r="DO116">
        <v>24.878499999999999</v>
      </c>
      <c r="DP116">
        <v>999.9</v>
      </c>
      <c r="DQ116">
        <v>79.5</v>
      </c>
      <c r="DR116">
        <v>28</v>
      </c>
      <c r="DS116">
        <v>30.113499999999998</v>
      </c>
      <c r="DT116">
        <v>30.610099999999999</v>
      </c>
      <c r="DU116">
        <v>9.3109000000000002</v>
      </c>
      <c r="DV116">
        <v>1</v>
      </c>
      <c r="DW116">
        <v>5.6756099999999997E-2</v>
      </c>
      <c r="DX116">
        <v>-0.23036599999999999</v>
      </c>
      <c r="DY116">
        <v>20.367799999999999</v>
      </c>
      <c r="DZ116">
        <v>5.2150100000000004</v>
      </c>
      <c r="EA116">
        <v>11.8482</v>
      </c>
      <c r="EB116">
        <v>4.9687200000000002</v>
      </c>
      <c r="EC116">
        <v>3.2920199999999999</v>
      </c>
      <c r="ED116">
        <v>894.7</v>
      </c>
      <c r="EE116">
        <v>0</v>
      </c>
      <c r="EF116">
        <v>9999</v>
      </c>
      <c r="EG116">
        <v>114.6</v>
      </c>
      <c r="EH116">
        <v>4.9716399999999998</v>
      </c>
      <c r="EI116">
        <v>1.8717999999999999</v>
      </c>
      <c r="EJ116">
        <v>1.8689100000000001</v>
      </c>
      <c r="EK116">
        <v>1.87134</v>
      </c>
      <c r="EL116">
        <v>1.8690500000000001</v>
      </c>
      <c r="EM116">
        <v>1.86805</v>
      </c>
      <c r="EN116">
        <v>1.8698399999999999</v>
      </c>
      <c r="EO116">
        <v>1.87165</v>
      </c>
      <c r="EP116">
        <v>0</v>
      </c>
      <c r="EQ116">
        <v>0</v>
      </c>
      <c r="ER116">
        <v>0</v>
      </c>
      <c r="ES116">
        <v>0</v>
      </c>
      <c r="ET116" t="s">
        <v>334</v>
      </c>
      <c r="EU116" t="s">
        <v>335</v>
      </c>
      <c r="EV116" t="s">
        <v>336</v>
      </c>
      <c r="EW116" t="s">
        <v>336</v>
      </c>
      <c r="EX116" t="s">
        <v>336</v>
      </c>
      <c r="EY116" t="s">
        <v>336</v>
      </c>
      <c r="EZ116">
        <v>0</v>
      </c>
      <c r="FA116">
        <v>100</v>
      </c>
      <c r="FB116">
        <v>100</v>
      </c>
      <c r="FC116">
        <v>7.8529999999999998</v>
      </c>
      <c r="FD116">
        <v>-0.99</v>
      </c>
      <c r="FE116">
        <v>7.8643999999999963</v>
      </c>
      <c r="FF116">
        <v>0</v>
      </c>
      <c r="FG116">
        <v>0</v>
      </c>
      <c r="FH116">
        <v>0</v>
      </c>
      <c r="FI116">
        <v>-0.98935900000000032</v>
      </c>
      <c r="FJ116">
        <v>0</v>
      </c>
      <c r="FK116">
        <v>0</v>
      </c>
      <c r="FL116">
        <v>0</v>
      </c>
      <c r="FM116">
        <v>-1</v>
      </c>
      <c r="FN116">
        <v>-1</v>
      </c>
      <c r="FO116">
        <v>-1</v>
      </c>
      <c r="FP116">
        <v>-1</v>
      </c>
      <c r="FQ116">
        <v>0.8</v>
      </c>
      <c r="FR116">
        <v>0.7</v>
      </c>
      <c r="FS116">
        <v>0.142822</v>
      </c>
      <c r="FT116">
        <v>4.99756</v>
      </c>
      <c r="FU116">
        <v>1.5979000000000001</v>
      </c>
      <c r="FV116">
        <v>2.16187</v>
      </c>
      <c r="FW116">
        <v>1.5478499999999999</v>
      </c>
      <c r="FX116">
        <v>2.2997999999999998</v>
      </c>
      <c r="FY116">
        <v>32.377000000000002</v>
      </c>
      <c r="FZ116">
        <v>15.9358</v>
      </c>
      <c r="GA116">
        <v>3</v>
      </c>
      <c r="GB116">
        <v>492.017</v>
      </c>
      <c r="GC116">
        <v>424.428</v>
      </c>
      <c r="GD116">
        <v>26.001799999999999</v>
      </c>
      <c r="GE116">
        <v>27.884699999999999</v>
      </c>
      <c r="GF116">
        <v>30.0002</v>
      </c>
      <c r="GG116">
        <v>28.197600000000001</v>
      </c>
      <c r="GH116">
        <v>28.251899999999999</v>
      </c>
      <c r="GI116">
        <v>-1</v>
      </c>
      <c r="GJ116">
        <v>0</v>
      </c>
      <c r="GK116">
        <v>100</v>
      </c>
      <c r="GL116">
        <v>26.003699999999998</v>
      </c>
      <c r="GM116">
        <v>432.1</v>
      </c>
      <c r="GN116">
        <v>63.216500000000003</v>
      </c>
      <c r="GO116">
        <v>102.491</v>
      </c>
      <c r="GP116">
        <v>96.730900000000005</v>
      </c>
    </row>
    <row r="117" spans="1:198" x14ac:dyDescent="0.35">
      <c r="A117">
        <v>101</v>
      </c>
      <c r="B117">
        <v>1775509592</v>
      </c>
      <c r="C117">
        <v>6001</v>
      </c>
      <c r="D117" t="s">
        <v>634</v>
      </c>
      <c r="E117" t="s">
        <v>635</v>
      </c>
      <c r="F117">
        <v>60</v>
      </c>
      <c r="G117">
        <v>1775509584.25</v>
      </c>
      <c r="H117">
        <f t="shared" si="90"/>
        <v>9.3762772318449613E-4</v>
      </c>
      <c r="I117">
        <f t="shared" si="91"/>
        <v>0.93762772318449616</v>
      </c>
      <c r="J117">
        <f t="shared" si="92"/>
        <v>0.20037449471521954</v>
      </c>
      <c r="K117">
        <f t="shared" si="93"/>
        <v>56.488576666666667</v>
      </c>
      <c r="L117">
        <f t="shared" si="94"/>
        <v>41.754711270617939</v>
      </c>
      <c r="M117">
        <f t="shared" si="95"/>
        <v>4.1848422747028042</v>
      </c>
      <c r="N117">
        <f t="shared" si="96"/>
        <v>5.6615355843402684</v>
      </c>
      <c r="O117">
        <f t="shared" si="97"/>
        <v>2.6904021303642788E-2</v>
      </c>
      <c r="P117">
        <f t="shared" si="98"/>
        <v>2.3921998329911554</v>
      </c>
      <c r="Q117">
        <f t="shared" si="99"/>
        <v>2.6737048917682478E-2</v>
      </c>
      <c r="R117">
        <f t="shared" si="100"/>
        <v>1.672557087257661E-2</v>
      </c>
      <c r="S117">
        <f t="shared" si="101"/>
        <v>0</v>
      </c>
      <c r="T117">
        <f t="shared" si="102"/>
        <v>25.006282432490572</v>
      </c>
      <c r="U117">
        <f t="shared" si="103"/>
        <v>25.29777</v>
      </c>
      <c r="V117">
        <f t="shared" si="104"/>
        <v>3.236565473376007</v>
      </c>
      <c r="W117">
        <f t="shared" si="105"/>
        <v>-6.9615036643884007</v>
      </c>
      <c r="X117">
        <f t="shared" si="106"/>
        <v>-0.22535397011216121</v>
      </c>
      <c r="Y117">
        <f t="shared" si="107"/>
        <v>3.2371450332628613</v>
      </c>
      <c r="Z117">
        <f t="shared" si="108"/>
        <v>3.4619194434881684</v>
      </c>
      <c r="AA117">
        <f t="shared" si="109"/>
        <v>-41.349382592436278</v>
      </c>
      <c r="AB117">
        <f t="shared" si="110"/>
        <v>0.38819451496121099</v>
      </c>
      <c r="AC117">
        <f t="shared" si="111"/>
        <v>3.442862991069176E-2</v>
      </c>
      <c r="AD117">
        <f t="shared" si="112"/>
        <v>-40.926759447564372</v>
      </c>
      <c r="AE117">
        <v>18</v>
      </c>
      <c r="AF117">
        <v>4</v>
      </c>
      <c r="AG117">
        <f t="shared" si="113"/>
        <v>1</v>
      </c>
      <c r="AH117">
        <f t="shared" si="114"/>
        <v>0</v>
      </c>
      <c r="AI117">
        <f t="shared" si="115"/>
        <v>25724.591014581521</v>
      </c>
      <c r="AJ117">
        <f t="shared" si="116"/>
        <v>0</v>
      </c>
      <c r="AK117">
        <f t="shared" si="117"/>
        <v>0</v>
      </c>
      <c r="AL117">
        <f t="shared" si="118"/>
        <v>0</v>
      </c>
      <c r="AM117">
        <f t="shared" si="119"/>
        <v>0</v>
      </c>
      <c r="AN117">
        <v>3</v>
      </c>
      <c r="AO117">
        <v>0.5</v>
      </c>
      <c r="AP117" t="s">
        <v>331</v>
      </c>
      <c r="AQ117">
        <v>2</v>
      </c>
      <c r="AR117">
        <v>1775509584.25</v>
      </c>
      <c r="AS117">
        <v>56.488576666666667</v>
      </c>
      <c r="AT117">
        <v>56.64058</v>
      </c>
      <c r="AU117">
        <v>-2.2484933333333328</v>
      </c>
      <c r="AV117">
        <v>-2.8123330000000011</v>
      </c>
      <c r="AW117">
        <v>48.619576666666667</v>
      </c>
      <c r="AX117">
        <v>-1.260493333333333</v>
      </c>
      <c r="AY117">
        <v>500.00170000000008</v>
      </c>
      <c r="AZ117">
        <v>100.18713333333331</v>
      </c>
      <c r="BA117">
        <v>3.729996666666667E-2</v>
      </c>
      <c r="BB117">
        <v>25.300779999999989</v>
      </c>
      <c r="BC117">
        <v>25.29777</v>
      </c>
      <c r="BD117">
        <v>999.9000000000002</v>
      </c>
      <c r="BE117">
        <v>0</v>
      </c>
      <c r="BF117">
        <v>0</v>
      </c>
      <c r="BG117">
        <v>5001.3833333333332</v>
      </c>
      <c r="BH117">
        <v>0.38646833333333341</v>
      </c>
      <c r="BI117">
        <v>0.2334426666666666</v>
      </c>
      <c r="BJ117">
        <v>-0.1680482333333333</v>
      </c>
      <c r="BK117">
        <v>56.345753333333327</v>
      </c>
      <c r="BL117">
        <v>56.481739999999988</v>
      </c>
      <c r="BM117">
        <v>0.56226756666666666</v>
      </c>
      <c r="BN117">
        <v>56.64058</v>
      </c>
      <c r="BO117">
        <v>-2.8123330000000011</v>
      </c>
      <c r="BP117">
        <v>-0.22542760000000001</v>
      </c>
      <c r="BQ117">
        <v>-0.28175953333333331</v>
      </c>
      <c r="BR117">
        <v>-99.900000000000034</v>
      </c>
      <c r="BS117">
        <v>-99.900000000000034</v>
      </c>
      <c r="BT117">
        <v>0</v>
      </c>
      <c r="BU117">
        <v>0</v>
      </c>
      <c r="BV117">
        <v>0</v>
      </c>
      <c r="BW117">
        <v>24</v>
      </c>
      <c r="BX117">
        <v>-1</v>
      </c>
      <c r="BY117">
        <v>1775509613</v>
      </c>
      <c r="BZ117" t="s">
        <v>636</v>
      </c>
      <c r="CA117">
        <v>1775509605.5</v>
      </c>
      <c r="CB117">
        <v>1775509613</v>
      </c>
      <c r="CC117">
        <v>104</v>
      </c>
      <c r="CD117">
        <v>1.6E-2</v>
      </c>
      <c r="CE117">
        <v>1E-3</v>
      </c>
      <c r="CF117">
        <v>7.8689999999999998</v>
      </c>
      <c r="CG117">
        <v>-0.98799999999999999</v>
      </c>
      <c r="CH117">
        <v>56</v>
      </c>
      <c r="CI117">
        <v>-3</v>
      </c>
      <c r="CJ117">
        <v>0.23</v>
      </c>
      <c r="CK117">
        <v>0.14000000000000001</v>
      </c>
      <c r="CL117">
        <v>56.606880327868858</v>
      </c>
      <c r="CM117">
        <v>5.6147435219461209E-2</v>
      </c>
      <c r="CN117">
        <v>0.11630519887407589</v>
      </c>
      <c r="CO117">
        <v>-1</v>
      </c>
      <c r="CP117">
        <v>500.02213114754102</v>
      </c>
      <c r="CQ117">
        <v>-0.187437334744818</v>
      </c>
      <c r="CR117">
        <v>9.3218318647515397E-2</v>
      </c>
      <c r="CS117">
        <v>-1</v>
      </c>
      <c r="CT117">
        <v>0</v>
      </c>
      <c r="CU117">
        <v>0</v>
      </c>
      <c r="CV117" t="s">
        <v>333</v>
      </c>
      <c r="CW117">
        <v>3.16736</v>
      </c>
      <c r="CX117">
        <v>2.6585700000000001</v>
      </c>
      <c r="CY117">
        <v>1.45279E-2</v>
      </c>
      <c r="CZ117">
        <v>1.6881E-2</v>
      </c>
      <c r="DA117">
        <v>-1.13101E-2</v>
      </c>
      <c r="DB117">
        <v>-2.8274000000000001E-2</v>
      </c>
      <c r="DC117">
        <v>21331.8</v>
      </c>
      <c r="DD117">
        <v>21651.9</v>
      </c>
      <c r="DE117">
        <v>23171.200000000001</v>
      </c>
      <c r="DF117">
        <v>22372.2</v>
      </c>
      <c r="DG117">
        <v>30211.8</v>
      </c>
      <c r="DH117">
        <v>27422.799999999999</v>
      </c>
      <c r="DI117">
        <v>40712.9</v>
      </c>
      <c r="DJ117">
        <v>37066.400000000001</v>
      </c>
      <c r="DK117">
        <v>2.1033599999999999</v>
      </c>
      <c r="DL117">
        <v>1.8547199999999999</v>
      </c>
      <c r="DM117">
        <v>2.6586700000000001E-2</v>
      </c>
      <c r="DN117">
        <v>0</v>
      </c>
      <c r="DO117">
        <v>24.8765</v>
      </c>
      <c r="DP117">
        <v>999.9</v>
      </c>
      <c r="DQ117">
        <v>79.5</v>
      </c>
      <c r="DR117">
        <v>28</v>
      </c>
      <c r="DS117">
        <v>30.112100000000002</v>
      </c>
      <c r="DT117">
        <v>30.8202</v>
      </c>
      <c r="DU117">
        <v>8.9463100000000004</v>
      </c>
      <c r="DV117">
        <v>1</v>
      </c>
      <c r="DW117">
        <v>5.6922800000000003E-2</v>
      </c>
      <c r="DX117">
        <v>-0.16844200000000001</v>
      </c>
      <c r="DY117">
        <v>20.368099999999998</v>
      </c>
      <c r="DZ117">
        <v>5.2109399999999999</v>
      </c>
      <c r="EA117">
        <v>11.8482</v>
      </c>
      <c r="EB117">
        <v>4.96868</v>
      </c>
      <c r="EC117">
        <v>3.2920600000000002</v>
      </c>
      <c r="ED117">
        <v>894.7</v>
      </c>
      <c r="EE117">
        <v>0</v>
      </c>
      <c r="EF117">
        <v>9999</v>
      </c>
      <c r="EG117">
        <v>114.7</v>
      </c>
      <c r="EH117">
        <v>4.9716199999999997</v>
      </c>
      <c r="EI117">
        <v>1.8717999999999999</v>
      </c>
      <c r="EJ117">
        <v>1.8689</v>
      </c>
      <c r="EK117">
        <v>1.87134</v>
      </c>
      <c r="EL117">
        <v>1.8690500000000001</v>
      </c>
      <c r="EM117">
        <v>1.8680099999999999</v>
      </c>
      <c r="EN117">
        <v>1.8698300000000001</v>
      </c>
      <c r="EO117">
        <v>1.8716699999999999</v>
      </c>
      <c r="EP117">
        <v>0</v>
      </c>
      <c r="EQ117">
        <v>0</v>
      </c>
      <c r="ER117">
        <v>0</v>
      </c>
      <c r="ES117">
        <v>0</v>
      </c>
      <c r="ET117" t="s">
        <v>334</v>
      </c>
      <c r="EU117" t="s">
        <v>335</v>
      </c>
      <c r="EV117" t="s">
        <v>336</v>
      </c>
      <c r="EW117" t="s">
        <v>336</v>
      </c>
      <c r="EX117" t="s">
        <v>336</v>
      </c>
      <c r="EY117" t="s">
        <v>336</v>
      </c>
      <c r="EZ117">
        <v>0</v>
      </c>
      <c r="FA117">
        <v>100</v>
      </c>
      <c r="FB117">
        <v>100</v>
      </c>
      <c r="FC117">
        <v>7.8689999999999998</v>
      </c>
      <c r="FD117">
        <v>-0.98799999999999999</v>
      </c>
      <c r="FE117">
        <v>7.8529549999999873</v>
      </c>
      <c r="FF117">
        <v>0</v>
      </c>
      <c r="FG117">
        <v>0</v>
      </c>
      <c r="FH117">
        <v>0</v>
      </c>
      <c r="FI117">
        <v>-0.98957190476190471</v>
      </c>
      <c r="FJ117">
        <v>0</v>
      </c>
      <c r="FK117">
        <v>0</v>
      </c>
      <c r="FL117">
        <v>0</v>
      </c>
      <c r="FM117">
        <v>-1</v>
      </c>
      <c r="FN117">
        <v>-1</v>
      </c>
      <c r="FO117">
        <v>-1</v>
      </c>
      <c r="FP117">
        <v>-1</v>
      </c>
      <c r="FQ117">
        <v>0.7</v>
      </c>
      <c r="FR117">
        <v>0.7</v>
      </c>
      <c r="FS117">
        <v>0.142822</v>
      </c>
      <c r="FT117">
        <v>4.99756</v>
      </c>
      <c r="FU117">
        <v>1.5979000000000001</v>
      </c>
      <c r="FV117">
        <v>2.16187</v>
      </c>
      <c r="FW117">
        <v>1.5478499999999999</v>
      </c>
      <c r="FX117">
        <v>2.4340799999999998</v>
      </c>
      <c r="FY117">
        <v>32.377000000000002</v>
      </c>
      <c r="FZ117">
        <v>15.9358</v>
      </c>
      <c r="GA117">
        <v>3</v>
      </c>
      <c r="GB117">
        <v>492.06299999999999</v>
      </c>
      <c r="GC117">
        <v>424.25599999999997</v>
      </c>
      <c r="GD117">
        <v>26.0062</v>
      </c>
      <c r="GE117">
        <v>27.884699999999999</v>
      </c>
      <c r="GF117">
        <v>30.0002</v>
      </c>
      <c r="GG117">
        <v>28.197600000000001</v>
      </c>
      <c r="GH117">
        <v>28.254300000000001</v>
      </c>
      <c r="GI117">
        <v>-1</v>
      </c>
      <c r="GJ117">
        <v>0</v>
      </c>
      <c r="GK117">
        <v>100</v>
      </c>
      <c r="GL117">
        <v>26.004200000000001</v>
      </c>
      <c r="GM117">
        <v>432.1</v>
      </c>
      <c r="GN117">
        <v>63.216500000000003</v>
      </c>
      <c r="GO117">
        <v>102.489</v>
      </c>
      <c r="GP117">
        <v>96.729900000000001</v>
      </c>
    </row>
    <row r="118" spans="1:198" x14ac:dyDescent="0.35">
      <c r="A118">
        <v>102</v>
      </c>
      <c r="B118">
        <v>1775509652</v>
      </c>
      <c r="C118">
        <v>6061</v>
      </c>
      <c r="D118" t="s">
        <v>637</v>
      </c>
      <c r="E118" t="s">
        <v>638</v>
      </c>
      <c r="F118">
        <v>60</v>
      </c>
      <c r="G118">
        <v>1775509644</v>
      </c>
      <c r="H118">
        <f t="shared" si="90"/>
        <v>9.4516493024867536E-4</v>
      </c>
      <c r="I118">
        <f t="shared" si="91"/>
        <v>0.94516493024867532</v>
      </c>
      <c r="J118">
        <f t="shared" si="92"/>
        <v>0.62930632910616646</v>
      </c>
      <c r="K118">
        <f t="shared" si="93"/>
        <v>56.733577419354837</v>
      </c>
      <c r="L118">
        <f t="shared" si="94"/>
        <v>17.333960290152113</v>
      </c>
      <c r="M118">
        <f t="shared" si="95"/>
        <v>1.7372731370495584</v>
      </c>
      <c r="N118">
        <f t="shared" si="96"/>
        <v>5.6860474103752345</v>
      </c>
      <c r="O118">
        <f t="shared" si="97"/>
        <v>2.7122692905243488E-2</v>
      </c>
      <c r="P118">
        <f t="shared" si="98"/>
        <v>2.3927877220840625</v>
      </c>
      <c r="Q118">
        <f t="shared" si="99"/>
        <v>2.6953045886770895E-2</v>
      </c>
      <c r="R118">
        <f t="shared" si="100"/>
        <v>1.6860807212520691E-2</v>
      </c>
      <c r="S118">
        <f t="shared" si="101"/>
        <v>0</v>
      </c>
      <c r="T118">
        <f t="shared" si="102"/>
        <v>25.00540242865641</v>
      </c>
      <c r="U118">
        <f t="shared" si="103"/>
        <v>25.298038709677421</v>
      </c>
      <c r="V118">
        <f t="shared" si="104"/>
        <v>3.2366172083448892</v>
      </c>
      <c r="W118">
        <f t="shared" si="105"/>
        <v>-6.9541045969442008</v>
      </c>
      <c r="X118">
        <f t="shared" si="106"/>
        <v>-0.22513346722696556</v>
      </c>
      <c r="Y118">
        <f t="shared" si="107"/>
        <v>3.2374184783745497</v>
      </c>
      <c r="Z118">
        <f t="shared" si="108"/>
        <v>3.4617506755718548</v>
      </c>
      <c r="AA118">
        <f t="shared" si="109"/>
        <v>-41.681773423966582</v>
      </c>
      <c r="AB118">
        <f t="shared" si="110"/>
        <v>0.53680633373433573</v>
      </c>
      <c r="AC118">
        <f t="shared" si="111"/>
        <v>4.7597588391382818E-2</v>
      </c>
      <c r="AD118">
        <f t="shared" si="112"/>
        <v>-41.097369501840866</v>
      </c>
      <c r="AE118">
        <v>18</v>
      </c>
      <c r="AF118">
        <v>4</v>
      </c>
      <c r="AG118">
        <f t="shared" si="113"/>
        <v>1</v>
      </c>
      <c r="AH118">
        <f t="shared" si="114"/>
        <v>0</v>
      </c>
      <c r="AI118">
        <f t="shared" si="115"/>
        <v>25733.4974025259</v>
      </c>
      <c r="AJ118">
        <f t="shared" si="116"/>
        <v>0</v>
      </c>
      <c r="AK118">
        <f t="shared" si="117"/>
        <v>0</v>
      </c>
      <c r="AL118">
        <f t="shared" si="118"/>
        <v>0</v>
      </c>
      <c r="AM118">
        <f t="shared" si="119"/>
        <v>0</v>
      </c>
      <c r="AN118">
        <v>3</v>
      </c>
      <c r="AO118">
        <v>0.5</v>
      </c>
      <c r="AP118" t="s">
        <v>331</v>
      </c>
      <c r="AQ118">
        <v>2</v>
      </c>
      <c r="AR118">
        <v>1775509644</v>
      </c>
      <c r="AS118">
        <v>56.733577419354837</v>
      </c>
      <c r="AT118">
        <v>57.143332258064511</v>
      </c>
      <c r="AU118">
        <v>-2.2463103225806451</v>
      </c>
      <c r="AV118">
        <v>-2.8146796774193552</v>
      </c>
      <c r="AW118">
        <v>48.87557741935484</v>
      </c>
      <c r="AX118">
        <v>-1.2583103225806449</v>
      </c>
      <c r="AY118">
        <v>500.00306451612909</v>
      </c>
      <c r="AZ118">
        <v>100.1863548387097</v>
      </c>
      <c r="BA118">
        <v>3.7316380645161289E-2</v>
      </c>
      <c r="BB118">
        <v>25.302199999999988</v>
      </c>
      <c r="BC118">
        <v>25.298038709677421</v>
      </c>
      <c r="BD118">
        <v>999.90000000000032</v>
      </c>
      <c r="BE118">
        <v>0</v>
      </c>
      <c r="BF118">
        <v>0</v>
      </c>
      <c r="BG118">
        <v>5002.9354838709678</v>
      </c>
      <c r="BH118">
        <v>0.39424729032258071</v>
      </c>
      <c r="BI118">
        <v>0.23331922580645159</v>
      </c>
      <c r="BJ118">
        <v>-0.39921638387096769</v>
      </c>
      <c r="BK118">
        <v>56.616909677419343</v>
      </c>
      <c r="BL118">
        <v>56.982945161290317</v>
      </c>
      <c r="BM118">
        <v>0.5679003548387096</v>
      </c>
      <c r="BN118">
        <v>57.143332258064511</v>
      </c>
      <c r="BO118">
        <v>-2.8146796774193552</v>
      </c>
      <c r="BP118">
        <v>-0.22509638709677421</v>
      </c>
      <c r="BQ118">
        <v>-0.28199222580645161</v>
      </c>
      <c r="BR118">
        <v>-99.900000000000034</v>
      </c>
      <c r="BS118">
        <v>-99.900000000000034</v>
      </c>
      <c r="BT118">
        <v>0</v>
      </c>
      <c r="BU118">
        <v>0</v>
      </c>
      <c r="BV118">
        <v>0</v>
      </c>
      <c r="BW118">
        <v>24</v>
      </c>
      <c r="BX118">
        <v>-1</v>
      </c>
      <c r="BY118">
        <v>1775509672</v>
      </c>
      <c r="BZ118" t="s">
        <v>639</v>
      </c>
      <c r="CA118">
        <v>1775509669</v>
      </c>
      <c r="CB118">
        <v>1775509672</v>
      </c>
      <c r="CC118">
        <v>105</v>
      </c>
      <c r="CD118">
        <v>-1.0999999999999999E-2</v>
      </c>
      <c r="CE118">
        <v>0</v>
      </c>
      <c r="CF118">
        <v>7.8579999999999997</v>
      </c>
      <c r="CG118">
        <v>-0.98799999999999999</v>
      </c>
      <c r="CH118">
        <v>58</v>
      </c>
      <c r="CI118">
        <v>-3</v>
      </c>
      <c r="CJ118">
        <v>0.12</v>
      </c>
      <c r="CK118">
        <v>0.11</v>
      </c>
      <c r="CL118">
        <v>56.865375000000007</v>
      </c>
      <c r="CM118">
        <v>1.972612281189245</v>
      </c>
      <c r="CN118">
        <v>0.36003882643635332</v>
      </c>
      <c r="CO118">
        <v>-1</v>
      </c>
      <c r="CP118">
        <v>500.01018333333337</v>
      </c>
      <c r="CQ118">
        <v>-0.118996387884579</v>
      </c>
      <c r="CR118">
        <v>7.173945722001443E-2</v>
      </c>
      <c r="CS118">
        <v>-1</v>
      </c>
      <c r="CT118">
        <v>0</v>
      </c>
      <c r="CU118">
        <v>0</v>
      </c>
      <c r="CV118" t="s">
        <v>333</v>
      </c>
      <c r="CW118">
        <v>3.1673800000000001</v>
      </c>
      <c r="CX118">
        <v>2.6585399999999999</v>
      </c>
      <c r="CY118">
        <v>1.4661E-2</v>
      </c>
      <c r="CZ118">
        <v>1.7170000000000001E-2</v>
      </c>
      <c r="DA118">
        <v>-1.13077E-2</v>
      </c>
      <c r="DB118">
        <v>-2.8301699999999999E-2</v>
      </c>
      <c r="DC118">
        <v>21328.6</v>
      </c>
      <c r="DD118">
        <v>21645</v>
      </c>
      <c r="DE118">
        <v>23170.9</v>
      </c>
      <c r="DF118">
        <v>22371.7</v>
      </c>
      <c r="DG118">
        <v>30211.200000000001</v>
      </c>
      <c r="DH118">
        <v>27423.1</v>
      </c>
      <c r="DI118">
        <v>40712.199999999997</v>
      </c>
      <c r="DJ118">
        <v>37065.800000000003</v>
      </c>
      <c r="DK118">
        <v>2.10318</v>
      </c>
      <c r="DL118">
        <v>1.8547800000000001</v>
      </c>
      <c r="DM118">
        <v>2.59191E-2</v>
      </c>
      <c r="DN118">
        <v>0</v>
      </c>
      <c r="DO118">
        <v>24.874400000000001</v>
      </c>
      <c r="DP118">
        <v>999.9</v>
      </c>
      <c r="DQ118">
        <v>79.5</v>
      </c>
      <c r="DR118">
        <v>28</v>
      </c>
      <c r="DS118">
        <v>30.114699999999999</v>
      </c>
      <c r="DT118">
        <v>30.940200000000001</v>
      </c>
      <c r="DU118">
        <v>8.9142600000000005</v>
      </c>
      <c r="DV118">
        <v>1</v>
      </c>
      <c r="DW118">
        <v>5.7235800000000003E-2</v>
      </c>
      <c r="DX118">
        <v>-0.184115</v>
      </c>
      <c r="DY118">
        <v>20.368300000000001</v>
      </c>
      <c r="DZ118">
        <v>5.2112999999999996</v>
      </c>
      <c r="EA118">
        <v>11.8482</v>
      </c>
      <c r="EB118">
        <v>4.9683200000000003</v>
      </c>
      <c r="EC118">
        <v>3.2920799999999999</v>
      </c>
      <c r="ED118">
        <v>894.7</v>
      </c>
      <c r="EE118">
        <v>0</v>
      </c>
      <c r="EF118">
        <v>9999</v>
      </c>
      <c r="EG118">
        <v>114.7</v>
      </c>
      <c r="EH118">
        <v>4.9716399999999998</v>
      </c>
      <c r="EI118">
        <v>1.8717999999999999</v>
      </c>
      <c r="EJ118">
        <v>1.8689100000000001</v>
      </c>
      <c r="EK118">
        <v>1.87134</v>
      </c>
      <c r="EL118">
        <v>1.8690500000000001</v>
      </c>
      <c r="EM118">
        <v>1.8680099999999999</v>
      </c>
      <c r="EN118">
        <v>1.86988</v>
      </c>
      <c r="EO118">
        <v>1.8716999999999999</v>
      </c>
      <c r="EP118">
        <v>0</v>
      </c>
      <c r="EQ118">
        <v>0</v>
      </c>
      <c r="ER118">
        <v>0</v>
      </c>
      <c r="ES118">
        <v>0</v>
      </c>
      <c r="ET118" t="s">
        <v>334</v>
      </c>
      <c r="EU118" t="s">
        <v>335</v>
      </c>
      <c r="EV118" t="s">
        <v>336</v>
      </c>
      <c r="EW118" t="s">
        <v>336</v>
      </c>
      <c r="EX118" t="s">
        <v>336</v>
      </c>
      <c r="EY118" t="s">
        <v>336</v>
      </c>
      <c r="EZ118">
        <v>0</v>
      </c>
      <c r="FA118">
        <v>100</v>
      </c>
      <c r="FB118">
        <v>100</v>
      </c>
      <c r="FC118">
        <v>7.8579999999999997</v>
      </c>
      <c r="FD118">
        <v>-0.98799999999999999</v>
      </c>
      <c r="FE118">
        <v>7.8685380952381081</v>
      </c>
      <c r="FF118">
        <v>0</v>
      </c>
      <c r="FG118">
        <v>0</v>
      </c>
      <c r="FH118">
        <v>0</v>
      </c>
      <c r="FI118">
        <v>-0.98846849999999997</v>
      </c>
      <c r="FJ118">
        <v>0</v>
      </c>
      <c r="FK118">
        <v>0</v>
      </c>
      <c r="FL118">
        <v>0</v>
      </c>
      <c r="FM118">
        <v>-1</v>
      </c>
      <c r="FN118">
        <v>-1</v>
      </c>
      <c r="FO118">
        <v>-1</v>
      </c>
      <c r="FP118">
        <v>-1</v>
      </c>
      <c r="FQ118">
        <v>0.8</v>
      </c>
      <c r="FR118">
        <v>0.7</v>
      </c>
      <c r="FS118">
        <v>0.142822</v>
      </c>
      <c r="FT118">
        <v>4.99756</v>
      </c>
      <c r="FU118">
        <v>1.5979000000000001</v>
      </c>
      <c r="FV118">
        <v>2.16187</v>
      </c>
      <c r="FW118">
        <v>1.5478499999999999</v>
      </c>
      <c r="FX118">
        <v>2.4304199999999998</v>
      </c>
      <c r="FY118">
        <v>32.377000000000002</v>
      </c>
      <c r="FZ118">
        <v>15.9358</v>
      </c>
      <c r="GA118">
        <v>3</v>
      </c>
      <c r="GB118">
        <v>491.97899999999998</v>
      </c>
      <c r="GC118">
        <v>424.30900000000003</v>
      </c>
      <c r="GD118">
        <v>25.977900000000002</v>
      </c>
      <c r="GE118">
        <v>27.889500000000002</v>
      </c>
      <c r="GF118">
        <v>30.0001</v>
      </c>
      <c r="GG118">
        <v>28.1999</v>
      </c>
      <c r="GH118">
        <v>28.256699999999999</v>
      </c>
      <c r="GI118">
        <v>-1</v>
      </c>
      <c r="GJ118">
        <v>0</v>
      </c>
      <c r="GK118">
        <v>100</v>
      </c>
      <c r="GL118">
        <v>25.976800000000001</v>
      </c>
      <c r="GM118">
        <v>432.1</v>
      </c>
      <c r="GN118">
        <v>63.216500000000003</v>
      </c>
      <c r="GO118">
        <v>102.488</v>
      </c>
      <c r="GP118">
        <v>96.728099999999998</v>
      </c>
    </row>
    <row r="119" spans="1:198" x14ac:dyDescent="0.35">
      <c r="A119">
        <v>103</v>
      </c>
      <c r="B119">
        <v>1775509712</v>
      </c>
      <c r="C119">
        <v>6121</v>
      </c>
      <c r="D119" t="s">
        <v>640</v>
      </c>
      <c r="E119" t="s">
        <v>641</v>
      </c>
      <c r="F119">
        <v>60</v>
      </c>
      <c r="G119">
        <v>1775509704</v>
      </c>
      <c r="H119">
        <f t="shared" si="90"/>
        <v>9.5196781129810255E-4</v>
      </c>
      <c r="I119">
        <f t="shared" si="91"/>
        <v>0.9519678112981026</v>
      </c>
      <c r="J119">
        <f t="shared" si="92"/>
        <v>-0.18082645694643915</v>
      </c>
      <c r="K119">
        <f t="shared" si="93"/>
        <v>57.194745161290307</v>
      </c>
      <c r="L119">
        <f t="shared" si="94"/>
        <v>64.43463536841081</v>
      </c>
      <c r="M119">
        <f t="shared" si="95"/>
        <v>6.4579071392313629</v>
      </c>
      <c r="N119">
        <f t="shared" si="96"/>
        <v>5.7322952320871465</v>
      </c>
      <c r="O119">
        <f t="shared" si="97"/>
        <v>2.7315262426416288E-2</v>
      </c>
      <c r="P119">
        <f t="shared" si="98"/>
        <v>2.3943063432354847</v>
      </c>
      <c r="Q119">
        <f t="shared" si="99"/>
        <v>2.7143314522658845E-2</v>
      </c>
      <c r="R119">
        <f t="shared" si="100"/>
        <v>1.6979930060172944E-2</v>
      </c>
      <c r="S119">
        <f t="shared" si="101"/>
        <v>0</v>
      </c>
      <c r="T119">
        <f t="shared" si="102"/>
        <v>25.001323732855589</v>
      </c>
      <c r="U119">
        <f t="shared" si="103"/>
        <v>25.300316129032261</v>
      </c>
      <c r="V119">
        <f t="shared" si="104"/>
        <v>3.2370557114043796</v>
      </c>
      <c r="W119">
        <f t="shared" si="105"/>
        <v>-6.9564361104513068</v>
      </c>
      <c r="X119">
        <f t="shared" si="106"/>
        <v>-0.22518060134981802</v>
      </c>
      <c r="Y119">
        <f t="shared" si="107"/>
        <v>3.2370109891688368</v>
      </c>
      <c r="Z119">
        <f t="shared" si="108"/>
        <v>3.4622363127541975</v>
      </c>
      <c r="AA119">
        <f t="shared" si="109"/>
        <v>-41.981780478246321</v>
      </c>
      <c r="AB119">
        <f t="shared" si="110"/>
        <v>-2.9980299152548292E-2</v>
      </c>
      <c r="AC119">
        <f t="shared" si="111"/>
        <v>-2.6566117389424894E-3</v>
      </c>
      <c r="AD119">
        <f t="shared" si="112"/>
        <v>-42.014417389137812</v>
      </c>
      <c r="AE119">
        <v>18</v>
      </c>
      <c r="AF119">
        <v>4</v>
      </c>
      <c r="AG119">
        <f t="shared" si="113"/>
        <v>1</v>
      </c>
      <c r="AH119">
        <f t="shared" si="114"/>
        <v>0</v>
      </c>
      <c r="AI119">
        <f t="shared" si="115"/>
        <v>25756.893081479338</v>
      </c>
      <c r="AJ119">
        <f t="shared" si="116"/>
        <v>0</v>
      </c>
      <c r="AK119">
        <f t="shared" si="117"/>
        <v>0</v>
      </c>
      <c r="AL119">
        <f t="shared" si="118"/>
        <v>0</v>
      </c>
      <c r="AM119">
        <f t="shared" si="119"/>
        <v>0</v>
      </c>
      <c r="AN119">
        <v>3</v>
      </c>
      <c r="AO119">
        <v>0.5</v>
      </c>
      <c r="AP119" t="s">
        <v>331</v>
      </c>
      <c r="AQ119">
        <v>2</v>
      </c>
      <c r="AR119">
        <v>1775509704</v>
      </c>
      <c r="AS119">
        <v>57.194745161290307</v>
      </c>
      <c r="AT119">
        <v>57.118922580645162</v>
      </c>
      <c r="AU119">
        <v>-2.2467696774193548</v>
      </c>
      <c r="AV119">
        <v>-2.8191977419354841</v>
      </c>
      <c r="AW119">
        <v>49.301745161290313</v>
      </c>
      <c r="AX119">
        <v>-1.2587696774193551</v>
      </c>
      <c r="AY119">
        <v>500.03138709677432</v>
      </c>
      <c r="AZ119">
        <v>100.1871290322581</v>
      </c>
      <c r="BA119">
        <v>3.702995161290322E-2</v>
      </c>
      <c r="BB119">
        <v>25.30008387096775</v>
      </c>
      <c r="BC119">
        <v>25.300316129032261</v>
      </c>
      <c r="BD119">
        <v>999.90000000000032</v>
      </c>
      <c r="BE119">
        <v>0</v>
      </c>
      <c r="BF119">
        <v>0</v>
      </c>
      <c r="BG119">
        <v>5006.8064516129034</v>
      </c>
      <c r="BH119">
        <v>0.40870348387096772</v>
      </c>
      <c r="BI119">
        <v>0.2333562580645161</v>
      </c>
      <c r="BJ119">
        <v>4.0479262903225822E-2</v>
      </c>
      <c r="BK119">
        <v>57.031251612903233</v>
      </c>
      <c r="BL119">
        <v>56.958351612903222</v>
      </c>
      <c r="BM119">
        <v>0.57214409677419353</v>
      </c>
      <c r="BN119">
        <v>57.118922580645162</v>
      </c>
      <c r="BO119">
        <v>-2.8191977419354841</v>
      </c>
      <c r="BP119">
        <v>-0.22512580645161301</v>
      </c>
      <c r="BQ119">
        <v>-0.2824472258064516</v>
      </c>
      <c r="BR119">
        <v>-99.900000000000034</v>
      </c>
      <c r="BS119">
        <v>-99.900000000000034</v>
      </c>
      <c r="BT119">
        <v>0</v>
      </c>
      <c r="BU119">
        <v>0</v>
      </c>
      <c r="BV119">
        <v>0</v>
      </c>
      <c r="BW119">
        <v>24</v>
      </c>
      <c r="BX119">
        <v>-1</v>
      </c>
      <c r="BY119">
        <v>1775509732.5</v>
      </c>
      <c r="BZ119" t="s">
        <v>642</v>
      </c>
      <c r="CA119">
        <v>1775509724</v>
      </c>
      <c r="CB119">
        <v>1775509732.5</v>
      </c>
      <c r="CC119">
        <v>106</v>
      </c>
      <c r="CD119">
        <v>3.5999999999999997E-2</v>
      </c>
      <c r="CE119">
        <v>1E-3</v>
      </c>
      <c r="CF119">
        <v>7.8929999999999998</v>
      </c>
      <c r="CG119">
        <v>-0.98799999999999999</v>
      </c>
      <c r="CH119">
        <v>57</v>
      </c>
      <c r="CI119">
        <v>-3</v>
      </c>
      <c r="CJ119">
        <v>0.23</v>
      </c>
      <c r="CK119">
        <v>0.15</v>
      </c>
      <c r="CL119">
        <v>57.210835000000003</v>
      </c>
      <c r="CM119">
        <v>-0.56101750486244539</v>
      </c>
      <c r="CN119">
        <v>0.13012498072366199</v>
      </c>
      <c r="CO119">
        <v>-1</v>
      </c>
      <c r="CP119">
        <v>500.01440000000002</v>
      </c>
      <c r="CQ119">
        <v>-4.454570713910604E-3</v>
      </c>
      <c r="CR119">
        <v>8.5194131253274588E-2</v>
      </c>
      <c r="CS119">
        <v>-1</v>
      </c>
      <c r="CT119">
        <v>0</v>
      </c>
      <c r="CU119">
        <v>0</v>
      </c>
      <c r="CV119" t="s">
        <v>333</v>
      </c>
      <c r="CW119">
        <v>3.1673100000000001</v>
      </c>
      <c r="CX119">
        <v>2.6581800000000002</v>
      </c>
      <c r="CY119">
        <v>1.46699E-2</v>
      </c>
      <c r="CZ119">
        <v>1.6998300000000001E-2</v>
      </c>
      <c r="DA119">
        <v>-1.1316100000000001E-2</v>
      </c>
      <c r="DB119">
        <v>-2.8371E-2</v>
      </c>
      <c r="DC119">
        <v>21328.2</v>
      </c>
      <c r="DD119">
        <v>21649</v>
      </c>
      <c r="DE119">
        <v>23170.7</v>
      </c>
      <c r="DF119">
        <v>22372</v>
      </c>
      <c r="DG119">
        <v>30211.3</v>
      </c>
      <c r="DH119">
        <v>27425.200000000001</v>
      </c>
      <c r="DI119">
        <v>40711.9</v>
      </c>
      <c r="DJ119">
        <v>37066.199999999997</v>
      </c>
      <c r="DK119">
        <v>2.1032999999999999</v>
      </c>
      <c r="DL119">
        <v>1.8547800000000001</v>
      </c>
      <c r="DM119">
        <v>2.5883300000000001E-2</v>
      </c>
      <c r="DN119">
        <v>0</v>
      </c>
      <c r="DO119">
        <v>24.878499999999999</v>
      </c>
      <c r="DP119">
        <v>999.9</v>
      </c>
      <c r="DQ119">
        <v>79.400000000000006</v>
      </c>
      <c r="DR119">
        <v>28</v>
      </c>
      <c r="DS119">
        <v>30.0761</v>
      </c>
      <c r="DT119">
        <v>30.760200000000001</v>
      </c>
      <c r="DU119">
        <v>9.1666600000000003</v>
      </c>
      <c r="DV119">
        <v>1</v>
      </c>
      <c r="DW119">
        <v>5.7489800000000001E-2</v>
      </c>
      <c r="DX119">
        <v>-0.24577099999999999</v>
      </c>
      <c r="DY119">
        <v>20.368200000000002</v>
      </c>
      <c r="DZ119">
        <v>5.2133399999999996</v>
      </c>
      <c r="EA119">
        <v>11.8482</v>
      </c>
      <c r="EB119">
        <v>4.9677199999999999</v>
      </c>
      <c r="EC119">
        <v>3.2921200000000002</v>
      </c>
      <c r="ED119">
        <v>894.7</v>
      </c>
      <c r="EE119">
        <v>0</v>
      </c>
      <c r="EF119">
        <v>9999</v>
      </c>
      <c r="EG119">
        <v>114.7</v>
      </c>
      <c r="EH119">
        <v>4.9716399999999998</v>
      </c>
      <c r="EI119">
        <v>1.8717999999999999</v>
      </c>
      <c r="EJ119">
        <v>1.8689100000000001</v>
      </c>
      <c r="EK119">
        <v>1.8713500000000001</v>
      </c>
      <c r="EL119">
        <v>1.8690500000000001</v>
      </c>
      <c r="EM119">
        <v>1.8680300000000001</v>
      </c>
      <c r="EN119">
        <v>1.8698699999999999</v>
      </c>
      <c r="EO119">
        <v>1.8716999999999999</v>
      </c>
      <c r="EP119">
        <v>0</v>
      </c>
      <c r="EQ119">
        <v>0</v>
      </c>
      <c r="ER119">
        <v>0</v>
      </c>
      <c r="ES119">
        <v>0</v>
      </c>
      <c r="ET119" t="s">
        <v>334</v>
      </c>
      <c r="EU119" t="s">
        <v>335</v>
      </c>
      <c r="EV119" t="s">
        <v>336</v>
      </c>
      <c r="EW119" t="s">
        <v>336</v>
      </c>
      <c r="EX119" t="s">
        <v>336</v>
      </c>
      <c r="EY119" t="s">
        <v>336</v>
      </c>
      <c r="EZ119">
        <v>0</v>
      </c>
      <c r="FA119">
        <v>100</v>
      </c>
      <c r="FB119">
        <v>100</v>
      </c>
      <c r="FC119">
        <v>7.8929999999999998</v>
      </c>
      <c r="FD119">
        <v>-0.98799999999999999</v>
      </c>
      <c r="FE119">
        <v>7.8576649999999972</v>
      </c>
      <c r="FF119">
        <v>0</v>
      </c>
      <c r="FG119">
        <v>0</v>
      </c>
      <c r="FH119">
        <v>0</v>
      </c>
      <c r="FI119">
        <v>-0.98828450000000001</v>
      </c>
      <c r="FJ119">
        <v>0</v>
      </c>
      <c r="FK119">
        <v>0</v>
      </c>
      <c r="FL119">
        <v>0</v>
      </c>
      <c r="FM119">
        <v>-1</v>
      </c>
      <c r="FN119">
        <v>-1</v>
      </c>
      <c r="FO119">
        <v>-1</v>
      </c>
      <c r="FP119">
        <v>-1</v>
      </c>
      <c r="FQ119">
        <v>0.7</v>
      </c>
      <c r="FR119">
        <v>0.7</v>
      </c>
      <c r="FS119">
        <v>0.142822</v>
      </c>
      <c r="FT119">
        <v>4.99756</v>
      </c>
      <c r="FU119">
        <v>1.5979000000000001</v>
      </c>
      <c r="FV119">
        <v>2.16187</v>
      </c>
      <c r="FW119">
        <v>1.5478499999999999</v>
      </c>
      <c r="FX119">
        <v>2.3986800000000001</v>
      </c>
      <c r="FY119">
        <v>32.399099999999997</v>
      </c>
      <c r="FZ119">
        <v>15.927</v>
      </c>
      <c r="GA119">
        <v>3</v>
      </c>
      <c r="GB119">
        <v>492.084</v>
      </c>
      <c r="GC119">
        <v>424.32499999999999</v>
      </c>
      <c r="GD119">
        <v>25.967600000000001</v>
      </c>
      <c r="GE119">
        <v>27.894200000000001</v>
      </c>
      <c r="GF119">
        <v>30.0001</v>
      </c>
      <c r="GG119">
        <v>28.204699999999999</v>
      </c>
      <c r="GH119">
        <v>28.259</v>
      </c>
      <c r="GI119">
        <v>-1</v>
      </c>
      <c r="GJ119">
        <v>0</v>
      </c>
      <c r="GK119">
        <v>100</v>
      </c>
      <c r="GL119">
        <v>25.985600000000002</v>
      </c>
      <c r="GM119">
        <v>432.1</v>
      </c>
      <c r="GN119">
        <v>63.216500000000003</v>
      </c>
      <c r="GO119">
        <v>102.48699999999999</v>
      </c>
      <c r="GP119">
        <v>96.729100000000003</v>
      </c>
    </row>
    <row r="120" spans="1:198" x14ac:dyDescent="0.35">
      <c r="A120">
        <v>104</v>
      </c>
      <c r="B120">
        <v>1775509772</v>
      </c>
      <c r="C120">
        <v>6181</v>
      </c>
      <c r="D120" t="s">
        <v>643</v>
      </c>
      <c r="E120" t="s">
        <v>644</v>
      </c>
      <c r="F120">
        <v>60</v>
      </c>
      <c r="G120">
        <v>1775509764.25</v>
      </c>
      <c r="H120">
        <f t="shared" si="90"/>
        <v>9.6258817398139408E-4</v>
      </c>
      <c r="I120">
        <f t="shared" si="91"/>
        <v>0.96258817398139407</v>
      </c>
      <c r="J120">
        <f t="shared" si="92"/>
        <v>0.38409770680431299</v>
      </c>
      <c r="K120">
        <f t="shared" si="93"/>
        <v>57.114960000000018</v>
      </c>
      <c r="L120">
        <f t="shared" si="94"/>
        <v>32.240477811625155</v>
      </c>
      <c r="M120">
        <f t="shared" si="95"/>
        <v>3.2312787660143827</v>
      </c>
      <c r="N120">
        <f t="shared" si="96"/>
        <v>5.7243059035314579</v>
      </c>
      <c r="O120">
        <f t="shared" si="97"/>
        <v>2.7623599229969986E-2</v>
      </c>
      <c r="P120">
        <f t="shared" si="98"/>
        <v>2.3894564696959271</v>
      </c>
      <c r="Q120">
        <f t="shared" si="99"/>
        <v>2.7447406537467262E-2</v>
      </c>
      <c r="R120">
        <f t="shared" si="100"/>
        <v>1.7170365494608E-2</v>
      </c>
      <c r="S120">
        <f t="shared" si="101"/>
        <v>0</v>
      </c>
      <c r="T120">
        <f t="shared" si="102"/>
        <v>25.001021232136203</v>
      </c>
      <c r="U120">
        <f t="shared" si="103"/>
        <v>25.30183666666667</v>
      </c>
      <c r="V120">
        <f t="shared" si="104"/>
        <v>3.2373485104505848</v>
      </c>
      <c r="W120">
        <f t="shared" si="105"/>
        <v>-6.9406629533085278</v>
      </c>
      <c r="X120">
        <f t="shared" si="106"/>
        <v>-0.22471804273543913</v>
      </c>
      <c r="Y120">
        <f t="shared" si="107"/>
        <v>3.2377028570205795</v>
      </c>
      <c r="Z120">
        <f t="shared" si="108"/>
        <v>3.4620665531860237</v>
      </c>
      <c r="AA120">
        <f t="shared" si="109"/>
        <v>-42.450138472579482</v>
      </c>
      <c r="AB120">
        <f t="shared" si="110"/>
        <v>0.23702949403759405</v>
      </c>
      <c r="AC120">
        <f t="shared" si="111"/>
        <v>2.1046809710020521E-2</v>
      </c>
      <c r="AD120">
        <f t="shared" si="112"/>
        <v>-42.192062168831868</v>
      </c>
      <c r="AE120">
        <v>18</v>
      </c>
      <c r="AF120">
        <v>4</v>
      </c>
      <c r="AG120">
        <f t="shared" si="113"/>
        <v>1</v>
      </c>
      <c r="AH120">
        <f t="shared" si="114"/>
        <v>0</v>
      </c>
      <c r="AI120">
        <f t="shared" si="115"/>
        <v>25682.352784865183</v>
      </c>
      <c r="AJ120">
        <f t="shared" si="116"/>
        <v>0</v>
      </c>
      <c r="AK120">
        <f t="shared" si="117"/>
        <v>0</v>
      </c>
      <c r="AL120">
        <f t="shared" si="118"/>
        <v>0</v>
      </c>
      <c r="AM120">
        <f t="shared" si="119"/>
        <v>0</v>
      </c>
      <c r="AN120">
        <v>3</v>
      </c>
      <c r="AO120">
        <v>0.5</v>
      </c>
      <c r="AP120" t="s">
        <v>331</v>
      </c>
      <c r="AQ120">
        <v>2</v>
      </c>
      <c r="AR120">
        <v>1775509764.25</v>
      </c>
      <c r="AS120">
        <v>57.114960000000018</v>
      </c>
      <c r="AT120">
        <v>57.378413333333327</v>
      </c>
      <c r="AU120">
        <v>-2.242151666666667</v>
      </c>
      <c r="AV120">
        <v>-2.8210166666666669</v>
      </c>
      <c r="AW120">
        <v>49.237960000000022</v>
      </c>
      <c r="AX120">
        <v>-1.2541516666666661</v>
      </c>
      <c r="AY120">
        <v>499.98520000000002</v>
      </c>
      <c r="AZ120">
        <v>100.1872666666667</v>
      </c>
      <c r="BA120">
        <v>3.7016140000000003E-2</v>
      </c>
      <c r="BB120">
        <v>25.303676666666671</v>
      </c>
      <c r="BC120">
        <v>25.30183666666667</v>
      </c>
      <c r="BD120">
        <v>999.9000000000002</v>
      </c>
      <c r="BE120">
        <v>0</v>
      </c>
      <c r="BF120">
        <v>0</v>
      </c>
      <c r="BG120">
        <v>4994.3166666666666</v>
      </c>
      <c r="BH120">
        <v>0.38993916666666673</v>
      </c>
      <c r="BI120">
        <v>0.2334426666666666</v>
      </c>
      <c r="BJ120">
        <v>-0.24701473333333329</v>
      </c>
      <c r="BK120">
        <v>57.003596666666667</v>
      </c>
      <c r="BL120">
        <v>57.217016666666659</v>
      </c>
      <c r="BM120">
        <v>0.57911466666666678</v>
      </c>
      <c r="BN120">
        <v>57.378413333333327</v>
      </c>
      <c r="BO120">
        <v>-2.8210166666666669</v>
      </c>
      <c r="BP120">
        <v>-0.22461</v>
      </c>
      <c r="BQ120">
        <v>-0.2826298333333333</v>
      </c>
      <c r="BR120">
        <v>-99.900000000000034</v>
      </c>
      <c r="BS120">
        <v>-99.900000000000034</v>
      </c>
      <c r="BT120">
        <v>0</v>
      </c>
      <c r="BU120">
        <v>0</v>
      </c>
      <c r="BV120">
        <v>0</v>
      </c>
      <c r="BW120">
        <v>24</v>
      </c>
      <c r="BX120">
        <v>-1</v>
      </c>
      <c r="BY120">
        <v>1775509792</v>
      </c>
      <c r="BZ120" t="s">
        <v>645</v>
      </c>
      <c r="CA120">
        <v>1775509789</v>
      </c>
      <c r="CB120">
        <v>1775509792</v>
      </c>
      <c r="CC120">
        <v>107</v>
      </c>
      <c r="CD120">
        <v>-1.6E-2</v>
      </c>
      <c r="CE120">
        <v>0</v>
      </c>
      <c r="CF120">
        <v>7.8769999999999998</v>
      </c>
      <c r="CG120">
        <v>-0.98799999999999999</v>
      </c>
      <c r="CH120">
        <v>57</v>
      </c>
      <c r="CI120">
        <v>-3</v>
      </c>
      <c r="CJ120">
        <v>0.25</v>
      </c>
      <c r="CK120">
        <v>0.15</v>
      </c>
      <c r="CL120">
        <v>57.248311475409842</v>
      </c>
      <c r="CM120">
        <v>0.76982316234798354</v>
      </c>
      <c r="CN120">
        <v>0.14653577093459819</v>
      </c>
      <c r="CO120">
        <v>-1</v>
      </c>
      <c r="CP120">
        <v>500.0174426229508</v>
      </c>
      <c r="CQ120">
        <v>-0.30692332099531627</v>
      </c>
      <c r="CR120">
        <v>0.1094361891458174</v>
      </c>
      <c r="CS120">
        <v>-1</v>
      </c>
      <c r="CT120">
        <v>0</v>
      </c>
      <c r="CU120">
        <v>0</v>
      </c>
      <c r="CV120" t="s">
        <v>333</v>
      </c>
      <c r="CW120">
        <v>3.1672099999999999</v>
      </c>
      <c r="CX120">
        <v>2.6581399999999999</v>
      </c>
      <c r="CY120">
        <v>1.4739E-2</v>
      </c>
      <c r="CZ120">
        <v>1.7117E-2</v>
      </c>
      <c r="DA120">
        <v>-1.12552E-2</v>
      </c>
      <c r="DB120">
        <v>-2.8378199999999999E-2</v>
      </c>
      <c r="DC120">
        <v>21326.400000000001</v>
      </c>
      <c r="DD120">
        <v>21646.3</v>
      </c>
      <c r="DE120">
        <v>23170.3</v>
      </c>
      <c r="DF120">
        <v>22371.8</v>
      </c>
      <c r="DG120">
        <v>30209</v>
      </c>
      <c r="DH120">
        <v>27425.3</v>
      </c>
      <c r="DI120">
        <v>40711.300000000003</v>
      </c>
      <c r="DJ120">
        <v>37066</v>
      </c>
      <c r="DK120">
        <v>2.1032000000000002</v>
      </c>
      <c r="DL120">
        <v>1.8553200000000001</v>
      </c>
      <c r="DM120">
        <v>2.56628E-2</v>
      </c>
      <c r="DN120">
        <v>0</v>
      </c>
      <c r="DO120">
        <v>24.884</v>
      </c>
      <c r="DP120">
        <v>999.9</v>
      </c>
      <c r="DQ120">
        <v>79.400000000000006</v>
      </c>
      <c r="DR120">
        <v>28</v>
      </c>
      <c r="DS120">
        <v>30.076599999999999</v>
      </c>
      <c r="DT120">
        <v>30.7302</v>
      </c>
      <c r="DU120">
        <v>9.3028899999999997</v>
      </c>
      <c r="DV120">
        <v>1</v>
      </c>
      <c r="DW120">
        <v>5.8036600000000001E-2</v>
      </c>
      <c r="DX120">
        <v>-0.16745099999999999</v>
      </c>
      <c r="DY120">
        <v>20.368600000000001</v>
      </c>
      <c r="DZ120">
        <v>5.2147699999999997</v>
      </c>
      <c r="EA120">
        <v>11.8482</v>
      </c>
      <c r="EB120">
        <v>4.9679599999999997</v>
      </c>
      <c r="EC120">
        <v>3.2919999999999998</v>
      </c>
      <c r="ED120">
        <v>894.7</v>
      </c>
      <c r="EE120">
        <v>0</v>
      </c>
      <c r="EF120">
        <v>9999</v>
      </c>
      <c r="EG120">
        <v>114.7</v>
      </c>
      <c r="EH120">
        <v>4.9716399999999998</v>
      </c>
      <c r="EI120">
        <v>1.8717999999999999</v>
      </c>
      <c r="EJ120">
        <v>1.8689</v>
      </c>
      <c r="EK120">
        <v>1.87134</v>
      </c>
      <c r="EL120">
        <v>1.8690500000000001</v>
      </c>
      <c r="EM120">
        <v>1.8680300000000001</v>
      </c>
      <c r="EN120">
        <v>1.86982</v>
      </c>
      <c r="EO120">
        <v>1.8716699999999999</v>
      </c>
      <c r="EP120">
        <v>0</v>
      </c>
      <c r="EQ120">
        <v>0</v>
      </c>
      <c r="ER120">
        <v>0</v>
      </c>
      <c r="ES120">
        <v>0</v>
      </c>
      <c r="ET120" t="s">
        <v>334</v>
      </c>
      <c r="EU120" t="s">
        <v>335</v>
      </c>
      <c r="EV120" t="s">
        <v>336</v>
      </c>
      <c r="EW120" t="s">
        <v>336</v>
      </c>
      <c r="EX120" t="s">
        <v>336</v>
      </c>
      <c r="EY120" t="s">
        <v>336</v>
      </c>
      <c r="EZ120">
        <v>0</v>
      </c>
      <c r="FA120">
        <v>100</v>
      </c>
      <c r="FB120">
        <v>100</v>
      </c>
      <c r="FC120">
        <v>7.8769999999999998</v>
      </c>
      <c r="FD120">
        <v>-0.98799999999999999</v>
      </c>
      <c r="FE120">
        <v>7.8934300000000022</v>
      </c>
      <c r="FF120">
        <v>0</v>
      </c>
      <c r="FG120">
        <v>0</v>
      </c>
      <c r="FH120">
        <v>0</v>
      </c>
      <c r="FI120">
        <v>-0.98775142857142839</v>
      </c>
      <c r="FJ120">
        <v>0</v>
      </c>
      <c r="FK120">
        <v>0</v>
      </c>
      <c r="FL120">
        <v>0</v>
      </c>
      <c r="FM120">
        <v>-1</v>
      </c>
      <c r="FN120">
        <v>-1</v>
      </c>
      <c r="FO120">
        <v>-1</v>
      </c>
      <c r="FP120">
        <v>-1</v>
      </c>
      <c r="FQ120">
        <v>0.8</v>
      </c>
      <c r="FR120">
        <v>0.7</v>
      </c>
      <c r="FS120">
        <v>0.142822</v>
      </c>
      <c r="FT120">
        <v>4.99756</v>
      </c>
      <c r="FU120">
        <v>1.5979000000000001</v>
      </c>
      <c r="FV120">
        <v>2.16187</v>
      </c>
      <c r="FW120">
        <v>1.5478499999999999</v>
      </c>
      <c r="FX120">
        <v>2.36206</v>
      </c>
      <c r="FY120">
        <v>32.399099999999997</v>
      </c>
      <c r="FZ120">
        <v>15.918200000000001</v>
      </c>
      <c r="GA120">
        <v>3</v>
      </c>
      <c r="GB120">
        <v>492.04599999999999</v>
      </c>
      <c r="GC120">
        <v>424.673</v>
      </c>
      <c r="GD120">
        <v>25.976400000000002</v>
      </c>
      <c r="GE120">
        <v>27.898900000000001</v>
      </c>
      <c r="GF120">
        <v>30.0001</v>
      </c>
      <c r="GG120">
        <v>28.207100000000001</v>
      </c>
      <c r="GH120">
        <v>28.263200000000001</v>
      </c>
      <c r="GI120">
        <v>-1</v>
      </c>
      <c r="GJ120">
        <v>0</v>
      </c>
      <c r="GK120">
        <v>100</v>
      </c>
      <c r="GL120">
        <v>25.9727</v>
      </c>
      <c r="GM120">
        <v>432.1</v>
      </c>
      <c r="GN120">
        <v>63.216500000000003</v>
      </c>
      <c r="GO120">
        <v>102.485</v>
      </c>
      <c r="GP120">
        <v>96.728700000000003</v>
      </c>
    </row>
    <row r="121" spans="1:198" x14ac:dyDescent="0.35">
      <c r="A121">
        <v>105</v>
      </c>
      <c r="B121">
        <v>1775509832</v>
      </c>
      <c r="C121">
        <v>6241</v>
      </c>
      <c r="D121" t="s">
        <v>646</v>
      </c>
      <c r="E121" t="s">
        <v>647</v>
      </c>
      <c r="F121">
        <v>60</v>
      </c>
      <c r="G121">
        <v>1775509824</v>
      </c>
      <c r="H121">
        <f t="shared" si="90"/>
        <v>9.7530114996718269E-4</v>
      </c>
      <c r="I121">
        <f t="shared" si="91"/>
        <v>0.97530114996718265</v>
      </c>
      <c r="J121">
        <f t="shared" si="92"/>
        <v>-2.9887429613821362E-2</v>
      </c>
      <c r="K121">
        <f t="shared" si="93"/>
        <v>57.391345161290332</v>
      </c>
      <c r="L121">
        <f t="shared" si="94"/>
        <v>55.933090661198143</v>
      </c>
      <c r="M121">
        <f t="shared" si="95"/>
        <v>5.6059401853675004</v>
      </c>
      <c r="N121">
        <f t="shared" si="96"/>
        <v>5.7520949464565545</v>
      </c>
      <c r="O121">
        <f t="shared" si="97"/>
        <v>2.7996546648248053E-2</v>
      </c>
      <c r="P121">
        <f t="shared" si="98"/>
        <v>2.3955346831585294</v>
      </c>
      <c r="Q121">
        <f t="shared" si="99"/>
        <v>2.7816037058624832E-2</v>
      </c>
      <c r="R121">
        <f t="shared" si="100"/>
        <v>1.740114408911617E-2</v>
      </c>
      <c r="S121">
        <f t="shared" si="101"/>
        <v>0</v>
      </c>
      <c r="T121">
        <f t="shared" si="102"/>
        <v>24.994061217653879</v>
      </c>
      <c r="U121">
        <f t="shared" si="103"/>
        <v>25.302935483870961</v>
      </c>
      <c r="V121">
        <f t="shared" si="104"/>
        <v>3.2375601162158234</v>
      </c>
      <c r="W121">
        <f t="shared" si="105"/>
        <v>-6.9131189727768314</v>
      </c>
      <c r="X121">
        <f t="shared" si="106"/>
        <v>-0.22377730440456356</v>
      </c>
      <c r="Y121">
        <f t="shared" si="107"/>
        <v>3.2369948396053378</v>
      </c>
      <c r="Z121">
        <f t="shared" si="108"/>
        <v>3.4613374206203869</v>
      </c>
      <c r="AA121">
        <f t="shared" si="109"/>
        <v>-43.010780713552755</v>
      </c>
      <c r="AB121">
        <f t="shared" si="110"/>
        <v>-0.37911206423581767</v>
      </c>
      <c r="AC121">
        <f t="shared" si="111"/>
        <v>-3.3577048685016396E-2</v>
      </c>
      <c r="AD121">
        <f t="shared" si="112"/>
        <v>-43.423469826473593</v>
      </c>
      <c r="AE121">
        <v>18</v>
      </c>
      <c r="AF121">
        <v>4</v>
      </c>
      <c r="AG121">
        <f t="shared" si="113"/>
        <v>1</v>
      </c>
      <c r="AH121">
        <f t="shared" si="114"/>
        <v>0</v>
      </c>
      <c r="AI121">
        <f t="shared" si="115"/>
        <v>25775.637098117146</v>
      </c>
      <c r="AJ121">
        <f t="shared" si="116"/>
        <v>0</v>
      </c>
      <c r="AK121">
        <f t="shared" si="117"/>
        <v>0</v>
      </c>
      <c r="AL121">
        <f t="shared" si="118"/>
        <v>0</v>
      </c>
      <c r="AM121">
        <f t="shared" si="119"/>
        <v>0</v>
      </c>
      <c r="AN121">
        <v>3</v>
      </c>
      <c r="AO121">
        <v>0.5</v>
      </c>
      <c r="AP121" t="s">
        <v>331</v>
      </c>
      <c r="AQ121">
        <v>2</v>
      </c>
      <c r="AR121">
        <v>1775509824</v>
      </c>
      <c r="AS121">
        <v>57.391345161290332</v>
      </c>
      <c r="AT121">
        <v>57.406996774193551</v>
      </c>
      <c r="AU121">
        <v>-2.232730967741936</v>
      </c>
      <c r="AV121">
        <v>-2.8192093548387098</v>
      </c>
      <c r="AW121">
        <v>49.509345161290327</v>
      </c>
      <c r="AX121">
        <v>-1.2457309677419359</v>
      </c>
      <c r="AY121">
        <v>500.00754838709679</v>
      </c>
      <c r="AZ121">
        <v>100.1887741935484</v>
      </c>
      <c r="BA121">
        <v>3.705132580645161E-2</v>
      </c>
      <c r="BB121">
        <v>25.29999999999999</v>
      </c>
      <c r="BC121">
        <v>25.302935483870961</v>
      </c>
      <c r="BD121">
        <v>999.90000000000032</v>
      </c>
      <c r="BE121">
        <v>0</v>
      </c>
      <c r="BF121">
        <v>0</v>
      </c>
      <c r="BG121">
        <v>5009.8870967741932</v>
      </c>
      <c r="BH121">
        <v>0.38872832258064532</v>
      </c>
      <c r="BI121">
        <v>0.23331922580645159</v>
      </c>
      <c r="BJ121">
        <v>-2.0625200516129032E-2</v>
      </c>
      <c r="BK121">
        <v>57.258487096774203</v>
      </c>
      <c r="BL121">
        <v>57.2456064516129</v>
      </c>
      <c r="BM121">
        <v>0.58569632258064519</v>
      </c>
      <c r="BN121">
        <v>57.406996774193551</v>
      </c>
      <c r="BO121">
        <v>-2.8192093548387098</v>
      </c>
      <c r="BP121">
        <v>-0.22377306451612899</v>
      </c>
      <c r="BQ121">
        <v>-0.2824532258064516</v>
      </c>
      <c r="BR121">
        <v>-99.900000000000034</v>
      </c>
      <c r="BS121">
        <v>-99.900000000000034</v>
      </c>
      <c r="BT121">
        <v>0</v>
      </c>
      <c r="BU121">
        <v>0</v>
      </c>
      <c r="BV121">
        <v>0</v>
      </c>
      <c r="BW121">
        <v>24</v>
      </c>
      <c r="BX121">
        <v>-1</v>
      </c>
      <c r="BY121">
        <v>1775509853</v>
      </c>
      <c r="BZ121" t="s">
        <v>648</v>
      </c>
      <c r="CA121">
        <v>1775509848</v>
      </c>
      <c r="CB121">
        <v>1775509853</v>
      </c>
      <c r="CC121">
        <v>108</v>
      </c>
      <c r="CD121">
        <v>5.0000000000000001E-3</v>
      </c>
      <c r="CE121">
        <v>1E-3</v>
      </c>
      <c r="CF121">
        <v>7.8819999999999997</v>
      </c>
      <c r="CG121">
        <v>-0.98699999999999999</v>
      </c>
      <c r="CH121">
        <v>58</v>
      </c>
      <c r="CI121">
        <v>-3</v>
      </c>
      <c r="CJ121">
        <v>0.13</v>
      </c>
      <c r="CK121">
        <v>0.13</v>
      </c>
      <c r="CL121">
        <v>57.501508196721318</v>
      </c>
      <c r="CM121">
        <v>-0.52712236911683463</v>
      </c>
      <c r="CN121">
        <v>0.120953253800569</v>
      </c>
      <c r="CO121">
        <v>-1</v>
      </c>
      <c r="CP121">
        <v>500.00804918032782</v>
      </c>
      <c r="CQ121">
        <v>-1.8980433632142271E-2</v>
      </c>
      <c r="CR121">
        <v>6.2991913670346816E-2</v>
      </c>
      <c r="CS121">
        <v>-1</v>
      </c>
      <c r="CT121">
        <v>0</v>
      </c>
      <c r="CU121">
        <v>0</v>
      </c>
      <c r="CV121" t="s">
        <v>333</v>
      </c>
      <c r="CW121">
        <v>3.16743</v>
      </c>
      <c r="CX121">
        <v>2.6583600000000001</v>
      </c>
      <c r="CY121">
        <v>1.4753799999999999E-2</v>
      </c>
      <c r="CZ121">
        <v>1.7122600000000002E-2</v>
      </c>
      <c r="DA121">
        <v>-1.11754E-2</v>
      </c>
      <c r="DB121">
        <v>-2.83792E-2</v>
      </c>
      <c r="DC121">
        <v>21325.4</v>
      </c>
      <c r="DD121">
        <v>21645.8</v>
      </c>
      <c r="DE121">
        <v>23169.7</v>
      </c>
      <c r="DF121">
        <v>22371.5</v>
      </c>
      <c r="DG121">
        <v>30205.8</v>
      </c>
      <c r="DH121">
        <v>27424.9</v>
      </c>
      <c r="DI121">
        <v>40710.199999999997</v>
      </c>
      <c r="DJ121">
        <v>37065.4</v>
      </c>
      <c r="DK121">
        <v>2.10338</v>
      </c>
      <c r="DL121">
        <v>1.8547400000000001</v>
      </c>
      <c r="DM121">
        <v>2.52426E-2</v>
      </c>
      <c r="DN121">
        <v>0</v>
      </c>
      <c r="DO121">
        <v>24.888100000000001</v>
      </c>
      <c r="DP121">
        <v>999.9</v>
      </c>
      <c r="DQ121">
        <v>79.400000000000006</v>
      </c>
      <c r="DR121">
        <v>28</v>
      </c>
      <c r="DS121">
        <v>30.074000000000002</v>
      </c>
      <c r="DT121">
        <v>30.9102</v>
      </c>
      <c r="DU121">
        <v>8.8501600000000007</v>
      </c>
      <c r="DV121">
        <v>1</v>
      </c>
      <c r="DW121">
        <v>5.8479700000000003E-2</v>
      </c>
      <c r="DX121">
        <v>-0.16566700000000001</v>
      </c>
      <c r="DY121">
        <v>20.368300000000001</v>
      </c>
      <c r="DZ121">
        <v>5.2111799999999997</v>
      </c>
      <c r="EA121">
        <v>11.8482</v>
      </c>
      <c r="EB121">
        <v>4.9685600000000001</v>
      </c>
      <c r="EC121">
        <v>3.2919999999999998</v>
      </c>
      <c r="ED121">
        <v>894.7</v>
      </c>
      <c r="EE121">
        <v>0</v>
      </c>
      <c r="EF121">
        <v>9999</v>
      </c>
      <c r="EG121">
        <v>114.7</v>
      </c>
      <c r="EH121">
        <v>4.9716399999999998</v>
      </c>
      <c r="EI121">
        <v>1.8717999999999999</v>
      </c>
      <c r="EJ121">
        <v>1.8689100000000001</v>
      </c>
      <c r="EK121">
        <v>1.8713500000000001</v>
      </c>
      <c r="EL121">
        <v>1.86907</v>
      </c>
      <c r="EM121">
        <v>1.86802</v>
      </c>
      <c r="EN121">
        <v>1.8698999999999999</v>
      </c>
      <c r="EO121">
        <v>1.87171</v>
      </c>
      <c r="EP121">
        <v>0</v>
      </c>
      <c r="EQ121">
        <v>0</v>
      </c>
      <c r="ER121">
        <v>0</v>
      </c>
      <c r="ES121">
        <v>0</v>
      </c>
      <c r="ET121" t="s">
        <v>334</v>
      </c>
      <c r="EU121" t="s">
        <v>335</v>
      </c>
      <c r="EV121" t="s">
        <v>336</v>
      </c>
      <c r="EW121" t="s">
        <v>336</v>
      </c>
      <c r="EX121" t="s">
        <v>336</v>
      </c>
      <c r="EY121" t="s">
        <v>336</v>
      </c>
      <c r="EZ121">
        <v>0</v>
      </c>
      <c r="FA121">
        <v>100</v>
      </c>
      <c r="FB121">
        <v>100</v>
      </c>
      <c r="FC121">
        <v>7.8819999999999997</v>
      </c>
      <c r="FD121">
        <v>-0.98699999999999999</v>
      </c>
      <c r="FE121">
        <v>7.8770200000000088</v>
      </c>
      <c r="FF121">
        <v>0</v>
      </c>
      <c r="FG121">
        <v>0</v>
      </c>
      <c r="FH121">
        <v>0</v>
      </c>
      <c r="FI121">
        <v>-0.98778199999999972</v>
      </c>
      <c r="FJ121">
        <v>0</v>
      </c>
      <c r="FK121">
        <v>0</v>
      </c>
      <c r="FL121">
        <v>0</v>
      </c>
      <c r="FM121">
        <v>-1</v>
      </c>
      <c r="FN121">
        <v>-1</v>
      </c>
      <c r="FO121">
        <v>-1</v>
      </c>
      <c r="FP121">
        <v>-1</v>
      </c>
      <c r="FQ121">
        <v>0.7</v>
      </c>
      <c r="FR121">
        <v>0.7</v>
      </c>
      <c r="FS121">
        <v>0.142822</v>
      </c>
      <c r="FT121">
        <v>4.99756</v>
      </c>
      <c r="FU121">
        <v>1.5979000000000001</v>
      </c>
      <c r="FV121">
        <v>2.16187</v>
      </c>
      <c r="FW121">
        <v>1.5478499999999999</v>
      </c>
      <c r="FX121">
        <v>2.4340799999999998</v>
      </c>
      <c r="FY121">
        <v>32.421199999999999</v>
      </c>
      <c r="FZ121">
        <v>15.9095</v>
      </c>
      <c r="GA121">
        <v>3</v>
      </c>
      <c r="GB121">
        <v>492.18599999999998</v>
      </c>
      <c r="GC121">
        <v>424.36099999999999</v>
      </c>
      <c r="GD121">
        <v>25.950900000000001</v>
      </c>
      <c r="GE121">
        <v>27.903700000000001</v>
      </c>
      <c r="GF121">
        <v>30.0001</v>
      </c>
      <c r="GG121">
        <v>28.2118</v>
      </c>
      <c r="GH121">
        <v>28.267399999999999</v>
      </c>
      <c r="GI121">
        <v>-1</v>
      </c>
      <c r="GJ121">
        <v>0</v>
      </c>
      <c r="GK121">
        <v>100</v>
      </c>
      <c r="GL121">
        <v>25.950900000000001</v>
      </c>
      <c r="GM121">
        <v>432.1</v>
      </c>
      <c r="GN121">
        <v>63.216500000000003</v>
      </c>
      <c r="GO121">
        <v>102.483</v>
      </c>
      <c r="GP121">
        <v>96.727199999999996</v>
      </c>
    </row>
    <row r="122" spans="1:198" x14ac:dyDescent="0.35">
      <c r="A122">
        <v>106</v>
      </c>
      <c r="B122">
        <v>1775509892</v>
      </c>
      <c r="C122">
        <v>6301</v>
      </c>
      <c r="D122" t="s">
        <v>649</v>
      </c>
      <c r="E122" t="s">
        <v>650</v>
      </c>
      <c r="F122">
        <v>60</v>
      </c>
      <c r="G122">
        <v>1775509884</v>
      </c>
      <c r="H122">
        <f t="shared" si="90"/>
        <v>9.9736528726897386E-4</v>
      </c>
      <c r="I122">
        <f t="shared" si="91"/>
        <v>0.99736528726897378</v>
      </c>
      <c r="J122">
        <f t="shared" si="92"/>
        <v>1.689554427786118E-2</v>
      </c>
      <c r="K122">
        <f t="shared" si="93"/>
        <v>57.421219354838712</v>
      </c>
      <c r="L122">
        <f t="shared" si="94"/>
        <v>53.367060006889098</v>
      </c>
      <c r="M122">
        <f t="shared" si="95"/>
        <v>5.3487559758917964</v>
      </c>
      <c r="N122">
        <f t="shared" si="96"/>
        <v>5.7550873165495693</v>
      </c>
      <c r="O122">
        <f t="shared" si="97"/>
        <v>2.8633977580087188E-2</v>
      </c>
      <c r="P122">
        <f t="shared" si="98"/>
        <v>2.3930113519842102</v>
      </c>
      <c r="Q122">
        <f t="shared" si="99"/>
        <v>2.8444986914330849E-2</v>
      </c>
      <c r="R122">
        <f t="shared" si="100"/>
        <v>1.779499277702791E-2</v>
      </c>
      <c r="S122">
        <f t="shared" si="101"/>
        <v>0</v>
      </c>
      <c r="T122">
        <f t="shared" si="102"/>
        <v>24.988750358776606</v>
      </c>
      <c r="U122">
        <f t="shared" si="103"/>
        <v>25.3032</v>
      </c>
      <c r="V122">
        <f t="shared" si="104"/>
        <v>3.2376110574649481</v>
      </c>
      <c r="W122">
        <f t="shared" si="105"/>
        <v>-6.9119287622037753</v>
      </c>
      <c r="X122">
        <f t="shared" si="106"/>
        <v>-0.22376423756255462</v>
      </c>
      <c r="Y122">
        <f t="shared" si="107"/>
        <v>3.2373631913881358</v>
      </c>
      <c r="Z122">
        <f t="shared" si="108"/>
        <v>3.4613752950275027</v>
      </c>
      <c r="AA122">
        <f t="shared" si="109"/>
        <v>-43.983809168561748</v>
      </c>
      <c r="AB122">
        <f t="shared" si="110"/>
        <v>-0.1660509650821792</v>
      </c>
      <c r="AC122">
        <f t="shared" si="111"/>
        <v>-1.4722405619189957E-2</v>
      </c>
      <c r="AD122">
        <f t="shared" si="112"/>
        <v>-44.164582539263115</v>
      </c>
      <c r="AE122">
        <v>18</v>
      </c>
      <c r="AF122">
        <v>4</v>
      </c>
      <c r="AG122">
        <f t="shared" si="113"/>
        <v>1</v>
      </c>
      <c r="AH122">
        <f t="shared" si="114"/>
        <v>0</v>
      </c>
      <c r="AI122">
        <f t="shared" si="115"/>
        <v>25736.858372228275</v>
      </c>
      <c r="AJ122">
        <f t="shared" si="116"/>
        <v>0</v>
      </c>
      <c r="AK122">
        <f t="shared" si="117"/>
        <v>0</v>
      </c>
      <c r="AL122">
        <f t="shared" si="118"/>
        <v>0</v>
      </c>
      <c r="AM122">
        <f t="shared" si="119"/>
        <v>0</v>
      </c>
      <c r="AN122">
        <v>3</v>
      </c>
      <c r="AO122">
        <v>0.5</v>
      </c>
      <c r="AP122" t="s">
        <v>331</v>
      </c>
      <c r="AQ122">
        <v>2</v>
      </c>
      <c r="AR122">
        <v>1775509884</v>
      </c>
      <c r="AS122">
        <v>57.421219354838712</v>
      </c>
      <c r="AT122">
        <v>57.465719354838697</v>
      </c>
      <c r="AU122">
        <v>-2.2326012903225809</v>
      </c>
      <c r="AV122">
        <v>-2.8323661290322582</v>
      </c>
      <c r="AW122">
        <v>49.528219354838711</v>
      </c>
      <c r="AX122">
        <v>-1.2466012903225809</v>
      </c>
      <c r="AY122">
        <v>499.99196774193541</v>
      </c>
      <c r="AZ122">
        <v>100.18851612903229</v>
      </c>
      <c r="BA122">
        <v>3.7278119354838712E-2</v>
      </c>
      <c r="BB122">
        <v>25.301912903225801</v>
      </c>
      <c r="BC122">
        <v>25.3032</v>
      </c>
      <c r="BD122">
        <v>999.90000000000032</v>
      </c>
      <c r="BE122">
        <v>0</v>
      </c>
      <c r="BF122">
        <v>0</v>
      </c>
      <c r="BG122">
        <v>5003.4032258064517</v>
      </c>
      <c r="BH122">
        <v>0.40118512903225811</v>
      </c>
      <c r="BI122">
        <v>0.23331922580645159</v>
      </c>
      <c r="BJ122">
        <v>-5.5956448709677427E-2</v>
      </c>
      <c r="BK122">
        <v>57.281841935483882</v>
      </c>
      <c r="BL122">
        <v>57.303409677419353</v>
      </c>
      <c r="BM122">
        <v>0.59919535483870956</v>
      </c>
      <c r="BN122">
        <v>57.465719354838697</v>
      </c>
      <c r="BO122">
        <v>-2.8323661290322582</v>
      </c>
      <c r="BP122">
        <v>-0.22373819354838709</v>
      </c>
      <c r="BQ122">
        <v>-0.28377067741935491</v>
      </c>
      <c r="BR122">
        <v>-99.900000000000034</v>
      </c>
      <c r="BS122">
        <v>-99.900000000000034</v>
      </c>
      <c r="BT122">
        <v>0</v>
      </c>
      <c r="BU122">
        <v>0</v>
      </c>
      <c r="BV122">
        <v>0</v>
      </c>
      <c r="BW122">
        <v>24</v>
      </c>
      <c r="BX122">
        <v>-1</v>
      </c>
      <c r="BY122">
        <v>1775509912</v>
      </c>
      <c r="BZ122" t="s">
        <v>651</v>
      </c>
      <c r="CA122">
        <v>1775509908</v>
      </c>
      <c r="CB122">
        <v>1775509912</v>
      </c>
      <c r="CC122">
        <v>109</v>
      </c>
      <c r="CD122">
        <v>1.0999999999999999E-2</v>
      </c>
      <c r="CE122">
        <v>1E-3</v>
      </c>
      <c r="CF122">
        <v>7.8929999999999998</v>
      </c>
      <c r="CG122">
        <v>-0.98599999999999999</v>
      </c>
      <c r="CH122">
        <v>57</v>
      </c>
      <c r="CI122">
        <v>-3</v>
      </c>
      <c r="CJ122">
        <v>0.12</v>
      </c>
      <c r="CK122">
        <v>0.11</v>
      </c>
      <c r="CL122">
        <v>57.461334999999991</v>
      </c>
      <c r="CM122">
        <v>0.14316276743547299</v>
      </c>
      <c r="CN122">
        <v>0.12526418326214919</v>
      </c>
      <c r="CO122">
        <v>-1</v>
      </c>
      <c r="CP122">
        <v>500.01253333333341</v>
      </c>
      <c r="CQ122">
        <v>-0.17867629897116599</v>
      </c>
      <c r="CR122">
        <v>8.2106529717327362E-2</v>
      </c>
      <c r="CS122">
        <v>-1</v>
      </c>
      <c r="CT122">
        <v>0</v>
      </c>
      <c r="CU122">
        <v>0</v>
      </c>
      <c r="CV122" t="s">
        <v>333</v>
      </c>
      <c r="CW122">
        <v>3.1672600000000002</v>
      </c>
      <c r="CX122">
        <v>2.6585299999999998</v>
      </c>
      <c r="CY122">
        <v>1.47616E-2</v>
      </c>
      <c r="CZ122">
        <v>1.7101999999999999E-2</v>
      </c>
      <c r="DA122">
        <v>-1.11834E-2</v>
      </c>
      <c r="DB122">
        <v>-2.84949E-2</v>
      </c>
      <c r="DC122">
        <v>21325</v>
      </c>
      <c r="DD122">
        <v>21645.8</v>
      </c>
      <c r="DE122">
        <v>23169.4</v>
      </c>
      <c r="DF122">
        <v>22371</v>
      </c>
      <c r="DG122">
        <v>30205.5</v>
      </c>
      <c r="DH122">
        <v>27427.4</v>
      </c>
      <c r="DI122">
        <v>40709.5</v>
      </c>
      <c r="DJ122">
        <v>37064.6</v>
      </c>
      <c r="DK122">
        <v>2.1032600000000001</v>
      </c>
      <c r="DL122">
        <v>1.8544</v>
      </c>
      <c r="DM122">
        <v>2.5034000000000001E-2</v>
      </c>
      <c r="DN122">
        <v>0</v>
      </c>
      <c r="DO122">
        <v>24.898599999999998</v>
      </c>
      <c r="DP122">
        <v>999.9</v>
      </c>
      <c r="DQ122">
        <v>79.400000000000006</v>
      </c>
      <c r="DR122">
        <v>28</v>
      </c>
      <c r="DS122">
        <v>30.077100000000002</v>
      </c>
      <c r="DT122">
        <v>30.700199999999999</v>
      </c>
      <c r="DU122">
        <v>9.3148999999999997</v>
      </c>
      <c r="DV122">
        <v>1</v>
      </c>
      <c r="DW122">
        <v>5.91321E-2</v>
      </c>
      <c r="DX122">
        <v>-0.149752</v>
      </c>
      <c r="DY122">
        <v>20.368400000000001</v>
      </c>
      <c r="DZ122">
        <v>5.2112999999999996</v>
      </c>
      <c r="EA122">
        <v>11.8482</v>
      </c>
      <c r="EB122">
        <v>4.9678399999999998</v>
      </c>
      <c r="EC122">
        <v>3.2920600000000002</v>
      </c>
      <c r="ED122">
        <v>894.7</v>
      </c>
      <c r="EE122">
        <v>0</v>
      </c>
      <c r="EF122">
        <v>9999</v>
      </c>
      <c r="EG122">
        <v>114.7</v>
      </c>
      <c r="EH122">
        <v>4.97166</v>
      </c>
      <c r="EI122">
        <v>1.8717999999999999</v>
      </c>
      <c r="EJ122">
        <v>1.8689100000000001</v>
      </c>
      <c r="EK122">
        <v>1.87134</v>
      </c>
      <c r="EL122">
        <v>1.8690500000000001</v>
      </c>
      <c r="EM122">
        <v>1.8680399999999999</v>
      </c>
      <c r="EN122">
        <v>1.86991</v>
      </c>
      <c r="EO122">
        <v>1.8717200000000001</v>
      </c>
      <c r="EP122">
        <v>0</v>
      </c>
      <c r="EQ122">
        <v>0</v>
      </c>
      <c r="ER122">
        <v>0</v>
      </c>
      <c r="ES122">
        <v>0</v>
      </c>
      <c r="ET122" t="s">
        <v>334</v>
      </c>
      <c r="EU122" t="s">
        <v>335</v>
      </c>
      <c r="EV122" t="s">
        <v>336</v>
      </c>
      <c r="EW122" t="s">
        <v>336</v>
      </c>
      <c r="EX122" t="s">
        <v>336</v>
      </c>
      <c r="EY122" t="s">
        <v>336</v>
      </c>
      <c r="EZ122">
        <v>0</v>
      </c>
      <c r="FA122">
        <v>100</v>
      </c>
      <c r="FB122">
        <v>100</v>
      </c>
      <c r="FC122">
        <v>7.8929999999999998</v>
      </c>
      <c r="FD122">
        <v>-0.98599999999999999</v>
      </c>
      <c r="FE122">
        <v>7.8815450000000169</v>
      </c>
      <c r="FF122">
        <v>0</v>
      </c>
      <c r="FG122">
        <v>0</v>
      </c>
      <c r="FH122">
        <v>0</v>
      </c>
      <c r="FI122">
        <v>-0.98656949999999988</v>
      </c>
      <c r="FJ122">
        <v>0</v>
      </c>
      <c r="FK122">
        <v>0</v>
      </c>
      <c r="FL122">
        <v>0</v>
      </c>
      <c r="FM122">
        <v>-1</v>
      </c>
      <c r="FN122">
        <v>-1</v>
      </c>
      <c r="FO122">
        <v>-1</v>
      </c>
      <c r="FP122">
        <v>-1</v>
      </c>
      <c r="FQ122">
        <v>0.7</v>
      </c>
      <c r="FR122">
        <v>0.7</v>
      </c>
      <c r="FS122">
        <v>0.142822</v>
      </c>
      <c r="FT122">
        <v>4.99756</v>
      </c>
      <c r="FU122">
        <v>1.5979000000000001</v>
      </c>
      <c r="FV122">
        <v>2.16187</v>
      </c>
      <c r="FW122">
        <v>1.5478499999999999</v>
      </c>
      <c r="FX122">
        <v>2.36694</v>
      </c>
      <c r="FY122">
        <v>32.443300000000001</v>
      </c>
      <c r="FZ122">
        <v>15.900700000000001</v>
      </c>
      <c r="GA122">
        <v>3</v>
      </c>
      <c r="GB122">
        <v>492.17399999999998</v>
      </c>
      <c r="GC122">
        <v>424.20299999999997</v>
      </c>
      <c r="GD122">
        <v>25.939800000000002</v>
      </c>
      <c r="GE122">
        <v>27.910799999999998</v>
      </c>
      <c r="GF122">
        <v>30.0002</v>
      </c>
      <c r="GG122">
        <v>28.218900000000001</v>
      </c>
      <c r="GH122">
        <v>28.273099999999999</v>
      </c>
      <c r="GI122">
        <v>-1</v>
      </c>
      <c r="GJ122">
        <v>0</v>
      </c>
      <c r="GK122">
        <v>100</v>
      </c>
      <c r="GL122">
        <v>25.9391</v>
      </c>
      <c r="GM122">
        <v>432.1</v>
      </c>
      <c r="GN122">
        <v>63.216500000000003</v>
      </c>
      <c r="GO122">
        <v>102.48099999999999</v>
      </c>
      <c r="GP122">
        <v>96.725099999999998</v>
      </c>
    </row>
    <row r="123" spans="1:198" x14ac:dyDescent="0.35">
      <c r="A123">
        <v>107</v>
      </c>
      <c r="B123">
        <v>1775509952</v>
      </c>
      <c r="C123">
        <v>6361</v>
      </c>
      <c r="D123" t="s">
        <v>652</v>
      </c>
      <c r="E123" t="s">
        <v>653</v>
      </c>
      <c r="F123">
        <v>60</v>
      </c>
      <c r="G123">
        <v>1775509944</v>
      </c>
      <c r="H123">
        <f t="shared" si="90"/>
        <v>1.0134458007728974E-3</v>
      </c>
      <c r="I123">
        <f t="shared" si="91"/>
        <v>1.0134458007728975</v>
      </c>
      <c r="J123">
        <f t="shared" si="92"/>
        <v>0.69840961603450946</v>
      </c>
      <c r="K123">
        <f t="shared" si="93"/>
        <v>57.923970967741937</v>
      </c>
      <c r="L123">
        <f t="shared" si="94"/>
        <v>17.185595176149576</v>
      </c>
      <c r="M123">
        <f t="shared" si="95"/>
        <v>1.7224500476448377</v>
      </c>
      <c r="N123">
        <f t="shared" si="96"/>
        <v>5.8055101106785738</v>
      </c>
      <c r="O123">
        <f t="shared" si="97"/>
        <v>2.9091857376664015E-2</v>
      </c>
      <c r="P123">
        <f t="shared" si="98"/>
        <v>2.3955578587140316</v>
      </c>
      <c r="Q123">
        <f t="shared" si="99"/>
        <v>2.8897002238361717E-2</v>
      </c>
      <c r="R123">
        <f t="shared" si="100"/>
        <v>1.8078024440770741E-2</v>
      </c>
      <c r="S123">
        <f t="shared" si="101"/>
        <v>0</v>
      </c>
      <c r="T123">
        <f t="shared" si="102"/>
        <v>24.984299154069927</v>
      </c>
      <c r="U123">
        <f t="shared" si="103"/>
        <v>25.30911935483871</v>
      </c>
      <c r="V123">
        <f t="shared" si="104"/>
        <v>3.2387512064259982</v>
      </c>
      <c r="W123">
        <f t="shared" si="105"/>
        <v>-6.9008520000995652</v>
      </c>
      <c r="X123">
        <f t="shared" si="106"/>
        <v>-0.22340945781650304</v>
      </c>
      <c r="Y123">
        <f t="shared" si="107"/>
        <v>3.2374184783745497</v>
      </c>
      <c r="Z123">
        <f t="shared" si="108"/>
        <v>3.4621606642425014</v>
      </c>
      <c r="AA123">
        <f t="shared" si="109"/>
        <v>-44.692959814084773</v>
      </c>
      <c r="AB123">
        <f t="shared" si="110"/>
        <v>-0.89362993959330017</v>
      </c>
      <c r="AC123">
        <f t="shared" si="111"/>
        <v>-7.9149237164565511E-2</v>
      </c>
      <c r="AD123">
        <f t="shared" si="112"/>
        <v>-45.665738990842641</v>
      </c>
      <c r="AE123">
        <v>18</v>
      </c>
      <c r="AF123">
        <v>4</v>
      </c>
      <c r="AG123">
        <f t="shared" si="113"/>
        <v>1</v>
      </c>
      <c r="AH123">
        <f t="shared" si="114"/>
        <v>0</v>
      </c>
      <c r="AI123">
        <f t="shared" si="115"/>
        <v>25775.7798418776</v>
      </c>
      <c r="AJ123">
        <f t="shared" si="116"/>
        <v>0</v>
      </c>
      <c r="AK123">
        <f t="shared" si="117"/>
        <v>0</v>
      </c>
      <c r="AL123">
        <f t="shared" si="118"/>
        <v>0</v>
      </c>
      <c r="AM123">
        <f t="shared" si="119"/>
        <v>0</v>
      </c>
      <c r="AN123">
        <v>3</v>
      </c>
      <c r="AO123">
        <v>0.5</v>
      </c>
      <c r="AP123" t="s">
        <v>331</v>
      </c>
      <c r="AQ123">
        <v>2</v>
      </c>
      <c r="AR123">
        <v>1775509944</v>
      </c>
      <c r="AS123">
        <v>57.923970967741937</v>
      </c>
      <c r="AT123">
        <v>58.378245161290323</v>
      </c>
      <c r="AU123">
        <v>-2.2290483870967739</v>
      </c>
      <c r="AV123">
        <v>-2.838480322580645</v>
      </c>
      <c r="AW123">
        <v>50.043970967741942</v>
      </c>
      <c r="AX123">
        <v>-1.2450483870967739</v>
      </c>
      <c r="AY123">
        <v>499.99258064516118</v>
      </c>
      <c r="AZ123">
        <v>100.1893225806451</v>
      </c>
      <c r="BA123">
        <v>3.7060619354838717E-2</v>
      </c>
      <c r="BB123">
        <v>25.302199999999988</v>
      </c>
      <c r="BC123">
        <v>25.30911935483871</v>
      </c>
      <c r="BD123">
        <v>999.90000000000032</v>
      </c>
      <c r="BE123">
        <v>0</v>
      </c>
      <c r="BF123">
        <v>0</v>
      </c>
      <c r="BG123">
        <v>5009.9193548387093</v>
      </c>
      <c r="BH123">
        <v>0.41668629032258059</v>
      </c>
      <c r="BI123">
        <v>0.23331922580645159</v>
      </c>
      <c r="BJ123">
        <v>-0.44157625806451622</v>
      </c>
      <c r="BK123">
        <v>57.807712903225813</v>
      </c>
      <c r="BL123">
        <v>58.213009677419358</v>
      </c>
      <c r="BM123">
        <v>0.60769296774193549</v>
      </c>
      <c r="BN123">
        <v>58.378245161290323</v>
      </c>
      <c r="BO123">
        <v>-2.838480322580645</v>
      </c>
      <c r="BP123">
        <v>-0.22350109677419361</v>
      </c>
      <c r="BQ123">
        <v>-0.28438535483870969</v>
      </c>
      <c r="BR123">
        <v>-99.900000000000034</v>
      </c>
      <c r="BS123">
        <v>-99.900000000000034</v>
      </c>
      <c r="BT123">
        <v>0</v>
      </c>
      <c r="BU123">
        <v>0</v>
      </c>
      <c r="BV123">
        <v>0</v>
      </c>
      <c r="BW123">
        <v>24</v>
      </c>
      <c r="BX123">
        <v>-0.98924741935483884</v>
      </c>
      <c r="BY123">
        <v>1775509973</v>
      </c>
      <c r="BZ123" t="s">
        <v>654</v>
      </c>
      <c r="CA123">
        <v>1775509970</v>
      </c>
      <c r="CB123">
        <v>1775509973</v>
      </c>
      <c r="CC123">
        <v>110</v>
      </c>
      <c r="CD123">
        <v>-1.2999999999999999E-2</v>
      </c>
      <c r="CE123">
        <v>2E-3</v>
      </c>
      <c r="CF123">
        <v>7.88</v>
      </c>
      <c r="CG123">
        <v>-0.98399999999999999</v>
      </c>
      <c r="CH123">
        <v>58</v>
      </c>
      <c r="CI123">
        <v>-3</v>
      </c>
      <c r="CJ123">
        <v>0.13</v>
      </c>
      <c r="CK123">
        <v>0.11</v>
      </c>
      <c r="CL123">
        <v>58.06344</v>
      </c>
      <c r="CM123">
        <v>1.8934879688802311</v>
      </c>
      <c r="CN123">
        <v>0.32757831898138001</v>
      </c>
      <c r="CO123">
        <v>-1</v>
      </c>
      <c r="CP123">
        <v>500.00979999999998</v>
      </c>
      <c r="CQ123">
        <v>-0.12624173381403009</v>
      </c>
      <c r="CR123">
        <v>8.2003414563052365E-2</v>
      </c>
      <c r="CS123">
        <v>-1</v>
      </c>
      <c r="CT123">
        <v>0</v>
      </c>
      <c r="CU123">
        <v>0</v>
      </c>
      <c r="CV123" t="s">
        <v>333</v>
      </c>
      <c r="CW123">
        <v>3.1673900000000001</v>
      </c>
      <c r="CX123">
        <v>2.6584500000000002</v>
      </c>
      <c r="CY123">
        <v>1.50095E-2</v>
      </c>
      <c r="CZ123">
        <v>1.7406899999999999E-2</v>
      </c>
      <c r="DA123">
        <v>-1.1168900000000001E-2</v>
      </c>
      <c r="DB123">
        <v>-2.86158E-2</v>
      </c>
      <c r="DC123">
        <v>21319.200000000001</v>
      </c>
      <c r="DD123">
        <v>21639.200000000001</v>
      </c>
      <c r="DE123">
        <v>23168.9</v>
      </c>
      <c r="DF123">
        <v>22371.200000000001</v>
      </c>
      <c r="DG123">
        <v>30204.6</v>
      </c>
      <c r="DH123">
        <v>27430.799999999999</v>
      </c>
      <c r="DI123">
        <v>40708.9</v>
      </c>
      <c r="DJ123">
        <v>37065</v>
      </c>
      <c r="DK123">
        <v>2.1032199999999999</v>
      </c>
      <c r="DL123">
        <v>1.85456</v>
      </c>
      <c r="DM123">
        <v>2.4378299999999999E-2</v>
      </c>
      <c r="DN123">
        <v>0</v>
      </c>
      <c r="DO123">
        <v>24.907900000000001</v>
      </c>
      <c r="DP123">
        <v>999.9</v>
      </c>
      <c r="DQ123">
        <v>79.3</v>
      </c>
      <c r="DR123">
        <v>28</v>
      </c>
      <c r="DS123">
        <v>30.034400000000002</v>
      </c>
      <c r="DT123">
        <v>30.850200000000001</v>
      </c>
      <c r="DU123">
        <v>9.0865399999999994</v>
      </c>
      <c r="DV123">
        <v>1</v>
      </c>
      <c r="DW123">
        <v>5.9642300000000002E-2</v>
      </c>
      <c r="DX123">
        <v>-0.16004399999999999</v>
      </c>
      <c r="DY123">
        <v>20.368300000000001</v>
      </c>
      <c r="DZ123">
        <v>5.2109399999999999</v>
      </c>
      <c r="EA123">
        <v>11.8482</v>
      </c>
      <c r="EB123">
        <v>4.9678000000000004</v>
      </c>
      <c r="EC123">
        <v>3.2919999999999998</v>
      </c>
      <c r="ED123">
        <v>894.7</v>
      </c>
      <c r="EE123">
        <v>0</v>
      </c>
      <c r="EF123">
        <v>9999</v>
      </c>
      <c r="EG123">
        <v>114.8</v>
      </c>
      <c r="EH123">
        <v>4.97166</v>
      </c>
      <c r="EI123">
        <v>1.8717999999999999</v>
      </c>
      <c r="EJ123">
        <v>1.8689100000000001</v>
      </c>
      <c r="EK123">
        <v>1.8713500000000001</v>
      </c>
      <c r="EL123">
        <v>1.86907</v>
      </c>
      <c r="EM123">
        <v>1.8680300000000001</v>
      </c>
      <c r="EN123">
        <v>1.86991</v>
      </c>
      <c r="EO123">
        <v>1.8717699999999999</v>
      </c>
      <c r="EP123">
        <v>0</v>
      </c>
      <c r="EQ123">
        <v>0</v>
      </c>
      <c r="ER123">
        <v>0</v>
      </c>
      <c r="ES123">
        <v>0</v>
      </c>
      <c r="ET123" t="s">
        <v>334</v>
      </c>
      <c r="EU123" t="s">
        <v>335</v>
      </c>
      <c r="EV123" t="s">
        <v>336</v>
      </c>
      <c r="EW123" t="s">
        <v>336</v>
      </c>
      <c r="EX123" t="s">
        <v>336</v>
      </c>
      <c r="EY123" t="s">
        <v>336</v>
      </c>
      <c r="EZ123">
        <v>0</v>
      </c>
      <c r="FA123">
        <v>100</v>
      </c>
      <c r="FB123">
        <v>100</v>
      </c>
      <c r="FC123">
        <v>7.88</v>
      </c>
      <c r="FD123">
        <v>-0.98399999999999999</v>
      </c>
      <c r="FE123">
        <v>7.8927049999999923</v>
      </c>
      <c r="FF123">
        <v>0</v>
      </c>
      <c r="FG123">
        <v>0</v>
      </c>
      <c r="FH123">
        <v>0</v>
      </c>
      <c r="FI123">
        <v>-0.98574050000000013</v>
      </c>
      <c r="FJ123">
        <v>0</v>
      </c>
      <c r="FK123">
        <v>0</v>
      </c>
      <c r="FL123">
        <v>0</v>
      </c>
      <c r="FM123">
        <v>-1</v>
      </c>
      <c r="FN123">
        <v>-1</v>
      </c>
      <c r="FO123">
        <v>-1</v>
      </c>
      <c r="FP123">
        <v>-1</v>
      </c>
      <c r="FQ123">
        <v>0.7</v>
      </c>
      <c r="FR123">
        <v>0.7</v>
      </c>
      <c r="FS123">
        <v>0.142822</v>
      </c>
      <c r="FT123">
        <v>4.99756</v>
      </c>
      <c r="FU123">
        <v>1.5979000000000001</v>
      </c>
      <c r="FV123">
        <v>2.16187</v>
      </c>
      <c r="FW123">
        <v>1.5478499999999999</v>
      </c>
      <c r="FX123">
        <v>2.4316399999999998</v>
      </c>
      <c r="FY123">
        <v>32.443300000000001</v>
      </c>
      <c r="FZ123">
        <v>15.900700000000001</v>
      </c>
      <c r="GA123">
        <v>3</v>
      </c>
      <c r="GB123">
        <v>492.20699999999999</v>
      </c>
      <c r="GC123">
        <v>424.34300000000002</v>
      </c>
      <c r="GD123">
        <v>25.9589</v>
      </c>
      <c r="GE123">
        <v>27.917899999999999</v>
      </c>
      <c r="GF123">
        <v>30.0001</v>
      </c>
      <c r="GG123">
        <v>28.225999999999999</v>
      </c>
      <c r="GH123">
        <v>28.279599999999999</v>
      </c>
      <c r="GI123">
        <v>-1</v>
      </c>
      <c r="GJ123">
        <v>0</v>
      </c>
      <c r="GK123">
        <v>100</v>
      </c>
      <c r="GL123">
        <v>25.957599999999999</v>
      </c>
      <c r="GM123">
        <v>432.1</v>
      </c>
      <c r="GN123">
        <v>63.216500000000003</v>
      </c>
      <c r="GO123">
        <v>102.479</v>
      </c>
      <c r="GP123">
        <v>96.725899999999996</v>
      </c>
    </row>
    <row r="124" spans="1:198" x14ac:dyDescent="0.35">
      <c r="A124">
        <v>108</v>
      </c>
      <c r="B124">
        <v>1775510012</v>
      </c>
      <c r="C124">
        <v>6421</v>
      </c>
      <c r="D124" t="s">
        <v>655</v>
      </c>
      <c r="E124" t="s">
        <v>656</v>
      </c>
      <c r="F124">
        <v>60</v>
      </c>
      <c r="G124">
        <v>1775510004</v>
      </c>
      <c r="H124">
        <f t="shared" si="90"/>
        <v>1.0375276328216769E-3</v>
      </c>
      <c r="I124">
        <f t="shared" si="91"/>
        <v>1.0375276328216769</v>
      </c>
      <c r="J124">
        <f t="shared" si="92"/>
        <v>0.34877340127910411</v>
      </c>
      <c r="K124">
        <f t="shared" si="93"/>
        <v>58.602993548387083</v>
      </c>
      <c r="L124">
        <f t="shared" si="94"/>
        <v>37.078666260529694</v>
      </c>
      <c r="M124">
        <f t="shared" si="95"/>
        <v>3.7162621050508373</v>
      </c>
      <c r="N124">
        <f t="shared" si="96"/>
        <v>5.873568445967571</v>
      </c>
      <c r="O124">
        <f t="shared" si="97"/>
        <v>2.9791042191770489E-2</v>
      </c>
      <c r="P124">
        <f t="shared" si="98"/>
        <v>2.3907472219363486</v>
      </c>
      <c r="Q124">
        <f t="shared" si="99"/>
        <v>2.9586335777608271E-2</v>
      </c>
      <c r="R124">
        <f t="shared" si="100"/>
        <v>1.8509734541476596E-2</v>
      </c>
      <c r="S124">
        <f t="shared" si="101"/>
        <v>0</v>
      </c>
      <c r="T124">
        <f t="shared" si="102"/>
        <v>24.978034420783754</v>
      </c>
      <c r="U124">
        <f t="shared" si="103"/>
        <v>25.312200000000001</v>
      </c>
      <c r="V124">
        <f t="shared" si="104"/>
        <v>3.2393447197380825</v>
      </c>
      <c r="W124">
        <f t="shared" si="105"/>
        <v>-6.8713004492591603</v>
      </c>
      <c r="X124">
        <f t="shared" si="106"/>
        <v>-0.22247776507643693</v>
      </c>
      <c r="Y124">
        <f t="shared" si="107"/>
        <v>3.2377825234002642</v>
      </c>
      <c r="Z124">
        <f t="shared" si="108"/>
        <v>3.4618224848145194</v>
      </c>
      <c r="AA124">
        <f t="shared" si="109"/>
        <v>-45.754968607435949</v>
      </c>
      <c r="AB124">
        <f t="shared" si="110"/>
        <v>-1.0452560324892544</v>
      </c>
      <c r="AC124">
        <f t="shared" si="111"/>
        <v>-9.2767438703818289E-2</v>
      </c>
      <c r="AD124">
        <f t="shared" si="112"/>
        <v>-46.892992078629021</v>
      </c>
      <c r="AE124">
        <v>18</v>
      </c>
      <c r="AF124">
        <v>4</v>
      </c>
      <c r="AG124">
        <f t="shared" si="113"/>
        <v>1</v>
      </c>
      <c r="AH124">
        <f t="shared" si="114"/>
        <v>0</v>
      </c>
      <c r="AI124">
        <f t="shared" si="115"/>
        <v>25701.997277443101</v>
      </c>
      <c r="AJ124">
        <f t="shared" si="116"/>
        <v>0</v>
      </c>
      <c r="AK124">
        <f t="shared" si="117"/>
        <v>0</v>
      </c>
      <c r="AL124">
        <f t="shared" si="118"/>
        <v>0</v>
      </c>
      <c r="AM124">
        <f t="shared" si="119"/>
        <v>0</v>
      </c>
      <c r="AN124">
        <v>3</v>
      </c>
      <c r="AO124">
        <v>0.5</v>
      </c>
      <c r="AP124" t="s">
        <v>331</v>
      </c>
      <c r="AQ124">
        <v>2</v>
      </c>
      <c r="AR124">
        <v>1775510004</v>
      </c>
      <c r="AS124">
        <v>58.602993548387083</v>
      </c>
      <c r="AT124">
        <v>58.848735483870961</v>
      </c>
      <c r="AU124">
        <v>-2.219751612903226</v>
      </c>
      <c r="AV124">
        <v>-2.843641290322581</v>
      </c>
      <c r="AW124">
        <v>50.709993548387082</v>
      </c>
      <c r="AX124">
        <v>-1.2347516129032261</v>
      </c>
      <c r="AY124">
        <v>500.00699999999989</v>
      </c>
      <c r="AZ124">
        <v>100.18906451612899</v>
      </c>
      <c r="BA124">
        <v>3.7358919354838711E-2</v>
      </c>
      <c r="BB124">
        <v>25.304090322580649</v>
      </c>
      <c r="BC124">
        <v>25.312200000000001</v>
      </c>
      <c r="BD124">
        <v>999.90000000000032</v>
      </c>
      <c r="BE124">
        <v>0</v>
      </c>
      <c r="BF124">
        <v>0</v>
      </c>
      <c r="BG124">
        <v>4997.5483870967746</v>
      </c>
      <c r="BH124">
        <v>0.38225677419354842</v>
      </c>
      <c r="BI124">
        <v>0.22961599999999999</v>
      </c>
      <c r="BJ124">
        <v>-0.25886041290322581</v>
      </c>
      <c r="BK124">
        <v>58.460187096774192</v>
      </c>
      <c r="BL124">
        <v>58.681861290322573</v>
      </c>
      <c r="BM124">
        <v>0.62529887096774184</v>
      </c>
      <c r="BN124">
        <v>58.848735483870961</v>
      </c>
      <c r="BO124">
        <v>-2.843641290322581</v>
      </c>
      <c r="BP124">
        <v>-0.22225377419354839</v>
      </c>
      <c r="BQ124">
        <v>-0.28490187096774189</v>
      </c>
      <c r="BR124">
        <v>-99.900000000000034</v>
      </c>
      <c r="BS124">
        <v>-99.900000000000034</v>
      </c>
      <c r="BT124">
        <v>0</v>
      </c>
      <c r="BU124">
        <v>0</v>
      </c>
      <c r="BV124">
        <v>0</v>
      </c>
      <c r="BW124">
        <v>24</v>
      </c>
      <c r="BX124">
        <v>-1</v>
      </c>
      <c r="BY124">
        <v>1775510031</v>
      </c>
      <c r="BZ124" t="s">
        <v>657</v>
      </c>
      <c r="CA124">
        <v>1775510029</v>
      </c>
      <c r="CB124">
        <v>1775510031</v>
      </c>
      <c r="CC124">
        <v>111</v>
      </c>
      <c r="CD124">
        <v>1.2999999999999999E-2</v>
      </c>
      <c r="CE124">
        <v>-2E-3</v>
      </c>
      <c r="CF124">
        <v>7.8929999999999998</v>
      </c>
      <c r="CG124">
        <v>-0.98499999999999999</v>
      </c>
      <c r="CH124">
        <v>59</v>
      </c>
      <c r="CI124">
        <v>-3</v>
      </c>
      <c r="CJ124">
        <v>0.35</v>
      </c>
      <c r="CK124">
        <v>0.08</v>
      </c>
      <c r="CL124">
        <v>58.683183333333332</v>
      </c>
      <c r="CM124">
        <v>0.95371025284821331</v>
      </c>
      <c r="CN124">
        <v>0.23571006778573469</v>
      </c>
      <c r="CO124">
        <v>-1</v>
      </c>
      <c r="CP124">
        <v>500.04091666666659</v>
      </c>
      <c r="CQ124">
        <v>-0.33486968602302292</v>
      </c>
      <c r="CR124">
        <v>0.14331832770289979</v>
      </c>
      <c r="CS124">
        <v>-1</v>
      </c>
      <c r="CT124">
        <v>0</v>
      </c>
      <c r="CU124">
        <v>0</v>
      </c>
      <c r="CV124" t="s">
        <v>333</v>
      </c>
      <c r="CW124">
        <v>3.1674699999999998</v>
      </c>
      <c r="CX124">
        <v>2.6584400000000001</v>
      </c>
      <c r="CY124">
        <v>1.5122E-2</v>
      </c>
      <c r="CZ124">
        <v>1.74244E-2</v>
      </c>
      <c r="DA124">
        <v>-1.10711E-2</v>
      </c>
      <c r="DB124">
        <v>-2.8685100000000002E-2</v>
      </c>
      <c r="DC124">
        <v>21316.2</v>
      </c>
      <c r="DD124">
        <v>21638.400000000001</v>
      </c>
      <c r="DE124">
        <v>23168.400000000001</v>
      </c>
      <c r="DF124">
        <v>22370.7</v>
      </c>
      <c r="DG124">
        <v>30201.200000000001</v>
      </c>
      <c r="DH124">
        <v>27432</v>
      </c>
      <c r="DI124">
        <v>40708.199999999997</v>
      </c>
      <c r="DJ124">
        <v>37064.1</v>
      </c>
      <c r="DK124">
        <v>2.10338</v>
      </c>
      <c r="DL124">
        <v>1.85544</v>
      </c>
      <c r="DM124">
        <v>2.4706100000000002E-2</v>
      </c>
      <c r="DN124">
        <v>0</v>
      </c>
      <c r="DO124">
        <v>24.91</v>
      </c>
      <c r="DP124">
        <v>999.9</v>
      </c>
      <c r="DQ124">
        <v>79.3</v>
      </c>
      <c r="DR124">
        <v>28</v>
      </c>
      <c r="DS124">
        <v>30.037600000000001</v>
      </c>
      <c r="DT124">
        <v>30.790199999999999</v>
      </c>
      <c r="DU124">
        <v>8.9583399999999997</v>
      </c>
      <c r="DV124">
        <v>1</v>
      </c>
      <c r="DW124">
        <v>6.0061000000000003E-2</v>
      </c>
      <c r="DX124">
        <v>-0.12782099999999999</v>
      </c>
      <c r="DY124">
        <v>20.368400000000001</v>
      </c>
      <c r="DZ124">
        <v>5.2125000000000004</v>
      </c>
      <c r="EA124">
        <v>11.8482</v>
      </c>
      <c r="EB124">
        <v>4.9684400000000002</v>
      </c>
      <c r="EC124">
        <v>3.2920199999999999</v>
      </c>
      <c r="ED124">
        <v>894.7</v>
      </c>
      <c r="EE124">
        <v>0</v>
      </c>
      <c r="EF124">
        <v>9999</v>
      </c>
      <c r="EG124">
        <v>114.8</v>
      </c>
      <c r="EH124">
        <v>4.9716399999999998</v>
      </c>
      <c r="EI124">
        <v>1.8717999999999999</v>
      </c>
      <c r="EJ124">
        <v>1.8689</v>
      </c>
      <c r="EK124">
        <v>1.8713500000000001</v>
      </c>
      <c r="EL124">
        <v>1.8690800000000001</v>
      </c>
      <c r="EM124">
        <v>1.8680300000000001</v>
      </c>
      <c r="EN124">
        <v>1.86991</v>
      </c>
      <c r="EO124">
        <v>1.8717299999999999</v>
      </c>
      <c r="EP124">
        <v>0</v>
      </c>
      <c r="EQ124">
        <v>0</v>
      </c>
      <c r="ER124">
        <v>0</v>
      </c>
      <c r="ES124">
        <v>0</v>
      </c>
      <c r="ET124" t="s">
        <v>334</v>
      </c>
      <c r="EU124" t="s">
        <v>335</v>
      </c>
      <c r="EV124" t="s">
        <v>336</v>
      </c>
      <c r="EW124" t="s">
        <v>336</v>
      </c>
      <c r="EX124" t="s">
        <v>336</v>
      </c>
      <c r="EY124" t="s">
        <v>336</v>
      </c>
      <c r="EZ124">
        <v>0</v>
      </c>
      <c r="FA124">
        <v>100</v>
      </c>
      <c r="FB124">
        <v>100</v>
      </c>
      <c r="FC124">
        <v>7.8929999999999998</v>
      </c>
      <c r="FD124">
        <v>-0.98499999999999999</v>
      </c>
      <c r="FE124">
        <v>7.8798799999999858</v>
      </c>
      <c r="FF124">
        <v>0</v>
      </c>
      <c r="FG124">
        <v>0</v>
      </c>
      <c r="FH124">
        <v>0</v>
      </c>
      <c r="FI124">
        <v>-0.98359050000000026</v>
      </c>
      <c r="FJ124">
        <v>0</v>
      </c>
      <c r="FK124">
        <v>0</v>
      </c>
      <c r="FL124">
        <v>0</v>
      </c>
      <c r="FM124">
        <v>-1</v>
      </c>
      <c r="FN124">
        <v>-1</v>
      </c>
      <c r="FO124">
        <v>-1</v>
      </c>
      <c r="FP124">
        <v>-1</v>
      </c>
      <c r="FQ124">
        <v>0.7</v>
      </c>
      <c r="FR124">
        <v>0.7</v>
      </c>
      <c r="FS124">
        <v>0.142822</v>
      </c>
      <c r="FT124">
        <v>4.99756</v>
      </c>
      <c r="FU124">
        <v>1.5979000000000001</v>
      </c>
      <c r="FV124">
        <v>2.16309</v>
      </c>
      <c r="FW124">
        <v>1.5478499999999999</v>
      </c>
      <c r="FX124">
        <v>2.3754900000000001</v>
      </c>
      <c r="FY124">
        <v>32.465400000000002</v>
      </c>
      <c r="FZ124">
        <v>15.891999999999999</v>
      </c>
      <c r="GA124">
        <v>3</v>
      </c>
      <c r="GB124">
        <v>492.33600000000001</v>
      </c>
      <c r="GC124">
        <v>424.899</v>
      </c>
      <c r="GD124">
        <v>25.934999999999999</v>
      </c>
      <c r="GE124">
        <v>27.927499999999998</v>
      </c>
      <c r="GF124">
        <v>30.0001</v>
      </c>
      <c r="GG124">
        <v>28.230699999999999</v>
      </c>
      <c r="GH124">
        <v>28.2849</v>
      </c>
      <c r="GI124">
        <v>-1</v>
      </c>
      <c r="GJ124">
        <v>0</v>
      </c>
      <c r="GK124">
        <v>100</v>
      </c>
      <c r="GL124">
        <v>25.932099999999998</v>
      </c>
      <c r="GM124">
        <v>432.1</v>
      </c>
      <c r="GN124">
        <v>63.216500000000003</v>
      </c>
      <c r="GO124">
        <v>102.477</v>
      </c>
      <c r="GP124">
        <v>96.723799999999997</v>
      </c>
    </row>
    <row r="125" spans="1:198" x14ac:dyDescent="0.35">
      <c r="A125">
        <v>109</v>
      </c>
      <c r="B125">
        <v>1775510072</v>
      </c>
      <c r="C125">
        <v>6481</v>
      </c>
      <c r="D125" t="s">
        <v>658</v>
      </c>
      <c r="E125" t="s">
        <v>659</v>
      </c>
      <c r="F125">
        <v>60</v>
      </c>
      <c r="G125">
        <v>1775510064</v>
      </c>
      <c r="H125">
        <f t="shared" si="90"/>
        <v>9.7630241024330186E-4</v>
      </c>
      <c r="I125">
        <f t="shared" si="91"/>
        <v>0.97630241024330189</v>
      </c>
      <c r="J125">
        <f t="shared" si="92"/>
        <v>-1.2573533048792935E-2</v>
      </c>
      <c r="K125">
        <f t="shared" si="93"/>
        <v>58.61344838709676</v>
      </c>
      <c r="L125">
        <f t="shared" si="94"/>
        <v>56.119864321611239</v>
      </c>
      <c r="M125">
        <f t="shared" si="95"/>
        <v>5.6246864543091251</v>
      </c>
      <c r="N125">
        <f t="shared" si="96"/>
        <v>5.8746091632351396</v>
      </c>
      <c r="O125">
        <f t="shared" si="97"/>
        <v>2.8024202096651157E-2</v>
      </c>
      <c r="P125">
        <f t="shared" si="98"/>
        <v>2.3938464978025733</v>
      </c>
      <c r="Q125">
        <f t="shared" si="99"/>
        <v>2.7843210293020056E-2</v>
      </c>
      <c r="R125">
        <f t="shared" si="100"/>
        <v>1.7418170262932485E-2</v>
      </c>
      <c r="S125">
        <f t="shared" si="101"/>
        <v>0</v>
      </c>
      <c r="T125">
        <f t="shared" si="102"/>
        <v>24.991448216914957</v>
      </c>
      <c r="U125">
        <f t="shared" si="103"/>
        <v>25.310380645161288</v>
      </c>
      <c r="V125">
        <f t="shared" si="104"/>
        <v>3.2389941935822413</v>
      </c>
      <c r="W125">
        <f t="shared" si="105"/>
        <v>-6.8740255511885797</v>
      </c>
      <c r="X125">
        <f t="shared" si="106"/>
        <v>-0.22248405811739394</v>
      </c>
      <c r="Y125">
        <f t="shared" si="107"/>
        <v>3.236590502328355</v>
      </c>
      <c r="Z125">
        <f t="shared" si="108"/>
        <v>3.4614782516996354</v>
      </c>
      <c r="AA125">
        <f t="shared" si="109"/>
        <v>-43.054936291729611</v>
      </c>
      <c r="AB125">
        <f t="shared" si="110"/>
        <v>-1.6107152764343615</v>
      </c>
      <c r="AC125">
        <f t="shared" si="111"/>
        <v>-0.14276164083102955</v>
      </c>
      <c r="AD125">
        <f t="shared" si="112"/>
        <v>-44.808413208995006</v>
      </c>
      <c r="AE125">
        <v>18</v>
      </c>
      <c r="AF125">
        <v>4</v>
      </c>
      <c r="AG125">
        <f t="shared" si="113"/>
        <v>1</v>
      </c>
      <c r="AH125">
        <f t="shared" si="114"/>
        <v>0</v>
      </c>
      <c r="AI125">
        <f t="shared" si="115"/>
        <v>25749.970658175062</v>
      </c>
      <c r="AJ125">
        <f t="shared" si="116"/>
        <v>0</v>
      </c>
      <c r="AK125">
        <f t="shared" si="117"/>
        <v>0</v>
      </c>
      <c r="AL125">
        <f t="shared" si="118"/>
        <v>0</v>
      </c>
      <c r="AM125">
        <f t="shared" si="119"/>
        <v>0</v>
      </c>
      <c r="AN125">
        <v>3</v>
      </c>
      <c r="AO125">
        <v>0.5</v>
      </c>
      <c r="AP125" t="s">
        <v>331</v>
      </c>
      <c r="AQ125">
        <v>2</v>
      </c>
      <c r="AR125">
        <v>1775510064</v>
      </c>
      <c r="AS125">
        <v>58.61344838709676</v>
      </c>
      <c r="AT125">
        <v>58.640238709677433</v>
      </c>
      <c r="AU125">
        <v>-2.2198170967741939</v>
      </c>
      <c r="AV125">
        <v>-2.806893870967742</v>
      </c>
      <c r="AW125">
        <v>50.717448387096759</v>
      </c>
      <c r="AX125">
        <v>-1.2278170967741939</v>
      </c>
      <c r="AY125">
        <v>500.00425806451619</v>
      </c>
      <c r="AZ125">
        <v>100.18893548387091</v>
      </c>
      <c r="BA125">
        <v>3.7366241935483872E-2</v>
      </c>
      <c r="BB125">
        <v>25.297900000000009</v>
      </c>
      <c r="BC125">
        <v>25.310380645161288</v>
      </c>
      <c r="BD125">
        <v>999.90000000000032</v>
      </c>
      <c r="BE125">
        <v>0</v>
      </c>
      <c r="BF125">
        <v>0</v>
      </c>
      <c r="BG125">
        <v>5005.5322580645161</v>
      </c>
      <c r="BH125">
        <v>0.38866764516129038</v>
      </c>
      <c r="BI125">
        <v>0.22961599999999999</v>
      </c>
      <c r="BJ125">
        <v>-2.99638170967742E-2</v>
      </c>
      <c r="BK125">
        <v>58.480851612903223</v>
      </c>
      <c r="BL125">
        <v>58.476093548387077</v>
      </c>
      <c r="BM125">
        <v>0.5938582580645162</v>
      </c>
      <c r="BN125">
        <v>58.640238709677433</v>
      </c>
      <c r="BO125">
        <v>-2.806893870967742</v>
      </c>
      <c r="BP125">
        <v>-0.22172164516129031</v>
      </c>
      <c r="BQ125">
        <v>-0.28121964516129028</v>
      </c>
      <c r="BR125">
        <v>-99.900000000000034</v>
      </c>
      <c r="BS125">
        <v>-99.900000000000034</v>
      </c>
      <c r="BT125">
        <v>0</v>
      </c>
      <c r="BU125">
        <v>0</v>
      </c>
      <c r="BV125">
        <v>0</v>
      </c>
      <c r="BW125">
        <v>24</v>
      </c>
      <c r="BX125">
        <v>-1</v>
      </c>
      <c r="BY125">
        <v>1775510094</v>
      </c>
      <c r="BZ125" t="s">
        <v>660</v>
      </c>
      <c r="CA125">
        <v>1775510094</v>
      </c>
      <c r="CB125">
        <v>1775510091</v>
      </c>
      <c r="CC125">
        <v>112</v>
      </c>
      <c r="CD125">
        <v>3.0000000000000001E-3</v>
      </c>
      <c r="CE125">
        <v>-7.0000000000000001E-3</v>
      </c>
      <c r="CF125">
        <v>7.8959999999999999</v>
      </c>
      <c r="CG125">
        <v>-0.99199999999999999</v>
      </c>
      <c r="CH125">
        <v>58</v>
      </c>
      <c r="CI125">
        <v>-3</v>
      </c>
      <c r="CJ125">
        <v>0.25</v>
      </c>
      <c r="CK125">
        <v>0.11</v>
      </c>
      <c r="CL125">
        <v>58.682568333333329</v>
      </c>
      <c r="CM125">
        <v>-0.1118794109474479</v>
      </c>
      <c r="CN125">
        <v>9.8045546374574383E-2</v>
      </c>
      <c r="CO125">
        <v>-1</v>
      </c>
      <c r="CP125">
        <v>500.0069666666667</v>
      </c>
      <c r="CQ125">
        <v>-9.6273409279922548E-2</v>
      </c>
      <c r="CR125">
        <v>6.001582198794695E-2</v>
      </c>
      <c r="CS125">
        <v>-1</v>
      </c>
      <c r="CT125">
        <v>0</v>
      </c>
      <c r="CU125">
        <v>0</v>
      </c>
      <c r="CV125" t="s">
        <v>333</v>
      </c>
      <c r="CW125">
        <v>3.1673900000000001</v>
      </c>
      <c r="CX125">
        <v>2.6587299999999998</v>
      </c>
      <c r="CY125">
        <v>1.51088E-2</v>
      </c>
      <c r="CZ125">
        <v>1.73981E-2</v>
      </c>
      <c r="DA125">
        <v>-1.10005E-2</v>
      </c>
      <c r="DB125">
        <v>-2.8146500000000001E-2</v>
      </c>
      <c r="DC125">
        <v>21316</v>
      </c>
      <c r="DD125">
        <v>21638.799999999999</v>
      </c>
      <c r="DE125">
        <v>23167.8</v>
      </c>
      <c r="DF125">
        <v>22370.6</v>
      </c>
      <c r="DG125">
        <v>30198.400000000001</v>
      </c>
      <c r="DH125">
        <v>27417.7</v>
      </c>
      <c r="DI125">
        <v>40707.300000000003</v>
      </c>
      <c r="DJ125">
        <v>37063.9</v>
      </c>
      <c r="DK125">
        <v>2.1032199999999999</v>
      </c>
      <c r="DL125">
        <v>1.85338</v>
      </c>
      <c r="DM125">
        <v>2.4139899999999999E-2</v>
      </c>
      <c r="DN125">
        <v>0</v>
      </c>
      <c r="DO125">
        <v>24.907900000000001</v>
      </c>
      <c r="DP125">
        <v>999.9</v>
      </c>
      <c r="DQ125">
        <v>79.3</v>
      </c>
      <c r="DR125">
        <v>28</v>
      </c>
      <c r="DS125">
        <v>30.036799999999999</v>
      </c>
      <c r="DT125">
        <v>30.970199999999998</v>
      </c>
      <c r="DU125">
        <v>8.9903899999999997</v>
      </c>
      <c r="DV125">
        <v>1</v>
      </c>
      <c r="DW125">
        <v>6.1038599999999998E-2</v>
      </c>
      <c r="DX125">
        <v>-0.15754000000000001</v>
      </c>
      <c r="DY125">
        <v>20.368300000000001</v>
      </c>
      <c r="DZ125">
        <v>5.2122599999999997</v>
      </c>
      <c r="EA125">
        <v>11.8482</v>
      </c>
      <c r="EB125">
        <v>4.9682399999999998</v>
      </c>
      <c r="EC125">
        <v>3.2920600000000002</v>
      </c>
      <c r="ED125">
        <v>894.7</v>
      </c>
      <c r="EE125">
        <v>0</v>
      </c>
      <c r="EF125">
        <v>9999</v>
      </c>
      <c r="EG125">
        <v>114.8</v>
      </c>
      <c r="EH125">
        <v>4.9716399999999998</v>
      </c>
      <c r="EI125">
        <v>1.8717999999999999</v>
      </c>
      <c r="EJ125">
        <v>1.8689100000000001</v>
      </c>
      <c r="EK125">
        <v>1.8713500000000001</v>
      </c>
      <c r="EL125">
        <v>1.8690599999999999</v>
      </c>
      <c r="EM125">
        <v>1.8680099999999999</v>
      </c>
      <c r="EN125">
        <v>1.86991</v>
      </c>
      <c r="EO125">
        <v>1.87174</v>
      </c>
      <c r="EP125">
        <v>0</v>
      </c>
      <c r="EQ125">
        <v>0</v>
      </c>
      <c r="ER125">
        <v>0</v>
      </c>
      <c r="ES125">
        <v>0</v>
      </c>
      <c r="ET125" t="s">
        <v>334</v>
      </c>
      <c r="EU125" t="s">
        <v>335</v>
      </c>
      <c r="EV125" t="s">
        <v>336</v>
      </c>
      <c r="EW125" t="s">
        <v>336</v>
      </c>
      <c r="EX125" t="s">
        <v>336</v>
      </c>
      <c r="EY125" t="s">
        <v>336</v>
      </c>
      <c r="EZ125">
        <v>0</v>
      </c>
      <c r="FA125">
        <v>100</v>
      </c>
      <c r="FB125">
        <v>100</v>
      </c>
      <c r="FC125">
        <v>7.8959999999999999</v>
      </c>
      <c r="FD125">
        <v>-0.99199999999999999</v>
      </c>
      <c r="FE125">
        <v>7.892825000000002</v>
      </c>
      <c r="FF125">
        <v>0</v>
      </c>
      <c r="FG125">
        <v>0</v>
      </c>
      <c r="FH125">
        <v>0</v>
      </c>
      <c r="FI125">
        <v>-0.98521849999999977</v>
      </c>
      <c r="FJ125">
        <v>0</v>
      </c>
      <c r="FK125">
        <v>0</v>
      </c>
      <c r="FL125">
        <v>0</v>
      </c>
      <c r="FM125">
        <v>-1</v>
      </c>
      <c r="FN125">
        <v>-1</v>
      </c>
      <c r="FO125">
        <v>-1</v>
      </c>
      <c r="FP125">
        <v>-1</v>
      </c>
      <c r="FQ125">
        <v>0.7</v>
      </c>
      <c r="FR125">
        <v>0.7</v>
      </c>
      <c r="FS125">
        <v>0.142822</v>
      </c>
      <c r="FT125">
        <v>4.99756</v>
      </c>
      <c r="FU125">
        <v>1.5979000000000001</v>
      </c>
      <c r="FV125">
        <v>2.1606399999999999</v>
      </c>
      <c r="FW125">
        <v>1.5478499999999999</v>
      </c>
      <c r="FX125">
        <v>2.4450699999999999</v>
      </c>
      <c r="FY125">
        <v>32.487499999999997</v>
      </c>
      <c r="FZ125">
        <v>15.900700000000001</v>
      </c>
      <c r="GA125">
        <v>3</v>
      </c>
      <c r="GB125">
        <v>492.31900000000002</v>
      </c>
      <c r="GC125">
        <v>423.75599999999997</v>
      </c>
      <c r="GD125">
        <v>25.9483</v>
      </c>
      <c r="GE125">
        <v>27.9345</v>
      </c>
      <c r="GF125">
        <v>30.0001</v>
      </c>
      <c r="GG125">
        <v>28.240200000000002</v>
      </c>
      <c r="GH125">
        <v>28.2943</v>
      </c>
      <c r="GI125">
        <v>-1</v>
      </c>
      <c r="GJ125">
        <v>0</v>
      </c>
      <c r="GK125">
        <v>100</v>
      </c>
      <c r="GL125">
        <v>25.949200000000001</v>
      </c>
      <c r="GM125">
        <v>432.1</v>
      </c>
      <c r="GN125">
        <v>63.216500000000003</v>
      </c>
      <c r="GO125">
        <v>102.47499999999999</v>
      </c>
      <c r="GP125">
        <v>96.723299999999995</v>
      </c>
    </row>
    <row r="126" spans="1:198" x14ac:dyDescent="0.35">
      <c r="A126">
        <v>110</v>
      </c>
      <c r="B126">
        <v>1775510132</v>
      </c>
      <c r="C126">
        <v>6541</v>
      </c>
      <c r="D126" t="s">
        <v>661</v>
      </c>
      <c r="E126" t="s">
        <v>662</v>
      </c>
      <c r="F126">
        <v>60</v>
      </c>
      <c r="G126">
        <v>1775510124</v>
      </c>
      <c r="H126">
        <f t="shared" si="90"/>
        <v>9.7517781035789041E-4</v>
      </c>
      <c r="I126">
        <f t="shared" si="91"/>
        <v>0.97517781035789042</v>
      </c>
      <c r="J126">
        <f t="shared" si="92"/>
        <v>8.7752087997774758E-2</v>
      </c>
      <c r="K126">
        <f t="shared" si="93"/>
        <v>58.144332258064523</v>
      </c>
      <c r="L126">
        <f t="shared" si="94"/>
        <v>50.070585084515308</v>
      </c>
      <c r="M126">
        <f t="shared" si="95"/>
        <v>5.0184529552062438</v>
      </c>
      <c r="N126">
        <f t="shared" si="96"/>
        <v>5.827664996453521</v>
      </c>
      <c r="O126">
        <f t="shared" si="97"/>
        <v>2.8001415191600904E-2</v>
      </c>
      <c r="P126">
        <f t="shared" si="98"/>
        <v>2.3947535864691218</v>
      </c>
      <c r="Q126">
        <f t="shared" si="99"/>
        <v>2.7820784547345365E-2</v>
      </c>
      <c r="R126">
        <f t="shared" si="100"/>
        <v>1.7404122032607876E-2</v>
      </c>
      <c r="S126">
        <f t="shared" si="101"/>
        <v>0</v>
      </c>
      <c r="T126">
        <f t="shared" si="102"/>
        <v>24.994263154944406</v>
      </c>
      <c r="U126">
        <f t="shared" si="103"/>
        <v>25.306338709677419</v>
      </c>
      <c r="V126">
        <f t="shared" si="104"/>
        <v>3.2382155723314341</v>
      </c>
      <c r="W126">
        <f t="shared" si="105"/>
        <v>-6.8616294150818335</v>
      </c>
      <c r="X126">
        <f t="shared" si="106"/>
        <v>-0.22211395708372117</v>
      </c>
      <c r="Y126">
        <f t="shared" si="107"/>
        <v>3.2370439096508998</v>
      </c>
      <c r="Z126">
        <f t="shared" si="108"/>
        <v>3.460329529415155</v>
      </c>
      <c r="AA126">
        <f t="shared" si="109"/>
        <v>-43.00534143678297</v>
      </c>
      <c r="AB126">
        <f t="shared" si="110"/>
        <v>-0.78546397353873798</v>
      </c>
      <c r="AC126">
        <f t="shared" si="111"/>
        <v>-6.9590635919415736E-2</v>
      </c>
      <c r="AD126">
        <f t="shared" si="112"/>
        <v>-43.860396046241128</v>
      </c>
      <c r="AE126">
        <v>18</v>
      </c>
      <c r="AF126">
        <v>4</v>
      </c>
      <c r="AG126">
        <f t="shared" si="113"/>
        <v>1</v>
      </c>
      <c r="AH126">
        <f t="shared" si="114"/>
        <v>0</v>
      </c>
      <c r="AI126">
        <f t="shared" si="115"/>
        <v>25763.602948770742</v>
      </c>
      <c r="AJ126">
        <f t="shared" si="116"/>
        <v>0</v>
      </c>
      <c r="AK126">
        <f t="shared" si="117"/>
        <v>0</v>
      </c>
      <c r="AL126">
        <f t="shared" si="118"/>
        <v>0</v>
      </c>
      <c r="AM126">
        <f t="shared" si="119"/>
        <v>0</v>
      </c>
      <c r="AN126">
        <v>3</v>
      </c>
      <c r="AO126">
        <v>0.5</v>
      </c>
      <c r="AP126" t="s">
        <v>331</v>
      </c>
      <c r="AQ126">
        <v>2</v>
      </c>
      <c r="AR126">
        <v>1775510124</v>
      </c>
      <c r="AS126">
        <v>58.144332258064523</v>
      </c>
      <c r="AT126">
        <v>58.231003225806447</v>
      </c>
      <c r="AU126">
        <v>-2.2160964516129029</v>
      </c>
      <c r="AV126">
        <v>-2.8024935483870972</v>
      </c>
      <c r="AW126">
        <v>50.327332258064523</v>
      </c>
      <c r="AX126">
        <v>-1.225096451612903</v>
      </c>
      <c r="AY126">
        <v>500.00532258064521</v>
      </c>
      <c r="AZ126">
        <v>100.19016129032261</v>
      </c>
      <c r="BA126">
        <v>3.7406387096774199E-2</v>
      </c>
      <c r="BB126">
        <v>25.30025483870968</v>
      </c>
      <c r="BC126">
        <v>25.306338709677419</v>
      </c>
      <c r="BD126">
        <v>999.90000000000032</v>
      </c>
      <c r="BE126">
        <v>0</v>
      </c>
      <c r="BF126">
        <v>0</v>
      </c>
      <c r="BG126">
        <v>5007.8064516129034</v>
      </c>
      <c r="BH126">
        <v>0.38715754838709687</v>
      </c>
      <c r="BI126">
        <v>0.23324516129032249</v>
      </c>
      <c r="BJ126">
        <v>-7.4855366129032248E-3</v>
      </c>
      <c r="BK126">
        <v>58.094725806451613</v>
      </c>
      <c r="BL126">
        <v>58.068270967741931</v>
      </c>
      <c r="BM126">
        <v>0.58539509677419344</v>
      </c>
      <c r="BN126">
        <v>58.231003225806447</v>
      </c>
      <c r="BO126">
        <v>-2.8024935483870972</v>
      </c>
      <c r="BP126">
        <v>-0.22213148387096771</v>
      </c>
      <c r="BQ126">
        <v>-0.28078238709677422</v>
      </c>
      <c r="BR126">
        <v>-99.900000000000034</v>
      </c>
      <c r="BS126">
        <v>-99.900000000000034</v>
      </c>
      <c r="BT126">
        <v>0</v>
      </c>
      <c r="BU126">
        <v>0</v>
      </c>
      <c r="BV126">
        <v>0</v>
      </c>
      <c r="BW126">
        <v>24</v>
      </c>
      <c r="BX126">
        <v>-1</v>
      </c>
      <c r="BY126">
        <v>1775510152</v>
      </c>
      <c r="BZ126" t="s">
        <v>663</v>
      </c>
      <c r="CA126">
        <v>1775510151</v>
      </c>
      <c r="CB126">
        <v>1775510152</v>
      </c>
      <c r="CC126">
        <v>113</v>
      </c>
      <c r="CD126">
        <v>-7.9000000000000001E-2</v>
      </c>
      <c r="CE126">
        <v>1E-3</v>
      </c>
      <c r="CF126">
        <v>7.8170000000000002</v>
      </c>
      <c r="CG126">
        <v>-0.99099999999999999</v>
      </c>
      <c r="CH126">
        <v>54</v>
      </c>
      <c r="CI126">
        <v>-3</v>
      </c>
      <c r="CJ126">
        <v>0.36</v>
      </c>
      <c r="CK126">
        <v>0.12</v>
      </c>
      <c r="CL126">
        <v>58.308928333333327</v>
      </c>
      <c r="CM126">
        <v>-0.56071542095021221</v>
      </c>
      <c r="CN126">
        <v>9.5015486617825676E-2</v>
      </c>
      <c r="CO126">
        <v>-1</v>
      </c>
      <c r="CP126">
        <v>500.04876666666672</v>
      </c>
      <c r="CQ126">
        <v>-0.5348619060840597</v>
      </c>
      <c r="CR126">
        <v>0.18569979058206379</v>
      </c>
      <c r="CS126">
        <v>-1</v>
      </c>
      <c r="CT126">
        <v>0</v>
      </c>
      <c r="CU126">
        <v>0</v>
      </c>
      <c r="CV126" t="s">
        <v>333</v>
      </c>
      <c r="CW126">
        <v>3.1673399999999998</v>
      </c>
      <c r="CX126">
        <v>2.6585399999999999</v>
      </c>
      <c r="CY126">
        <v>1.49876E-2</v>
      </c>
      <c r="CZ126">
        <v>1.7277799999999999E-2</v>
      </c>
      <c r="DA126">
        <v>-1.09803E-2</v>
      </c>
      <c r="DB126">
        <v>-2.81281E-2</v>
      </c>
      <c r="DC126">
        <v>21317.9</v>
      </c>
      <c r="DD126">
        <v>21641.1</v>
      </c>
      <c r="DE126">
        <v>23167.1</v>
      </c>
      <c r="DF126">
        <v>22370.3</v>
      </c>
      <c r="DG126">
        <v>30196.9</v>
      </c>
      <c r="DH126">
        <v>27416.6</v>
      </c>
      <c r="DI126">
        <v>40706.1</v>
      </c>
      <c r="DJ126">
        <v>37063.1</v>
      </c>
      <c r="DK126">
        <v>2.1029399999999998</v>
      </c>
      <c r="DL126">
        <v>1.8534200000000001</v>
      </c>
      <c r="DM126">
        <v>2.4169699999999999E-2</v>
      </c>
      <c r="DN126">
        <v>0</v>
      </c>
      <c r="DO126">
        <v>24.907399999999999</v>
      </c>
      <c r="DP126">
        <v>999.9</v>
      </c>
      <c r="DQ126">
        <v>79.3</v>
      </c>
      <c r="DR126">
        <v>28</v>
      </c>
      <c r="DS126">
        <v>30.035399999999999</v>
      </c>
      <c r="DT126">
        <v>30.790199999999999</v>
      </c>
      <c r="DU126">
        <v>9.0865399999999994</v>
      </c>
      <c r="DV126">
        <v>1</v>
      </c>
      <c r="DW126">
        <v>6.15671E-2</v>
      </c>
      <c r="DX126">
        <v>-0.13095399999999999</v>
      </c>
      <c r="DY126">
        <v>20.368300000000001</v>
      </c>
      <c r="DZ126">
        <v>5.2120199999999999</v>
      </c>
      <c r="EA126">
        <v>11.8482</v>
      </c>
      <c r="EB126">
        <v>4.9681600000000001</v>
      </c>
      <c r="EC126">
        <v>3.2920799999999999</v>
      </c>
      <c r="ED126">
        <v>894.7</v>
      </c>
      <c r="EE126">
        <v>0</v>
      </c>
      <c r="EF126">
        <v>9999</v>
      </c>
      <c r="EG126">
        <v>114.8</v>
      </c>
      <c r="EH126">
        <v>4.9716699999999996</v>
      </c>
      <c r="EI126">
        <v>1.8717999999999999</v>
      </c>
      <c r="EJ126">
        <v>1.8689100000000001</v>
      </c>
      <c r="EK126">
        <v>1.8713500000000001</v>
      </c>
      <c r="EL126">
        <v>1.8690599999999999</v>
      </c>
      <c r="EM126">
        <v>1.8680300000000001</v>
      </c>
      <c r="EN126">
        <v>1.8699300000000001</v>
      </c>
      <c r="EO126">
        <v>1.8716900000000001</v>
      </c>
      <c r="EP126">
        <v>0</v>
      </c>
      <c r="EQ126">
        <v>0</v>
      </c>
      <c r="ER126">
        <v>0</v>
      </c>
      <c r="ES126">
        <v>0</v>
      </c>
      <c r="ET126" t="s">
        <v>334</v>
      </c>
      <c r="EU126" t="s">
        <v>335</v>
      </c>
      <c r="EV126" t="s">
        <v>336</v>
      </c>
      <c r="EW126" t="s">
        <v>336</v>
      </c>
      <c r="EX126" t="s">
        <v>336</v>
      </c>
      <c r="EY126" t="s">
        <v>336</v>
      </c>
      <c r="EZ126">
        <v>0</v>
      </c>
      <c r="FA126">
        <v>100</v>
      </c>
      <c r="FB126">
        <v>100</v>
      </c>
      <c r="FC126">
        <v>7.8170000000000002</v>
      </c>
      <c r="FD126">
        <v>-0.99099999999999999</v>
      </c>
      <c r="FE126">
        <v>7.8961850000000098</v>
      </c>
      <c r="FF126">
        <v>0</v>
      </c>
      <c r="FG126">
        <v>0</v>
      </c>
      <c r="FH126">
        <v>0</v>
      </c>
      <c r="FI126">
        <v>-0.99200250000000012</v>
      </c>
      <c r="FJ126">
        <v>0</v>
      </c>
      <c r="FK126">
        <v>0</v>
      </c>
      <c r="FL126">
        <v>0</v>
      </c>
      <c r="FM126">
        <v>-1</v>
      </c>
      <c r="FN126">
        <v>-1</v>
      </c>
      <c r="FO126">
        <v>-1</v>
      </c>
      <c r="FP126">
        <v>-1</v>
      </c>
      <c r="FQ126">
        <v>0.6</v>
      </c>
      <c r="FR126">
        <v>0.7</v>
      </c>
      <c r="FS126">
        <v>0.142822</v>
      </c>
      <c r="FT126">
        <v>4.99756</v>
      </c>
      <c r="FU126">
        <v>1.5979000000000001</v>
      </c>
      <c r="FV126">
        <v>2.16187</v>
      </c>
      <c r="FW126">
        <v>1.5478499999999999</v>
      </c>
      <c r="FX126">
        <v>2.4426299999999999</v>
      </c>
      <c r="FY126">
        <v>32.509700000000002</v>
      </c>
      <c r="FZ126">
        <v>15.891999999999999</v>
      </c>
      <c r="GA126">
        <v>3</v>
      </c>
      <c r="GB126">
        <v>492.21499999999997</v>
      </c>
      <c r="GC126">
        <v>423.82600000000002</v>
      </c>
      <c r="GD126">
        <v>25.952200000000001</v>
      </c>
      <c r="GE126">
        <v>27.943100000000001</v>
      </c>
      <c r="GF126">
        <v>30.0001</v>
      </c>
      <c r="GG126">
        <v>28.247299999999999</v>
      </c>
      <c r="GH126">
        <v>28.300799999999999</v>
      </c>
      <c r="GI126">
        <v>-1</v>
      </c>
      <c r="GJ126">
        <v>0</v>
      </c>
      <c r="GK126">
        <v>100</v>
      </c>
      <c r="GL126">
        <v>25.951899999999998</v>
      </c>
      <c r="GM126">
        <v>432.1</v>
      </c>
      <c r="GN126">
        <v>63.216500000000003</v>
      </c>
      <c r="GO126">
        <v>102.47199999999999</v>
      </c>
      <c r="GP126">
        <v>96.721400000000003</v>
      </c>
    </row>
    <row r="127" spans="1:198" x14ac:dyDescent="0.35">
      <c r="A127">
        <v>111</v>
      </c>
      <c r="B127">
        <v>1775510192</v>
      </c>
      <c r="C127">
        <v>6601</v>
      </c>
      <c r="D127" t="s">
        <v>664</v>
      </c>
      <c r="E127" t="s">
        <v>665</v>
      </c>
      <c r="F127">
        <v>60</v>
      </c>
      <c r="G127">
        <v>1775510184</v>
      </c>
      <c r="H127">
        <f t="shared" si="90"/>
        <v>9.9026587892991598E-4</v>
      </c>
      <c r="I127">
        <f t="shared" si="91"/>
        <v>0.99026587892991602</v>
      </c>
      <c r="J127">
        <f t="shared" si="92"/>
        <v>0.39813502932815797</v>
      </c>
      <c r="K127">
        <f t="shared" si="93"/>
        <v>55.438154838709671</v>
      </c>
      <c r="L127">
        <f t="shared" si="94"/>
        <v>30.509344060126839</v>
      </c>
      <c r="M127">
        <f t="shared" si="95"/>
        <v>3.0579285731465529</v>
      </c>
      <c r="N127">
        <f t="shared" si="96"/>
        <v>5.5565244991736593</v>
      </c>
      <c r="O127">
        <f t="shared" si="97"/>
        <v>2.8444867302824299E-2</v>
      </c>
      <c r="P127">
        <f t="shared" si="98"/>
        <v>2.3889260867642199</v>
      </c>
      <c r="Q127">
        <f t="shared" si="99"/>
        <v>2.8258039270410654E-2</v>
      </c>
      <c r="R127">
        <f t="shared" si="100"/>
        <v>1.7677957886230663E-2</v>
      </c>
      <c r="S127">
        <f t="shared" si="101"/>
        <v>0</v>
      </c>
      <c r="T127">
        <f t="shared" si="102"/>
        <v>24.988448693092202</v>
      </c>
      <c r="U127">
        <f t="shared" si="103"/>
        <v>25.304009677419359</v>
      </c>
      <c r="V127">
        <f t="shared" si="104"/>
        <v>3.2377669917387584</v>
      </c>
      <c r="W127">
        <f t="shared" si="105"/>
        <v>-6.8517738533934436</v>
      </c>
      <c r="X127">
        <f t="shared" si="106"/>
        <v>-0.22178986370893222</v>
      </c>
      <c r="Y127">
        <f t="shared" si="107"/>
        <v>3.2369699942605004</v>
      </c>
      <c r="Z127">
        <f t="shared" si="108"/>
        <v>3.4595568554476905</v>
      </c>
      <c r="AA127">
        <f t="shared" si="109"/>
        <v>-43.670725260809292</v>
      </c>
      <c r="AB127">
        <f t="shared" si="110"/>
        <v>-0.53303179945912893</v>
      </c>
      <c r="AC127">
        <f t="shared" si="111"/>
        <v>-4.7340173855742351E-2</v>
      </c>
      <c r="AD127">
        <f t="shared" si="112"/>
        <v>-44.251097234124167</v>
      </c>
      <c r="AE127">
        <v>18</v>
      </c>
      <c r="AF127">
        <v>4</v>
      </c>
      <c r="AG127">
        <f t="shared" si="113"/>
        <v>1</v>
      </c>
      <c r="AH127">
        <f t="shared" si="114"/>
        <v>0</v>
      </c>
      <c r="AI127">
        <f t="shared" si="115"/>
        <v>25674.382143953346</v>
      </c>
      <c r="AJ127">
        <f t="shared" si="116"/>
        <v>0</v>
      </c>
      <c r="AK127">
        <f t="shared" si="117"/>
        <v>0</v>
      </c>
      <c r="AL127">
        <f t="shared" si="118"/>
        <v>0</v>
      </c>
      <c r="AM127">
        <f t="shared" si="119"/>
        <v>0</v>
      </c>
      <c r="AN127">
        <v>3</v>
      </c>
      <c r="AO127">
        <v>0.5</v>
      </c>
      <c r="AP127" t="s">
        <v>331</v>
      </c>
      <c r="AQ127">
        <v>2</v>
      </c>
      <c r="AR127">
        <v>1775510184</v>
      </c>
      <c r="AS127">
        <v>55.438154838709671</v>
      </c>
      <c r="AT127">
        <v>55.709977419354828</v>
      </c>
      <c r="AU127">
        <v>-2.2128258064516131</v>
      </c>
      <c r="AV127">
        <v>-2.808305483870968</v>
      </c>
      <c r="AW127">
        <v>47.563154838709671</v>
      </c>
      <c r="AX127">
        <v>-1.2228258064516131</v>
      </c>
      <c r="AY127">
        <v>499.9954838709678</v>
      </c>
      <c r="AZ127">
        <v>100.1918064516129</v>
      </c>
      <c r="BA127">
        <v>3.744027096774194E-2</v>
      </c>
      <c r="BB127">
        <v>25.299870967741938</v>
      </c>
      <c r="BC127">
        <v>25.304009677419359</v>
      </c>
      <c r="BD127">
        <v>999.90000000000032</v>
      </c>
      <c r="BE127">
        <v>0</v>
      </c>
      <c r="BF127">
        <v>0</v>
      </c>
      <c r="BG127">
        <v>4992.7258064516127</v>
      </c>
      <c r="BH127">
        <v>0.40306425806451618</v>
      </c>
      <c r="BI127">
        <v>0.23331922580645159</v>
      </c>
      <c r="BJ127">
        <v>-0.32957422580645163</v>
      </c>
      <c r="BK127">
        <v>55.258058064516121</v>
      </c>
      <c r="BL127">
        <v>55.55395806451611</v>
      </c>
      <c r="BM127">
        <v>0.5942603225806451</v>
      </c>
      <c r="BN127">
        <v>55.709977419354828</v>
      </c>
      <c r="BO127">
        <v>-2.808305483870968</v>
      </c>
      <c r="BP127">
        <v>-0.22182906451612899</v>
      </c>
      <c r="BQ127">
        <v>-0.28136903225806448</v>
      </c>
      <c r="BR127">
        <v>-99.900000000000034</v>
      </c>
      <c r="BS127">
        <v>-99.900000000000034</v>
      </c>
      <c r="BT127">
        <v>0</v>
      </c>
      <c r="BU127">
        <v>0</v>
      </c>
      <c r="BV127">
        <v>0</v>
      </c>
      <c r="BW127">
        <v>24</v>
      </c>
      <c r="BX127">
        <v>-0.9967742258064517</v>
      </c>
      <c r="BY127">
        <v>1775510212</v>
      </c>
      <c r="BZ127" t="s">
        <v>666</v>
      </c>
      <c r="CA127">
        <v>1775510209</v>
      </c>
      <c r="CB127">
        <v>1775510212</v>
      </c>
      <c r="CC127">
        <v>114</v>
      </c>
      <c r="CD127">
        <v>5.7000000000000002E-2</v>
      </c>
      <c r="CE127">
        <v>1E-3</v>
      </c>
      <c r="CF127">
        <v>7.875</v>
      </c>
      <c r="CG127">
        <v>-0.99</v>
      </c>
      <c r="CH127">
        <v>56</v>
      </c>
      <c r="CI127">
        <v>-3</v>
      </c>
      <c r="CJ127">
        <v>0.28999999999999998</v>
      </c>
      <c r="CK127">
        <v>0.13</v>
      </c>
      <c r="CL127">
        <v>55.529073333333343</v>
      </c>
      <c r="CM127">
        <v>1.2566724090027011</v>
      </c>
      <c r="CN127">
        <v>0.2004945151923675</v>
      </c>
      <c r="CO127">
        <v>-1</v>
      </c>
      <c r="CP127">
        <v>500.01670000000001</v>
      </c>
      <c r="CQ127">
        <v>-0.2000555709916606</v>
      </c>
      <c r="CR127">
        <v>7.0017212169578236E-2</v>
      </c>
      <c r="CS127">
        <v>-1</v>
      </c>
      <c r="CT127">
        <v>0</v>
      </c>
      <c r="CU127">
        <v>0</v>
      </c>
      <c r="CV127" t="s">
        <v>333</v>
      </c>
      <c r="CW127">
        <v>3.1673100000000001</v>
      </c>
      <c r="CX127">
        <v>2.65903</v>
      </c>
      <c r="CY127">
        <v>1.42434E-2</v>
      </c>
      <c r="CZ127">
        <v>1.6661800000000001E-2</v>
      </c>
      <c r="DA127">
        <v>-1.0948599999999999E-2</v>
      </c>
      <c r="DB127">
        <v>-2.8225E-2</v>
      </c>
      <c r="DC127">
        <v>21333.5</v>
      </c>
      <c r="DD127">
        <v>21654.2</v>
      </c>
      <c r="DE127">
        <v>23166.6</v>
      </c>
      <c r="DF127">
        <v>22369.8</v>
      </c>
      <c r="DG127">
        <v>30195.5</v>
      </c>
      <c r="DH127">
        <v>27418.7</v>
      </c>
      <c r="DI127">
        <v>40705.4</v>
      </c>
      <c r="DJ127">
        <v>37062.400000000001</v>
      </c>
      <c r="DK127">
        <v>2.1030199999999999</v>
      </c>
      <c r="DL127">
        <v>1.8542000000000001</v>
      </c>
      <c r="DM127">
        <v>2.4199499999999999E-2</v>
      </c>
      <c r="DN127">
        <v>0</v>
      </c>
      <c r="DO127">
        <v>24.91</v>
      </c>
      <c r="DP127">
        <v>999.9</v>
      </c>
      <c r="DQ127">
        <v>79.3</v>
      </c>
      <c r="DR127">
        <v>28.1</v>
      </c>
      <c r="DS127">
        <v>30.210699999999999</v>
      </c>
      <c r="DT127">
        <v>30.610199999999999</v>
      </c>
      <c r="DU127">
        <v>9.1626600000000007</v>
      </c>
      <c r="DV127">
        <v>1</v>
      </c>
      <c r="DW127">
        <v>6.2174800000000002E-2</v>
      </c>
      <c r="DX127">
        <v>-0.149704</v>
      </c>
      <c r="DY127">
        <v>20.368500000000001</v>
      </c>
      <c r="DZ127">
        <v>5.2110599999999998</v>
      </c>
      <c r="EA127">
        <v>11.8482</v>
      </c>
      <c r="EB127">
        <v>4.9682000000000004</v>
      </c>
      <c r="EC127">
        <v>3.2920199999999999</v>
      </c>
      <c r="ED127">
        <v>894.7</v>
      </c>
      <c r="EE127">
        <v>0</v>
      </c>
      <c r="EF127">
        <v>9999</v>
      </c>
      <c r="EG127">
        <v>114.8</v>
      </c>
      <c r="EH127">
        <v>4.9716300000000002</v>
      </c>
      <c r="EI127">
        <v>1.8717999999999999</v>
      </c>
      <c r="EJ127">
        <v>1.8689</v>
      </c>
      <c r="EK127">
        <v>1.87134</v>
      </c>
      <c r="EL127">
        <v>1.8690599999999999</v>
      </c>
      <c r="EM127">
        <v>1.8680600000000001</v>
      </c>
      <c r="EN127">
        <v>1.8699300000000001</v>
      </c>
      <c r="EO127">
        <v>1.8716999999999999</v>
      </c>
      <c r="EP127">
        <v>0</v>
      </c>
      <c r="EQ127">
        <v>0</v>
      </c>
      <c r="ER127">
        <v>0</v>
      </c>
      <c r="ES127">
        <v>0</v>
      </c>
      <c r="ET127" t="s">
        <v>334</v>
      </c>
      <c r="EU127" t="s">
        <v>335</v>
      </c>
      <c r="EV127" t="s">
        <v>336</v>
      </c>
      <c r="EW127" t="s">
        <v>336</v>
      </c>
      <c r="EX127" t="s">
        <v>336</v>
      </c>
      <c r="EY127" t="s">
        <v>336</v>
      </c>
      <c r="EZ127">
        <v>0</v>
      </c>
      <c r="FA127">
        <v>100</v>
      </c>
      <c r="FB127">
        <v>100</v>
      </c>
      <c r="FC127">
        <v>7.875</v>
      </c>
      <c r="FD127">
        <v>-0.99</v>
      </c>
      <c r="FE127">
        <v>7.8172549999999958</v>
      </c>
      <c r="FF127">
        <v>0</v>
      </c>
      <c r="FG127">
        <v>0</v>
      </c>
      <c r="FH127">
        <v>0</v>
      </c>
      <c r="FI127">
        <v>-0.99121950000000014</v>
      </c>
      <c r="FJ127">
        <v>0</v>
      </c>
      <c r="FK127">
        <v>0</v>
      </c>
      <c r="FL127">
        <v>0</v>
      </c>
      <c r="FM127">
        <v>-1</v>
      </c>
      <c r="FN127">
        <v>-1</v>
      </c>
      <c r="FO127">
        <v>-1</v>
      </c>
      <c r="FP127">
        <v>-1</v>
      </c>
      <c r="FQ127">
        <v>0.7</v>
      </c>
      <c r="FR127">
        <v>0.7</v>
      </c>
      <c r="FS127">
        <v>0.142822</v>
      </c>
      <c r="FT127">
        <v>4.99756</v>
      </c>
      <c r="FU127">
        <v>1.5979000000000001</v>
      </c>
      <c r="FV127">
        <v>2.1594199999999999</v>
      </c>
      <c r="FW127">
        <v>1.5478499999999999</v>
      </c>
      <c r="FX127">
        <v>2.34619</v>
      </c>
      <c r="FY127">
        <v>32.509700000000002</v>
      </c>
      <c r="FZ127">
        <v>15.8657</v>
      </c>
      <c r="GA127">
        <v>3</v>
      </c>
      <c r="GB127">
        <v>492.31599999999997</v>
      </c>
      <c r="GC127">
        <v>424.322</v>
      </c>
      <c r="GD127">
        <v>25.947900000000001</v>
      </c>
      <c r="GE127">
        <v>27.950700000000001</v>
      </c>
      <c r="GF127">
        <v>30.0002</v>
      </c>
      <c r="GG127">
        <v>28.2544</v>
      </c>
      <c r="GH127">
        <v>28.306100000000001</v>
      </c>
      <c r="GI127">
        <v>-1</v>
      </c>
      <c r="GJ127">
        <v>0</v>
      </c>
      <c r="GK127">
        <v>100</v>
      </c>
      <c r="GL127">
        <v>25.95</v>
      </c>
      <c r="GM127">
        <v>432.1</v>
      </c>
      <c r="GN127">
        <v>63.216500000000003</v>
      </c>
      <c r="GO127">
        <v>102.47</v>
      </c>
      <c r="GP127">
        <v>96.7196</v>
      </c>
    </row>
    <row r="128" spans="1:198" x14ac:dyDescent="0.35">
      <c r="A128">
        <v>112</v>
      </c>
      <c r="B128">
        <v>1775510252</v>
      </c>
      <c r="C128">
        <v>6661</v>
      </c>
      <c r="D128" t="s">
        <v>667</v>
      </c>
      <c r="E128" t="s">
        <v>668</v>
      </c>
      <c r="F128">
        <v>60</v>
      </c>
      <c r="G128">
        <v>1775510244</v>
      </c>
      <c r="H128">
        <f t="shared" si="90"/>
        <v>9.9708217090307603E-4</v>
      </c>
      <c r="I128">
        <f t="shared" si="91"/>
        <v>0.99708217090307605</v>
      </c>
      <c r="J128">
        <f t="shared" si="92"/>
        <v>-0.12148839965294447</v>
      </c>
      <c r="K128">
        <f t="shared" si="93"/>
        <v>57.110190322580628</v>
      </c>
      <c r="L128">
        <f t="shared" si="94"/>
        <v>60.6391906031036</v>
      </c>
      <c r="M128">
        <f t="shared" si="95"/>
        <v>6.0777725861220899</v>
      </c>
      <c r="N128">
        <f t="shared" si="96"/>
        <v>5.7240663286991564</v>
      </c>
      <c r="O128">
        <f t="shared" si="97"/>
        <v>2.8628115432716764E-2</v>
      </c>
      <c r="P128">
        <f t="shared" si="98"/>
        <v>2.3912924000976195</v>
      </c>
      <c r="Q128">
        <f t="shared" si="99"/>
        <v>2.8439067036076519E-2</v>
      </c>
      <c r="R128">
        <f t="shared" si="100"/>
        <v>1.7791297955267661E-2</v>
      </c>
      <c r="S128">
        <f t="shared" si="101"/>
        <v>0</v>
      </c>
      <c r="T128">
        <f t="shared" si="102"/>
        <v>24.988816463649492</v>
      </c>
      <c r="U128">
        <f t="shared" si="103"/>
        <v>25.312732258064521</v>
      </c>
      <c r="V128">
        <f t="shared" si="104"/>
        <v>3.2394472735500157</v>
      </c>
      <c r="W128">
        <f t="shared" si="105"/>
        <v>-6.8478017751627513</v>
      </c>
      <c r="X128">
        <f t="shared" si="106"/>
        <v>-0.22169063878705739</v>
      </c>
      <c r="Y128">
        <f t="shared" si="107"/>
        <v>3.237398599812543</v>
      </c>
      <c r="Z128">
        <f t="shared" si="108"/>
        <v>3.4611379123370729</v>
      </c>
      <c r="AA128">
        <f t="shared" si="109"/>
        <v>-43.971323736825653</v>
      </c>
      <c r="AB128">
        <f t="shared" si="110"/>
        <v>-1.3711197300558853</v>
      </c>
      <c r="AC128">
        <f t="shared" si="111"/>
        <v>-0.12165950599339406</v>
      </c>
      <c r="AD128">
        <f t="shared" si="112"/>
        <v>-45.464102972874933</v>
      </c>
      <c r="AE128">
        <v>18</v>
      </c>
      <c r="AF128">
        <v>4</v>
      </c>
      <c r="AG128">
        <f t="shared" si="113"/>
        <v>1</v>
      </c>
      <c r="AH128">
        <f t="shared" si="114"/>
        <v>0</v>
      </c>
      <c r="AI128">
        <f t="shared" si="115"/>
        <v>25710.434760859687</v>
      </c>
      <c r="AJ128">
        <f t="shared" si="116"/>
        <v>0</v>
      </c>
      <c r="AK128">
        <f t="shared" si="117"/>
        <v>0</v>
      </c>
      <c r="AL128">
        <f t="shared" si="118"/>
        <v>0</v>
      </c>
      <c r="AM128">
        <f t="shared" si="119"/>
        <v>0</v>
      </c>
      <c r="AN128">
        <v>3</v>
      </c>
      <c r="AO128">
        <v>0.5</v>
      </c>
      <c r="AP128" t="s">
        <v>331</v>
      </c>
      <c r="AQ128">
        <v>2</v>
      </c>
      <c r="AR128">
        <v>1775510244</v>
      </c>
      <c r="AS128">
        <v>57.110190322580628</v>
      </c>
      <c r="AT128">
        <v>57.071464516129033</v>
      </c>
      <c r="AU128">
        <v>-2.2118532258064518</v>
      </c>
      <c r="AV128">
        <v>-2.8114087096774201</v>
      </c>
      <c r="AW128">
        <v>49.187190322580634</v>
      </c>
      <c r="AX128">
        <v>-1.2228532258064519</v>
      </c>
      <c r="AY128">
        <v>500.01422580645158</v>
      </c>
      <c r="AZ128">
        <v>100.191</v>
      </c>
      <c r="BA128">
        <v>3.7458290322580648E-2</v>
      </c>
      <c r="BB128">
        <v>25.30209677419354</v>
      </c>
      <c r="BC128">
        <v>25.312732258064521</v>
      </c>
      <c r="BD128">
        <v>999.90000000000032</v>
      </c>
      <c r="BE128">
        <v>0</v>
      </c>
      <c r="BF128">
        <v>0</v>
      </c>
      <c r="BG128">
        <v>4998.8548387096771</v>
      </c>
      <c r="BH128">
        <v>0.37757341935483868</v>
      </c>
      <c r="BI128">
        <v>0.23331922580645159</v>
      </c>
      <c r="BJ128">
        <v>-9.5272806451612933E-3</v>
      </c>
      <c r="BK128">
        <v>56.935932258064497</v>
      </c>
      <c r="BL128">
        <v>56.911467741935482</v>
      </c>
      <c r="BM128">
        <v>0.59835048387096756</v>
      </c>
      <c r="BN128">
        <v>57.071464516129033</v>
      </c>
      <c r="BO128">
        <v>-2.8114087096774201</v>
      </c>
      <c r="BP128">
        <v>-0.22172864516129029</v>
      </c>
      <c r="BQ128">
        <v>-0.28167809677419359</v>
      </c>
      <c r="BR128">
        <v>-99.900000000000034</v>
      </c>
      <c r="BS128">
        <v>-99.900000000000034</v>
      </c>
      <c r="BT128">
        <v>0</v>
      </c>
      <c r="BU128">
        <v>0</v>
      </c>
      <c r="BV128">
        <v>0</v>
      </c>
      <c r="BW128">
        <v>24</v>
      </c>
      <c r="BX128">
        <v>-1</v>
      </c>
      <c r="BY128">
        <v>1775510272</v>
      </c>
      <c r="BZ128" t="s">
        <v>669</v>
      </c>
      <c r="CA128">
        <v>1775510264</v>
      </c>
      <c r="CB128">
        <v>1775510272</v>
      </c>
      <c r="CC128">
        <v>115</v>
      </c>
      <c r="CD128">
        <v>4.8000000000000001E-2</v>
      </c>
      <c r="CE128">
        <v>2E-3</v>
      </c>
      <c r="CF128">
        <v>7.923</v>
      </c>
      <c r="CG128">
        <v>-0.98899999999999999</v>
      </c>
      <c r="CH128">
        <v>58</v>
      </c>
      <c r="CI128">
        <v>-3</v>
      </c>
      <c r="CJ128">
        <v>0.23</v>
      </c>
      <c r="CK128">
        <v>0.13</v>
      </c>
      <c r="CL128">
        <v>57.156681666666657</v>
      </c>
      <c r="CM128">
        <v>-0.58234409558212985</v>
      </c>
      <c r="CN128">
        <v>0.15457667837426919</v>
      </c>
      <c r="CO128">
        <v>-1</v>
      </c>
      <c r="CP128">
        <v>500.01443333333327</v>
      </c>
      <c r="CQ128">
        <v>-6.8292303417526026E-2</v>
      </c>
      <c r="CR128">
        <v>7.2341405079590429E-2</v>
      </c>
      <c r="CS128">
        <v>-1</v>
      </c>
      <c r="CT128">
        <v>0</v>
      </c>
      <c r="CU128">
        <v>0</v>
      </c>
      <c r="CV128" t="s">
        <v>333</v>
      </c>
      <c r="CW128">
        <v>3.1673300000000002</v>
      </c>
      <c r="CX128">
        <v>2.6586799999999999</v>
      </c>
      <c r="CY128">
        <v>1.4633699999999999E-2</v>
      </c>
      <c r="CZ128">
        <v>1.69325E-2</v>
      </c>
      <c r="DA128">
        <v>-1.09786E-2</v>
      </c>
      <c r="DB128">
        <v>-2.82595E-2</v>
      </c>
      <c r="DC128">
        <v>21324.5</v>
      </c>
      <c r="DD128">
        <v>21647.9</v>
      </c>
      <c r="DE128">
        <v>23166.1</v>
      </c>
      <c r="DF128">
        <v>22369.4</v>
      </c>
      <c r="DG128">
        <v>30195.599999999999</v>
      </c>
      <c r="DH128">
        <v>27419.200000000001</v>
      </c>
      <c r="DI128">
        <v>40704.400000000001</v>
      </c>
      <c r="DJ128">
        <v>37061.9</v>
      </c>
      <c r="DK128">
        <v>2.10304</v>
      </c>
      <c r="DL128">
        <v>1.85348</v>
      </c>
      <c r="DM128">
        <v>2.4050499999999999E-2</v>
      </c>
      <c r="DN128">
        <v>0</v>
      </c>
      <c r="DO128">
        <v>24.918399999999998</v>
      </c>
      <c r="DP128">
        <v>999.9</v>
      </c>
      <c r="DQ128">
        <v>79.2</v>
      </c>
      <c r="DR128">
        <v>28.1</v>
      </c>
      <c r="DS128">
        <v>30.174700000000001</v>
      </c>
      <c r="DT128">
        <v>30.670200000000001</v>
      </c>
      <c r="DU128">
        <v>9.2988800000000005</v>
      </c>
      <c r="DV128">
        <v>1</v>
      </c>
      <c r="DW128">
        <v>6.2768299999999999E-2</v>
      </c>
      <c r="DX128">
        <v>-0.123874</v>
      </c>
      <c r="DY128">
        <v>20.368500000000001</v>
      </c>
      <c r="DZ128">
        <v>5.2119</v>
      </c>
      <c r="EA128">
        <v>11.8482</v>
      </c>
      <c r="EB128">
        <v>4.9678000000000004</v>
      </c>
      <c r="EC128">
        <v>3.2922199999999999</v>
      </c>
      <c r="ED128">
        <v>894.7</v>
      </c>
      <c r="EE128">
        <v>0</v>
      </c>
      <c r="EF128">
        <v>9999</v>
      </c>
      <c r="EG128">
        <v>114.8</v>
      </c>
      <c r="EH128">
        <v>4.97166</v>
      </c>
      <c r="EI128">
        <v>1.8717900000000001</v>
      </c>
      <c r="EJ128">
        <v>1.8689</v>
      </c>
      <c r="EK128">
        <v>1.87134</v>
      </c>
      <c r="EL128">
        <v>1.8690500000000001</v>
      </c>
      <c r="EM128">
        <v>1.8680300000000001</v>
      </c>
      <c r="EN128">
        <v>1.8698600000000001</v>
      </c>
      <c r="EO128">
        <v>1.8717299999999999</v>
      </c>
      <c r="EP128">
        <v>0</v>
      </c>
      <c r="EQ128">
        <v>0</v>
      </c>
      <c r="ER128">
        <v>0</v>
      </c>
      <c r="ES128">
        <v>0</v>
      </c>
      <c r="ET128" t="s">
        <v>334</v>
      </c>
      <c r="EU128" t="s">
        <v>335</v>
      </c>
      <c r="EV128" t="s">
        <v>336</v>
      </c>
      <c r="EW128" t="s">
        <v>336</v>
      </c>
      <c r="EX128" t="s">
        <v>336</v>
      </c>
      <c r="EY128" t="s">
        <v>336</v>
      </c>
      <c r="EZ128">
        <v>0</v>
      </c>
      <c r="FA128">
        <v>100</v>
      </c>
      <c r="FB128">
        <v>100</v>
      </c>
      <c r="FC128">
        <v>7.923</v>
      </c>
      <c r="FD128">
        <v>-0.98899999999999999</v>
      </c>
      <c r="FE128">
        <v>7.8747400000000027</v>
      </c>
      <c r="FF128">
        <v>0</v>
      </c>
      <c r="FG128">
        <v>0</v>
      </c>
      <c r="FH128">
        <v>0</v>
      </c>
      <c r="FI128">
        <v>-0.99020699999999984</v>
      </c>
      <c r="FJ128">
        <v>0</v>
      </c>
      <c r="FK128">
        <v>0</v>
      </c>
      <c r="FL128">
        <v>0</v>
      </c>
      <c r="FM128">
        <v>-1</v>
      </c>
      <c r="FN128">
        <v>-1</v>
      </c>
      <c r="FO128">
        <v>-1</v>
      </c>
      <c r="FP128">
        <v>-1</v>
      </c>
      <c r="FQ128">
        <v>0.7</v>
      </c>
      <c r="FR128">
        <v>0.7</v>
      </c>
      <c r="FS128">
        <v>0.142822</v>
      </c>
      <c r="FT128">
        <v>4.99756</v>
      </c>
      <c r="FU128">
        <v>1.5979000000000001</v>
      </c>
      <c r="FV128">
        <v>2.1606399999999999</v>
      </c>
      <c r="FW128">
        <v>1.5478499999999999</v>
      </c>
      <c r="FX128">
        <v>2.3840300000000001</v>
      </c>
      <c r="FY128">
        <v>32.531799999999997</v>
      </c>
      <c r="FZ128">
        <v>15.874499999999999</v>
      </c>
      <c r="GA128">
        <v>3</v>
      </c>
      <c r="GB128">
        <v>492.36500000000001</v>
      </c>
      <c r="GC128">
        <v>423.94900000000001</v>
      </c>
      <c r="GD128">
        <v>25.936599999999999</v>
      </c>
      <c r="GE128">
        <v>27.956900000000001</v>
      </c>
      <c r="GF128">
        <v>30.0002</v>
      </c>
      <c r="GG128">
        <v>28.2591</v>
      </c>
      <c r="GH128">
        <v>28.313199999999998</v>
      </c>
      <c r="GI128">
        <v>-1</v>
      </c>
      <c r="GJ128">
        <v>0</v>
      </c>
      <c r="GK128">
        <v>100</v>
      </c>
      <c r="GL128">
        <v>25.935500000000001</v>
      </c>
      <c r="GM128">
        <v>432.1</v>
      </c>
      <c r="GN128">
        <v>63.216500000000003</v>
      </c>
      <c r="GO128">
        <v>102.468</v>
      </c>
      <c r="GP128">
        <v>96.718199999999996</v>
      </c>
    </row>
    <row r="129" spans="1:198" x14ac:dyDescent="0.35">
      <c r="A129">
        <v>113</v>
      </c>
      <c r="B129">
        <v>1775510312</v>
      </c>
      <c r="C129">
        <v>6721</v>
      </c>
      <c r="D129" t="s">
        <v>670</v>
      </c>
      <c r="E129" t="s">
        <v>671</v>
      </c>
      <c r="F129">
        <v>60</v>
      </c>
      <c r="G129">
        <v>1775510304</v>
      </c>
      <c r="H129">
        <f t="shared" si="90"/>
        <v>1.005663121448599E-3</v>
      </c>
      <c r="I129">
        <f t="shared" si="91"/>
        <v>1.0056631214485989</v>
      </c>
      <c r="J129">
        <f t="shared" si="92"/>
        <v>-0.46772795344921181</v>
      </c>
      <c r="K129">
        <f t="shared" si="93"/>
        <v>56.086606451612901</v>
      </c>
      <c r="L129">
        <f t="shared" si="94"/>
        <v>78.382693391397098</v>
      </c>
      <c r="M129">
        <f t="shared" si="95"/>
        <v>7.856089346628008</v>
      </c>
      <c r="N129">
        <f t="shared" si="96"/>
        <v>5.6214117220089594</v>
      </c>
      <c r="O129">
        <f t="shared" si="97"/>
        <v>2.8877512151240514E-2</v>
      </c>
      <c r="P129">
        <f t="shared" si="98"/>
        <v>2.3915581699526829</v>
      </c>
      <c r="Q129">
        <f t="shared" si="99"/>
        <v>2.8685188742180984E-2</v>
      </c>
      <c r="R129">
        <f t="shared" si="100"/>
        <v>1.7945415561943439E-2</v>
      </c>
      <c r="S129">
        <f t="shared" si="101"/>
        <v>0</v>
      </c>
      <c r="T129">
        <f t="shared" si="102"/>
        <v>24.982538767977321</v>
      </c>
      <c r="U129">
        <f t="shared" si="103"/>
        <v>25.308625806451619</v>
      </c>
      <c r="V129">
        <f t="shared" si="104"/>
        <v>3.2386561288308768</v>
      </c>
      <c r="W129">
        <f t="shared" si="105"/>
        <v>-6.868151728397474</v>
      </c>
      <c r="X129">
        <f t="shared" si="106"/>
        <v>-0.22230166735943996</v>
      </c>
      <c r="Y129">
        <f t="shared" si="107"/>
        <v>3.2367029173263324</v>
      </c>
      <c r="Z129">
        <f t="shared" si="108"/>
        <v>3.4609577961903168</v>
      </c>
      <c r="AA129">
        <f t="shared" si="109"/>
        <v>-44.349743655883216</v>
      </c>
      <c r="AB129">
        <f t="shared" si="110"/>
        <v>-1.3076371054201179</v>
      </c>
      <c r="AC129">
        <f t="shared" si="111"/>
        <v>-0.11600929332451888</v>
      </c>
      <c r="AD129">
        <f t="shared" si="112"/>
        <v>-45.773390054627853</v>
      </c>
      <c r="AE129">
        <v>18</v>
      </c>
      <c r="AF129">
        <v>4</v>
      </c>
      <c r="AG129">
        <f t="shared" si="113"/>
        <v>1</v>
      </c>
      <c r="AH129">
        <f t="shared" si="114"/>
        <v>0</v>
      </c>
      <c r="AI129">
        <f t="shared" si="115"/>
        <v>25714.860146149054</v>
      </c>
      <c r="AJ129">
        <f t="shared" si="116"/>
        <v>0</v>
      </c>
      <c r="AK129">
        <f t="shared" si="117"/>
        <v>0</v>
      </c>
      <c r="AL129">
        <f t="shared" si="118"/>
        <v>0</v>
      </c>
      <c r="AM129">
        <f t="shared" si="119"/>
        <v>0</v>
      </c>
      <c r="AN129">
        <v>3</v>
      </c>
      <c r="AO129">
        <v>0.5</v>
      </c>
      <c r="AP129" t="s">
        <v>331</v>
      </c>
      <c r="AQ129">
        <v>2</v>
      </c>
      <c r="AR129">
        <v>1775510304</v>
      </c>
      <c r="AS129">
        <v>56.086606451612901</v>
      </c>
      <c r="AT129">
        <v>55.839812903225798</v>
      </c>
      <c r="AU129">
        <v>-2.217974193548387</v>
      </c>
      <c r="AV129">
        <v>-2.822708709677419</v>
      </c>
      <c r="AW129">
        <v>48.212606451612899</v>
      </c>
      <c r="AX129">
        <v>-1.2309741935483871</v>
      </c>
      <c r="AY129">
        <v>500.00138709677418</v>
      </c>
      <c r="AZ129">
        <v>100.1898387096774</v>
      </c>
      <c r="BA129">
        <v>3.7507490322580647E-2</v>
      </c>
      <c r="BB129">
        <v>25.29848387096774</v>
      </c>
      <c r="BC129">
        <v>25.308625806451619</v>
      </c>
      <c r="BD129">
        <v>999.90000000000032</v>
      </c>
      <c r="BE129">
        <v>0</v>
      </c>
      <c r="BF129">
        <v>0</v>
      </c>
      <c r="BG129">
        <v>4999.5967741935483</v>
      </c>
      <c r="BH129">
        <v>0.4061444838709678</v>
      </c>
      <c r="BI129">
        <v>0.23331922580645159</v>
      </c>
      <c r="BJ129">
        <v>0.29573461290322578</v>
      </c>
      <c r="BK129">
        <v>56.011209677419359</v>
      </c>
      <c r="BL129">
        <v>55.682635483870961</v>
      </c>
      <c r="BM129">
        <v>0.60302954838709677</v>
      </c>
      <c r="BN129">
        <v>55.839812903225798</v>
      </c>
      <c r="BO129">
        <v>-2.822708709677419</v>
      </c>
      <c r="BP129">
        <v>-0.2223890967741935</v>
      </c>
      <c r="BQ129">
        <v>-0.28280648387096768</v>
      </c>
      <c r="BR129">
        <v>-99.900000000000034</v>
      </c>
      <c r="BS129">
        <v>-99.900000000000034</v>
      </c>
      <c r="BT129">
        <v>0</v>
      </c>
      <c r="BU129">
        <v>0</v>
      </c>
      <c r="BV129">
        <v>0</v>
      </c>
      <c r="BW129">
        <v>24</v>
      </c>
      <c r="BX129">
        <v>-1</v>
      </c>
      <c r="BY129">
        <v>1775510332</v>
      </c>
      <c r="BZ129" t="s">
        <v>672</v>
      </c>
      <c r="CA129">
        <v>1775510328.5</v>
      </c>
      <c r="CB129">
        <v>1775510332</v>
      </c>
      <c r="CC129">
        <v>116</v>
      </c>
      <c r="CD129">
        <v>-4.9000000000000002E-2</v>
      </c>
      <c r="CE129">
        <v>2E-3</v>
      </c>
      <c r="CF129">
        <v>7.8739999999999997</v>
      </c>
      <c r="CG129">
        <v>-0.98699999999999999</v>
      </c>
      <c r="CH129">
        <v>56</v>
      </c>
      <c r="CI129">
        <v>-3</v>
      </c>
      <c r="CJ129">
        <v>0.34</v>
      </c>
      <c r="CK129">
        <v>0.12</v>
      </c>
      <c r="CL129">
        <v>56.394101666666657</v>
      </c>
      <c r="CM129">
        <v>-4.5656425673797614</v>
      </c>
      <c r="CN129">
        <v>0.98381363639862629</v>
      </c>
      <c r="CO129">
        <v>-1</v>
      </c>
      <c r="CP129">
        <v>500.00048333333331</v>
      </c>
      <c r="CQ129">
        <v>2.89313698252553E-2</v>
      </c>
      <c r="CR129">
        <v>5.0203084787912959E-2</v>
      </c>
      <c r="CS129">
        <v>-1</v>
      </c>
      <c r="CT129">
        <v>0</v>
      </c>
      <c r="CU129">
        <v>0</v>
      </c>
      <c r="CV129" t="s">
        <v>333</v>
      </c>
      <c r="CW129">
        <v>3.1673800000000001</v>
      </c>
      <c r="CX129">
        <v>2.6587399999999999</v>
      </c>
      <c r="CY129">
        <v>1.43541E-2</v>
      </c>
      <c r="CZ129">
        <v>1.69155E-2</v>
      </c>
      <c r="DA129">
        <v>-1.1032500000000001E-2</v>
      </c>
      <c r="DB129">
        <v>-2.84184E-2</v>
      </c>
      <c r="DC129">
        <v>21330.1</v>
      </c>
      <c r="DD129">
        <v>21648.1</v>
      </c>
      <c r="DE129">
        <v>23165.5</v>
      </c>
      <c r="DF129">
        <v>22369.3</v>
      </c>
      <c r="DG129">
        <v>30196.400000000001</v>
      </c>
      <c r="DH129">
        <v>27423.200000000001</v>
      </c>
      <c r="DI129">
        <v>40703.300000000003</v>
      </c>
      <c r="DJ129">
        <v>37061.699999999997</v>
      </c>
      <c r="DK129">
        <v>2.1029399999999998</v>
      </c>
      <c r="DL129">
        <v>1.8536600000000001</v>
      </c>
      <c r="DM129">
        <v>2.36928E-2</v>
      </c>
      <c r="DN129">
        <v>0</v>
      </c>
      <c r="DO129">
        <v>24.923300000000001</v>
      </c>
      <c r="DP129">
        <v>999.9</v>
      </c>
      <c r="DQ129">
        <v>79.2</v>
      </c>
      <c r="DR129">
        <v>28.1</v>
      </c>
      <c r="DS129">
        <v>30.174399999999999</v>
      </c>
      <c r="DT129">
        <v>30.520199999999999</v>
      </c>
      <c r="DU129">
        <v>9.2628199999999996</v>
      </c>
      <c r="DV129">
        <v>1</v>
      </c>
      <c r="DW129">
        <v>6.3428899999999996E-2</v>
      </c>
      <c r="DX129">
        <v>-0.150889</v>
      </c>
      <c r="DY129">
        <v>20.368400000000001</v>
      </c>
      <c r="DZ129">
        <v>5.2120199999999999</v>
      </c>
      <c r="EA129">
        <v>11.8482</v>
      </c>
      <c r="EB129">
        <v>4.9684400000000002</v>
      </c>
      <c r="EC129">
        <v>3.2922199999999999</v>
      </c>
      <c r="ED129">
        <v>894.7</v>
      </c>
      <c r="EE129">
        <v>0</v>
      </c>
      <c r="EF129">
        <v>9999</v>
      </c>
      <c r="EG129">
        <v>114.9</v>
      </c>
      <c r="EH129">
        <v>4.9716500000000003</v>
      </c>
      <c r="EI129">
        <v>1.8717999999999999</v>
      </c>
      <c r="EJ129">
        <v>1.8689</v>
      </c>
      <c r="EK129">
        <v>1.87134</v>
      </c>
      <c r="EL129">
        <v>1.8690500000000001</v>
      </c>
      <c r="EM129">
        <v>1.86805</v>
      </c>
      <c r="EN129">
        <v>1.8698699999999999</v>
      </c>
      <c r="EO129">
        <v>1.8716999999999999</v>
      </c>
      <c r="EP129">
        <v>0</v>
      </c>
      <c r="EQ129">
        <v>0</v>
      </c>
      <c r="ER129">
        <v>0</v>
      </c>
      <c r="ES129">
        <v>0</v>
      </c>
      <c r="ET129" t="s">
        <v>334</v>
      </c>
      <c r="EU129" t="s">
        <v>335</v>
      </c>
      <c r="EV129" t="s">
        <v>336</v>
      </c>
      <c r="EW129" t="s">
        <v>336</v>
      </c>
      <c r="EX129" t="s">
        <v>336</v>
      </c>
      <c r="EY129" t="s">
        <v>336</v>
      </c>
      <c r="EZ129">
        <v>0</v>
      </c>
      <c r="FA129">
        <v>100</v>
      </c>
      <c r="FB129">
        <v>100</v>
      </c>
      <c r="FC129">
        <v>7.8739999999999997</v>
      </c>
      <c r="FD129">
        <v>-0.98699999999999999</v>
      </c>
      <c r="FE129">
        <v>7.9229400000000041</v>
      </c>
      <c r="FF129">
        <v>0</v>
      </c>
      <c r="FG129">
        <v>0</v>
      </c>
      <c r="FH129">
        <v>0</v>
      </c>
      <c r="FI129">
        <v>-0.98870449999999965</v>
      </c>
      <c r="FJ129">
        <v>0</v>
      </c>
      <c r="FK129">
        <v>0</v>
      </c>
      <c r="FL129">
        <v>0</v>
      </c>
      <c r="FM129">
        <v>-1</v>
      </c>
      <c r="FN129">
        <v>-1</v>
      </c>
      <c r="FO129">
        <v>-1</v>
      </c>
      <c r="FP129">
        <v>-1</v>
      </c>
      <c r="FQ129">
        <v>0.8</v>
      </c>
      <c r="FR129">
        <v>0.7</v>
      </c>
      <c r="FS129">
        <v>0.142822</v>
      </c>
      <c r="FT129">
        <v>4.99756</v>
      </c>
      <c r="FU129">
        <v>1.5979000000000001</v>
      </c>
      <c r="FV129">
        <v>2.1606399999999999</v>
      </c>
      <c r="FW129">
        <v>1.5478499999999999</v>
      </c>
      <c r="FX129">
        <v>2.33521</v>
      </c>
      <c r="FY129">
        <v>32.553899999999999</v>
      </c>
      <c r="FZ129">
        <v>15.8657</v>
      </c>
      <c r="GA129">
        <v>3</v>
      </c>
      <c r="GB129">
        <v>492.36500000000001</v>
      </c>
      <c r="GC129">
        <v>424.10500000000002</v>
      </c>
      <c r="GD129">
        <v>25.949100000000001</v>
      </c>
      <c r="GE129">
        <v>27.963100000000001</v>
      </c>
      <c r="GF129">
        <v>30.0002</v>
      </c>
      <c r="GG129">
        <v>28.266300000000001</v>
      </c>
      <c r="GH129">
        <v>28.3203</v>
      </c>
      <c r="GI129">
        <v>-1</v>
      </c>
      <c r="GJ129">
        <v>0</v>
      </c>
      <c r="GK129">
        <v>100</v>
      </c>
      <c r="GL129">
        <v>25.9495</v>
      </c>
      <c r="GM129">
        <v>432.1</v>
      </c>
      <c r="GN129">
        <v>63.216500000000003</v>
      </c>
      <c r="GO129">
        <v>102.465</v>
      </c>
      <c r="GP129">
        <v>96.717500000000001</v>
      </c>
    </row>
    <row r="130" spans="1:198" x14ac:dyDescent="0.35">
      <c r="A130">
        <v>114</v>
      </c>
      <c r="B130">
        <v>1775510372</v>
      </c>
      <c r="C130">
        <v>6781</v>
      </c>
      <c r="D130" t="s">
        <v>673</v>
      </c>
      <c r="E130" t="s">
        <v>674</v>
      </c>
      <c r="F130">
        <v>60</v>
      </c>
      <c r="G130">
        <v>1775510364</v>
      </c>
      <c r="H130">
        <f t="shared" si="90"/>
        <v>1.0342325805249718E-3</v>
      </c>
      <c r="I130">
        <f t="shared" si="91"/>
        <v>1.0342325805249717</v>
      </c>
      <c r="J130">
        <f t="shared" si="92"/>
        <v>0.21306449493202859</v>
      </c>
      <c r="K130">
        <f t="shared" si="93"/>
        <v>57.031712903225817</v>
      </c>
      <c r="L130">
        <f t="shared" si="94"/>
        <v>42.692796344190548</v>
      </c>
      <c r="M130">
        <f t="shared" si="95"/>
        <v>4.2790305583782331</v>
      </c>
      <c r="N130">
        <f t="shared" si="96"/>
        <v>5.7161971856351697</v>
      </c>
      <c r="O130">
        <f t="shared" si="97"/>
        <v>2.9703553649167682E-2</v>
      </c>
      <c r="P130">
        <f t="shared" si="98"/>
        <v>2.3891900787271165</v>
      </c>
      <c r="Q130">
        <f t="shared" si="99"/>
        <v>2.9499911720997942E-2</v>
      </c>
      <c r="R130">
        <f t="shared" si="100"/>
        <v>1.8455624740737329E-2</v>
      </c>
      <c r="S130">
        <f t="shared" si="101"/>
        <v>0</v>
      </c>
      <c r="T130">
        <f t="shared" si="102"/>
        <v>24.975313138269332</v>
      </c>
      <c r="U130">
        <f t="shared" si="103"/>
        <v>25.311835483870961</v>
      </c>
      <c r="V130">
        <f t="shared" si="104"/>
        <v>3.2392744875519353</v>
      </c>
      <c r="W130">
        <f t="shared" si="105"/>
        <v>-6.8493641172661057</v>
      </c>
      <c r="X130">
        <f t="shared" si="106"/>
        <v>-0.22172054030835181</v>
      </c>
      <c r="Y130">
        <f t="shared" si="107"/>
        <v>3.2370967072612076</v>
      </c>
      <c r="Z130">
        <f t="shared" si="108"/>
        <v>3.460995027860287</v>
      </c>
      <c r="AA130">
        <f t="shared" si="109"/>
        <v>-45.609656801151253</v>
      </c>
      <c r="AB130">
        <f t="shared" si="110"/>
        <v>-1.4563389819776422</v>
      </c>
      <c r="AC130">
        <f t="shared" si="111"/>
        <v>-0.1293331162207482</v>
      </c>
      <c r="AD130">
        <f t="shared" si="112"/>
        <v>-47.195328899349647</v>
      </c>
      <c r="AE130">
        <v>18</v>
      </c>
      <c r="AF130">
        <v>4</v>
      </c>
      <c r="AG130">
        <f t="shared" si="113"/>
        <v>1</v>
      </c>
      <c r="AH130">
        <f t="shared" si="114"/>
        <v>0</v>
      </c>
      <c r="AI130">
        <f t="shared" si="115"/>
        <v>25678.402717189369</v>
      </c>
      <c r="AJ130">
        <f t="shared" si="116"/>
        <v>0</v>
      </c>
      <c r="AK130">
        <f t="shared" si="117"/>
        <v>0</v>
      </c>
      <c r="AL130">
        <f t="shared" si="118"/>
        <v>0</v>
      </c>
      <c r="AM130">
        <f t="shared" si="119"/>
        <v>0</v>
      </c>
      <c r="AN130">
        <v>3</v>
      </c>
      <c r="AO130">
        <v>0.5</v>
      </c>
      <c r="AP130" t="s">
        <v>331</v>
      </c>
      <c r="AQ130">
        <v>2</v>
      </c>
      <c r="AR130">
        <v>1775510364</v>
      </c>
      <c r="AS130">
        <v>57.031712903225817</v>
      </c>
      <c r="AT130">
        <v>57.194945161290313</v>
      </c>
      <c r="AU130">
        <v>-2.2121529032258072</v>
      </c>
      <c r="AV130">
        <v>-2.8340770967741928</v>
      </c>
      <c r="AW130">
        <v>49.19771290322582</v>
      </c>
      <c r="AX130">
        <v>-1.2281529032258069</v>
      </c>
      <c r="AY130">
        <v>499.99041935483871</v>
      </c>
      <c r="AZ130">
        <v>100.1908709677419</v>
      </c>
      <c r="BA130">
        <v>3.7526438709677423E-2</v>
      </c>
      <c r="BB130">
        <v>25.300529032258051</v>
      </c>
      <c r="BC130">
        <v>25.311835483870961</v>
      </c>
      <c r="BD130">
        <v>999.90000000000032</v>
      </c>
      <c r="BE130">
        <v>0</v>
      </c>
      <c r="BF130">
        <v>0</v>
      </c>
      <c r="BG130">
        <v>4993.4516129032254</v>
      </c>
      <c r="BH130">
        <v>0.39745300000000011</v>
      </c>
      <c r="BI130">
        <v>0.23331922580645159</v>
      </c>
      <c r="BJ130">
        <v>-0.1231387903225807</v>
      </c>
      <c r="BK130">
        <v>56.945700000000002</v>
      </c>
      <c r="BL130">
        <v>57.033309677419354</v>
      </c>
      <c r="BM130">
        <v>0.61940629032258065</v>
      </c>
      <c r="BN130">
        <v>57.194945161290313</v>
      </c>
      <c r="BO130">
        <v>-2.8340770967741928</v>
      </c>
      <c r="BP130">
        <v>-0.2218894838709678</v>
      </c>
      <c r="BQ130">
        <v>-0.28394825806451612</v>
      </c>
      <c r="BR130">
        <v>-99.900000000000034</v>
      </c>
      <c r="BS130">
        <v>-99.900000000000034</v>
      </c>
      <c r="BT130">
        <v>0</v>
      </c>
      <c r="BU130">
        <v>0</v>
      </c>
      <c r="BV130">
        <v>0</v>
      </c>
      <c r="BW130">
        <v>24</v>
      </c>
      <c r="BX130">
        <v>-1</v>
      </c>
      <c r="BY130">
        <v>1775510393.5</v>
      </c>
      <c r="BZ130" t="s">
        <v>675</v>
      </c>
      <c r="CA130">
        <v>1775510387</v>
      </c>
      <c r="CB130">
        <v>1775510393.5</v>
      </c>
      <c r="CC130">
        <v>117</v>
      </c>
      <c r="CD130">
        <v>-0.04</v>
      </c>
      <c r="CE130">
        <v>3.0000000000000001E-3</v>
      </c>
      <c r="CF130">
        <v>7.8339999999999996</v>
      </c>
      <c r="CG130">
        <v>-0.98399999999999999</v>
      </c>
      <c r="CH130">
        <v>56</v>
      </c>
      <c r="CI130">
        <v>-3</v>
      </c>
      <c r="CJ130">
        <v>0.31</v>
      </c>
      <c r="CK130">
        <v>0.13</v>
      </c>
      <c r="CL130">
        <v>57.176008333333343</v>
      </c>
      <c r="CM130">
        <v>8.0691414281791801E-2</v>
      </c>
      <c r="CN130">
        <v>7.883072643681184E-2</v>
      </c>
      <c r="CO130">
        <v>-1</v>
      </c>
      <c r="CP130">
        <v>499.99506666666667</v>
      </c>
      <c r="CQ130">
        <v>-8.8664629063317971E-2</v>
      </c>
      <c r="CR130">
        <v>4.8888262622252057E-2</v>
      </c>
      <c r="CS130">
        <v>-1</v>
      </c>
      <c r="CT130">
        <v>0</v>
      </c>
      <c r="CU130">
        <v>0</v>
      </c>
      <c r="CV130" t="s">
        <v>333</v>
      </c>
      <c r="CW130">
        <v>3.1674099999999998</v>
      </c>
      <c r="CX130">
        <v>2.6589800000000001</v>
      </c>
      <c r="CY130">
        <v>1.46771E-2</v>
      </c>
      <c r="CZ130">
        <v>1.70113E-2</v>
      </c>
      <c r="DA130">
        <v>-1.1007299999999999E-2</v>
      </c>
      <c r="DB130">
        <v>-2.8577200000000001E-2</v>
      </c>
      <c r="DC130">
        <v>21323</v>
      </c>
      <c r="DD130">
        <v>21645.7</v>
      </c>
      <c r="DE130">
        <v>23165.5</v>
      </c>
      <c r="DF130">
        <v>22369.1</v>
      </c>
      <c r="DG130">
        <v>30195.599999999999</v>
      </c>
      <c r="DH130">
        <v>27426.9</v>
      </c>
      <c r="DI130">
        <v>40703.300000000003</v>
      </c>
      <c r="DJ130">
        <v>37061</v>
      </c>
      <c r="DK130">
        <v>2.1029200000000001</v>
      </c>
      <c r="DL130">
        <v>1.85328</v>
      </c>
      <c r="DM130">
        <v>2.36928E-2</v>
      </c>
      <c r="DN130">
        <v>0</v>
      </c>
      <c r="DO130">
        <v>24.924700000000001</v>
      </c>
      <c r="DP130">
        <v>999.9</v>
      </c>
      <c r="DQ130">
        <v>79.2</v>
      </c>
      <c r="DR130">
        <v>28.1</v>
      </c>
      <c r="DS130">
        <v>30.1736</v>
      </c>
      <c r="DT130">
        <v>30.880199999999999</v>
      </c>
      <c r="DU130">
        <v>8.9142600000000005</v>
      </c>
      <c r="DV130">
        <v>1</v>
      </c>
      <c r="DW130">
        <v>6.3882099999999997E-2</v>
      </c>
      <c r="DX130">
        <v>-0.14225699999999999</v>
      </c>
      <c r="DY130">
        <v>20.368500000000001</v>
      </c>
      <c r="DZ130">
        <v>5.2123799999999996</v>
      </c>
      <c r="EA130">
        <v>11.8482</v>
      </c>
      <c r="EB130">
        <v>4.96828</v>
      </c>
      <c r="EC130">
        <v>3.2920199999999999</v>
      </c>
      <c r="ED130">
        <v>894.7</v>
      </c>
      <c r="EE130">
        <v>0</v>
      </c>
      <c r="EF130">
        <v>9999</v>
      </c>
      <c r="EG130">
        <v>114.9</v>
      </c>
      <c r="EH130">
        <v>4.97166</v>
      </c>
      <c r="EI130">
        <v>1.8717999999999999</v>
      </c>
      <c r="EJ130">
        <v>1.8689</v>
      </c>
      <c r="EK130">
        <v>1.87134</v>
      </c>
      <c r="EL130">
        <v>1.86907</v>
      </c>
      <c r="EM130">
        <v>1.86809</v>
      </c>
      <c r="EN130">
        <v>1.86991</v>
      </c>
      <c r="EO130">
        <v>1.87168</v>
      </c>
      <c r="EP130">
        <v>0</v>
      </c>
      <c r="EQ130">
        <v>0</v>
      </c>
      <c r="ER130">
        <v>0</v>
      </c>
      <c r="ES130">
        <v>0</v>
      </c>
      <c r="ET130" t="s">
        <v>334</v>
      </c>
      <c r="EU130" t="s">
        <v>335</v>
      </c>
      <c r="EV130" t="s">
        <v>336</v>
      </c>
      <c r="EW130" t="s">
        <v>336</v>
      </c>
      <c r="EX130" t="s">
        <v>336</v>
      </c>
      <c r="EY130" t="s">
        <v>336</v>
      </c>
      <c r="EZ130">
        <v>0</v>
      </c>
      <c r="FA130">
        <v>100</v>
      </c>
      <c r="FB130">
        <v>100</v>
      </c>
      <c r="FC130">
        <v>7.8339999999999996</v>
      </c>
      <c r="FD130">
        <v>-0.98399999999999999</v>
      </c>
      <c r="FE130">
        <v>7.874090476190446</v>
      </c>
      <c r="FF130">
        <v>0</v>
      </c>
      <c r="FG130">
        <v>0</v>
      </c>
      <c r="FH130">
        <v>0</v>
      </c>
      <c r="FI130">
        <v>-0.98651799999999956</v>
      </c>
      <c r="FJ130">
        <v>0</v>
      </c>
      <c r="FK130">
        <v>0</v>
      </c>
      <c r="FL130">
        <v>0</v>
      </c>
      <c r="FM130">
        <v>-1</v>
      </c>
      <c r="FN130">
        <v>-1</v>
      </c>
      <c r="FO130">
        <v>-1</v>
      </c>
      <c r="FP130">
        <v>-1</v>
      </c>
      <c r="FQ130">
        <v>0.7</v>
      </c>
      <c r="FR130">
        <v>0.7</v>
      </c>
      <c r="FS130">
        <v>0.142822</v>
      </c>
      <c r="FT130">
        <v>4.99756</v>
      </c>
      <c r="FU130">
        <v>1.5979000000000001</v>
      </c>
      <c r="FV130">
        <v>2.16187</v>
      </c>
      <c r="FW130">
        <v>1.5478499999999999</v>
      </c>
      <c r="FX130">
        <v>2.4316399999999998</v>
      </c>
      <c r="FY130">
        <v>32.576099999999997</v>
      </c>
      <c r="FZ130">
        <v>15.8657</v>
      </c>
      <c r="GA130">
        <v>3</v>
      </c>
      <c r="GB130">
        <v>492.40899999999999</v>
      </c>
      <c r="GC130">
        <v>423.916</v>
      </c>
      <c r="GD130">
        <v>25.946400000000001</v>
      </c>
      <c r="GE130">
        <v>27.970199999999998</v>
      </c>
      <c r="GF130">
        <v>30.0001</v>
      </c>
      <c r="GG130">
        <v>28.273399999999999</v>
      </c>
      <c r="GH130">
        <v>28.324999999999999</v>
      </c>
      <c r="GI130">
        <v>-1</v>
      </c>
      <c r="GJ130">
        <v>0</v>
      </c>
      <c r="GK130">
        <v>100</v>
      </c>
      <c r="GL130">
        <v>25.946899999999999</v>
      </c>
      <c r="GM130">
        <v>432.1</v>
      </c>
      <c r="GN130">
        <v>63.216500000000003</v>
      </c>
      <c r="GO130">
        <v>102.465</v>
      </c>
      <c r="GP130">
        <v>96.715999999999994</v>
      </c>
    </row>
    <row r="131" spans="1:198" x14ac:dyDescent="0.35">
      <c r="A131">
        <v>115</v>
      </c>
      <c r="B131">
        <v>1775510432</v>
      </c>
      <c r="C131">
        <v>6841</v>
      </c>
      <c r="D131" t="s">
        <v>676</v>
      </c>
      <c r="E131" t="s">
        <v>677</v>
      </c>
      <c r="F131">
        <v>60</v>
      </c>
      <c r="G131">
        <v>1775510424.25</v>
      </c>
      <c r="H131">
        <f t="shared" si="90"/>
        <v>1.0194795119343964E-3</v>
      </c>
      <c r="I131">
        <f t="shared" si="91"/>
        <v>1.0194795119343965</v>
      </c>
      <c r="J131">
        <f t="shared" si="92"/>
        <v>4.6796283874549982E-2</v>
      </c>
      <c r="K131">
        <f t="shared" si="93"/>
        <v>54.195103333333321</v>
      </c>
      <c r="L131">
        <f t="shared" si="94"/>
        <v>48.739884075989018</v>
      </c>
      <c r="M131">
        <f t="shared" si="95"/>
        <v>4.8850552297887955</v>
      </c>
      <c r="N131">
        <f t="shared" si="96"/>
        <v>5.4318158113524806</v>
      </c>
      <c r="O131">
        <f t="shared" si="97"/>
        <v>2.9284268538696319E-2</v>
      </c>
      <c r="P131">
        <f t="shared" si="98"/>
        <v>2.3883012777191523</v>
      </c>
      <c r="Q131">
        <f t="shared" si="99"/>
        <v>2.9086241307920781E-2</v>
      </c>
      <c r="R131">
        <f t="shared" si="100"/>
        <v>1.8196581027137112E-2</v>
      </c>
      <c r="S131">
        <f t="shared" si="101"/>
        <v>0</v>
      </c>
      <c r="T131">
        <f t="shared" si="102"/>
        <v>24.977212969050576</v>
      </c>
      <c r="U131">
        <f t="shared" si="103"/>
        <v>25.304036666666669</v>
      </c>
      <c r="V131">
        <f t="shared" si="104"/>
        <v>3.2377721896608942</v>
      </c>
      <c r="W131">
        <f t="shared" si="105"/>
        <v>-6.8703198662683995</v>
      </c>
      <c r="X131">
        <f t="shared" si="106"/>
        <v>-0.22236412027122116</v>
      </c>
      <c r="Y131">
        <f t="shared" si="107"/>
        <v>3.236590502328355</v>
      </c>
      <c r="Z131">
        <f t="shared" si="108"/>
        <v>3.4601363099321154</v>
      </c>
      <c r="AA131">
        <f t="shared" si="109"/>
        <v>-44.959046476306881</v>
      </c>
      <c r="AB131">
        <f t="shared" si="110"/>
        <v>-0.79014553103162855</v>
      </c>
      <c r="AC131">
        <f t="shared" si="111"/>
        <v>-7.0192898210280574E-2</v>
      </c>
      <c r="AD131">
        <f t="shared" si="112"/>
        <v>-45.819384905548787</v>
      </c>
      <c r="AE131">
        <v>18</v>
      </c>
      <c r="AF131">
        <v>4</v>
      </c>
      <c r="AG131">
        <f t="shared" si="113"/>
        <v>1</v>
      </c>
      <c r="AH131">
        <f t="shared" si="114"/>
        <v>0</v>
      </c>
      <c r="AI131">
        <f t="shared" si="115"/>
        <v>25665.083589872982</v>
      </c>
      <c r="AJ131">
        <f t="shared" si="116"/>
        <v>0</v>
      </c>
      <c r="AK131">
        <f t="shared" si="117"/>
        <v>0</v>
      </c>
      <c r="AL131">
        <f t="shared" si="118"/>
        <v>0</v>
      </c>
      <c r="AM131">
        <f t="shared" si="119"/>
        <v>0</v>
      </c>
      <c r="AN131">
        <v>3</v>
      </c>
      <c r="AO131">
        <v>0.5</v>
      </c>
      <c r="AP131" t="s">
        <v>331</v>
      </c>
      <c r="AQ131">
        <v>2</v>
      </c>
      <c r="AR131">
        <v>1775510424.25</v>
      </c>
      <c r="AS131">
        <v>54.195103333333321</v>
      </c>
      <c r="AT131">
        <v>54.256333333333352</v>
      </c>
      <c r="AU131">
        <v>-2.2186036666666671</v>
      </c>
      <c r="AV131">
        <v>-2.8316659999999998</v>
      </c>
      <c r="AW131">
        <v>46.335103333333322</v>
      </c>
      <c r="AX131">
        <v>-1.233603666666667</v>
      </c>
      <c r="AY131">
        <v>499.98570000000001</v>
      </c>
      <c r="AZ131">
        <v>100.1895</v>
      </c>
      <c r="BA131">
        <v>3.7558853333333329E-2</v>
      </c>
      <c r="BB131">
        <v>25.297900000000009</v>
      </c>
      <c r="BC131">
        <v>25.304036666666669</v>
      </c>
      <c r="BD131">
        <v>999.9000000000002</v>
      </c>
      <c r="BE131">
        <v>0</v>
      </c>
      <c r="BF131">
        <v>0</v>
      </c>
      <c r="BG131">
        <v>4991.2333333333336</v>
      </c>
      <c r="BH131">
        <v>0.41042006666666669</v>
      </c>
      <c r="BI131">
        <v>0.2334426666666666</v>
      </c>
      <c r="BJ131">
        <v>-8.7384982666666666E-2</v>
      </c>
      <c r="BK131">
        <v>54.049086666666661</v>
      </c>
      <c r="BL131">
        <v>54.103126666666682</v>
      </c>
      <c r="BM131">
        <v>0.61412856666666671</v>
      </c>
      <c r="BN131">
        <v>54.256333333333352</v>
      </c>
      <c r="BO131">
        <v>-2.8316659999999998</v>
      </c>
      <c r="BP131">
        <v>-0.2221738</v>
      </c>
      <c r="BQ131">
        <v>-0.28370296666666661</v>
      </c>
      <c r="BR131">
        <v>-99.900000000000034</v>
      </c>
      <c r="BS131">
        <v>-99.900000000000034</v>
      </c>
      <c r="BT131">
        <v>0</v>
      </c>
      <c r="BU131">
        <v>0</v>
      </c>
      <c r="BV131">
        <v>0</v>
      </c>
      <c r="BW131">
        <v>24</v>
      </c>
      <c r="BX131">
        <v>-1</v>
      </c>
      <c r="BY131">
        <v>1775510453</v>
      </c>
      <c r="BZ131" t="s">
        <v>678</v>
      </c>
      <c r="CA131">
        <v>1775510444</v>
      </c>
      <c r="CB131">
        <v>1775510453</v>
      </c>
      <c r="CC131">
        <v>118</v>
      </c>
      <c r="CD131">
        <v>2.5999999999999999E-2</v>
      </c>
      <c r="CE131">
        <v>-1E-3</v>
      </c>
      <c r="CF131">
        <v>7.86</v>
      </c>
      <c r="CG131">
        <v>-0.98499999999999999</v>
      </c>
      <c r="CH131">
        <v>54</v>
      </c>
      <c r="CI131">
        <v>-3</v>
      </c>
      <c r="CJ131">
        <v>0.21</v>
      </c>
      <c r="CK131">
        <v>0.12</v>
      </c>
      <c r="CL131">
        <v>54.504739999999991</v>
      </c>
      <c r="CM131">
        <v>-2.4216420116698458</v>
      </c>
      <c r="CN131">
        <v>0.65812263983749031</v>
      </c>
      <c r="CO131">
        <v>-1</v>
      </c>
      <c r="CP131">
        <v>500.04599999999999</v>
      </c>
      <c r="CQ131">
        <v>-0.66947263128568157</v>
      </c>
      <c r="CR131">
        <v>0.2051033073030904</v>
      </c>
      <c r="CS131">
        <v>-1</v>
      </c>
      <c r="CT131">
        <v>0</v>
      </c>
      <c r="CU131">
        <v>0</v>
      </c>
      <c r="CV131" t="s">
        <v>333</v>
      </c>
      <c r="CW131">
        <v>3.1674099999999998</v>
      </c>
      <c r="CX131">
        <v>2.6588500000000002</v>
      </c>
      <c r="CY131">
        <v>1.38674E-2</v>
      </c>
      <c r="CZ131">
        <v>1.6223999999999999E-2</v>
      </c>
      <c r="DA131">
        <v>-1.10606E-2</v>
      </c>
      <c r="DB131">
        <v>-2.8481099999999999E-2</v>
      </c>
      <c r="DC131">
        <v>21340.1</v>
      </c>
      <c r="DD131">
        <v>21663.3</v>
      </c>
      <c r="DE131">
        <v>23165</v>
      </c>
      <c r="DF131">
        <v>22369.3</v>
      </c>
      <c r="DG131">
        <v>30196.7</v>
      </c>
      <c r="DH131">
        <v>27424.6</v>
      </c>
      <c r="DI131">
        <v>40702.699999999997</v>
      </c>
      <c r="DJ131">
        <v>37061.4</v>
      </c>
      <c r="DK131">
        <v>2.1028199999999999</v>
      </c>
      <c r="DL131">
        <v>1.8527800000000001</v>
      </c>
      <c r="DM131">
        <v>2.3841899999999999E-2</v>
      </c>
      <c r="DN131">
        <v>0</v>
      </c>
      <c r="DO131">
        <v>24.9163</v>
      </c>
      <c r="DP131">
        <v>999.9</v>
      </c>
      <c r="DQ131">
        <v>79.099999999999994</v>
      </c>
      <c r="DR131">
        <v>28.1</v>
      </c>
      <c r="DS131">
        <v>30.1371</v>
      </c>
      <c r="DT131">
        <v>30.670200000000001</v>
      </c>
      <c r="DU131">
        <v>9.0304500000000001</v>
      </c>
      <c r="DV131">
        <v>1</v>
      </c>
      <c r="DW131">
        <v>6.4339400000000005E-2</v>
      </c>
      <c r="DX131">
        <v>-0.15961400000000001</v>
      </c>
      <c r="DY131">
        <v>20.368500000000001</v>
      </c>
      <c r="DZ131">
        <v>5.2111799999999997</v>
      </c>
      <c r="EA131">
        <v>11.8482</v>
      </c>
      <c r="EB131">
        <v>4.968</v>
      </c>
      <c r="EC131">
        <v>3.2920400000000001</v>
      </c>
      <c r="ED131">
        <v>894.7</v>
      </c>
      <c r="EE131">
        <v>0</v>
      </c>
      <c r="EF131">
        <v>9999</v>
      </c>
      <c r="EG131">
        <v>114.9</v>
      </c>
      <c r="EH131">
        <v>4.9716399999999998</v>
      </c>
      <c r="EI131">
        <v>1.8717999999999999</v>
      </c>
      <c r="EJ131">
        <v>1.8689100000000001</v>
      </c>
      <c r="EK131">
        <v>1.8713500000000001</v>
      </c>
      <c r="EL131">
        <v>1.86907</v>
      </c>
      <c r="EM131">
        <v>1.8680399999999999</v>
      </c>
      <c r="EN131">
        <v>1.8698600000000001</v>
      </c>
      <c r="EO131">
        <v>1.87171</v>
      </c>
      <c r="EP131">
        <v>0</v>
      </c>
      <c r="EQ131">
        <v>0</v>
      </c>
      <c r="ER131">
        <v>0</v>
      </c>
      <c r="ES131">
        <v>0</v>
      </c>
      <c r="ET131" t="s">
        <v>334</v>
      </c>
      <c r="EU131" t="s">
        <v>335</v>
      </c>
      <c r="EV131" t="s">
        <v>336</v>
      </c>
      <c r="EW131" t="s">
        <v>336</v>
      </c>
      <c r="EX131" t="s">
        <v>336</v>
      </c>
      <c r="EY131" t="s">
        <v>336</v>
      </c>
      <c r="EZ131">
        <v>0</v>
      </c>
      <c r="FA131">
        <v>100</v>
      </c>
      <c r="FB131">
        <v>100</v>
      </c>
      <c r="FC131">
        <v>7.86</v>
      </c>
      <c r="FD131">
        <v>-0.98499999999999999</v>
      </c>
      <c r="FE131">
        <v>7.8338349999999934</v>
      </c>
      <c r="FF131">
        <v>0</v>
      </c>
      <c r="FG131">
        <v>0</v>
      </c>
      <c r="FH131">
        <v>0</v>
      </c>
      <c r="FI131">
        <v>-0.98393238095238078</v>
      </c>
      <c r="FJ131">
        <v>0</v>
      </c>
      <c r="FK131">
        <v>0</v>
      </c>
      <c r="FL131">
        <v>0</v>
      </c>
      <c r="FM131">
        <v>-1</v>
      </c>
      <c r="FN131">
        <v>-1</v>
      </c>
      <c r="FO131">
        <v>-1</v>
      </c>
      <c r="FP131">
        <v>-1</v>
      </c>
      <c r="FQ131">
        <v>0.8</v>
      </c>
      <c r="FR131">
        <v>0.6</v>
      </c>
      <c r="FS131">
        <v>0.142822</v>
      </c>
      <c r="FT131">
        <v>4.99756</v>
      </c>
      <c r="FU131">
        <v>1.5979000000000001</v>
      </c>
      <c r="FV131">
        <v>2.16187</v>
      </c>
      <c r="FW131">
        <v>1.5478499999999999</v>
      </c>
      <c r="FX131">
        <v>2.4523899999999998</v>
      </c>
      <c r="FY131">
        <v>32.576099999999997</v>
      </c>
      <c r="FZ131">
        <v>15.8569</v>
      </c>
      <c r="GA131">
        <v>3</v>
      </c>
      <c r="GB131">
        <v>492.39</v>
      </c>
      <c r="GC131">
        <v>423.673</v>
      </c>
      <c r="GD131">
        <v>25.956800000000001</v>
      </c>
      <c r="GE131">
        <v>27.975000000000001</v>
      </c>
      <c r="GF131">
        <v>30.0002</v>
      </c>
      <c r="GG131">
        <v>28.278199999999998</v>
      </c>
      <c r="GH131">
        <v>28.332000000000001</v>
      </c>
      <c r="GI131">
        <v>-1</v>
      </c>
      <c r="GJ131">
        <v>0</v>
      </c>
      <c r="GK131">
        <v>100</v>
      </c>
      <c r="GL131">
        <v>25.957699999999999</v>
      </c>
      <c r="GM131">
        <v>432.1</v>
      </c>
      <c r="GN131">
        <v>63.216500000000003</v>
      </c>
      <c r="GO131">
        <v>102.46299999999999</v>
      </c>
      <c r="GP131">
        <v>96.717100000000002</v>
      </c>
    </row>
    <row r="132" spans="1:198" x14ac:dyDescent="0.35">
      <c r="A132">
        <v>116</v>
      </c>
      <c r="B132">
        <v>1775510492</v>
      </c>
      <c r="C132">
        <v>6901</v>
      </c>
      <c r="D132" t="s">
        <v>679</v>
      </c>
      <c r="E132" t="s">
        <v>680</v>
      </c>
      <c r="F132">
        <v>60</v>
      </c>
      <c r="G132">
        <v>1775510484</v>
      </c>
      <c r="H132">
        <f t="shared" si="90"/>
        <v>1.0179598610265928E-3</v>
      </c>
      <c r="I132">
        <f t="shared" si="91"/>
        <v>1.0179598610265927</v>
      </c>
      <c r="J132">
        <f t="shared" si="92"/>
        <v>0.31372032947197515</v>
      </c>
      <c r="K132">
        <f t="shared" si="93"/>
        <v>54.083087096774207</v>
      </c>
      <c r="L132">
        <f t="shared" si="94"/>
        <v>34.339308538590728</v>
      </c>
      <c r="M132">
        <f t="shared" si="95"/>
        <v>3.4417634853080457</v>
      </c>
      <c r="N132">
        <f t="shared" si="96"/>
        <v>5.4206448022453788</v>
      </c>
      <c r="O132">
        <f t="shared" si="97"/>
        <v>2.9239372529494267E-2</v>
      </c>
      <c r="P132">
        <f t="shared" si="98"/>
        <v>2.3927995209259008</v>
      </c>
      <c r="Q132">
        <f t="shared" si="99"/>
        <v>2.9042318256686364E-2</v>
      </c>
      <c r="R132">
        <f t="shared" si="100"/>
        <v>1.8169042627840689E-2</v>
      </c>
      <c r="S132">
        <f t="shared" si="101"/>
        <v>0</v>
      </c>
      <c r="T132">
        <f t="shared" si="102"/>
        <v>24.979360348030351</v>
      </c>
      <c r="U132">
        <f t="shared" si="103"/>
        <v>25.304441935483869</v>
      </c>
      <c r="V132">
        <f t="shared" si="104"/>
        <v>3.2378502422050905</v>
      </c>
      <c r="W132">
        <f t="shared" si="105"/>
        <v>-6.8706316196635697</v>
      </c>
      <c r="X132">
        <f t="shared" si="106"/>
        <v>-0.22238897514604158</v>
      </c>
      <c r="Y132">
        <f t="shared" si="107"/>
        <v>3.2368053980593299</v>
      </c>
      <c r="Z132">
        <f t="shared" si="108"/>
        <v>3.4602392173511323</v>
      </c>
      <c r="AA132">
        <f t="shared" si="109"/>
        <v>-44.89202987127274</v>
      </c>
      <c r="AB132">
        <f t="shared" si="110"/>
        <v>-0.6999323299129494</v>
      </c>
      <c r="AC132">
        <f t="shared" si="111"/>
        <v>-6.2062356374413513E-2</v>
      </c>
      <c r="AD132">
        <f t="shared" si="112"/>
        <v>-45.654024557560099</v>
      </c>
      <c r="AE132">
        <v>18</v>
      </c>
      <c r="AF132">
        <v>4</v>
      </c>
      <c r="AG132">
        <f t="shared" si="113"/>
        <v>1</v>
      </c>
      <c r="AH132">
        <f t="shared" si="114"/>
        <v>0</v>
      </c>
      <c r="AI132">
        <f t="shared" si="115"/>
        <v>25733.786004744466</v>
      </c>
      <c r="AJ132">
        <f t="shared" si="116"/>
        <v>0</v>
      </c>
      <c r="AK132">
        <f t="shared" si="117"/>
        <v>0</v>
      </c>
      <c r="AL132">
        <f t="shared" si="118"/>
        <v>0</v>
      </c>
      <c r="AM132">
        <f t="shared" si="119"/>
        <v>0</v>
      </c>
      <c r="AN132">
        <v>3</v>
      </c>
      <c r="AO132">
        <v>0.5</v>
      </c>
      <c r="AP132" t="s">
        <v>331</v>
      </c>
      <c r="AQ132">
        <v>2</v>
      </c>
      <c r="AR132">
        <v>1775510484</v>
      </c>
      <c r="AS132">
        <v>54.083087096774207</v>
      </c>
      <c r="AT132">
        <v>54.30434838709678</v>
      </c>
      <c r="AU132">
        <v>-2.2188287096774189</v>
      </c>
      <c r="AV132">
        <v>-2.8309500000000001</v>
      </c>
      <c r="AW132">
        <v>46.231087096774203</v>
      </c>
      <c r="AX132">
        <v>-1.2348287096774191</v>
      </c>
      <c r="AY132">
        <v>500.00803225806459</v>
      </c>
      <c r="AZ132">
        <v>100.1905161290323</v>
      </c>
      <c r="BA132">
        <v>3.7579070967741927E-2</v>
      </c>
      <c r="BB132">
        <v>25.29901612903225</v>
      </c>
      <c r="BC132">
        <v>25.304441935483869</v>
      </c>
      <c r="BD132">
        <v>999.90000000000032</v>
      </c>
      <c r="BE132">
        <v>0</v>
      </c>
      <c r="BF132">
        <v>0</v>
      </c>
      <c r="BG132">
        <v>5002.7580645161288</v>
      </c>
      <c r="BH132">
        <v>0.40099758064516128</v>
      </c>
      <c r="BI132">
        <v>0.22961599999999999</v>
      </c>
      <c r="BJ132">
        <v>-0.21314838387096771</v>
      </c>
      <c r="BK132">
        <v>53.97137096774194</v>
      </c>
      <c r="BL132">
        <v>54.151064516129033</v>
      </c>
      <c r="BM132">
        <v>0.61073880645161294</v>
      </c>
      <c r="BN132">
        <v>54.30434838709678</v>
      </c>
      <c r="BO132">
        <v>-2.8309500000000001</v>
      </c>
      <c r="BP132">
        <v>-0.22244383870967741</v>
      </c>
      <c r="BQ132">
        <v>-0.28363403225806449</v>
      </c>
      <c r="BR132">
        <v>-99.900000000000034</v>
      </c>
      <c r="BS132">
        <v>-99.900000000000034</v>
      </c>
      <c r="BT132">
        <v>0</v>
      </c>
      <c r="BU132">
        <v>0</v>
      </c>
      <c r="BV132">
        <v>0</v>
      </c>
      <c r="BW132">
        <v>24</v>
      </c>
      <c r="BX132">
        <v>-1</v>
      </c>
      <c r="BY132">
        <v>1775510513</v>
      </c>
      <c r="BZ132" t="s">
        <v>681</v>
      </c>
      <c r="CA132">
        <v>1775510509</v>
      </c>
      <c r="CB132">
        <v>1775510513</v>
      </c>
      <c r="CC132">
        <v>119</v>
      </c>
      <c r="CD132">
        <v>-8.0000000000000002E-3</v>
      </c>
      <c r="CE132">
        <v>1E-3</v>
      </c>
      <c r="CF132">
        <v>7.8520000000000003</v>
      </c>
      <c r="CG132">
        <v>-0.98399999999999999</v>
      </c>
      <c r="CH132">
        <v>54</v>
      </c>
      <c r="CI132">
        <v>-3</v>
      </c>
      <c r="CJ132">
        <v>0.23</v>
      </c>
      <c r="CK132">
        <v>0.12</v>
      </c>
      <c r="CL132">
        <v>54.172350000000002</v>
      </c>
      <c r="CM132">
        <v>0.73145918310646685</v>
      </c>
      <c r="CN132">
        <v>0.19380624731932711</v>
      </c>
      <c r="CO132">
        <v>-1</v>
      </c>
      <c r="CP132">
        <v>500.02924999999999</v>
      </c>
      <c r="CQ132">
        <v>-0.39547318699508338</v>
      </c>
      <c r="CR132">
        <v>0.1453671931122501</v>
      </c>
      <c r="CS132">
        <v>-1</v>
      </c>
      <c r="CT132">
        <v>0</v>
      </c>
      <c r="CU132">
        <v>0</v>
      </c>
      <c r="CV132" t="s">
        <v>333</v>
      </c>
      <c r="CW132">
        <v>3.1673100000000001</v>
      </c>
      <c r="CX132">
        <v>2.6589700000000001</v>
      </c>
      <c r="CY132">
        <v>1.38113E-2</v>
      </c>
      <c r="CZ132">
        <v>1.6189599999999998E-2</v>
      </c>
      <c r="DA132">
        <v>-1.10741E-2</v>
      </c>
      <c r="DB132">
        <v>-2.85236E-2</v>
      </c>
      <c r="DC132">
        <v>21340.5</v>
      </c>
      <c r="DD132">
        <v>21663.9</v>
      </c>
      <c r="DE132">
        <v>23164.1</v>
      </c>
      <c r="DF132">
        <v>22369.200000000001</v>
      </c>
      <c r="DG132">
        <v>30196</v>
      </c>
      <c r="DH132">
        <v>27425.8</v>
      </c>
      <c r="DI132">
        <v>40701.199999999997</v>
      </c>
      <c r="DJ132">
        <v>37061.4</v>
      </c>
      <c r="DK132">
        <v>2.10284</v>
      </c>
      <c r="DL132">
        <v>1.8525199999999999</v>
      </c>
      <c r="DM132">
        <v>2.36899E-2</v>
      </c>
      <c r="DN132">
        <v>0</v>
      </c>
      <c r="DO132">
        <v>24.91</v>
      </c>
      <c r="DP132">
        <v>999.9</v>
      </c>
      <c r="DQ132">
        <v>79.099999999999994</v>
      </c>
      <c r="DR132">
        <v>28.1</v>
      </c>
      <c r="DS132">
        <v>30.139600000000002</v>
      </c>
      <c r="DT132">
        <v>30.700199999999999</v>
      </c>
      <c r="DU132">
        <v>9.0865399999999994</v>
      </c>
      <c r="DV132">
        <v>1</v>
      </c>
      <c r="DW132">
        <v>6.4748E-2</v>
      </c>
      <c r="DX132">
        <v>-0.16656899999999999</v>
      </c>
      <c r="DY132">
        <v>20.368500000000001</v>
      </c>
      <c r="DZ132">
        <v>5.2120199999999999</v>
      </c>
      <c r="EA132">
        <v>11.8482</v>
      </c>
      <c r="EB132">
        <v>4.9677600000000002</v>
      </c>
      <c r="EC132">
        <v>3.2920799999999999</v>
      </c>
      <c r="ED132">
        <v>894.7</v>
      </c>
      <c r="EE132">
        <v>0</v>
      </c>
      <c r="EF132">
        <v>9999</v>
      </c>
      <c r="EG132">
        <v>114.9</v>
      </c>
      <c r="EH132">
        <v>4.97166</v>
      </c>
      <c r="EI132">
        <v>1.8717999999999999</v>
      </c>
      <c r="EJ132">
        <v>1.8689</v>
      </c>
      <c r="EK132">
        <v>1.87134</v>
      </c>
      <c r="EL132">
        <v>1.8690500000000001</v>
      </c>
      <c r="EM132">
        <v>1.86809</v>
      </c>
      <c r="EN132">
        <v>1.8698999999999999</v>
      </c>
      <c r="EO132">
        <v>1.8717600000000001</v>
      </c>
      <c r="EP132">
        <v>0</v>
      </c>
      <c r="EQ132">
        <v>0</v>
      </c>
      <c r="ER132">
        <v>0</v>
      </c>
      <c r="ES132">
        <v>0</v>
      </c>
      <c r="ET132" t="s">
        <v>334</v>
      </c>
      <c r="EU132" t="s">
        <v>335</v>
      </c>
      <c r="EV132" t="s">
        <v>336</v>
      </c>
      <c r="EW132" t="s">
        <v>336</v>
      </c>
      <c r="EX132" t="s">
        <v>336</v>
      </c>
      <c r="EY132" t="s">
        <v>336</v>
      </c>
      <c r="EZ132">
        <v>0</v>
      </c>
      <c r="FA132">
        <v>100</v>
      </c>
      <c r="FB132">
        <v>100</v>
      </c>
      <c r="FC132">
        <v>7.8520000000000003</v>
      </c>
      <c r="FD132">
        <v>-0.98399999999999999</v>
      </c>
      <c r="FE132">
        <v>7.8601300000000052</v>
      </c>
      <c r="FF132">
        <v>0</v>
      </c>
      <c r="FG132">
        <v>0</v>
      </c>
      <c r="FH132">
        <v>0</v>
      </c>
      <c r="FI132">
        <v>-0.98538250000000005</v>
      </c>
      <c r="FJ132">
        <v>0</v>
      </c>
      <c r="FK132">
        <v>0</v>
      </c>
      <c r="FL132">
        <v>0</v>
      </c>
      <c r="FM132">
        <v>-1</v>
      </c>
      <c r="FN132">
        <v>-1</v>
      </c>
      <c r="FO132">
        <v>-1</v>
      </c>
      <c r="FP132">
        <v>-1</v>
      </c>
      <c r="FQ132">
        <v>0.8</v>
      </c>
      <c r="FR132">
        <v>0.7</v>
      </c>
      <c r="FS132">
        <v>0.142822</v>
      </c>
      <c r="FT132">
        <v>4.99756</v>
      </c>
      <c r="FU132">
        <v>1.5979000000000001</v>
      </c>
      <c r="FV132">
        <v>2.16187</v>
      </c>
      <c r="FW132">
        <v>1.5478499999999999</v>
      </c>
      <c r="FX132">
        <v>2.34985</v>
      </c>
      <c r="FY132">
        <v>32.598199999999999</v>
      </c>
      <c r="FZ132">
        <v>15.839399999999999</v>
      </c>
      <c r="GA132">
        <v>3</v>
      </c>
      <c r="GB132">
        <v>492.43900000000002</v>
      </c>
      <c r="GC132">
        <v>423.55399999999997</v>
      </c>
      <c r="GD132">
        <v>25.974799999999998</v>
      </c>
      <c r="GE132">
        <v>27.977900000000002</v>
      </c>
      <c r="GF132">
        <v>30</v>
      </c>
      <c r="GG132">
        <v>28.282900000000001</v>
      </c>
      <c r="GH132">
        <v>28.3368</v>
      </c>
      <c r="GI132">
        <v>-1</v>
      </c>
      <c r="GJ132">
        <v>0</v>
      </c>
      <c r="GK132">
        <v>100</v>
      </c>
      <c r="GL132">
        <v>25.974399999999999</v>
      </c>
      <c r="GM132">
        <v>432.1</v>
      </c>
      <c r="GN132">
        <v>63.216500000000003</v>
      </c>
      <c r="GO132">
        <v>102.459</v>
      </c>
      <c r="GP132">
        <v>96.716899999999995</v>
      </c>
    </row>
    <row r="133" spans="1:198" x14ac:dyDescent="0.35">
      <c r="A133">
        <v>117</v>
      </c>
      <c r="B133">
        <v>1775510552</v>
      </c>
      <c r="C133">
        <v>6961</v>
      </c>
      <c r="D133" t="s">
        <v>682</v>
      </c>
      <c r="E133" t="s">
        <v>683</v>
      </c>
      <c r="F133">
        <v>60</v>
      </c>
      <c r="G133">
        <v>1775510544</v>
      </c>
      <c r="H133">
        <f t="shared" si="90"/>
        <v>1.024497812407512E-3</v>
      </c>
      <c r="I133">
        <f t="shared" si="91"/>
        <v>1.0244978124075119</v>
      </c>
      <c r="J133">
        <f t="shared" si="92"/>
        <v>0.2344362265484112</v>
      </c>
      <c r="K133">
        <f t="shared" si="93"/>
        <v>53.289529032258059</v>
      </c>
      <c r="L133">
        <f t="shared" si="94"/>
        <v>37.912289364385884</v>
      </c>
      <c r="M133">
        <f t="shared" si="95"/>
        <v>3.7998381602476572</v>
      </c>
      <c r="N133">
        <f t="shared" si="96"/>
        <v>5.3410540316411614</v>
      </c>
      <c r="O133">
        <f t="shared" si="97"/>
        <v>2.9425162089278624E-2</v>
      </c>
      <c r="P133">
        <f t="shared" si="98"/>
        <v>2.3921892338555439</v>
      </c>
      <c r="Q133">
        <f t="shared" si="99"/>
        <v>2.9225554344821988E-2</v>
      </c>
      <c r="R133">
        <f t="shared" si="100"/>
        <v>1.8283792432090683E-2</v>
      </c>
      <c r="S133">
        <f t="shared" si="101"/>
        <v>0</v>
      </c>
      <c r="T133">
        <f t="shared" si="102"/>
        <v>24.979226012817747</v>
      </c>
      <c r="U133">
        <f t="shared" si="103"/>
        <v>25.306216129032251</v>
      </c>
      <c r="V133">
        <f t="shared" si="104"/>
        <v>3.238191961472852</v>
      </c>
      <c r="W133">
        <f t="shared" si="105"/>
        <v>-6.8700201651924626</v>
      </c>
      <c r="X133">
        <f t="shared" si="106"/>
        <v>-0.22239555495993599</v>
      </c>
      <c r="Y133">
        <f t="shared" si="107"/>
        <v>3.2371892601818235</v>
      </c>
      <c r="Z133">
        <f t="shared" si="108"/>
        <v>3.4605875164327879</v>
      </c>
      <c r="AA133">
        <f t="shared" si="109"/>
        <v>-45.180353527171278</v>
      </c>
      <c r="AB133">
        <f t="shared" si="110"/>
        <v>-0.67146412078777917</v>
      </c>
      <c r="AC133">
        <f t="shared" si="111"/>
        <v>-5.9554423894055922E-2</v>
      </c>
      <c r="AD133">
        <f t="shared" si="112"/>
        <v>-45.911372071853116</v>
      </c>
      <c r="AE133">
        <v>18</v>
      </c>
      <c r="AF133">
        <v>4</v>
      </c>
      <c r="AG133">
        <f t="shared" si="113"/>
        <v>1</v>
      </c>
      <c r="AH133">
        <f t="shared" si="114"/>
        <v>0</v>
      </c>
      <c r="AI133">
        <f t="shared" si="115"/>
        <v>25724.317407800569</v>
      </c>
      <c r="AJ133">
        <f t="shared" si="116"/>
        <v>0</v>
      </c>
      <c r="AK133">
        <f t="shared" si="117"/>
        <v>0</v>
      </c>
      <c r="AL133">
        <f t="shared" si="118"/>
        <v>0</v>
      </c>
      <c r="AM133">
        <f t="shared" si="119"/>
        <v>0</v>
      </c>
      <c r="AN133">
        <v>3</v>
      </c>
      <c r="AO133">
        <v>0.5</v>
      </c>
      <c r="AP133" t="s">
        <v>331</v>
      </c>
      <c r="AQ133">
        <v>2</v>
      </c>
      <c r="AR133">
        <v>1775510544</v>
      </c>
      <c r="AS133">
        <v>53.289529032258059</v>
      </c>
      <c r="AT133">
        <v>53.462948387096773</v>
      </c>
      <c r="AU133">
        <v>-2.218916774193548</v>
      </c>
      <c r="AV133">
        <v>-2.834981612903225</v>
      </c>
      <c r="AW133">
        <v>45.463529032258059</v>
      </c>
      <c r="AX133">
        <v>-1.2349167741935481</v>
      </c>
      <c r="AY133">
        <v>499.99822580645161</v>
      </c>
      <c r="AZ133">
        <v>100.18941935483871</v>
      </c>
      <c r="BA133">
        <v>3.7663312903225797E-2</v>
      </c>
      <c r="BB133">
        <v>25.301009677419358</v>
      </c>
      <c r="BC133">
        <v>25.306216129032251</v>
      </c>
      <c r="BD133">
        <v>999.90000000000032</v>
      </c>
      <c r="BE133">
        <v>0</v>
      </c>
      <c r="BF133">
        <v>0</v>
      </c>
      <c r="BG133">
        <v>5001.2419354838712</v>
      </c>
      <c r="BH133">
        <v>0.37849496774193558</v>
      </c>
      <c r="BI133">
        <v>0.22961599999999999</v>
      </c>
      <c r="BJ133">
        <v>-0.1471766677419355</v>
      </c>
      <c r="BK133">
        <v>53.197716129032251</v>
      </c>
      <c r="BL133">
        <v>53.31180322580645</v>
      </c>
      <c r="BM133">
        <v>0.61571283870967752</v>
      </c>
      <c r="BN133">
        <v>53.462948387096773</v>
      </c>
      <c r="BO133">
        <v>-2.834981612903225</v>
      </c>
      <c r="BP133">
        <v>-0.22234732258064521</v>
      </c>
      <c r="BQ133">
        <v>-0.28403522580645157</v>
      </c>
      <c r="BR133">
        <v>-99.900000000000034</v>
      </c>
      <c r="BS133">
        <v>-99.900000000000034</v>
      </c>
      <c r="BT133">
        <v>0</v>
      </c>
      <c r="BU133">
        <v>0</v>
      </c>
      <c r="BV133">
        <v>0</v>
      </c>
      <c r="BW133">
        <v>24</v>
      </c>
      <c r="BX133">
        <v>-0.99247319354838737</v>
      </c>
      <c r="BY133">
        <v>1775510572.5</v>
      </c>
      <c r="BZ133" t="s">
        <v>684</v>
      </c>
      <c r="CA133">
        <v>1775510569</v>
      </c>
      <c r="CB133">
        <v>1775510572.5</v>
      </c>
      <c r="CC133">
        <v>120</v>
      </c>
      <c r="CD133">
        <v>-2.5999999999999999E-2</v>
      </c>
      <c r="CE133">
        <v>0</v>
      </c>
      <c r="CF133">
        <v>7.8259999999999996</v>
      </c>
      <c r="CG133">
        <v>-0.98399999999999999</v>
      </c>
      <c r="CH133">
        <v>52</v>
      </c>
      <c r="CI133">
        <v>-3</v>
      </c>
      <c r="CJ133">
        <v>0.22</v>
      </c>
      <c r="CK133">
        <v>0.13</v>
      </c>
      <c r="CL133">
        <v>53.199189999999987</v>
      </c>
      <c r="CM133">
        <v>2.3408395665463231</v>
      </c>
      <c r="CN133">
        <v>0.55056941424310868</v>
      </c>
      <c r="CO133">
        <v>-1</v>
      </c>
      <c r="CP133">
        <v>500.01671666666681</v>
      </c>
      <c r="CQ133">
        <v>-0.19805834954049251</v>
      </c>
      <c r="CR133">
        <v>8.5873180071285693E-2</v>
      </c>
      <c r="CS133">
        <v>-1</v>
      </c>
      <c r="CT133">
        <v>0</v>
      </c>
      <c r="CU133">
        <v>0</v>
      </c>
      <c r="CV133" t="s">
        <v>333</v>
      </c>
      <c r="CW133">
        <v>3.1673900000000001</v>
      </c>
      <c r="CX133">
        <v>2.6590799999999999</v>
      </c>
      <c r="CY133">
        <v>1.3566099999999999E-2</v>
      </c>
      <c r="CZ133">
        <v>1.5803399999999999E-2</v>
      </c>
      <c r="DA133">
        <v>-1.1077E-2</v>
      </c>
      <c r="DB133">
        <v>-2.85615E-2</v>
      </c>
      <c r="DC133">
        <v>21346</v>
      </c>
      <c r="DD133">
        <v>21672.400000000001</v>
      </c>
      <c r="DE133">
        <v>23164.400000000001</v>
      </c>
      <c r="DF133">
        <v>22369.200000000001</v>
      </c>
      <c r="DG133">
        <v>30196.5</v>
      </c>
      <c r="DH133">
        <v>27426.7</v>
      </c>
      <c r="DI133">
        <v>40701.800000000003</v>
      </c>
      <c r="DJ133">
        <v>37061.300000000003</v>
      </c>
      <c r="DK133">
        <v>2.1029800000000001</v>
      </c>
      <c r="DL133">
        <v>1.8522799999999999</v>
      </c>
      <c r="DM133">
        <v>2.4616699999999998E-2</v>
      </c>
      <c r="DN133">
        <v>0</v>
      </c>
      <c r="DO133">
        <v>24.91</v>
      </c>
      <c r="DP133">
        <v>999.9</v>
      </c>
      <c r="DQ133">
        <v>79.099999999999994</v>
      </c>
      <c r="DR133">
        <v>28.1</v>
      </c>
      <c r="DS133">
        <v>30.136099999999999</v>
      </c>
      <c r="DT133">
        <v>30.370200000000001</v>
      </c>
      <c r="DU133">
        <v>9.1265999999999998</v>
      </c>
      <c r="DV133">
        <v>1</v>
      </c>
      <c r="DW133">
        <v>6.4920699999999998E-2</v>
      </c>
      <c r="DX133">
        <v>-0.146623</v>
      </c>
      <c r="DY133">
        <v>20.368300000000001</v>
      </c>
      <c r="DZ133">
        <v>5.2115400000000003</v>
      </c>
      <c r="EA133">
        <v>11.8482</v>
      </c>
      <c r="EB133">
        <v>4.9683599999999997</v>
      </c>
      <c r="EC133">
        <v>3.2920600000000002</v>
      </c>
      <c r="ED133">
        <v>894.7</v>
      </c>
      <c r="EE133">
        <v>0</v>
      </c>
      <c r="EF133">
        <v>9999</v>
      </c>
      <c r="EG133">
        <v>114.9</v>
      </c>
      <c r="EH133">
        <v>4.97166</v>
      </c>
      <c r="EI133">
        <v>1.8717999999999999</v>
      </c>
      <c r="EJ133">
        <v>1.8689100000000001</v>
      </c>
      <c r="EK133">
        <v>1.87134</v>
      </c>
      <c r="EL133">
        <v>1.8690599999999999</v>
      </c>
      <c r="EM133">
        <v>1.8681000000000001</v>
      </c>
      <c r="EN133">
        <v>1.8698999999999999</v>
      </c>
      <c r="EO133">
        <v>1.8717299999999999</v>
      </c>
      <c r="EP133">
        <v>0</v>
      </c>
      <c r="EQ133">
        <v>0</v>
      </c>
      <c r="ER133">
        <v>0</v>
      </c>
      <c r="ES133">
        <v>0</v>
      </c>
      <c r="ET133" t="s">
        <v>334</v>
      </c>
      <c r="EU133" t="s">
        <v>335</v>
      </c>
      <c r="EV133" t="s">
        <v>336</v>
      </c>
      <c r="EW133" t="s">
        <v>336</v>
      </c>
      <c r="EX133" t="s">
        <v>336</v>
      </c>
      <c r="EY133" t="s">
        <v>336</v>
      </c>
      <c r="EZ133">
        <v>0</v>
      </c>
      <c r="FA133">
        <v>100</v>
      </c>
      <c r="FB133">
        <v>100</v>
      </c>
      <c r="FC133">
        <v>7.8259999999999996</v>
      </c>
      <c r="FD133">
        <v>-0.98399999999999999</v>
      </c>
      <c r="FE133">
        <v>7.8522400000000019</v>
      </c>
      <c r="FF133">
        <v>0</v>
      </c>
      <c r="FG133">
        <v>0</v>
      </c>
      <c r="FH133">
        <v>0</v>
      </c>
      <c r="FI133">
        <v>-0.9843514999999996</v>
      </c>
      <c r="FJ133">
        <v>0</v>
      </c>
      <c r="FK133">
        <v>0</v>
      </c>
      <c r="FL133">
        <v>0</v>
      </c>
      <c r="FM133">
        <v>-1</v>
      </c>
      <c r="FN133">
        <v>-1</v>
      </c>
      <c r="FO133">
        <v>-1</v>
      </c>
      <c r="FP133">
        <v>-1</v>
      </c>
      <c r="FQ133">
        <v>0.7</v>
      </c>
      <c r="FR133">
        <v>0.7</v>
      </c>
      <c r="FS133">
        <v>0.142822</v>
      </c>
      <c r="FT133">
        <v>4.99756</v>
      </c>
      <c r="FU133">
        <v>1.5979000000000001</v>
      </c>
      <c r="FV133">
        <v>2.1606399999999999</v>
      </c>
      <c r="FW133">
        <v>1.5478499999999999</v>
      </c>
      <c r="FX133">
        <v>2.4194300000000002</v>
      </c>
      <c r="FY133">
        <v>32.598199999999999</v>
      </c>
      <c r="FZ133">
        <v>15.8482</v>
      </c>
      <c r="GA133">
        <v>3</v>
      </c>
      <c r="GB133">
        <v>492.55599999999998</v>
      </c>
      <c r="GC133">
        <v>423.447</v>
      </c>
      <c r="GD133">
        <v>25.960799999999999</v>
      </c>
      <c r="GE133">
        <v>27.982099999999999</v>
      </c>
      <c r="GF133">
        <v>30.0001</v>
      </c>
      <c r="GG133">
        <v>28.287700000000001</v>
      </c>
      <c r="GH133">
        <v>28.3415</v>
      </c>
      <c r="GI133">
        <v>-1</v>
      </c>
      <c r="GJ133">
        <v>0</v>
      </c>
      <c r="GK133">
        <v>100</v>
      </c>
      <c r="GL133">
        <v>25.959399999999999</v>
      </c>
      <c r="GM133">
        <v>432.1</v>
      </c>
      <c r="GN133">
        <v>63.216500000000003</v>
      </c>
      <c r="GO133">
        <v>102.461</v>
      </c>
      <c r="GP133">
        <v>96.7166</v>
      </c>
    </row>
    <row r="134" spans="1:198" x14ac:dyDescent="0.35">
      <c r="A134">
        <v>118</v>
      </c>
      <c r="B134">
        <v>1775510612</v>
      </c>
      <c r="C134">
        <v>7021</v>
      </c>
      <c r="D134" t="s">
        <v>685</v>
      </c>
      <c r="E134" t="s">
        <v>686</v>
      </c>
      <c r="F134">
        <v>60</v>
      </c>
      <c r="G134">
        <v>1775510604.25</v>
      </c>
      <c r="H134">
        <f t="shared" si="90"/>
        <v>1.0188496355909313E-3</v>
      </c>
      <c r="I134">
        <f t="shared" si="91"/>
        <v>1.0188496355909313</v>
      </c>
      <c r="J134">
        <f t="shared" si="92"/>
        <v>0.61442198576826812</v>
      </c>
      <c r="K134">
        <f t="shared" si="93"/>
        <v>51.931689999999982</v>
      </c>
      <c r="L134">
        <f t="shared" si="94"/>
        <v>16.232768080304101</v>
      </c>
      <c r="M134">
        <f t="shared" si="95"/>
        <v>1.6269501109467681</v>
      </c>
      <c r="N134">
        <f t="shared" si="96"/>
        <v>5.2049205895862416</v>
      </c>
      <c r="O134">
        <f t="shared" si="97"/>
        <v>2.9263533794017381E-2</v>
      </c>
      <c r="P134">
        <f t="shared" si="98"/>
        <v>2.3918734297708246</v>
      </c>
      <c r="Q134">
        <f t="shared" si="99"/>
        <v>2.9066079045524301E-2</v>
      </c>
      <c r="R134">
        <f t="shared" si="100"/>
        <v>1.8183928743456118E-2</v>
      </c>
      <c r="S134">
        <f t="shared" si="101"/>
        <v>0</v>
      </c>
      <c r="T134">
        <f t="shared" si="102"/>
        <v>24.980571455285517</v>
      </c>
      <c r="U134">
        <f t="shared" si="103"/>
        <v>25.305266666666672</v>
      </c>
      <c r="V134">
        <f t="shared" si="104"/>
        <v>3.2380090859697974</v>
      </c>
      <c r="W134">
        <f t="shared" si="105"/>
        <v>-6.8689842826618071</v>
      </c>
      <c r="X134">
        <f t="shared" si="106"/>
        <v>-0.22235686724539311</v>
      </c>
      <c r="Y134">
        <f t="shared" si="107"/>
        <v>3.2371142238110844</v>
      </c>
      <c r="Z134">
        <f t="shared" si="108"/>
        <v>3.4603659532151907</v>
      </c>
      <c r="AA134">
        <f t="shared" si="109"/>
        <v>-44.931268929560069</v>
      </c>
      <c r="AB134">
        <f t="shared" si="110"/>
        <v>-0.5991908280076722</v>
      </c>
      <c r="AC134">
        <f t="shared" si="111"/>
        <v>-5.3150919955447934E-2</v>
      </c>
      <c r="AD134">
        <f t="shared" si="112"/>
        <v>-45.58361067752319</v>
      </c>
      <c r="AE134">
        <v>18</v>
      </c>
      <c r="AF134">
        <v>4</v>
      </c>
      <c r="AG134">
        <f t="shared" si="113"/>
        <v>1</v>
      </c>
      <c r="AH134">
        <f t="shared" si="114"/>
        <v>0</v>
      </c>
      <c r="AI134">
        <f t="shared" si="115"/>
        <v>25719.547861993284</v>
      </c>
      <c r="AJ134">
        <f t="shared" si="116"/>
        <v>0</v>
      </c>
      <c r="AK134">
        <f t="shared" si="117"/>
        <v>0</v>
      </c>
      <c r="AL134">
        <f t="shared" si="118"/>
        <v>0</v>
      </c>
      <c r="AM134">
        <f t="shared" si="119"/>
        <v>0</v>
      </c>
      <c r="AN134">
        <v>3</v>
      </c>
      <c r="AO134">
        <v>0.5</v>
      </c>
      <c r="AP134" t="s">
        <v>331</v>
      </c>
      <c r="AQ134">
        <v>2</v>
      </c>
      <c r="AR134">
        <v>1775510604.25</v>
      </c>
      <c r="AS134">
        <v>51.931689999999982</v>
      </c>
      <c r="AT134">
        <v>52.332066666666663</v>
      </c>
      <c r="AU134">
        <v>-2.2185483333333331</v>
      </c>
      <c r="AV134">
        <v>-2.831179333333333</v>
      </c>
      <c r="AW134">
        <v>44.101689999999977</v>
      </c>
      <c r="AX134">
        <v>-1.231548333333333</v>
      </c>
      <c r="AY134">
        <v>500.02856666666679</v>
      </c>
      <c r="AZ134">
        <v>100.18866666666671</v>
      </c>
      <c r="BA134">
        <v>3.7622706666666672E-2</v>
      </c>
      <c r="BB134">
        <v>25.300619999999999</v>
      </c>
      <c r="BC134">
        <v>25.305266666666672</v>
      </c>
      <c r="BD134">
        <v>999.9000000000002</v>
      </c>
      <c r="BE134">
        <v>0</v>
      </c>
      <c r="BF134">
        <v>0</v>
      </c>
      <c r="BG134">
        <v>5000.4666666666662</v>
      </c>
      <c r="BH134">
        <v>0.4363797333333333</v>
      </c>
      <c r="BI134">
        <v>0.22961599999999999</v>
      </c>
      <c r="BJ134">
        <v>-0.40457803333333331</v>
      </c>
      <c r="BK134">
        <v>51.81266333333334</v>
      </c>
      <c r="BL134">
        <v>52.184326666666657</v>
      </c>
      <c r="BM134">
        <v>0.61518113333333335</v>
      </c>
      <c r="BN134">
        <v>52.332066666666663</v>
      </c>
      <c r="BO134">
        <v>-2.831179333333333</v>
      </c>
      <c r="BP134">
        <v>-0.22201799999999991</v>
      </c>
      <c r="BQ134">
        <v>-0.28365216666666659</v>
      </c>
      <c r="BR134">
        <v>-99.900000000000034</v>
      </c>
      <c r="BS134">
        <v>-99.900000000000034</v>
      </c>
      <c r="BT134">
        <v>0</v>
      </c>
      <c r="BU134">
        <v>0</v>
      </c>
      <c r="BV134">
        <v>0</v>
      </c>
      <c r="BW134">
        <v>24</v>
      </c>
      <c r="BX134">
        <v>-1</v>
      </c>
      <c r="BY134">
        <v>1775510632</v>
      </c>
      <c r="BZ134" t="s">
        <v>687</v>
      </c>
      <c r="CA134">
        <v>1775510629.5</v>
      </c>
      <c r="CB134">
        <v>1775510632</v>
      </c>
      <c r="CC134">
        <v>121</v>
      </c>
      <c r="CD134">
        <v>4.0000000000000001E-3</v>
      </c>
      <c r="CE134">
        <v>-2E-3</v>
      </c>
      <c r="CF134">
        <v>7.83</v>
      </c>
      <c r="CG134">
        <v>-0.98699999999999999</v>
      </c>
      <c r="CH134">
        <v>53</v>
      </c>
      <c r="CI134">
        <v>-3</v>
      </c>
      <c r="CJ134">
        <v>0.26</v>
      </c>
      <c r="CK134">
        <v>0.11</v>
      </c>
      <c r="CL134">
        <v>52.031422950819668</v>
      </c>
      <c r="CM134">
        <v>2.0289334743522569</v>
      </c>
      <c r="CN134">
        <v>0.31104386354183322</v>
      </c>
      <c r="CO134">
        <v>-1</v>
      </c>
      <c r="CP134">
        <v>500.02190163934432</v>
      </c>
      <c r="CQ134">
        <v>-0.12635219460599351</v>
      </c>
      <c r="CR134">
        <v>0.1019316236452245</v>
      </c>
      <c r="CS134">
        <v>-1</v>
      </c>
      <c r="CT134">
        <v>0</v>
      </c>
      <c r="CU134">
        <v>0</v>
      </c>
      <c r="CV134" t="s">
        <v>333</v>
      </c>
      <c r="CW134">
        <v>3.1673200000000001</v>
      </c>
      <c r="CX134">
        <v>2.65916</v>
      </c>
      <c r="CY134">
        <v>1.32456E-2</v>
      </c>
      <c r="CZ134">
        <v>1.5662300000000001E-2</v>
      </c>
      <c r="DA134">
        <v>-1.10314E-2</v>
      </c>
      <c r="DB134">
        <v>-2.8491300000000001E-2</v>
      </c>
      <c r="DC134">
        <v>21352.400000000001</v>
      </c>
      <c r="DD134">
        <v>21675.5</v>
      </c>
      <c r="DE134">
        <v>23163.8</v>
      </c>
      <c r="DF134">
        <v>22369.200000000001</v>
      </c>
      <c r="DG134">
        <v>30194.400000000001</v>
      </c>
      <c r="DH134">
        <v>27424.9</v>
      </c>
      <c r="DI134">
        <v>40700.800000000003</v>
      </c>
      <c r="DJ134">
        <v>37061.4</v>
      </c>
      <c r="DK134">
        <v>2.1027399999999998</v>
      </c>
      <c r="DL134">
        <v>1.8530599999999999</v>
      </c>
      <c r="DM134">
        <v>2.43127E-2</v>
      </c>
      <c r="DN134">
        <v>0</v>
      </c>
      <c r="DO134">
        <v>24.910299999999999</v>
      </c>
      <c r="DP134">
        <v>999.9</v>
      </c>
      <c r="DQ134">
        <v>79</v>
      </c>
      <c r="DR134">
        <v>28.2</v>
      </c>
      <c r="DS134">
        <v>30.2714</v>
      </c>
      <c r="DT134">
        <v>30.6402</v>
      </c>
      <c r="DU134">
        <v>9.2988800000000005</v>
      </c>
      <c r="DV134">
        <v>1</v>
      </c>
      <c r="DW134">
        <v>6.5398399999999995E-2</v>
      </c>
      <c r="DX134">
        <v>-0.14782799999999999</v>
      </c>
      <c r="DY134">
        <v>20.368400000000001</v>
      </c>
      <c r="DZ134">
        <v>5.2115400000000003</v>
      </c>
      <c r="EA134">
        <v>11.8482</v>
      </c>
      <c r="EB134">
        <v>4.968</v>
      </c>
      <c r="EC134">
        <v>3.2920799999999999</v>
      </c>
      <c r="ED134">
        <v>894.7</v>
      </c>
      <c r="EE134">
        <v>0</v>
      </c>
      <c r="EF134">
        <v>9999</v>
      </c>
      <c r="EG134">
        <v>114.9</v>
      </c>
      <c r="EH134">
        <v>4.97166</v>
      </c>
      <c r="EI134">
        <v>1.8717999999999999</v>
      </c>
      <c r="EJ134">
        <v>1.8689100000000001</v>
      </c>
      <c r="EK134">
        <v>1.87134</v>
      </c>
      <c r="EL134">
        <v>1.8690599999999999</v>
      </c>
      <c r="EM134">
        <v>1.86809</v>
      </c>
      <c r="EN134">
        <v>1.86991</v>
      </c>
      <c r="EO134">
        <v>1.8717600000000001</v>
      </c>
      <c r="EP134">
        <v>0</v>
      </c>
      <c r="EQ134">
        <v>0</v>
      </c>
      <c r="ER134">
        <v>0</v>
      </c>
      <c r="ES134">
        <v>0</v>
      </c>
      <c r="ET134" t="s">
        <v>334</v>
      </c>
      <c r="EU134" t="s">
        <v>335</v>
      </c>
      <c r="EV134" t="s">
        <v>336</v>
      </c>
      <c r="EW134" t="s">
        <v>336</v>
      </c>
      <c r="EX134" t="s">
        <v>336</v>
      </c>
      <c r="EY134" t="s">
        <v>336</v>
      </c>
      <c r="EZ134">
        <v>0</v>
      </c>
      <c r="FA134">
        <v>100</v>
      </c>
      <c r="FB134">
        <v>100</v>
      </c>
      <c r="FC134">
        <v>7.83</v>
      </c>
      <c r="FD134">
        <v>-0.98699999999999999</v>
      </c>
      <c r="FE134">
        <v>7.8258000000000081</v>
      </c>
      <c r="FF134">
        <v>0</v>
      </c>
      <c r="FG134">
        <v>0</v>
      </c>
      <c r="FH134">
        <v>0</v>
      </c>
      <c r="FI134">
        <v>-0.98445000000000027</v>
      </c>
      <c r="FJ134">
        <v>0</v>
      </c>
      <c r="FK134">
        <v>0</v>
      </c>
      <c r="FL134">
        <v>0</v>
      </c>
      <c r="FM134">
        <v>-1</v>
      </c>
      <c r="FN134">
        <v>-1</v>
      </c>
      <c r="FO134">
        <v>-1</v>
      </c>
      <c r="FP134">
        <v>-1</v>
      </c>
      <c r="FQ134">
        <v>0.7</v>
      </c>
      <c r="FR134">
        <v>0.7</v>
      </c>
      <c r="FS134">
        <v>0.142822</v>
      </c>
      <c r="FT134">
        <v>4.99756</v>
      </c>
      <c r="FU134">
        <v>1.5979000000000001</v>
      </c>
      <c r="FV134">
        <v>2.1606399999999999</v>
      </c>
      <c r="FW134">
        <v>1.5478499999999999</v>
      </c>
      <c r="FX134">
        <v>2.33887</v>
      </c>
      <c r="FY134">
        <v>32.620399999999997</v>
      </c>
      <c r="FZ134">
        <v>15.821899999999999</v>
      </c>
      <c r="GA134">
        <v>3</v>
      </c>
      <c r="GB134">
        <v>492.45600000000002</v>
      </c>
      <c r="GC134">
        <v>423.93799999999999</v>
      </c>
      <c r="GD134">
        <v>25.96</v>
      </c>
      <c r="GE134">
        <v>27.986899999999999</v>
      </c>
      <c r="GF134">
        <v>30.0001</v>
      </c>
      <c r="GG134">
        <v>28.292400000000001</v>
      </c>
      <c r="GH134">
        <v>28.3462</v>
      </c>
      <c r="GI134">
        <v>-1</v>
      </c>
      <c r="GJ134">
        <v>0</v>
      </c>
      <c r="GK134">
        <v>100</v>
      </c>
      <c r="GL134">
        <v>25.959199999999999</v>
      </c>
      <c r="GM134">
        <v>432.1</v>
      </c>
      <c r="GN134">
        <v>63.216500000000003</v>
      </c>
      <c r="GO134">
        <v>102.458</v>
      </c>
      <c r="GP134">
        <v>96.716899999999995</v>
      </c>
    </row>
    <row r="135" spans="1:198" x14ac:dyDescent="0.35">
      <c r="A135">
        <v>119</v>
      </c>
      <c r="B135">
        <v>1775510672</v>
      </c>
      <c r="C135">
        <v>7081</v>
      </c>
      <c r="D135" t="s">
        <v>688</v>
      </c>
      <c r="E135" t="s">
        <v>689</v>
      </c>
      <c r="F135">
        <v>60</v>
      </c>
      <c r="G135">
        <v>1775510664</v>
      </c>
      <c r="H135">
        <f t="shared" si="90"/>
        <v>1.0279889340249866E-3</v>
      </c>
      <c r="I135">
        <f t="shared" si="91"/>
        <v>1.0279889340249866</v>
      </c>
      <c r="J135">
        <f t="shared" si="92"/>
        <v>0.49514944853473075</v>
      </c>
      <c r="K135">
        <f t="shared" si="93"/>
        <v>53.311761290322593</v>
      </c>
      <c r="L135">
        <f t="shared" si="94"/>
        <v>24.155552282277988</v>
      </c>
      <c r="M135">
        <f t="shared" si="95"/>
        <v>2.4210013184741825</v>
      </c>
      <c r="N135">
        <f t="shared" si="96"/>
        <v>5.3431957533317949</v>
      </c>
      <c r="O135">
        <f t="shared" si="97"/>
        <v>2.9529490242302579E-2</v>
      </c>
      <c r="P135">
        <f t="shared" si="98"/>
        <v>2.3937926327490979</v>
      </c>
      <c r="Q135">
        <f t="shared" si="99"/>
        <v>2.9328603429119963E-2</v>
      </c>
      <c r="R135">
        <f t="shared" si="100"/>
        <v>1.8348311981772544E-2</v>
      </c>
      <c r="S135">
        <f t="shared" si="101"/>
        <v>0</v>
      </c>
      <c r="T135">
        <f t="shared" si="102"/>
        <v>24.978796017169696</v>
      </c>
      <c r="U135">
        <f t="shared" si="103"/>
        <v>25.306909677419359</v>
      </c>
      <c r="V135">
        <f t="shared" si="104"/>
        <v>3.2383255512073896</v>
      </c>
      <c r="W135">
        <f t="shared" si="105"/>
        <v>-6.8509341422547108</v>
      </c>
      <c r="X135">
        <f t="shared" si="106"/>
        <v>-0.22178387494571525</v>
      </c>
      <c r="Y135">
        <f t="shared" si="107"/>
        <v>3.2372793306800633</v>
      </c>
      <c r="Z135">
        <f t="shared" si="108"/>
        <v>3.4601094261531049</v>
      </c>
      <c r="AA135">
        <f t="shared" si="109"/>
        <v>-45.334311990501909</v>
      </c>
      <c r="AB135">
        <f t="shared" si="110"/>
        <v>-0.70105543849811347</v>
      </c>
      <c r="AC135">
        <f t="shared" si="111"/>
        <v>-6.2137692365453072E-2</v>
      </c>
      <c r="AD135">
        <f t="shared" si="112"/>
        <v>-46.097505121365479</v>
      </c>
      <c r="AE135">
        <v>18</v>
      </c>
      <c r="AF135">
        <v>4</v>
      </c>
      <c r="AG135">
        <f t="shared" si="113"/>
        <v>1</v>
      </c>
      <c r="AH135">
        <f t="shared" si="114"/>
        <v>0</v>
      </c>
      <c r="AI135">
        <f t="shared" si="115"/>
        <v>25748.870942172685</v>
      </c>
      <c r="AJ135">
        <f t="shared" si="116"/>
        <v>0</v>
      </c>
      <c r="AK135">
        <f t="shared" si="117"/>
        <v>0</v>
      </c>
      <c r="AL135">
        <f t="shared" si="118"/>
        <v>0</v>
      </c>
      <c r="AM135">
        <f t="shared" si="119"/>
        <v>0</v>
      </c>
      <c r="AN135">
        <v>3</v>
      </c>
      <c r="AO135">
        <v>0.5</v>
      </c>
      <c r="AP135" t="s">
        <v>331</v>
      </c>
      <c r="AQ135">
        <v>2</v>
      </c>
      <c r="AR135">
        <v>1775510664</v>
      </c>
      <c r="AS135">
        <v>53.311761290322593</v>
      </c>
      <c r="AT135">
        <v>53.64172580645161</v>
      </c>
      <c r="AU135">
        <v>-2.2128496774193551</v>
      </c>
      <c r="AV135">
        <v>-2.8309938709677418</v>
      </c>
      <c r="AW135">
        <v>45.489761290322583</v>
      </c>
      <c r="AX135">
        <v>-1.2268496774193549</v>
      </c>
      <c r="AY135">
        <v>500.01135483870962</v>
      </c>
      <c r="AZ135">
        <v>100.1880967741936</v>
      </c>
      <c r="BA135">
        <v>3.7362374193548389E-2</v>
      </c>
      <c r="BB135">
        <v>25.301477419354828</v>
      </c>
      <c r="BC135">
        <v>25.306909677419359</v>
      </c>
      <c r="BD135">
        <v>999.90000000000032</v>
      </c>
      <c r="BE135">
        <v>0</v>
      </c>
      <c r="BF135">
        <v>0</v>
      </c>
      <c r="BG135">
        <v>5005.4354838709678</v>
      </c>
      <c r="BH135">
        <v>0.42944774193548368</v>
      </c>
      <c r="BI135">
        <v>0.22961599999999999</v>
      </c>
      <c r="BJ135">
        <v>-0.32215751612903237</v>
      </c>
      <c r="BK135">
        <v>53.201816129032252</v>
      </c>
      <c r="BL135">
        <v>53.49029677419356</v>
      </c>
      <c r="BM135">
        <v>0.61759487096774213</v>
      </c>
      <c r="BN135">
        <v>53.64172580645161</v>
      </c>
      <c r="BO135">
        <v>-2.8309938709677418</v>
      </c>
      <c r="BP135">
        <v>-0.22175654838709671</v>
      </c>
      <c r="BQ135">
        <v>-0.2836321290322581</v>
      </c>
      <c r="BR135">
        <v>-99.900000000000034</v>
      </c>
      <c r="BS135">
        <v>-99.900000000000034</v>
      </c>
      <c r="BT135">
        <v>0</v>
      </c>
      <c r="BU135">
        <v>0</v>
      </c>
      <c r="BV135">
        <v>0</v>
      </c>
      <c r="BW135">
        <v>24</v>
      </c>
      <c r="BX135">
        <v>-1</v>
      </c>
      <c r="BY135">
        <v>1775510693</v>
      </c>
      <c r="BZ135" t="s">
        <v>690</v>
      </c>
      <c r="CA135">
        <v>1775510693</v>
      </c>
      <c r="CB135">
        <v>1775510692</v>
      </c>
      <c r="CC135">
        <v>122</v>
      </c>
      <c r="CD135">
        <v>-8.0000000000000002E-3</v>
      </c>
      <c r="CE135">
        <v>0</v>
      </c>
      <c r="CF135">
        <v>7.8220000000000001</v>
      </c>
      <c r="CG135">
        <v>-0.98599999999999999</v>
      </c>
      <c r="CH135">
        <v>53</v>
      </c>
      <c r="CI135">
        <v>-3</v>
      </c>
      <c r="CJ135">
        <v>0.28000000000000003</v>
      </c>
      <c r="CK135">
        <v>0.09</v>
      </c>
      <c r="CL135">
        <v>53.507081967213111</v>
      </c>
      <c r="CM135">
        <v>0.88507456372285576</v>
      </c>
      <c r="CN135">
        <v>0.17721244313729101</v>
      </c>
      <c r="CO135">
        <v>-1</v>
      </c>
      <c r="CP135">
        <v>500.01642622950823</v>
      </c>
      <c r="CQ135">
        <v>-0.12187837123243039</v>
      </c>
      <c r="CR135">
        <v>8.1347556114386696E-2</v>
      </c>
      <c r="CS135">
        <v>-1</v>
      </c>
      <c r="CT135">
        <v>0</v>
      </c>
      <c r="CU135">
        <v>0</v>
      </c>
      <c r="CV135" t="s">
        <v>333</v>
      </c>
      <c r="CW135">
        <v>3.1673800000000001</v>
      </c>
      <c r="CX135">
        <v>2.6588500000000002</v>
      </c>
      <c r="CY135">
        <v>1.36338E-2</v>
      </c>
      <c r="CZ135">
        <v>1.58697E-2</v>
      </c>
      <c r="DA135">
        <v>-1.09899E-2</v>
      </c>
      <c r="DB135">
        <v>-2.8470200000000001E-2</v>
      </c>
      <c r="DC135">
        <v>21343.599999999999</v>
      </c>
      <c r="DD135">
        <v>21670.7</v>
      </c>
      <c r="DE135">
        <v>23163.4</v>
      </c>
      <c r="DF135">
        <v>22368.9</v>
      </c>
      <c r="DG135">
        <v>30192.5</v>
      </c>
      <c r="DH135">
        <v>27424</v>
      </c>
      <c r="DI135">
        <v>40699.9</v>
      </c>
      <c r="DJ135">
        <v>37060.9</v>
      </c>
      <c r="DK135">
        <v>2.1028600000000002</v>
      </c>
      <c r="DL135">
        <v>1.8518399999999999</v>
      </c>
      <c r="DM135">
        <v>2.4125000000000001E-2</v>
      </c>
      <c r="DN135">
        <v>0</v>
      </c>
      <c r="DO135">
        <v>24.91</v>
      </c>
      <c r="DP135">
        <v>999.9</v>
      </c>
      <c r="DQ135">
        <v>79</v>
      </c>
      <c r="DR135">
        <v>28.2</v>
      </c>
      <c r="DS135">
        <v>30.273700000000002</v>
      </c>
      <c r="DT135">
        <v>30.7302</v>
      </c>
      <c r="DU135">
        <v>9.2548100000000009</v>
      </c>
      <c r="DV135">
        <v>1</v>
      </c>
      <c r="DW135">
        <v>6.5802799999999995E-2</v>
      </c>
      <c r="DX135">
        <v>-0.13239699999999999</v>
      </c>
      <c r="DY135">
        <v>20.3687</v>
      </c>
      <c r="DZ135">
        <v>5.2114200000000004</v>
      </c>
      <c r="EA135">
        <v>11.8482</v>
      </c>
      <c r="EB135">
        <v>4.9679599999999997</v>
      </c>
      <c r="EC135">
        <v>3.2920400000000001</v>
      </c>
      <c r="ED135">
        <v>894.7</v>
      </c>
      <c r="EE135">
        <v>0</v>
      </c>
      <c r="EF135">
        <v>9999</v>
      </c>
      <c r="EG135">
        <v>115</v>
      </c>
      <c r="EH135">
        <v>4.97166</v>
      </c>
      <c r="EI135">
        <v>1.8717999999999999</v>
      </c>
      <c r="EJ135">
        <v>1.8689499999999999</v>
      </c>
      <c r="EK135">
        <v>1.87134</v>
      </c>
      <c r="EL135">
        <v>1.86907</v>
      </c>
      <c r="EM135">
        <v>1.8680699999999999</v>
      </c>
      <c r="EN135">
        <v>1.8698999999999999</v>
      </c>
      <c r="EO135">
        <v>1.8717699999999999</v>
      </c>
      <c r="EP135">
        <v>0</v>
      </c>
      <c r="EQ135">
        <v>0</v>
      </c>
      <c r="ER135">
        <v>0</v>
      </c>
      <c r="ES135">
        <v>0</v>
      </c>
      <c r="ET135" t="s">
        <v>334</v>
      </c>
      <c r="EU135" t="s">
        <v>335</v>
      </c>
      <c r="EV135" t="s">
        <v>336</v>
      </c>
      <c r="EW135" t="s">
        <v>336</v>
      </c>
      <c r="EX135" t="s">
        <v>336</v>
      </c>
      <c r="EY135" t="s">
        <v>336</v>
      </c>
      <c r="EZ135">
        <v>0</v>
      </c>
      <c r="FA135">
        <v>100</v>
      </c>
      <c r="FB135">
        <v>100</v>
      </c>
      <c r="FC135">
        <v>7.8220000000000001</v>
      </c>
      <c r="FD135">
        <v>-0.98599999999999999</v>
      </c>
      <c r="FE135">
        <v>7.8298095238095158</v>
      </c>
      <c r="FF135">
        <v>0</v>
      </c>
      <c r="FG135">
        <v>0</v>
      </c>
      <c r="FH135">
        <v>0</v>
      </c>
      <c r="FI135">
        <v>-0.98655000000000004</v>
      </c>
      <c r="FJ135">
        <v>0</v>
      </c>
      <c r="FK135">
        <v>0</v>
      </c>
      <c r="FL135">
        <v>0</v>
      </c>
      <c r="FM135">
        <v>-1</v>
      </c>
      <c r="FN135">
        <v>-1</v>
      </c>
      <c r="FO135">
        <v>-1</v>
      </c>
      <c r="FP135">
        <v>-1</v>
      </c>
      <c r="FQ135">
        <v>0.7</v>
      </c>
      <c r="FR135">
        <v>0.7</v>
      </c>
      <c r="FS135">
        <v>0.142822</v>
      </c>
      <c r="FT135">
        <v>4.99756</v>
      </c>
      <c r="FU135">
        <v>1.5979000000000001</v>
      </c>
      <c r="FV135">
        <v>2.16187</v>
      </c>
      <c r="FW135">
        <v>1.5478499999999999</v>
      </c>
      <c r="FX135">
        <v>2.3779300000000001</v>
      </c>
      <c r="FY135">
        <v>32.620399999999997</v>
      </c>
      <c r="FZ135">
        <v>15.821899999999999</v>
      </c>
      <c r="GA135">
        <v>3</v>
      </c>
      <c r="GB135">
        <v>492.56200000000001</v>
      </c>
      <c r="GC135">
        <v>423.25599999999997</v>
      </c>
      <c r="GD135">
        <v>25.947900000000001</v>
      </c>
      <c r="GE135">
        <v>27.992599999999999</v>
      </c>
      <c r="GF135">
        <v>30.0001</v>
      </c>
      <c r="GG135">
        <v>28.2971</v>
      </c>
      <c r="GH135">
        <v>28.350899999999999</v>
      </c>
      <c r="GI135">
        <v>-1</v>
      </c>
      <c r="GJ135">
        <v>0</v>
      </c>
      <c r="GK135">
        <v>100</v>
      </c>
      <c r="GL135">
        <v>25.947700000000001</v>
      </c>
      <c r="GM135">
        <v>432.1</v>
      </c>
      <c r="GN135">
        <v>63.216500000000003</v>
      </c>
      <c r="GO135">
        <v>102.456</v>
      </c>
      <c r="GP135">
        <v>96.715599999999995</v>
      </c>
    </row>
    <row r="136" spans="1:198" x14ac:dyDescent="0.35">
      <c r="A136">
        <v>120</v>
      </c>
      <c r="B136">
        <v>1775510732</v>
      </c>
      <c r="C136">
        <v>7141</v>
      </c>
      <c r="D136" t="s">
        <v>691</v>
      </c>
      <c r="E136" t="s">
        <v>692</v>
      </c>
      <c r="F136">
        <v>60</v>
      </c>
      <c r="G136">
        <v>1775510724</v>
      </c>
      <c r="H136">
        <f t="shared" si="90"/>
        <v>1.0057086008380828E-3</v>
      </c>
      <c r="I136">
        <f t="shared" si="91"/>
        <v>1.0057086008380827</v>
      </c>
      <c r="J136">
        <f t="shared" si="92"/>
        <v>0.18316824813815311</v>
      </c>
      <c r="K136">
        <f t="shared" si="93"/>
        <v>52.693225806451629</v>
      </c>
      <c r="L136">
        <f t="shared" si="94"/>
        <v>39.89450279704775</v>
      </c>
      <c r="M136">
        <f t="shared" si="95"/>
        <v>3.9984487578949559</v>
      </c>
      <c r="N136">
        <f t="shared" si="96"/>
        <v>5.2812078984194386</v>
      </c>
      <c r="O136">
        <f t="shared" si="97"/>
        <v>2.888352916948371E-2</v>
      </c>
      <c r="P136">
        <f t="shared" si="98"/>
        <v>2.3922864059572819</v>
      </c>
      <c r="Q136">
        <f t="shared" si="99"/>
        <v>2.8691184042437576E-2</v>
      </c>
      <c r="R136">
        <f t="shared" si="100"/>
        <v>1.7949164573970548E-2</v>
      </c>
      <c r="S136">
        <f t="shared" si="101"/>
        <v>0</v>
      </c>
      <c r="T136">
        <f t="shared" si="102"/>
        <v>24.983280740845039</v>
      </c>
      <c r="U136">
        <f t="shared" si="103"/>
        <v>25.306190322580651</v>
      </c>
      <c r="V136">
        <f t="shared" si="104"/>
        <v>3.2381869907849534</v>
      </c>
      <c r="W136">
        <f t="shared" si="105"/>
        <v>-6.8630967160809879</v>
      </c>
      <c r="X136">
        <f t="shared" si="106"/>
        <v>-0.22214687531894514</v>
      </c>
      <c r="Y136">
        <f t="shared" si="107"/>
        <v>3.2368314845167583</v>
      </c>
      <c r="Z136">
        <f t="shared" si="108"/>
        <v>3.4603338661038987</v>
      </c>
      <c r="AA136">
        <f t="shared" si="109"/>
        <v>-44.351749296959447</v>
      </c>
      <c r="AB136">
        <f t="shared" si="110"/>
        <v>-0.90780311411316017</v>
      </c>
      <c r="AC136">
        <f t="shared" si="111"/>
        <v>-8.0512095393393851E-2</v>
      </c>
      <c r="AD136">
        <f t="shared" si="112"/>
        <v>-45.340064506466</v>
      </c>
      <c r="AE136">
        <v>18</v>
      </c>
      <c r="AF136">
        <v>4</v>
      </c>
      <c r="AG136">
        <f t="shared" si="113"/>
        <v>1</v>
      </c>
      <c r="AH136">
        <f t="shared" si="114"/>
        <v>0</v>
      </c>
      <c r="AI136">
        <f t="shared" si="115"/>
        <v>25726.023014395225</v>
      </c>
      <c r="AJ136">
        <f t="shared" si="116"/>
        <v>0</v>
      </c>
      <c r="AK136">
        <f t="shared" si="117"/>
        <v>0</v>
      </c>
      <c r="AL136">
        <f t="shared" si="118"/>
        <v>0</v>
      </c>
      <c r="AM136">
        <f t="shared" si="119"/>
        <v>0</v>
      </c>
      <c r="AN136">
        <v>3</v>
      </c>
      <c r="AO136">
        <v>0.5</v>
      </c>
      <c r="AP136" t="s">
        <v>331</v>
      </c>
      <c r="AQ136">
        <v>2</v>
      </c>
      <c r="AR136">
        <v>1775510724</v>
      </c>
      <c r="AS136">
        <v>52.693225806451629</v>
      </c>
      <c r="AT136">
        <v>52.834925806451608</v>
      </c>
      <c r="AU136">
        <v>-2.21646935483871</v>
      </c>
      <c r="AV136">
        <v>-2.8212432258064521</v>
      </c>
      <c r="AW136">
        <v>44.874225806451634</v>
      </c>
      <c r="AX136">
        <v>-1.22846935483871</v>
      </c>
      <c r="AY136">
        <v>499.99070967741932</v>
      </c>
      <c r="AZ136">
        <v>100.18796774193549</v>
      </c>
      <c r="BA136">
        <v>3.7589103225806442E-2</v>
      </c>
      <c r="BB136">
        <v>25.29915161290322</v>
      </c>
      <c r="BC136">
        <v>25.306190322580651</v>
      </c>
      <c r="BD136">
        <v>999.90000000000032</v>
      </c>
      <c r="BE136">
        <v>0</v>
      </c>
      <c r="BF136">
        <v>0</v>
      </c>
      <c r="BG136">
        <v>5001.5645161290322</v>
      </c>
      <c r="BH136">
        <v>0.39874916129032262</v>
      </c>
      <c r="BI136">
        <v>0.22961599999999999</v>
      </c>
      <c r="BJ136">
        <v>-0.1391880935483871</v>
      </c>
      <c r="BK136">
        <v>52.579277419354838</v>
      </c>
      <c r="BL136">
        <v>52.68628064516129</v>
      </c>
      <c r="BM136">
        <v>0.60629948387096777</v>
      </c>
      <c r="BN136">
        <v>52.834925806451608</v>
      </c>
      <c r="BO136">
        <v>-2.8212432258064521</v>
      </c>
      <c r="BP136">
        <v>-0.2219108387096774</v>
      </c>
      <c r="BQ136">
        <v>-0.28265480645161289</v>
      </c>
      <c r="BR136">
        <v>-99.900000000000034</v>
      </c>
      <c r="BS136">
        <v>-99.900000000000034</v>
      </c>
      <c r="BT136">
        <v>0</v>
      </c>
      <c r="BU136">
        <v>0</v>
      </c>
      <c r="BV136">
        <v>0</v>
      </c>
      <c r="BW136">
        <v>24</v>
      </c>
      <c r="BX136">
        <v>-1</v>
      </c>
      <c r="BY136">
        <v>1775510752</v>
      </c>
      <c r="BZ136" t="s">
        <v>693</v>
      </c>
      <c r="CA136">
        <v>1775510746</v>
      </c>
      <c r="CB136">
        <v>1775510752</v>
      </c>
      <c r="CC136">
        <v>123</v>
      </c>
      <c r="CD136">
        <v>-2E-3</v>
      </c>
      <c r="CE136">
        <v>-1E-3</v>
      </c>
      <c r="CF136">
        <v>7.819</v>
      </c>
      <c r="CG136">
        <v>-0.98799999999999999</v>
      </c>
      <c r="CH136">
        <v>52</v>
      </c>
      <c r="CI136">
        <v>-3</v>
      </c>
      <c r="CJ136">
        <v>0.18</v>
      </c>
      <c r="CK136">
        <v>0.11</v>
      </c>
      <c r="CL136">
        <v>52.816057377049177</v>
      </c>
      <c r="CM136">
        <v>0.13443426758318769</v>
      </c>
      <c r="CN136">
        <v>5.653004556991386E-2</v>
      </c>
      <c r="CO136">
        <v>-1</v>
      </c>
      <c r="CP136">
        <v>500.03722950819679</v>
      </c>
      <c r="CQ136">
        <v>-0.46345637229020359</v>
      </c>
      <c r="CR136">
        <v>0.14187311272004169</v>
      </c>
      <c r="CS136">
        <v>-1</v>
      </c>
      <c r="CT136">
        <v>0</v>
      </c>
      <c r="CU136">
        <v>0</v>
      </c>
      <c r="CV136" t="s">
        <v>333</v>
      </c>
      <c r="CW136">
        <v>3.16744</v>
      </c>
      <c r="CX136">
        <v>2.6590400000000001</v>
      </c>
      <c r="CY136">
        <v>1.3411899999999999E-2</v>
      </c>
      <c r="CZ136">
        <v>1.5748000000000002E-2</v>
      </c>
      <c r="DA136">
        <v>-1.0995700000000001E-2</v>
      </c>
      <c r="DB136">
        <v>-2.8395799999999999E-2</v>
      </c>
      <c r="DC136">
        <v>21348.2</v>
      </c>
      <c r="DD136">
        <v>21673.200000000001</v>
      </c>
      <c r="DE136">
        <v>23163.200000000001</v>
      </c>
      <c r="DF136">
        <v>22368.799999999999</v>
      </c>
      <c r="DG136">
        <v>30192.6</v>
      </c>
      <c r="DH136">
        <v>27421.8</v>
      </c>
      <c r="DI136">
        <v>40699.800000000003</v>
      </c>
      <c r="DJ136">
        <v>37060.5</v>
      </c>
      <c r="DK136">
        <v>2.1029200000000001</v>
      </c>
      <c r="DL136">
        <v>1.8520000000000001</v>
      </c>
      <c r="DM136">
        <v>2.47777E-2</v>
      </c>
      <c r="DN136">
        <v>0</v>
      </c>
      <c r="DO136">
        <v>24.910799999999998</v>
      </c>
      <c r="DP136">
        <v>999.9</v>
      </c>
      <c r="DQ136">
        <v>79</v>
      </c>
      <c r="DR136">
        <v>28.2</v>
      </c>
      <c r="DS136">
        <v>30.271100000000001</v>
      </c>
      <c r="DT136">
        <v>31.0002</v>
      </c>
      <c r="DU136">
        <v>9.1586499999999997</v>
      </c>
      <c r="DV136">
        <v>1</v>
      </c>
      <c r="DW136">
        <v>6.6142300000000001E-2</v>
      </c>
      <c r="DX136">
        <v>-0.124804</v>
      </c>
      <c r="DY136">
        <v>20.368400000000001</v>
      </c>
      <c r="DZ136">
        <v>5.2127400000000002</v>
      </c>
      <c r="EA136">
        <v>11.8482</v>
      </c>
      <c r="EB136">
        <v>4.9683599999999997</v>
      </c>
      <c r="EC136">
        <v>3.2919999999999998</v>
      </c>
      <c r="ED136">
        <v>894.7</v>
      </c>
      <c r="EE136">
        <v>0</v>
      </c>
      <c r="EF136">
        <v>9999</v>
      </c>
      <c r="EG136">
        <v>115</v>
      </c>
      <c r="EH136">
        <v>4.9716399999999998</v>
      </c>
      <c r="EI136">
        <v>1.8717999999999999</v>
      </c>
      <c r="EJ136">
        <v>1.86893</v>
      </c>
      <c r="EK136">
        <v>1.87134</v>
      </c>
      <c r="EL136">
        <v>1.86907</v>
      </c>
      <c r="EM136">
        <v>1.86805</v>
      </c>
      <c r="EN136">
        <v>1.8698600000000001</v>
      </c>
      <c r="EO136">
        <v>1.87174</v>
      </c>
      <c r="EP136">
        <v>0</v>
      </c>
      <c r="EQ136">
        <v>0</v>
      </c>
      <c r="ER136">
        <v>0</v>
      </c>
      <c r="ES136">
        <v>0</v>
      </c>
      <c r="ET136" t="s">
        <v>334</v>
      </c>
      <c r="EU136" t="s">
        <v>335</v>
      </c>
      <c r="EV136" t="s">
        <v>336</v>
      </c>
      <c r="EW136" t="s">
        <v>336</v>
      </c>
      <c r="EX136" t="s">
        <v>336</v>
      </c>
      <c r="EY136" t="s">
        <v>336</v>
      </c>
      <c r="EZ136">
        <v>0</v>
      </c>
      <c r="FA136">
        <v>100</v>
      </c>
      <c r="FB136">
        <v>100</v>
      </c>
      <c r="FC136">
        <v>7.819</v>
      </c>
      <c r="FD136">
        <v>-0.98799999999999999</v>
      </c>
      <c r="FE136">
        <v>7.821514999999998</v>
      </c>
      <c r="FF136">
        <v>0</v>
      </c>
      <c r="FG136">
        <v>0</v>
      </c>
      <c r="FH136">
        <v>0</v>
      </c>
      <c r="FI136">
        <v>-0.98647499999999999</v>
      </c>
      <c r="FJ136">
        <v>0</v>
      </c>
      <c r="FK136">
        <v>0</v>
      </c>
      <c r="FL136">
        <v>0</v>
      </c>
      <c r="FM136">
        <v>-1</v>
      </c>
      <c r="FN136">
        <v>-1</v>
      </c>
      <c r="FO136">
        <v>-1</v>
      </c>
      <c r="FP136">
        <v>-1</v>
      </c>
      <c r="FQ136">
        <v>0.7</v>
      </c>
      <c r="FR136">
        <v>0.7</v>
      </c>
      <c r="FS136">
        <v>0.142822</v>
      </c>
      <c r="FT136">
        <v>4.99756</v>
      </c>
      <c r="FU136">
        <v>1.5979000000000001</v>
      </c>
      <c r="FV136">
        <v>2.16187</v>
      </c>
      <c r="FW136">
        <v>1.5478499999999999</v>
      </c>
      <c r="FX136">
        <v>2.3071299999999999</v>
      </c>
      <c r="FY136">
        <v>32.642600000000002</v>
      </c>
      <c r="FZ136">
        <v>15.8132</v>
      </c>
      <c r="GA136">
        <v>3</v>
      </c>
      <c r="GB136">
        <v>492.63400000000001</v>
      </c>
      <c r="GC136">
        <v>423.38400000000001</v>
      </c>
      <c r="GD136">
        <v>25.973700000000001</v>
      </c>
      <c r="GE136">
        <v>27.996500000000001</v>
      </c>
      <c r="GF136">
        <v>30.0001</v>
      </c>
      <c r="GG136">
        <v>28.3019</v>
      </c>
      <c r="GH136">
        <v>28.355699999999999</v>
      </c>
      <c r="GI136">
        <v>-1</v>
      </c>
      <c r="GJ136">
        <v>0</v>
      </c>
      <c r="GK136">
        <v>100</v>
      </c>
      <c r="GL136">
        <v>25.963899999999999</v>
      </c>
      <c r="GM136">
        <v>432.1</v>
      </c>
      <c r="GN136">
        <v>63.216500000000003</v>
      </c>
      <c r="GO136">
        <v>102.456</v>
      </c>
      <c r="GP136">
        <v>96.714799999999997</v>
      </c>
    </row>
    <row r="137" spans="1:198" x14ac:dyDescent="0.35">
      <c r="A137">
        <v>121</v>
      </c>
      <c r="B137">
        <v>1775510792</v>
      </c>
      <c r="C137">
        <v>7201</v>
      </c>
      <c r="D137" t="s">
        <v>694</v>
      </c>
      <c r="E137" t="s">
        <v>695</v>
      </c>
      <c r="F137">
        <v>60</v>
      </c>
      <c r="G137">
        <v>1775510784</v>
      </c>
      <c r="H137">
        <f t="shared" si="90"/>
        <v>9.9729485085704207E-4</v>
      </c>
      <c r="I137">
        <f t="shared" si="91"/>
        <v>0.99729485085704217</v>
      </c>
      <c r="J137">
        <f t="shared" si="92"/>
        <v>0.2240421030215255</v>
      </c>
      <c r="K137">
        <f t="shared" si="93"/>
        <v>52.570561290322573</v>
      </c>
      <c r="L137">
        <f t="shared" si="94"/>
        <v>37.459048205861308</v>
      </c>
      <c r="M137">
        <f t="shared" si="95"/>
        <v>3.7543145478907753</v>
      </c>
      <c r="N137">
        <f t="shared" si="96"/>
        <v>5.268858460001109</v>
      </c>
      <c r="O137">
        <f t="shared" si="97"/>
        <v>2.8636736059137791E-2</v>
      </c>
      <c r="P137">
        <f t="shared" si="98"/>
        <v>2.3931855684239269</v>
      </c>
      <c r="Q137">
        <f t="shared" si="99"/>
        <v>2.8447722770732847E-2</v>
      </c>
      <c r="R137">
        <f t="shared" si="100"/>
        <v>1.7796704704949165E-2</v>
      </c>
      <c r="S137">
        <f t="shared" si="101"/>
        <v>0</v>
      </c>
      <c r="T137">
        <f t="shared" si="102"/>
        <v>24.98687679396372</v>
      </c>
      <c r="U137">
        <f t="shared" si="103"/>
        <v>25.307241935483869</v>
      </c>
      <c r="V137">
        <f t="shared" si="104"/>
        <v>3.2383895517164181</v>
      </c>
      <c r="W137">
        <f t="shared" si="105"/>
        <v>-6.868233855086789</v>
      </c>
      <c r="X137">
        <f t="shared" si="106"/>
        <v>-0.222324332800137</v>
      </c>
      <c r="Y137">
        <f t="shared" si="107"/>
        <v>3.236994218469686</v>
      </c>
      <c r="Z137">
        <f t="shared" si="108"/>
        <v>3.4607138845165553</v>
      </c>
      <c r="AA137">
        <f t="shared" si="109"/>
        <v>-43.980702922795558</v>
      </c>
      <c r="AB137">
        <f t="shared" si="110"/>
        <v>-0.93478100045068901</v>
      </c>
      <c r="AC137">
        <f t="shared" si="111"/>
        <v>-8.2874377172243607E-2</v>
      </c>
      <c r="AD137">
        <f t="shared" si="112"/>
        <v>-44.998358300418495</v>
      </c>
      <c r="AE137">
        <v>18</v>
      </c>
      <c r="AF137">
        <v>4</v>
      </c>
      <c r="AG137">
        <f t="shared" si="113"/>
        <v>1</v>
      </c>
      <c r="AH137">
        <f t="shared" si="114"/>
        <v>0</v>
      </c>
      <c r="AI137">
        <f t="shared" si="115"/>
        <v>25739.757360779564</v>
      </c>
      <c r="AJ137">
        <f t="shared" si="116"/>
        <v>0</v>
      </c>
      <c r="AK137">
        <f t="shared" si="117"/>
        <v>0</v>
      </c>
      <c r="AL137">
        <f t="shared" si="118"/>
        <v>0</v>
      </c>
      <c r="AM137">
        <f t="shared" si="119"/>
        <v>0</v>
      </c>
      <c r="AN137">
        <v>3</v>
      </c>
      <c r="AO137">
        <v>0.5</v>
      </c>
      <c r="AP137" t="s">
        <v>331</v>
      </c>
      <c r="AQ137">
        <v>2</v>
      </c>
      <c r="AR137">
        <v>1775510784</v>
      </c>
      <c r="AS137">
        <v>52.570561290322573</v>
      </c>
      <c r="AT137">
        <v>52.736441935483867</v>
      </c>
      <c r="AU137">
        <v>-2.2182632258064521</v>
      </c>
      <c r="AV137">
        <v>-2.8179616129032272</v>
      </c>
      <c r="AW137">
        <v>44.706561290322568</v>
      </c>
      <c r="AX137">
        <v>-1.229263225806452</v>
      </c>
      <c r="AY137">
        <v>500.00490322580652</v>
      </c>
      <c r="AZ137">
        <v>100.1868387096774</v>
      </c>
      <c r="BA137">
        <v>3.766585483870967E-2</v>
      </c>
      <c r="BB137">
        <v>25.299996774193541</v>
      </c>
      <c r="BC137">
        <v>25.307241935483869</v>
      </c>
      <c r="BD137">
        <v>999.90000000000032</v>
      </c>
      <c r="BE137">
        <v>0</v>
      </c>
      <c r="BF137">
        <v>0</v>
      </c>
      <c r="BG137">
        <v>5003.9354838709678</v>
      </c>
      <c r="BH137">
        <v>0.38515512903225801</v>
      </c>
      <c r="BI137">
        <v>0.22961599999999999</v>
      </c>
      <c r="BJ137">
        <v>-0.21081395548387091</v>
      </c>
      <c r="BK137">
        <v>52.409432258064513</v>
      </c>
      <c r="BL137">
        <v>52.588251612903221</v>
      </c>
      <c r="BM137">
        <v>0.60097287096774199</v>
      </c>
      <c r="BN137">
        <v>52.736441935483867</v>
      </c>
      <c r="BO137">
        <v>-2.8179616129032272</v>
      </c>
      <c r="BP137">
        <v>-0.222113064516129</v>
      </c>
      <c r="BQ137">
        <v>-0.2823225806451613</v>
      </c>
      <c r="BR137">
        <v>-99.900000000000034</v>
      </c>
      <c r="BS137">
        <v>-99.900000000000034</v>
      </c>
      <c r="BT137">
        <v>0</v>
      </c>
      <c r="BU137">
        <v>0</v>
      </c>
      <c r="BV137">
        <v>0</v>
      </c>
      <c r="BW137">
        <v>24</v>
      </c>
      <c r="BX137">
        <v>-1</v>
      </c>
      <c r="BY137">
        <v>1775510812</v>
      </c>
      <c r="BZ137" t="s">
        <v>696</v>
      </c>
      <c r="CA137">
        <v>1775510810</v>
      </c>
      <c r="CB137">
        <v>1775510812</v>
      </c>
      <c r="CC137">
        <v>124</v>
      </c>
      <c r="CD137">
        <v>4.4999999999999998E-2</v>
      </c>
      <c r="CE137">
        <v>-1E-3</v>
      </c>
      <c r="CF137">
        <v>7.8639999999999999</v>
      </c>
      <c r="CG137">
        <v>-0.98899999999999999</v>
      </c>
      <c r="CH137">
        <v>53</v>
      </c>
      <c r="CI137">
        <v>-3</v>
      </c>
      <c r="CJ137">
        <v>0.37</v>
      </c>
      <c r="CK137">
        <v>0.12</v>
      </c>
      <c r="CL137">
        <v>52.6023</v>
      </c>
      <c r="CM137">
        <v>0.94873687135322471</v>
      </c>
      <c r="CN137">
        <v>0.2500436408576181</v>
      </c>
      <c r="CO137">
        <v>-1</v>
      </c>
      <c r="CP137">
        <v>499.99731666666668</v>
      </c>
      <c r="CQ137">
        <v>7.461739372053329E-2</v>
      </c>
      <c r="CR137">
        <v>5.3181917875236732E-2</v>
      </c>
      <c r="CS137">
        <v>-1</v>
      </c>
      <c r="CT137">
        <v>0</v>
      </c>
      <c r="CU137">
        <v>0</v>
      </c>
      <c r="CV137" t="s">
        <v>333</v>
      </c>
      <c r="CW137">
        <v>3.1673800000000001</v>
      </c>
      <c r="CX137">
        <v>2.6590600000000002</v>
      </c>
      <c r="CY137">
        <v>1.33469E-2</v>
      </c>
      <c r="CZ137">
        <v>1.56969E-2</v>
      </c>
      <c r="DA137">
        <v>-1.1025800000000001E-2</v>
      </c>
      <c r="DB137">
        <v>-2.8300499999999999E-2</v>
      </c>
      <c r="DC137">
        <v>21349.3</v>
      </c>
      <c r="DD137">
        <v>21674.2</v>
      </c>
      <c r="DE137">
        <v>23162.9</v>
      </c>
      <c r="DF137">
        <v>22368.6</v>
      </c>
      <c r="DG137">
        <v>30193.3</v>
      </c>
      <c r="DH137">
        <v>27419.200000000001</v>
      </c>
      <c r="DI137">
        <v>40699.599999999999</v>
      </c>
      <c r="DJ137">
        <v>37060.5</v>
      </c>
      <c r="DK137">
        <v>2.1026400000000001</v>
      </c>
      <c r="DL137">
        <v>1.8515999999999999</v>
      </c>
      <c r="DM137">
        <v>2.4285899999999999E-2</v>
      </c>
      <c r="DN137">
        <v>0</v>
      </c>
      <c r="DO137">
        <v>24.907900000000001</v>
      </c>
      <c r="DP137">
        <v>999.9</v>
      </c>
      <c r="DQ137">
        <v>78.900000000000006</v>
      </c>
      <c r="DR137">
        <v>28.2</v>
      </c>
      <c r="DS137">
        <v>30.236499999999999</v>
      </c>
      <c r="DT137">
        <v>30.4602</v>
      </c>
      <c r="DU137">
        <v>8.9343000000000004</v>
      </c>
      <c r="DV137">
        <v>1</v>
      </c>
      <c r="DW137">
        <v>6.64492E-2</v>
      </c>
      <c r="DX137">
        <v>-0.148508</v>
      </c>
      <c r="DY137">
        <v>20.368300000000001</v>
      </c>
      <c r="DZ137">
        <v>5.2126200000000003</v>
      </c>
      <c r="EA137">
        <v>11.8482</v>
      </c>
      <c r="EB137">
        <v>4.96868</v>
      </c>
      <c r="EC137">
        <v>3.2919999999999998</v>
      </c>
      <c r="ED137">
        <v>894.7</v>
      </c>
      <c r="EE137">
        <v>0</v>
      </c>
      <c r="EF137">
        <v>9999</v>
      </c>
      <c r="EG137">
        <v>115</v>
      </c>
      <c r="EH137">
        <v>4.9716300000000002</v>
      </c>
      <c r="EI137">
        <v>1.8717999999999999</v>
      </c>
      <c r="EJ137">
        <v>1.8689100000000001</v>
      </c>
      <c r="EK137">
        <v>1.87134</v>
      </c>
      <c r="EL137">
        <v>1.8690599999999999</v>
      </c>
      <c r="EM137">
        <v>1.8680699999999999</v>
      </c>
      <c r="EN137">
        <v>1.86991</v>
      </c>
      <c r="EO137">
        <v>1.87174</v>
      </c>
      <c r="EP137">
        <v>0</v>
      </c>
      <c r="EQ137">
        <v>0</v>
      </c>
      <c r="ER137">
        <v>0</v>
      </c>
      <c r="ES137">
        <v>0</v>
      </c>
      <c r="ET137" t="s">
        <v>334</v>
      </c>
      <c r="EU137" t="s">
        <v>335</v>
      </c>
      <c r="EV137" t="s">
        <v>336</v>
      </c>
      <c r="EW137" t="s">
        <v>336</v>
      </c>
      <c r="EX137" t="s">
        <v>336</v>
      </c>
      <c r="EY137" t="s">
        <v>336</v>
      </c>
      <c r="EZ137">
        <v>0</v>
      </c>
      <c r="FA137">
        <v>100</v>
      </c>
      <c r="FB137">
        <v>100</v>
      </c>
      <c r="FC137">
        <v>7.8639999999999999</v>
      </c>
      <c r="FD137">
        <v>-0.98899999999999999</v>
      </c>
      <c r="FE137">
        <v>7.8190700000000106</v>
      </c>
      <c r="FF137">
        <v>0</v>
      </c>
      <c r="FG137">
        <v>0</v>
      </c>
      <c r="FH137">
        <v>0</v>
      </c>
      <c r="FI137">
        <v>-0.98772500000000019</v>
      </c>
      <c r="FJ137">
        <v>0</v>
      </c>
      <c r="FK137">
        <v>0</v>
      </c>
      <c r="FL137">
        <v>0</v>
      </c>
      <c r="FM137">
        <v>-1</v>
      </c>
      <c r="FN137">
        <v>-1</v>
      </c>
      <c r="FO137">
        <v>-1</v>
      </c>
      <c r="FP137">
        <v>-1</v>
      </c>
      <c r="FQ137">
        <v>0.8</v>
      </c>
      <c r="FR137">
        <v>0.7</v>
      </c>
      <c r="FS137">
        <v>0.142822</v>
      </c>
      <c r="FT137">
        <v>4.99756</v>
      </c>
      <c r="FU137">
        <v>1.5979000000000001</v>
      </c>
      <c r="FV137">
        <v>2.1606399999999999</v>
      </c>
      <c r="FW137">
        <v>1.5478499999999999</v>
      </c>
      <c r="FX137">
        <v>2.36206</v>
      </c>
      <c r="FY137">
        <v>32.6648</v>
      </c>
      <c r="FZ137">
        <v>15.8132</v>
      </c>
      <c r="GA137">
        <v>3</v>
      </c>
      <c r="GB137">
        <v>492.51100000000002</v>
      </c>
      <c r="GC137">
        <v>423.18299999999999</v>
      </c>
      <c r="GD137">
        <v>25.966000000000001</v>
      </c>
      <c r="GE137">
        <v>28.001200000000001</v>
      </c>
      <c r="GF137">
        <v>30.0001</v>
      </c>
      <c r="GG137">
        <v>28.306699999999999</v>
      </c>
      <c r="GH137">
        <v>28.360399999999998</v>
      </c>
      <c r="GI137">
        <v>-1</v>
      </c>
      <c r="GJ137">
        <v>0</v>
      </c>
      <c r="GK137">
        <v>100</v>
      </c>
      <c r="GL137">
        <v>25.9665</v>
      </c>
      <c r="GM137">
        <v>432.1</v>
      </c>
      <c r="GN137">
        <v>63.216500000000003</v>
      </c>
      <c r="GO137">
        <v>102.455</v>
      </c>
      <c r="GP137">
        <v>96.714500000000001</v>
      </c>
    </row>
    <row r="138" spans="1:198" x14ac:dyDescent="0.35">
      <c r="A138">
        <v>122</v>
      </c>
      <c r="B138">
        <v>1775510852</v>
      </c>
      <c r="C138">
        <v>7261</v>
      </c>
      <c r="D138" t="s">
        <v>697</v>
      </c>
      <c r="E138" t="s">
        <v>698</v>
      </c>
      <c r="F138">
        <v>60</v>
      </c>
      <c r="G138">
        <v>1775510844</v>
      </c>
      <c r="H138">
        <f t="shared" si="90"/>
        <v>9.6421777184170791E-4</v>
      </c>
      <c r="I138">
        <f t="shared" si="91"/>
        <v>0.96421777184170787</v>
      </c>
      <c r="J138">
        <f t="shared" si="92"/>
        <v>0.46121162204568178</v>
      </c>
      <c r="K138">
        <f t="shared" si="93"/>
        <v>53.554777419354863</v>
      </c>
      <c r="L138">
        <f t="shared" si="94"/>
        <v>24.561272655312422</v>
      </c>
      <c r="M138">
        <f t="shared" si="95"/>
        <v>2.4616156566080276</v>
      </c>
      <c r="N138">
        <f t="shared" si="96"/>
        <v>5.3674449378797915</v>
      </c>
      <c r="O138">
        <f t="shared" si="97"/>
        <v>2.7681659608876408E-2</v>
      </c>
      <c r="P138">
        <f t="shared" si="98"/>
        <v>2.3915251177367725</v>
      </c>
      <c r="Q138">
        <f t="shared" si="99"/>
        <v>2.7504880029799054E-2</v>
      </c>
      <c r="R138">
        <f t="shared" si="100"/>
        <v>1.7206338729301024E-2</v>
      </c>
      <c r="S138">
        <f t="shared" si="101"/>
        <v>0</v>
      </c>
      <c r="T138">
        <f t="shared" si="102"/>
        <v>24.998533798380297</v>
      </c>
      <c r="U138">
        <f t="shared" si="103"/>
        <v>25.306316129032261</v>
      </c>
      <c r="V138">
        <f t="shared" si="104"/>
        <v>3.2382112229514468</v>
      </c>
      <c r="W138">
        <f t="shared" si="105"/>
        <v>-6.8695072123442085</v>
      </c>
      <c r="X138">
        <f t="shared" si="106"/>
        <v>-0.22238492374369229</v>
      </c>
      <c r="Y138">
        <f t="shared" si="107"/>
        <v>3.2372762247643636</v>
      </c>
      <c r="Z138">
        <f t="shared" si="108"/>
        <v>3.4605961466951389</v>
      </c>
      <c r="AA138">
        <f t="shared" si="109"/>
        <v>-42.522003738219318</v>
      </c>
      <c r="AB138">
        <f t="shared" si="110"/>
        <v>-0.62594358945928896</v>
      </c>
      <c r="AC138">
        <f t="shared" si="111"/>
        <v>-5.5532624888765592E-2</v>
      </c>
      <c r="AD138">
        <f t="shared" si="112"/>
        <v>-43.203479952567371</v>
      </c>
      <c r="AE138">
        <v>18</v>
      </c>
      <c r="AF138">
        <v>4</v>
      </c>
      <c r="AG138">
        <f t="shared" si="113"/>
        <v>1</v>
      </c>
      <c r="AH138">
        <f t="shared" si="114"/>
        <v>0</v>
      </c>
      <c r="AI138">
        <f t="shared" si="115"/>
        <v>25714.269583343808</v>
      </c>
      <c r="AJ138">
        <f t="shared" si="116"/>
        <v>0</v>
      </c>
      <c r="AK138">
        <f t="shared" si="117"/>
        <v>0</v>
      </c>
      <c r="AL138">
        <f t="shared" si="118"/>
        <v>0</v>
      </c>
      <c r="AM138">
        <f t="shared" si="119"/>
        <v>0</v>
      </c>
      <c r="AN138">
        <v>3</v>
      </c>
      <c r="AO138">
        <v>0.5</v>
      </c>
      <c r="AP138" t="s">
        <v>331</v>
      </c>
      <c r="AQ138">
        <v>2</v>
      </c>
      <c r="AR138">
        <v>1775510844</v>
      </c>
      <c r="AS138">
        <v>53.554777419354863</v>
      </c>
      <c r="AT138">
        <v>53.862493548387093</v>
      </c>
      <c r="AU138">
        <v>-2.2188909677419359</v>
      </c>
      <c r="AV138">
        <v>-2.798716774193549</v>
      </c>
      <c r="AW138">
        <v>45.707777419354848</v>
      </c>
      <c r="AX138">
        <v>-1.226890967741936</v>
      </c>
      <c r="AY138">
        <v>499.9901290322581</v>
      </c>
      <c r="AZ138">
        <v>100.1855483870968</v>
      </c>
      <c r="BA138">
        <v>3.7908725806451618E-2</v>
      </c>
      <c r="BB138">
        <v>25.301461290322571</v>
      </c>
      <c r="BC138">
        <v>25.306316129032261</v>
      </c>
      <c r="BD138">
        <v>999.90000000000032</v>
      </c>
      <c r="BE138">
        <v>0</v>
      </c>
      <c r="BF138">
        <v>0</v>
      </c>
      <c r="BG138">
        <v>4999.7258064516127</v>
      </c>
      <c r="BH138">
        <v>0.39625090322580658</v>
      </c>
      <c r="BI138">
        <v>0.22961599999999999</v>
      </c>
      <c r="BJ138">
        <v>-0.29057822580645148</v>
      </c>
      <c r="BK138">
        <v>53.453464516129038</v>
      </c>
      <c r="BL138">
        <v>53.712167741935481</v>
      </c>
      <c r="BM138">
        <v>0.58279900000000007</v>
      </c>
      <c r="BN138">
        <v>53.862493548387093</v>
      </c>
      <c r="BO138">
        <v>-2.798716774193549</v>
      </c>
      <c r="BP138">
        <v>-0.22200280645161291</v>
      </c>
      <c r="BQ138">
        <v>-0.28039077419354841</v>
      </c>
      <c r="BR138">
        <v>-99.900000000000034</v>
      </c>
      <c r="BS138">
        <v>-99.900000000000034</v>
      </c>
      <c r="BT138">
        <v>0</v>
      </c>
      <c r="BU138">
        <v>0</v>
      </c>
      <c r="BV138">
        <v>0</v>
      </c>
      <c r="BW138">
        <v>24</v>
      </c>
      <c r="BX138">
        <v>-1</v>
      </c>
      <c r="BY138">
        <v>1775510874</v>
      </c>
      <c r="BZ138" t="s">
        <v>699</v>
      </c>
      <c r="CA138">
        <v>1775510874</v>
      </c>
      <c r="CB138">
        <v>1775510872.5</v>
      </c>
      <c r="CC138">
        <v>125</v>
      </c>
      <c r="CD138">
        <v>-1.7000000000000001E-2</v>
      </c>
      <c r="CE138">
        <v>-3.0000000000000001E-3</v>
      </c>
      <c r="CF138">
        <v>7.8470000000000004</v>
      </c>
      <c r="CG138">
        <v>-0.99199999999999999</v>
      </c>
      <c r="CH138">
        <v>54</v>
      </c>
      <c r="CI138">
        <v>-3</v>
      </c>
      <c r="CJ138">
        <v>0.36</v>
      </c>
      <c r="CK138">
        <v>0.15</v>
      </c>
      <c r="CL138">
        <v>53.631323333333327</v>
      </c>
      <c r="CM138">
        <v>1.7356701305918769</v>
      </c>
      <c r="CN138">
        <v>0.28272619756380751</v>
      </c>
      <c r="CO138">
        <v>-1</v>
      </c>
      <c r="CP138">
        <v>499.99749999999989</v>
      </c>
      <c r="CQ138">
        <v>-0.17927646568443131</v>
      </c>
      <c r="CR138">
        <v>8.3830881342540867E-2</v>
      </c>
      <c r="CS138">
        <v>-1</v>
      </c>
      <c r="CT138">
        <v>0</v>
      </c>
      <c r="CU138">
        <v>0</v>
      </c>
      <c r="CV138" t="s">
        <v>333</v>
      </c>
      <c r="CW138">
        <v>3.1673300000000002</v>
      </c>
      <c r="CX138">
        <v>2.6589499999999999</v>
      </c>
      <c r="CY138">
        <v>1.3684999999999999E-2</v>
      </c>
      <c r="CZ138">
        <v>1.5955799999999999E-2</v>
      </c>
      <c r="DA138">
        <v>-1.09823E-2</v>
      </c>
      <c r="DB138">
        <v>-2.8005700000000001E-2</v>
      </c>
      <c r="DC138">
        <v>21341.8</v>
      </c>
      <c r="DD138">
        <v>21668.1</v>
      </c>
      <c r="DE138">
        <v>23162.7</v>
      </c>
      <c r="DF138">
        <v>22368.3</v>
      </c>
      <c r="DG138">
        <v>30191.599999999999</v>
      </c>
      <c r="DH138">
        <v>27411</v>
      </c>
      <c r="DI138">
        <v>40699</v>
      </c>
      <c r="DJ138">
        <v>37059.800000000003</v>
      </c>
      <c r="DK138">
        <v>2.1026199999999999</v>
      </c>
      <c r="DL138">
        <v>1.8517600000000001</v>
      </c>
      <c r="DM138">
        <v>2.4792600000000001E-2</v>
      </c>
      <c r="DN138">
        <v>0</v>
      </c>
      <c r="DO138">
        <v>24.907900000000001</v>
      </c>
      <c r="DP138">
        <v>999.9</v>
      </c>
      <c r="DQ138">
        <v>78.900000000000006</v>
      </c>
      <c r="DR138">
        <v>28.2</v>
      </c>
      <c r="DS138">
        <v>30.240200000000002</v>
      </c>
      <c r="DT138">
        <v>30.880199999999999</v>
      </c>
      <c r="DU138">
        <v>9.1706699999999994</v>
      </c>
      <c r="DV138">
        <v>1</v>
      </c>
      <c r="DW138">
        <v>6.6735799999999998E-2</v>
      </c>
      <c r="DX138">
        <v>-0.14063400000000001</v>
      </c>
      <c r="DY138">
        <v>20.368099999999998</v>
      </c>
      <c r="DZ138">
        <v>5.2111799999999997</v>
      </c>
      <c r="EA138">
        <v>11.8482</v>
      </c>
      <c r="EB138">
        <v>4.9682000000000004</v>
      </c>
      <c r="EC138">
        <v>3.2920400000000001</v>
      </c>
      <c r="ED138">
        <v>894.7</v>
      </c>
      <c r="EE138">
        <v>0</v>
      </c>
      <c r="EF138">
        <v>9999</v>
      </c>
      <c r="EG138">
        <v>115</v>
      </c>
      <c r="EH138">
        <v>4.9716500000000003</v>
      </c>
      <c r="EI138">
        <v>1.8717999999999999</v>
      </c>
      <c r="EJ138">
        <v>1.8689100000000001</v>
      </c>
      <c r="EK138">
        <v>1.87134</v>
      </c>
      <c r="EL138">
        <v>1.8690599999999999</v>
      </c>
      <c r="EM138">
        <v>1.86808</v>
      </c>
      <c r="EN138">
        <v>1.86992</v>
      </c>
      <c r="EO138">
        <v>1.87174</v>
      </c>
      <c r="EP138">
        <v>0</v>
      </c>
      <c r="EQ138">
        <v>0</v>
      </c>
      <c r="ER138">
        <v>0</v>
      </c>
      <c r="ES138">
        <v>0</v>
      </c>
      <c r="ET138" t="s">
        <v>334</v>
      </c>
      <c r="EU138" t="s">
        <v>335</v>
      </c>
      <c r="EV138" t="s">
        <v>336</v>
      </c>
      <c r="EW138" t="s">
        <v>336</v>
      </c>
      <c r="EX138" t="s">
        <v>336</v>
      </c>
      <c r="EY138" t="s">
        <v>336</v>
      </c>
      <c r="EZ138">
        <v>0</v>
      </c>
      <c r="FA138">
        <v>100</v>
      </c>
      <c r="FB138">
        <v>100</v>
      </c>
      <c r="FC138">
        <v>7.8470000000000004</v>
      </c>
      <c r="FD138">
        <v>-0.99199999999999999</v>
      </c>
      <c r="FE138">
        <v>7.8641400000000061</v>
      </c>
      <c r="FF138">
        <v>0</v>
      </c>
      <c r="FG138">
        <v>0</v>
      </c>
      <c r="FH138">
        <v>0</v>
      </c>
      <c r="FI138">
        <v>-0.98902599999999996</v>
      </c>
      <c r="FJ138">
        <v>0</v>
      </c>
      <c r="FK138">
        <v>0</v>
      </c>
      <c r="FL138">
        <v>0</v>
      </c>
      <c r="FM138">
        <v>-1</v>
      </c>
      <c r="FN138">
        <v>-1</v>
      </c>
      <c r="FO138">
        <v>-1</v>
      </c>
      <c r="FP138">
        <v>-1</v>
      </c>
      <c r="FQ138">
        <v>0.7</v>
      </c>
      <c r="FR138">
        <v>0.7</v>
      </c>
      <c r="FS138">
        <v>0.142822</v>
      </c>
      <c r="FT138">
        <v>4.99756</v>
      </c>
      <c r="FU138">
        <v>1.5979000000000001</v>
      </c>
      <c r="FV138">
        <v>2.16187</v>
      </c>
      <c r="FW138">
        <v>1.5478499999999999</v>
      </c>
      <c r="FX138">
        <v>2.4694799999999999</v>
      </c>
      <c r="FY138">
        <v>32.6648</v>
      </c>
      <c r="FZ138">
        <v>15.804399999999999</v>
      </c>
      <c r="GA138">
        <v>3</v>
      </c>
      <c r="GB138">
        <v>492.53800000000001</v>
      </c>
      <c r="GC138">
        <v>423.31</v>
      </c>
      <c r="GD138">
        <v>25.968299999999999</v>
      </c>
      <c r="GE138">
        <v>28.006</v>
      </c>
      <c r="GF138">
        <v>30</v>
      </c>
      <c r="GG138">
        <v>28.311399999999999</v>
      </c>
      <c r="GH138">
        <v>28.365100000000002</v>
      </c>
      <c r="GI138">
        <v>-1</v>
      </c>
      <c r="GJ138">
        <v>0</v>
      </c>
      <c r="GK138">
        <v>100</v>
      </c>
      <c r="GL138">
        <v>25.968</v>
      </c>
      <c r="GM138">
        <v>432.1</v>
      </c>
      <c r="GN138">
        <v>63.216500000000003</v>
      </c>
      <c r="GO138">
        <v>102.45399999999999</v>
      </c>
      <c r="GP138">
        <v>96.712699999999998</v>
      </c>
    </row>
    <row r="139" spans="1:198" x14ac:dyDescent="0.35">
      <c r="A139">
        <v>123</v>
      </c>
      <c r="B139">
        <v>1775510912</v>
      </c>
      <c r="C139">
        <v>7321</v>
      </c>
      <c r="D139" t="s">
        <v>700</v>
      </c>
      <c r="E139" t="s">
        <v>701</v>
      </c>
      <c r="F139">
        <v>60</v>
      </c>
      <c r="G139">
        <v>1775510904</v>
      </c>
      <c r="H139">
        <f t="shared" si="90"/>
        <v>9.3804789135535466E-4</v>
      </c>
      <c r="I139">
        <f t="shared" si="91"/>
        <v>0.93804789135535471</v>
      </c>
      <c r="J139">
        <f t="shared" si="92"/>
        <v>0.47386594349658834</v>
      </c>
      <c r="K139">
        <f t="shared" si="93"/>
        <v>54.166006451612901</v>
      </c>
      <c r="L139">
        <f t="shared" si="94"/>
        <v>23.672459826201976</v>
      </c>
      <c r="M139">
        <f t="shared" si="95"/>
        <v>2.372485088269872</v>
      </c>
      <c r="N139">
        <f t="shared" si="96"/>
        <v>5.4285884754292217</v>
      </c>
      <c r="O139">
        <f t="shared" si="97"/>
        <v>2.6922797037154979E-2</v>
      </c>
      <c r="P139">
        <f t="shared" si="98"/>
        <v>2.3904685800575294</v>
      </c>
      <c r="Q139">
        <f t="shared" si="99"/>
        <v>2.6755472015981496E-2</v>
      </c>
      <c r="R139">
        <f t="shared" si="100"/>
        <v>1.6737116687187914E-2</v>
      </c>
      <c r="S139">
        <f t="shared" si="101"/>
        <v>0</v>
      </c>
      <c r="T139">
        <f t="shared" si="102"/>
        <v>25.00525172686427</v>
      </c>
      <c r="U139">
        <f t="shared" si="103"/>
        <v>25.306045161290321</v>
      </c>
      <c r="V139">
        <f t="shared" si="104"/>
        <v>3.2381590307897161</v>
      </c>
      <c r="W139">
        <f t="shared" si="105"/>
        <v>-6.8811638640157797</v>
      </c>
      <c r="X139">
        <f t="shared" si="106"/>
        <v>-0.22274394497781613</v>
      </c>
      <c r="Y139">
        <f t="shared" si="107"/>
        <v>3.2370097468922205</v>
      </c>
      <c r="Z139">
        <f t="shared" si="108"/>
        <v>3.4609029757675325</v>
      </c>
      <c r="AA139">
        <f t="shared" si="109"/>
        <v>-41.367912008771142</v>
      </c>
      <c r="AB139">
        <f t="shared" si="110"/>
        <v>-0.76909239633265425</v>
      </c>
      <c r="AC139">
        <f t="shared" si="111"/>
        <v>-6.8262127019760088E-2</v>
      </c>
      <c r="AD139">
        <f t="shared" si="112"/>
        <v>-42.205266532123552</v>
      </c>
      <c r="AE139">
        <v>18</v>
      </c>
      <c r="AF139">
        <v>4</v>
      </c>
      <c r="AG139">
        <f t="shared" si="113"/>
        <v>1</v>
      </c>
      <c r="AH139">
        <f t="shared" si="114"/>
        <v>0</v>
      </c>
      <c r="AI139">
        <f t="shared" si="115"/>
        <v>25698.305210521565</v>
      </c>
      <c r="AJ139">
        <f t="shared" si="116"/>
        <v>0</v>
      </c>
      <c r="AK139">
        <f t="shared" si="117"/>
        <v>0</v>
      </c>
      <c r="AL139">
        <f t="shared" si="118"/>
        <v>0</v>
      </c>
      <c r="AM139">
        <f t="shared" si="119"/>
        <v>0</v>
      </c>
      <c r="AN139">
        <v>3</v>
      </c>
      <c r="AO139">
        <v>0.5</v>
      </c>
      <c r="AP139" t="s">
        <v>331</v>
      </c>
      <c r="AQ139">
        <v>2</v>
      </c>
      <c r="AR139">
        <v>1775510904</v>
      </c>
      <c r="AS139">
        <v>54.166006451612901</v>
      </c>
      <c r="AT139">
        <v>54.480803225806469</v>
      </c>
      <c r="AU139">
        <v>-2.22252064516129</v>
      </c>
      <c r="AV139">
        <v>-2.786584193548387</v>
      </c>
      <c r="AW139">
        <v>46.312006451612902</v>
      </c>
      <c r="AX139">
        <v>-1.22652064516129</v>
      </c>
      <c r="AY139">
        <v>500.01425806451613</v>
      </c>
      <c r="AZ139">
        <v>100.1834193548387</v>
      </c>
      <c r="BA139">
        <v>3.7897132258064507E-2</v>
      </c>
      <c r="BB139">
        <v>25.300077419354832</v>
      </c>
      <c r="BC139">
        <v>25.306045161290321</v>
      </c>
      <c r="BD139">
        <v>999.90000000000032</v>
      </c>
      <c r="BE139">
        <v>0</v>
      </c>
      <c r="BF139">
        <v>0</v>
      </c>
      <c r="BG139">
        <v>4997.1129032258068</v>
      </c>
      <c r="BH139">
        <v>0.38971709677419353</v>
      </c>
      <c r="BI139">
        <v>0.23331922580645159</v>
      </c>
      <c r="BJ139">
        <v>-0.32216925806451607</v>
      </c>
      <c r="BK139">
        <v>54.038732258064513</v>
      </c>
      <c r="BL139">
        <v>54.329412903225823</v>
      </c>
      <c r="BM139">
        <v>0.56772835483870965</v>
      </c>
      <c r="BN139">
        <v>54.480803225806469</v>
      </c>
      <c r="BO139">
        <v>-2.786584193548387</v>
      </c>
      <c r="BP139">
        <v>-0.22229238709677421</v>
      </c>
      <c r="BQ139">
        <v>-0.2791692903225807</v>
      </c>
      <c r="BR139">
        <v>-99.900000000000034</v>
      </c>
      <c r="BS139">
        <v>-99.900000000000034</v>
      </c>
      <c r="BT139">
        <v>0</v>
      </c>
      <c r="BU139">
        <v>0</v>
      </c>
      <c r="BV139">
        <v>0</v>
      </c>
      <c r="BW139">
        <v>24</v>
      </c>
      <c r="BX139">
        <v>-1</v>
      </c>
      <c r="BY139">
        <v>1775510931</v>
      </c>
      <c r="BZ139" t="s">
        <v>702</v>
      </c>
      <c r="CA139">
        <v>1775510929.5</v>
      </c>
      <c r="CB139">
        <v>1775510931</v>
      </c>
      <c r="CC139">
        <v>126</v>
      </c>
      <c r="CD139">
        <v>7.0000000000000001E-3</v>
      </c>
      <c r="CE139">
        <v>-4.0000000000000001E-3</v>
      </c>
      <c r="CF139">
        <v>7.8540000000000001</v>
      </c>
      <c r="CG139">
        <v>-0.996</v>
      </c>
      <c r="CH139">
        <v>54</v>
      </c>
      <c r="CI139">
        <v>-3</v>
      </c>
      <c r="CJ139">
        <v>0.25</v>
      </c>
      <c r="CK139">
        <v>0.06</v>
      </c>
      <c r="CL139">
        <v>54.276714999999989</v>
      </c>
      <c r="CM139">
        <v>1.2505330369547929</v>
      </c>
      <c r="CN139">
        <v>0.2166326189850766</v>
      </c>
      <c r="CO139">
        <v>-1</v>
      </c>
      <c r="CP139">
        <v>500.12843333333342</v>
      </c>
      <c r="CQ139">
        <v>-1.3463873298122899</v>
      </c>
      <c r="CR139">
        <v>0.43029216301898382</v>
      </c>
      <c r="CS139">
        <v>-1</v>
      </c>
      <c r="CT139">
        <v>0</v>
      </c>
      <c r="CU139">
        <v>0</v>
      </c>
      <c r="CV139" t="s">
        <v>333</v>
      </c>
      <c r="CW139">
        <v>3.1672699999999998</v>
      </c>
      <c r="CX139">
        <v>2.6593</v>
      </c>
      <c r="CY139">
        <v>1.38759E-2</v>
      </c>
      <c r="CZ139">
        <v>1.6236299999999999E-2</v>
      </c>
      <c r="DA139">
        <v>-1.1003000000000001E-2</v>
      </c>
      <c r="DB139">
        <v>-2.7846200000000002E-2</v>
      </c>
      <c r="DC139">
        <v>21337.5</v>
      </c>
      <c r="DD139">
        <v>21661.599999999999</v>
      </c>
      <c r="DE139">
        <v>23162.6</v>
      </c>
      <c r="DF139">
        <v>22368</v>
      </c>
      <c r="DG139">
        <v>30192</v>
      </c>
      <c r="DH139">
        <v>27406.400000000001</v>
      </c>
      <c r="DI139">
        <v>40698.699999999997</v>
      </c>
      <c r="DJ139">
        <v>37059.199999999997</v>
      </c>
      <c r="DK139">
        <v>2.1021000000000001</v>
      </c>
      <c r="DL139">
        <v>1.8515200000000001</v>
      </c>
      <c r="DM139">
        <v>2.3916400000000001E-2</v>
      </c>
      <c r="DN139">
        <v>0</v>
      </c>
      <c r="DO139">
        <v>24.910299999999999</v>
      </c>
      <c r="DP139">
        <v>999.9</v>
      </c>
      <c r="DQ139">
        <v>78.900000000000006</v>
      </c>
      <c r="DR139">
        <v>28.2</v>
      </c>
      <c r="DS139">
        <v>30.236699999999999</v>
      </c>
      <c r="DT139">
        <v>30.880199999999999</v>
      </c>
      <c r="DU139">
        <v>9.0705100000000005</v>
      </c>
      <c r="DV139">
        <v>1</v>
      </c>
      <c r="DW139">
        <v>6.7203299999999994E-2</v>
      </c>
      <c r="DX139">
        <v>-0.14385600000000001</v>
      </c>
      <c r="DY139">
        <v>20.368500000000001</v>
      </c>
      <c r="DZ139">
        <v>5.2111799999999997</v>
      </c>
      <c r="EA139">
        <v>11.8482</v>
      </c>
      <c r="EB139">
        <v>4.9677199999999999</v>
      </c>
      <c r="EC139">
        <v>3.2920199999999999</v>
      </c>
      <c r="ED139">
        <v>894.7</v>
      </c>
      <c r="EE139">
        <v>0</v>
      </c>
      <c r="EF139">
        <v>9999</v>
      </c>
      <c r="EG139">
        <v>115</v>
      </c>
      <c r="EH139">
        <v>4.9716500000000003</v>
      </c>
      <c r="EI139">
        <v>1.8717999999999999</v>
      </c>
      <c r="EJ139">
        <v>1.8689</v>
      </c>
      <c r="EK139">
        <v>1.87134</v>
      </c>
      <c r="EL139">
        <v>1.8690500000000001</v>
      </c>
      <c r="EM139">
        <v>1.86808</v>
      </c>
      <c r="EN139">
        <v>1.8699300000000001</v>
      </c>
      <c r="EO139">
        <v>1.8717299999999999</v>
      </c>
      <c r="EP139">
        <v>0</v>
      </c>
      <c r="EQ139">
        <v>0</v>
      </c>
      <c r="ER139">
        <v>0</v>
      </c>
      <c r="ES139">
        <v>0</v>
      </c>
      <c r="ET139" t="s">
        <v>334</v>
      </c>
      <c r="EU139" t="s">
        <v>335</v>
      </c>
      <c r="EV139" t="s">
        <v>336</v>
      </c>
      <c r="EW139" t="s">
        <v>336</v>
      </c>
      <c r="EX139" t="s">
        <v>336</v>
      </c>
      <c r="EY139" t="s">
        <v>336</v>
      </c>
      <c r="EZ139">
        <v>0</v>
      </c>
      <c r="FA139">
        <v>100</v>
      </c>
      <c r="FB139">
        <v>100</v>
      </c>
      <c r="FC139">
        <v>7.8540000000000001</v>
      </c>
      <c r="FD139">
        <v>-0.996</v>
      </c>
      <c r="FE139">
        <v>7.8466300000000118</v>
      </c>
      <c r="FF139">
        <v>0</v>
      </c>
      <c r="FG139">
        <v>0</v>
      </c>
      <c r="FH139">
        <v>0</v>
      </c>
      <c r="FI139">
        <v>-0.99233571428571454</v>
      </c>
      <c r="FJ139">
        <v>0</v>
      </c>
      <c r="FK139">
        <v>0</v>
      </c>
      <c r="FL139">
        <v>0</v>
      </c>
      <c r="FM139">
        <v>-1</v>
      </c>
      <c r="FN139">
        <v>-1</v>
      </c>
      <c r="FO139">
        <v>-1</v>
      </c>
      <c r="FP139">
        <v>-1</v>
      </c>
      <c r="FQ139">
        <v>0.6</v>
      </c>
      <c r="FR139">
        <v>0.7</v>
      </c>
      <c r="FS139">
        <v>0.142822</v>
      </c>
      <c r="FT139">
        <v>4.99756</v>
      </c>
      <c r="FU139">
        <v>1.5979000000000001</v>
      </c>
      <c r="FV139">
        <v>2.16187</v>
      </c>
      <c r="FW139">
        <v>1.5478499999999999</v>
      </c>
      <c r="FX139">
        <v>2.4206500000000002</v>
      </c>
      <c r="FY139">
        <v>32.6648</v>
      </c>
      <c r="FZ139">
        <v>15.7957</v>
      </c>
      <c r="GA139">
        <v>3</v>
      </c>
      <c r="GB139">
        <v>492.27800000000002</v>
      </c>
      <c r="GC139">
        <v>423.20299999999997</v>
      </c>
      <c r="GD139">
        <v>25.966799999999999</v>
      </c>
      <c r="GE139">
        <v>28.008800000000001</v>
      </c>
      <c r="GF139">
        <v>30.0001</v>
      </c>
      <c r="GG139">
        <v>28.316199999999998</v>
      </c>
      <c r="GH139">
        <v>28.369800000000001</v>
      </c>
      <c r="GI139">
        <v>-1</v>
      </c>
      <c r="GJ139">
        <v>0</v>
      </c>
      <c r="GK139">
        <v>100</v>
      </c>
      <c r="GL139">
        <v>25.966799999999999</v>
      </c>
      <c r="GM139">
        <v>432.1</v>
      </c>
      <c r="GN139">
        <v>63.216500000000003</v>
      </c>
      <c r="GO139">
        <v>102.453</v>
      </c>
      <c r="GP139">
        <v>96.711299999999994</v>
      </c>
    </row>
    <row r="140" spans="1:198" x14ac:dyDescent="0.35">
      <c r="A140">
        <v>124</v>
      </c>
      <c r="B140">
        <v>1775510972</v>
      </c>
      <c r="C140">
        <v>7381</v>
      </c>
      <c r="D140" t="s">
        <v>703</v>
      </c>
      <c r="E140" t="s">
        <v>704</v>
      </c>
      <c r="F140">
        <v>60</v>
      </c>
      <c r="G140">
        <v>1775510964</v>
      </c>
      <c r="H140">
        <f t="shared" si="90"/>
        <v>9.355712574890912E-4</v>
      </c>
      <c r="I140">
        <f t="shared" si="91"/>
        <v>0.9355712574890912</v>
      </c>
      <c r="J140">
        <f t="shared" si="92"/>
        <v>1.1825516355831753</v>
      </c>
      <c r="K140">
        <f t="shared" si="93"/>
        <v>54.690293548387103</v>
      </c>
      <c r="L140">
        <f t="shared" si="94"/>
        <v>-17.18894710718444</v>
      </c>
      <c r="M140">
        <f t="shared" si="95"/>
        <v>-1.7226911370970086</v>
      </c>
      <c r="N140">
        <f t="shared" si="96"/>
        <v>5.4811084933562606</v>
      </c>
      <c r="O140">
        <f t="shared" si="97"/>
        <v>2.6856244235871778E-2</v>
      </c>
      <c r="P140">
        <f t="shared" si="98"/>
        <v>2.3908885010453034</v>
      </c>
      <c r="Q140">
        <f t="shared" si="99"/>
        <v>2.668977172956908E-2</v>
      </c>
      <c r="R140">
        <f t="shared" si="100"/>
        <v>1.6695978081592573E-2</v>
      </c>
      <c r="S140">
        <f t="shared" si="101"/>
        <v>0</v>
      </c>
      <c r="T140">
        <f t="shared" si="102"/>
        <v>25.006484110490984</v>
      </c>
      <c r="U140">
        <f t="shared" si="103"/>
        <v>25.30838709677419</v>
      </c>
      <c r="V140">
        <f t="shared" si="104"/>
        <v>3.2386101444637756</v>
      </c>
      <c r="W140">
        <f t="shared" si="105"/>
        <v>-6.8459265101441238</v>
      </c>
      <c r="X140">
        <f t="shared" si="106"/>
        <v>-0.22160866631081411</v>
      </c>
      <c r="Y140">
        <f t="shared" si="107"/>
        <v>3.237088011132458</v>
      </c>
      <c r="Z140">
        <f t="shared" si="108"/>
        <v>3.4602188107745899</v>
      </c>
      <c r="AA140">
        <f t="shared" si="109"/>
        <v>-41.258692455268921</v>
      </c>
      <c r="AB140">
        <f t="shared" si="110"/>
        <v>-1.0187066875088675</v>
      </c>
      <c r="AC140">
        <f t="shared" si="111"/>
        <v>-9.0402444608397428E-2</v>
      </c>
      <c r="AD140">
        <f t="shared" si="112"/>
        <v>-42.36780158738619</v>
      </c>
      <c r="AE140">
        <v>18</v>
      </c>
      <c r="AF140">
        <v>4</v>
      </c>
      <c r="AG140">
        <f t="shared" si="113"/>
        <v>1</v>
      </c>
      <c r="AH140">
        <f t="shared" si="114"/>
        <v>0</v>
      </c>
      <c r="AI140">
        <f t="shared" si="115"/>
        <v>25704.709367935899</v>
      </c>
      <c r="AJ140">
        <f t="shared" si="116"/>
        <v>0</v>
      </c>
      <c r="AK140">
        <f t="shared" si="117"/>
        <v>0</v>
      </c>
      <c r="AL140">
        <f t="shared" si="118"/>
        <v>0</v>
      </c>
      <c r="AM140">
        <f t="shared" si="119"/>
        <v>0</v>
      </c>
      <c r="AN140">
        <v>3</v>
      </c>
      <c r="AO140">
        <v>0.5</v>
      </c>
      <c r="AP140" t="s">
        <v>331</v>
      </c>
      <c r="AQ140">
        <v>2</v>
      </c>
      <c r="AR140">
        <v>1775510964</v>
      </c>
      <c r="AS140">
        <v>54.690293548387103</v>
      </c>
      <c r="AT140">
        <v>55.430545161290333</v>
      </c>
      <c r="AU140">
        <v>-2.2112029032258058</v>
      </c>
      <c r="AV140">
        <v>-2.7738025806451621</v>
      </c>
      <c r="AW140">
        <v>46.818293548387103</v>
      </c>
      <c r="AX140">
        <v>-1.2162029032258059</v>
      </c>
      <c r="AY140">
        <v>499.98606451612909</v>
      </c>
      <c r="AZ140">
        <v>100.1830967741936</v>
      </c>
      <c r="BA140">
        <v>3.7767619354838702E-2</v>
      </c>
      <c r="BB140">
        <v>25.300483870967732</v>
      </c>
      <c r="BC140">
        <v>25.30838709677419</v>
      </c>
      <c r="BD140">
        <v>999.90000000000032</v>
      </c>
      <c r="BE140">
        <v>0</v>
      </c>
      <c r="BF140">
        <v>0</v>
      </c>
      <c r="BG140">
        <v>4998.2096774193551</v>
      </c>
      <c r="BH140">
        <v>0.39212016129032262</v>
      </c>
      <c r="BI140">
        <v>0.22961599999999999</v>
      </c>
      <c r="BJ140">
        <v>-0.75837029032258074</v>
      </c>
      <c r="BK140">
        <v>54.551499999999997</v>
      </c>
      <c r="BL140">
        <v>55.277225806451618</v>
      </c>
      <c r="BM140">
        <v>0.56164732258064509</v>
      </c>
      <c r="BN140">
        <v>55.430545161290333</v>
      </c>
      <c r="BO140">
        <v>-2.7738025806451621</v>
      </c>
      <c r="BP140">
        <v>-0.22162061290322579</v>
      </c>
      <c r="BQ140">
        <v>-0.27788816129032262</v>
      </c>
      <c r="BR140">
        <v>-99.900000000000034</v>
      </c>
      <c r="BS140">
        <v>-99.900000000000034</v>
      </c>
      <c r="BT140">
        <v>0</v>
      </c>
      <c r="BU140">
        <v>0</v>
      </c>
      <c r="BV140">
        <v>0</v>
      </c>
      <c r="BW140">
        <v>24</v>
      </c>
      <c r="BX140">
        <v>-1</v>
      </c>
      <c r="BY140">
        <v>1775510993</v>
      </c>
      <c r="BZ140" t="s">
        <v>705</v>
      </c>
      <c r="CA140">
        <v>1775510987</v>
      </c>
      <c r="CB140">
        <v>1775510993</v>
      </c>
      <c r="CC140">
        <v>127</v>
      </c>
      <c r="CD140">
        <v>1.7999999999999999E-2</v>
      </c>
      <c r="CE140">
        <v>1E-3</v>
      </c>
      <c r="CF140">
        <v>7.8719999999999999</v>
      </c>
      <c r="CG140">
        <v>-0.995</v>
      </c>
      <c r="CH140">
        <v>56</v>
      </c>
      <c r="CI140">
        <v>-3</v>
      </c>
      <c r="CJ140">
        <v>0.23</v>
      </c>
      <c r="CK140">
        <v>0.13</v>
      </c>
      <c r="CL140">
        <v>54.673345901639351</v>
      </c>
      <c r="CM140">
        <v>5.1573157059756634</v>
      </c>
      <c r="CN140">
        <v>0.79551576662076318</v>
      </c>
      <c r="CO140">
        <v>-1</v>
      </c>
      <c r="CP140">
        <v>499.9963606557377</v>
      </c>
      <c r="CQ140">
        <v>-0.1010893707037718</v>
      </c>
      <c r="CR140">
        <v>4.483961684620253E-2</v>
      </c>
      <c r="CS140">
        <v>-1</v>
      </c>
      <c r="CT140">
        <v>0</v>
      </c>
      <c r="CU140">
        <v>0</v>
      </c>
      <c r="CV140" t="s">
        <v>333</v>
      </c>
      <c r="CW140">
        <v>3.1674099999999998</v>
      </c>
      <c r="CX140">
        <v>2.6591300000000002</v>
      </c>
      <c r="CY140">
        <v>1.41195E-2</v>
      </c>
      <c r="CZ140">
        <v>1.6530699999999999E-2</v>
      </c>
      <c r="DA140">
        <v>-1.0885300000000001E-2</v>
      </c>
      <c r="DB140">
        <v>-2.7767799999999999E-2</v>
      </c>
      <c r="DC140">
        <v>21331.3</v>
      </c>
      <c r="DD140">
        <v>21654.3</v>
      </c>
      <c r="DE140">
        <v>23161.599999999999</v>
      </c>
      <c r="DF140">
        <v>22367.1</v>
      </c>
      <c r="DG140">
        <v>30187.200000000001</v>
      </c>
      <c r="DH140">
        <v>27403.1</v>
      </c>
      <c r="DI140">
        <v>40697</v>
      </c>
      <c r="DJ140">
        <v>37057.599999999999</v>
      </c>
      <c r="DK140">
        <v>2.10216</v>
      </c>
      <c r="DL140">
        <v>1.8517600000000001</v>
      </c>
      <c r="DM140">
        <v>2.3886600000000001E-2</v>
      </c>
      <c r="DN140">
        <v>0</v>
      </c>
      <c r="DO140">
        <v>24.914200000000001</v>
      </c>
      <c r="DP140">
        <v>999.9</v>
      </c>
      <c r="DQ140">
        <v>78.900000000000006</v>
      </c>
      <c r="DR140">
        <v>28.2</v>
      </c>
      <c r="DS140">
        <v>30.236999999999998</v>
      </c>
      <c r="DT140">
        <v>30.940200000000001</v>
      </c>
      <c r="DU140">
        <v>8.9142600000000005</v>
      </c>
      <c r="DV140">
        <v>1</v>
      </c>
      <c r="DW140">
        <v>6.7841499999999999E-2</v>
      </c>
      <c r="DX140">
        <v>-0.121015</v>
      </c>
      <c r="DY140">
        <v>20.368400000000001</v>
      </c>
      <c r="DZ140">
        <v>5.2147699999999997</v>
      </c>
      <c r="EA140">
        <v>11.8482</v>
      </c>
      <c r="EB140">
        <v>4.9678399999999998</v>
      </c>
      <c r="EC140">
        <v>3.2920199999999999</v>
      </c>
      <c r="ED140">
        <v>894.7</v>
      </c>
      <c r="EE140">
        <v>0</v>
      </c>
      <c r="EF140">
        <v>9999</v>
      </c>
      <c r="EG140">
        <v>115</v>
      </c>
      <c r="EH140">
        <v>4.9716199999999997</v>
      </c>
      <c r="EI140">
        <v>1.8717999999999999</v>
      </c>
      <c r="EJ140">
        <v>1.8689</v>
      </c>
      <c r="EK140">
        <v>1.87134</v>
      </c>
      <c r="EL140">
        <v>1.8690599999999999</v>
      </c>
      <c r="EM140">
        <v>1.86805</v>
      </c>
      <c r="EN140">
        <v>1.8698999999999999</v>
      </c>
      <c r="EO140">
        <v>1.87168</v>
      </c>
      <c r="EP140">
        <v>0</v>
      </c>
      <c r="EQ140">
        <v>0</v>
      </c>
      <c r="ER140">
        <v>0</v>
      </c>
      <c r="ES140">
        <v>0</v>
      </c>
      <c r="ET140" t="s">
        <v>334</v>
      </c>
      <c r="EU140" t="s">
        <v>335</v>
      </c>
      <c r="EV140" t="s">
        <v>336</v>
      </c>
      <c r="EW140" t="s">
        <v>336</v>
      </c>
      <c r="EX140" t="s">
        <v>336</v>
      </c>
      <c r="EY140" t="s">
        <v>336</v>
      </c>
      <c r="EZ140">
        <v>0</v>
      </c>
      <c r="FA140">
        <v>100</v>
      </c>
      <c r="FB140">
        <v>100</v>
      </c>
      <c r="FC140">
        <v>7.8719999999999999</v>
      </c>
      <c r="FD140">
        <v>-0.995</v>
      </c>
      <c r="FE140">
        <v>7.8538952380952409</v>
      </c>
      <c r="FF140">
        <v>0</v>
      </c>
      <c r="FG140">
        <v>0</v>
      </c>
      <c r="FH140">
        <v>0</v>
      </c>
      <c r="FI140">
        <v>-0.99595249999999957</v>
      </c>
      <c r="FJ140">
        <v>0</v>
      </c>
      <c r="FK140">
        <v>0</v>
      </c>
      <c r="FL140">
        <v>0</v>
      </c>
      <c r="FM140">
        <v>-1</v>
      </c>
      <c r="FN140">
        <v>-1</v>
      </c>
      <c r="FO140">
        <v>-1</v>
      </c>
      <c r="FP140">
        <v>-1</v>
      </c>
      <c r="FQ140">
        <v>0.7</v>
      </c>
      <c r="FR140">
        <v>0.7</v>
      </c>
      <c r="FS140">
        <v>0.142822</v>
      </c>
      <c r="FT140">
        <v>4.99756</v>
      </c>
      <c r="FU140">
        <v>1.5979000000000001</v>
      </c>
      <c r="FV140">
        <v>2.1606399999999999</v>
      </c>
      <c r="FW140">
        <v>1.5478499999999999</v>
      </c>
      <c r="FX140">
        <v>2.36694</v>
      </c>
      <c r="FY140">
        <v>32.686900000000001</v>
      </c>
      <c r="FZ140">
        <v>15.7957</v>
      </c>
      <c r="GA140">
        <v>3</v>
      </c>
      <c r="GB140">
        <v>492.35</v>
      </c>
      <c r="GC140">
        <v>423.37700000000001</v>
      </c>
      <c r="GD140">
        <v>25.945699999999999</v>
      </c>
      <c r="GE140">
        <v>28.015499999999999</v>
      </c>
      <c r="GF140">
        <v>30.0001</v>
      </c>
      <c r="GG140">
        <v>28.320900000000002</v>
      </c>
      <c r="GH140">
        <v>28.374500000000001</v>
      </c>
      <c r="GI140">
        <v>-1</v>
      </c>
      <c r="GJ140">
        <v>0</v>
      </c>
      <c r="GK140">
        <v>100</v>
      </c>
      <c r="GL140">
        <v>25.946300000000001</v>
      </c>
      <c r="GM140">
        <v>432.1</v>
      </c>
      <c r="GN140">
        <v>63.216500000000003</v>
      </c>
      <c r="GO140">
        <v>102.44799999999999</v>
      </c>
      <c r="GP140">
        <v>96.707300000000004</v>
      </c>
    </row>
    <row r="141" spans="1:198" x14ac:dyDescent="0.35">
      <c r="A141">
        <v>125</v>
      </c>
      <c r="B141">
        <v>1775511032</v>
      </c>
      <c r="C141">
        <v>7441</v>
      </c>
      <c r="D141" t="s">
        <v>706</v>
      </c>
      <c r="E141" t="s">
        <v>707</v>
      </c>
      <c r="F141">
        <v>60</v>
      </c>
      <c r="G141">
        <v>1775511024</v>
      </c>
      <c r="H141">
        <f t="shared" si="90"/>
        <v>9.5850423806091267E-4</v>
      </c>
      <c r="I141">
        <f t="shared" si="91"/>
        <v>0.95850423806091267</v>
      </c>
      <c r="J141">
        <f t="shared" si="92"/>
        <v>2.557537662549267</v>
      </c>
      <c r="K141">
        <f t="shared" si="93"/>
        <v>55.614874193548403</v>
      </c>
      <c r="L141">
        <f t="shared" si="94"/>
        <v>-92.842112971866285</v>
      </c>
      <c r="M141">
        <f t="shared" si="95"/>
        <v>-9.304661510213645</v>
      </c>
      <c r="N141">
        <f t="shared" si="96"/>
        <v>5.5737376362911295</v>
      </c>
      <c r="O141">
        <f t="shared" si="97"/>
        <v>2.7521285645283201E-2</v>
      </c>
      <c r="P141">
        <f t="shared" si="98"/>
        <v>2.3938935690291463</v>
      </c>
      <c r="Q141">
        <f t="shared" si="99"/>
        <v>2.734671320672476E-2</v>
      </c>
      <c r="R141">
        <f t="shared" si="100"/>
        <v>1.7107287962467597E-2</v>
      </c>
      <c r="S141">
        <f t="shared" si="101"/>
        <v>0</v>
      </c>
      <c r="T141">
        <f t="shared" si="102"/>
        <v>24.999140840781482</v>
      </c>
      <c r="U141">
        <f t="shared" si="103"/>
        <v>25.306941935483881</v>
      </c>
      <c r="V141">
        <f t="shared" si="104"/>
        <v>3.2383317648006047</v>
      </c>
      <c r="W141">
        <f t="shared" si="105"/>
        <v>-6.843574036324533</v>
      </c>
      <c r="X141">
        <f t="shared" si="106"/>
        <v>-0.22152613840039587</v>
      </c>
      <c r="Y141">
        <f t="shared" si="107"/>
        <v>3.2369948396053378</v>
      </c>
      <c r="Z141">
        <f t="shared" si="108"/>
        <v>3.4598579032010006</v>
      </c>
      <c r="AA141">
        <f t="shared" si="109"/>
        <v>-42.270036898486246</v>
      </c>
      <c r="AB141">
        <f t="shared" si="110"/>
        <v>-0.89592334800644657</v>
      </c>
      <c r="AC141">
        <f t="shared" si="111"/>
        <v>-7.9405785184538891E-2</v>
      </c>
      <c r="AD141">
        <f t="shared" si="112"/>
        <v>-43.245366031677236</v>
      </c>
      <c r="AE141">
        <v>18</v>
      </c>
      <c r="AF141">
        <v>4</v>
      </c>
      <c r="AG141">
        <f t="shared" si="113"/>
        <v>1</v>
      </c>
      <c r="AH141">
        <f t="shared" si="114"/>
        <v>0</v>
      </c>
      <c r="AI141">
        <f t="shared" si="115"/>
        <v>25750.761609244306</v>
      </c>
      <c r="AJ141">
        <f t="shared" si="116"/>
        <v>0</v>
      </c>
      <c r="AK141">
        <f t="shared" si="117"/>
        <v>0</v>
      </c>
      <c r="AL141">
        <f t="shared" si="118"/>
        <v>0</v>
      </c>
      <c r="AM141">
        <f t="shared" si="119"/>
        <v>0</v>
      </c>
      <c r="AN141">
        <v>3</v>
      </c>
      <c r="AO141">
        <v>0.5</v>
      </c>
      <c r="AP141" t="s">
        <v>331</v>
      </c>
      <c r="AQ141">
        <v>2</v>
      </c>
      <c r="AR141">
        <v>1775511024</v>
      </c>
      <c r="AS141">
        <v>55.614874193548403</v>
      </c>
      <c r="AT141">
        <v>57.181341935483879</v>
      </c>
      <c r="AU141">
        <v>-2.210392580645161</v>
      </c>
      <c r="AV141">
        <v>-2.786751935483871</v>
      </c>
      <c r="AW141">
        <v>47.853874193548393</v>
      </c>
      <c r="AX141">
        <v>-1.218392580645161</v>
      </c>
      <c r="AY141">
        <v>500.01248387096769</v>
      </c>
      <c r="AZ141">
        <v>100.1826451612903</v>
      </c>
      <c r="BA141">
        <v>3.7623554838709668E-2</v>
      </c>
      <c r="BB141">
        <v>25.29999999999999</v>
      </c>
      <c r="BC141">
        <v>25.306941935483881</v>
      </c>
      <c r="BD141">
        <v>999.90000000000032</v>
      </c>
      <c r="BE141">
        <v>0</v>
      </c>
      <c r="BF141">
        <v>0</v>
      </c>
      <c r="BG141">
        <v>5005.9677419354839</v>
      </c>
      <c r="BH141">
        <v>0.40127558064516122</v>
      </c>
      <c r="BI141">
        <v>0.22961599999999999</v>
      </c>
      <c r="BJ141">
        <v>-1.455458580645161</v>
      </c>
      <c r="BK141">
        <v>55.602803225806433</v>
      </c>
      <c r="BL141">
        <v>57.022425806451608</v>
      </c>
      <c r="BM141">
        <v>0.57336203225806448</v>
      </c>
      <c r="BN141">
        <v>57.181341935483879</v>
      </c>
      <c r="BO141">
        <v>-2.786751935483871</v>
      </c>
      <c r="BP141">
        <v>-0.22174348387096779</v>
      </c>
      <c r="BQ141">
        <v>-0.27918425806451608</v>
      </c>
      <c r="BR141">
        <v>-99.900000000000034</v>
      </c>
      <c r="BS141">
        <v>-99.900000000000034</v>
      </c>
      <c r="BT141">
        <v>0</v>
      </c>
      <c r="BU141">
        <v>0</v>
      </c>
      <c r="BV141">
        <v>0</v>
      </c>
      <c r="BW141">
        <v>24</v>
      </c>
      <c r="BX141">
        <v>-1</v>
      </c>
      <c r="BY141">
        <v>1775511071</v>
      </c>
      <c r="BZ141" t="s">
        <v>708</v>
      </c>
      <c r="CA141">
        <v>1775511071</v>
      </c>
      <c r="CB141">
        <v>1775511054</v>
      </c>
      <c r="CC141">
        <v>128</v>
      </c>
      <c r="CD141">
        <v>-0.111</v>
      </c>
      <c r="CE141">
        <v>3.0000000000000001E-3</v>
      </c>
      <c r="CF141">
        <v>7.7610000000000001</v>
      </c>
      <c r="CG141">
        <v>-0.99199999999999999</v>
      </c>
      <c r="CH141">
        <v>58</v>
      </c>
      <c r="CI141">
        <v>-3</v>
      </c>
      <c r="CJ141">
        <v>1.1200000000000001</v>
      </c>
      <c r="CK141">
        <v>0.15</v>
      </c>
      <c r="CL141">
        <v>56.209029999999991</v>
      </c>
      <c r="CM141">
        <v>9.2016333425951604</v>
      </c>
      <c r="CN141">
        <v>1.6030537931606239</v>
      </c>
      <c r="CO141">
        <v>-1</v>
      </c>
      <c r="CP141">
        <v>500.02243333333342</v>
      </c>
      <c r="CQ141">
        <v>-0.13159655459794151</v>
      </c>
      <c r="CR141">
        <v>6.9408781064710046E-2</v>
      </c>
      <c r="CS141">
        <v>-1</v>
      </c>
      <c r="CT141">
        <v>0</v>
      </c>
      <c r="CU141">
        <v>0</v>
      </c>
      <c r="CV141" t="s">
        <v>333</v>
      </c>
      <c r="CW141">
        <v>3.16736</v>
      </c>
      <c r="CX141">
        <v>2.6589999999999998</v>
      </c>
      <c r="CY141">
        <v>1.47937E-2</v>
      </c>
      <c r="CZ141">
        <v>1.74986E-2</v>
      </c>
      <c r="DA141">
        <v>-1.09394E-2</v>
      </c>
      <c r="DB141">
        <v>-2.7936099999999998E-2</v>
      </c>
      <c r="DC141">
        <v>21316.400000000001</v>
      </c>
      <c r="DD141">
        <v>21632.799999999999</v>
      </c>
      <c r="DE141">
        <v>23161.3</v>
      </c>
      <c r="DF141">
        <v>22366.9</v>
      </c>
      <c r="DG141">
        <v>30188.7</v>
      </c>
      <c r="DH141">
        <v>27407.4</v>
      </c>
      <c r="DI141">
        <v>40696.800000000003</v>
      </c>
      <c r="DJ141">
        <v>37057.4</v>
      </c>
      <c r="DK141">
        <v>2.10222</v>
      </c>
      <c r="DL141">
        <v>1.85172</v>
      </c>
      <c r="DM141">
        <v>2.3862700000000001E-2</v>
      </c>
      <c r="DN141">
        <v>0</v>
      </c>
      <c r="DO141">
        <v>24.9178</v>
      </c>
      <c r="DP141">
        <v>999.9</v>
      </c>
      <c r="DQ141">
        <v>78.8</v>
      </c>
      <c r="DR141">
        <v>28.2</v>
      </c>
      <c r="DS141">
        <v>30.199200000000001</v>
      </c>
      <c r="DT141">
        <v>31.030200000000001</v>
      </c>
      <c r="DU141">
        <v>9.2307699999999997</v>
      </c>
      <c r="DV141">
        <v>1</v>
      </c>
      <c r="DW141">
        <v>6.8489800000000003E-2</v>
      </c>
      <c r="DX141">
        <v>-0.13114400000000001</v>
      </c>
      <c r="DY141">
        <v>20.368300000000001</v>
      </c>
      <c r="DZ141">
        <v>5.2116600000000002</v>
      </c>
      <c r="EA141">
        <v>11.8482</v>
      </c>
      <c r="EB141">
        <v>4.968</v>
      </c>
      <c r="EC141">
        <v>3.2920199999999999</v>
      </c>
      <c r="ED141">
        <v>894.7</v>
      </c>
      <c r="EE141">
        <v>0</v>
      </c>
      <c r="EF141">
        <v>9999</v>
      </c>
      <c r="EG141">
        <v>115.1</v>
      </c>
      <c r="EH141">
        <v>4.9716399999999998</v>
      </c>
      <c r="EI141">
        <v>1.8717999999999999</v>
      </c>
      <c r="EJ141">
        <v>1.8689100000000001</v>
      </c>
      <c r="EK141">
        <v>1.87134</v>
      </c>
      <c r="EL141">
        <v>1.8690500000000001</v>
      </c>
      <c r="EM141">
        <v>1.86805</v>
      </c>
      <c r="EN141">
        <v>1.8698699999999999</v>
      </c>
      <c r="EO141">
        <v>1.8717200000000001</v>
      </c>
      <c r="EP141">
        <v>0</v>
      </c>
      <c r="EQ141">
        <v>0</v>
      </c>
      <c r="ER141">
        <v>0</v>
      </c>
      <c r="ES141">
        <v>0</v>
      </c>
      <c r="ET141" t="s">
        <v>334</v>
      </c>
      <c r="EU141" t="s">
        <v>335</v>
      </c>
      <c r="EV141" t="s">
        <v>336</v>
      </c>
      <c r="EW141" t="s">
        <v>336</v>
      </c>
      <c r="EX141" t="s">
        <v>336</v>
      </c>
      <c r="EY141" t="s">
        <v>336</v>
      </c>
      <c r="EZ141">
        <v>0</v>
      </c>
      <c r="FA141">
        <v>100</v>
      </c>
      <c r="FB141">
        <v>100</v>
      </c>
      <c r="FC141">
        <v>7.7610000000000001</v>
      </c>
      <c r="FD141">
        <v>-0.99199999999999999</v>
      </c>
      <c r="FE141">
        <v>7.872000000000007</v>
      </c>
      <c r="FF141">
        <v>0</v>
      </c>
      <c r="FG141">
        <v>0</v>
      </c>
      <c r="FH141">
        <v>0</v>
      </c>
      <c r="FI141">
        <v>-0.99499750000000042</v>
      </c>
      <c r="FJ141">
        <v>0</v>
      </c>
      <c r="FK141">
        <v>0</v>
      </c>
      <c r="FL141">
        <v>0</v>
      </c>
      <c r="FM141">
        <v>-1</v>
      </c>
      <c r="FN141">
        <v>-1</v>
      </c>
      <c r="FO141">
        <v>-1</v>
      </c>
      <c r="FP141">
        <v>-1</v>
      </c>
      <c r="FQ141">
        <v>0.8</v>
      </c>
      <c r="FR141">
        <v>0.7</v>
      </c>
      <c r="FS141">
        <v>0.142822</v>
      </c>
      <c r="FT141">
        <v>4.99756</v>
      </c>
      <c r="FU141">
        <v>1.5979000000000001</v>
      </c>
      <c r="FV141">
        <v>2.1606399999999999</v>
      </c>
      <c r="FW141">
        <v>1.5478499999999999</v>
      </c>
      <c r="FX141">
        <v>2.36084</v>
      </c>
      <c r="FY141">
        <v>32.686900000000001</v>
      </c>
      <c r="FZ141">
        <v>15.7781</v>
      </c>
      <c r="GA141">
        <v>3</v>
      </c>
      <c r="GB141">
        <v>492.44</v>
      </c>
      <c r="GC141">
        <v>423.40499999999997</v>
      </c>
      <c r="GD141">
        <v>25.958200000000001</v>
      </c>
      <c r="GE141">
        <v>28.024999999999999</v>
      </c>
      <c r="GF141">
        <v>30.0001</v>
      </c>
      <c r="GG141">
        <v>28.327999999999999</v>
      </c>
      <c r="GH141">
        <v>28.381699999999999</v>
      </c>
      <c r="GI141">
        <v>-1</v>
      </c>
      <c r="GJ141">
        <v>0</v>
      </c>
      <c r="GK141">
        <v>100</v>
      </c>
      <c r="GL141">
        <v>25.958300000000001</v>
      </c>
      <c r="GM141">
        <v>432.1</v>
      </c>
      <c r="GN141">
        <v>63.216500000000003</v>
      </c>
      <c r="GO141">
        <v>102.44799999999999</v>
      </c>
      <c r="GP141">
        <v>96.706699999999998</v>
      </c>
    </row>
    <row r="142" spans="1:198" x14ac:dyDescent="0.35">
      <c r="A142">
        <v>126</v>
      </c>
      <c r="B142">
        <v>1775511092</v>
      </c>
      <c r="C142">
        <v>7501</v>
      </c>
      <c r="D142" t="s">
        <v>709</v>
      </c>
      <c r="E142" t="s">
        <v>710</v>
      </c>
      <c r="F142">
        <v>60</v>
      </c>
      <c r="G142">
        <v>1775511084</v>
      </c>
      <c r="H142">
        <f t="shared" si="90"/>
        <v>9.7170180676462705E-4</v>
      </c>
      <c r="I142">
        <f t="shared" si="91"/>
        <v>0.97170180676462703</v>
      </c>
      <c r="J142">
        <f t="shared" si="92"/>
        <v>-3.5124054266379372</v>
      </c>
      <c r="K142">
        <f t="shared" si="93"/>
        <v>58.34385806451612</v>
      </c>
      <c r="L142">
        <f t="shared" si="94"/>
        <v>252.27324088421673</v>
      </c>
      <c r="M142">
        <f t="shared" si="95"/>
        <v>25.282488515248904</v>
      </c>
      <c r="N142">
        <f t="shared" si="96"/>
        <v>5.8471438202533825</v>
      </c>
      <c r="O142">
        <f t="shared" si="97"/>
        <v>2.7887440143588557E-2</v>
      </c>
      <c r="P142">
        <f t="shared" si="98"/>
        <v>2.3926368499936088</v>
      </c>
      <c r="Q142">
        <f t="shared" si="99"/>
        <v>2.7708114474835021E-2</v>
      </c>
      <c r="R142">
        <f t="shared" si="100"/>
        <v>1.7333586997659543E-2</v>
      </c>
      <c r="S142">
        <f t="shared" si="101"/>
        <v>0</v>
      </c>
      <c r="T142">
        <f t="shared" si="102"/>
        <v>24.993560537886029</v>
      </c>
      <c r="U142">
        <f t="shared" si="103"/>
        <v>25.308745161290322</v>
      </c>
      <c r="V142">
        <f t="shared" si="104"/>
        <v>3.2386791212283521</v>
      </c>
      <c r="W142">
        <f t="shared" si="105"/>
        <v>-6.8906450315927614</v>
      </c>
      <c r="X142">
        <f t="shared" si="106"/>
        <v>-0.22303270455962546</v>
      </c>
      <c r="Y142">
        <f t="shared" si="107"/>
        <v>3.2367463936547001</v>
      </c>
      <c r="Z142">
        <f t="shared" si="108"/>
        <v>3.4617118257879778</v>
      </c>
      <c r="AA142">
        <f t="shared" si="109"/>
        <v>-42.85204967832005</v>
      </c>
      <c r="AB142">
        <f t="shared" si="110"/>
        <v>-1.2944955082981298</v>
      </c>
      <c r="AC142">
        <f t="shared" si="111"/>
        <v>-0.11479183776256237</v>
      </c>
      <c r="AD142">
        <f t="shared" si="112"/>
        <v>-44.261337024380737</v>
      </c>
      <c r="AE142">
        <v>19</v>
      </c>
      <c r="AF142">
        <v>4</v>
      </c>
      <c r="AG142">
        <f t="shared" si="113"/>
        <v>1</v>
      </c>
      <c r="AH142">
        <f t="shared" si="114"/>
        <v>0</v>
      </c>
      <c r="AI142">
        <f t="shared" si="115"/>
        <v>25731.697344369531</v>
      </c>
      <c r="AJ142">
        <f t="shared" si="116"/>
        <v>0</v>
      </c>
      <c r="AK142">
        <f t="shared" si="117"/>
        <v>0</v>
      </c>
      <c r="AL142">
        <f t="shared" si="118"/>
        <v>0</v>
      </c>
      <c r="AM142">
        <f t="shared" si="119"/>
        <v>0</v>
      </c>
      <c r="AN142">
        <v>3</v>
      </c>
      <c r="AO142">
        <v>0.5</v>
      </c>
      <c r="AP142" t="s">
        <v>331</v>
      </c>
      <c r="AQ142">
        <v>2</v>
      </c>
      <c r="AR142">
        <v>1775511084</v>
      </c>
      <c r="AS142">
        <v>58.34385806451612</v>
      </c>
      <c r="AT142">
        <v>56.27279032258064</v>
      </c>
      <c r="AU142">
        <v>-2.2254606451612902</v>
      </c>
      <c r="AV142">
        <v>-2.8091141935483859</v>
      </c>
      <c r="AW142">
        <v>50.452858064516121</v>
      </c>
      <c r="AX142">
        <v>-1.2364606451612901</v>
      </c>
      <c r="AY142">
        <v>500.56970967741938</v>
      </c>
      <c r="AZ142">
        <v>100.18116129032261</v>
      </c>
      <c r="BA142">
        <v>3.7508064516129043E-2</v>
      </c>
      <c r="BB142">
        <v>25.29870967741936</v>
      </c>
      <c r="BC142">
        <v>25.308745161290322</v>
      </c>
      <c r="BD142">
        <v>999.90000000000032</v>
      </c>
      <c r="BE142">
        <v>0</v>
      </c>
      <c r="BF142">
        <v>0</v>
      </c>
      <c r="BG142">
        <v>5002.8064516129034</v>
      </c>
      <c r="BH142">
        <v>0.39289235483870971</v>
      </c>
      <c r="BI142">
        <v>0.2311714193548387</v>
      </c>
      <c r="BJ142">
        <v>1.940597419354839</v>
      </c>
      <c r="BK142">
        <v>58.083961290322577</v>
      </c>
      <c r="BL142">
        <v>56.115161290322582</v>
      </c>
      <c r="BM142">
        <v>0.58093516129032263</v>
      </c>
      <c r="BN142">
        <v>56.27279032258064</v>
      </c>
      <c r="BO142">
        <v>-2.8091141935483859</v>
      </c>
      <c r="BP142">
        <v>-0.22322164516129031</v>
      </c>
      <c r="BQ142">
        <v>-0.28142038709677419</v>
      </c>
      <c r="BR142">
        <v>-99.900000000000034</v>
      </c>
      <c r="BS142">
        <v>-99.900000000000034</v>
      </c>
      <c r="BT142">
        <v>0</v>
      </c>
      <c r="BU142">
        <v>0</v>
      </c>
      <c r="BV142">
        <v>0</v>
      </c>
      <c r="BW142">
        <v>24</v>
      </c>
      <c r="BX142">
        <v>-1</v>
      </c>
      <c r="BY142">
        <v>1775511112.5</v>
      </c>
      <c r="BZ142" t="s">
        <v>711</v>
      </c>
      <c r="CA142">
        <v>1775511109</v>
      </c>
      <c r="CB142">
        <v>1775511112.5</v>
      </c>
      <c r="CC142">
        <v>129</v>
      </c>
      <c r="CD142">
        <v>0.13100000000000001</v>
      </c>
      <c r="CE142">
        <v>2E-3</v>
      </c>
      <c r="CF142">
        <v>7.891</v>
      </c>
      <c r="CG142">
        <v>-0.98899999999999999</v>
      </c>
      <c r="CH142">
        <v>56</v>
      </c>
      <c r="CI142">
        <v>-3</v>
      </c>
      <c r="CJ142">
        <v>0.14000000000000001</v>
      </c>
      <c r="CK142">
        <v>0.14000000000000001</v>
      </c>
      <c r="CL142">
        <v>57.65382833333333</v>
      </c>
      <c r="CM142">
        <v>-12.59075976660171</v>
      </c>
      <c r="CN142">
        <v>2.044386604916959</v>
      </c>
      <c r="CO142">
        <v>-1</v>
      </c>
      <c r="CP142">
        <v>500.77636666666672</v>
      </c>
      <c r="CQ142">
        <v>-0.74181272575660762</v>
      </c>
      <c r="CR142">
        <v>1.483175466880289</v>
      </c>
      <c r="CS142">
        <v>-1</v>
      </c>
      <c r="CT142">
        <v>0</v>
      </c>
      <c r="CU142">
        <v>0</v>
      </c>
      <c r="CV142" t="s">
        <v>333</v>
      </c>
      <c r="CW142">
        <v>3.1672500000000001</v>
      </c>
      <c r="CX142">
        <v>2.6587100000000001</v>
      </c>
      <c r="CY142">
        <v>1.4551E-2</v>
      </c>
      <c r="CZ142">
        <v>1.6488800000000001E-2</v>
      </c>
      <c r="DA142">
        <v>-1.10122E-2</v>
      </c>
      <c r="DB142">
        <v>-2.81777E-2</v>
      </c>
      <c r="DC142">
        <v>21321.599999999999</v>
      </c>
      <c r="DD142">
        <v>21655.5</v>
      </c>
      <c r="DE142">
        <v>23161.200000000001</v>
      </c>
      <c r="DF142">
        <v>22367.4</v>
      </c>
      <c r="DG142">
        <v>30190.6</v>
      </c>
      <c r="DH142">
        <v>27414.3</v>
      </c>
      <c r="DI142">
        <v>40696.400000000001</v>
      </c>
      <c r="DJ142">
        <v>37058.1</v>
      </c>
      <c r="DK142">
        <v>2.1002999999999998</v>
      </c>
      <c r="DL142">
        <v>1.8497399999999999</v>
      </c>
      <c r="DM142">
        <v>2.4798500000000001E-2</v>
      </c>
      <c r="DN142">
        <v>0</v>
      </c>
      <c r="DO142">
        <v>24.908000000000001</v>
      </c>
      <c r="DP142">
        <v>999.9</v>
      </c>
      <c r="DQ142">
        <v>78.8</v>
      </c>
      <c r="DR142">
        <v>28.2</v>
      </c>
      <c r="DS142">
        <v>30.197700000000001</v>
      </c>
      <c r="DT142">
        <v>30.8202</v>
      </c>
      <c r="DU142">
        <v>9.3669899999999995</v>
      </c>
      <c r="DV142">
        <v>1</v>
      </c>
      <c r="DW142">
        <v>6.8823200000000001E-2</v>
      </c>
      <c r="DX142">
        <v>-0.14604800000000001</v>
      </c>
      <c r="DY142">
        <v>20.368300000000001</v>
      </c>
      <c r="DZ142">
        <v>5.2120199999999999</v>
      </c>
      <c r="EA142">
        <v>11.8482</v>
      </c>
      <c r="EB142">
        <v>4.9681199999999999</v>
      </c>
      <c r="EC142">
        <v>3.2920600000000002</v>
      </c>
      <c r="ED142">
        <v>894.7</v>
      </c>
      <c r="EE142">
        <v>0</v>
      </c>
      <c r="EF142">
        <v>9999</v>
      </c>
      <c r="EG142">
        <v>115.1</v>
      </c>
      <c r="EH142">
        <v>4.9716500000000003</v>
      </c>
      <c r="EI142">
        <v>1.8717999999999999</v>
      </c>
      <c r="EJ142">
        <v>1.8689100000000001</v>
      </c>
      <c r="EK142">
        <v>1.87134</v>
      </c>
      <c r="EL142">
        <v>1.86907</v>
      </c>
      <c r="EM142">
        <v>1.8680699999999999</v>
      </c>
      <c r="EN142">
        <v>1.86985</v>
      </c>
      <c r="EO142">
        <v>1.87168</v>
      </c>
      <c r="EP142">
        <v>0</v>
      </c>
      <c r="EQ142">
        <v>0</v>
      </c>
      <c r="ER142">
        <v>0</v>
      </c>
      <c r="ES142">
        <v>0</v>
      </c>
      <c r="ET142" t="s">
        <v>334</v>
      </c>
      <c r="EU142" t="s">
        <v>335</v>
      </c>
      <c r="EV142" t="s">
        <v>336</v>
      </c>
      <c r="EW142" t="s">
        <v>336</v>
      </c>
      <c r="EX142" t="s">
        <v>336</v>
      </c>
      <c r="EY142" t="s">
        <v>336</v>
      </c>
      <c r="EZ142">
        <v>0</v>
      </c>
      <c r="FA142">
        <v>100</v>
      </c>
      <c r="FB142">
        <v>100</v>
      </c>
      <c r="FC142">
        <v>7.891</v>
      </c>
      <c r="FD142">
        <v>-0.98899999999999999</v>
      </c>
      <c r="FE142">
        <v>7.7605350000000124</v>
      </c>
      <c r="FF142">
        <v>0</v>
      </c>
      <c r="FG142">
        <v>0</v>
      </c>
      <c r="FH142">
        <v>0</v>
      </c>
      <c r="FI142">
        <v>-0.99171850000000039</v>
      </c>
      <c r="FJ142">
        <v>0</v>
      </c>
      <c r="FK142">
        <v>0</v>
      </c>
      <c r="FL142">
        <v>0</v>
      </c>
      <c r="FM142">
        <v>-1</v>
      </c>
      <c r="FN142">
        <v>-1</v>
      </c>
      <c r="FO142">
        <v>-1</v>
      </c>
      <c r="FP142">
        <v>-1</v>
      </c>
      <c r="FQ142">
        <v>0.3</v>
      </c>
      <c r="FR142">
        <v>0.6</v>
      </c>
      <c r="FS142">
        <v>0.142822</v>
      </c>
      <c r="FT142">
        <v>4.99756</v>
      </c>
      <c r="FU142">
        <v>1.5979000000000001</v>
      </c>
      <c r="FV142">
        <v>2.1606399999999999</v>
      </c>
      <c r="FW142">
        <v>1.5478499999999999</v>
      </c>
      <c r="FX142">
        <v>2.4304199999999998</v>
      </c>
      <c r="FY142">
        <v>32.709099999999999</v>
      </c>
      <c r="FZ142">
        <v>15.7781</v>
      </c>
      <c r="GA142">
        <v>3</v>
      </c>
      <c r="GB142">
        <v>491.40300000000002</v>
      </c>
      <c r="GC142">
        <v>422.27699999999999</v>
      </c>
      <c r="GD142">
        <v>25.965499999999999</v>
      </c>
      <c r="GE142">
        <v>28.029800000000002</v>
      </c>
      <c r="GF142">
        <v>30.0001</v>
      </c>
      <c r="GG142">
        <v>28.3352</v>
      </c>
      <c r="GH142">
        <v>28.386399999999998</v>
      </c>
      <c r="GI142">
        <v>-1</v>
      </c>
      <c r="GJ142">
        <v>0</v>
      </c>
      <c r="GK142">
        <v>100</v>
      </c>
      <c r="GL142">
        <v>25.9663</v>
      </c>
      <c r="GM142">
        <v>432.1</v>
      </c>
      <c r="GN142">
        <v>63.216500000000003</v>
      </c>
      <c r="GO142">
        <v>102.447</v>
      </c>
      <c r="GP142">
        <v>96.708699999999993</v>
      </c>
    </row>
    <row r="143" spans="1:198" x14ac:dyDescent="0.35">
      <c r="A143">
        <v>127</v>
      </c>
      <c r="B143">
        <v>1775511152.0999999</v>
      </c>
      <c r="C143">
        <v>7561.0999999046326</v>
      </c>
      <c r="D143" t="s">
        <v>712</v>
      </c>
      <c r="E143" t="s">
        <v>713</v>
      </c>
      <c r="F143">
        <v>60</v>
      </c>
      <c r="G143">
        <v>1775511144.099999</v>
      </c>
      <c r="H143">
        <f t="shared" si="90"/>
        <v>9.7258473898306482E-4</v>
      </c>
      <c r="I143">
        <f t="shared" si="91"/>
        <v>0.97258473898306486</v>
      </c>
      <c r="J143">
        <f t="shared" si="92"/>
        <v>-5.933727294553142E-3</v>
      </c>
      <c r="K143">
        <f t="shared" si="93"/>
        <v>55.22658709677421</v>
      </c>
      <c r="L143">
        <f t="shared" si="94"/>
        <v>52.548436371287131</v>
      </c>
      <c r="M143">
        <f t="shared" si="95"/>
        <v>5.2663219724450858</v>
      </c>
      <c r="N143">
        <f t="shared" si="96"/>
        <v>5.5347220426488652</v>
      </c>
      <c r="O143">
        <f t="shared" si="97"/>
        <v>2.7920514132811897E-2</v>
      </c>
      <c r="P143">
        <f t="shared" si="98"/>
        <v>2.3901540618673174</v>
      </c>
      <c r="Q143">
        <f t="shared" si="99"/>
        <v>2.7740578919831622E-2</v>
      </c>
      <c r="R143">
        <f t="shared" si="100"/>
        <v>1.7353931501104539E-2</v>
      </c>
      <c r="S143">
        <f t="shared" si="101"/>
        <v>0</v>
      </c>
      <c r="T143">
        <f t="shared" si="102"/>
        <v>24.991462452157123</v>
      </c>
      <c r="U143">
        <f t="shared" si="103"/>
        <v>25.30361612903226</v>
      </c>
      <c r="V143">
        <f t="shared" si="104"/>
        <v>3.2376911981645682</v>
      </c>
      <c r="W143">
        <f t="shared" si="105"/>
        <v>-6.8940254964826186</v>
      </c>
      <c r="X143">
        <f t="shared" si="106"/>
        <v>-0.2231218265283382</v>
      </c>
      <c r="Y143">
        <f t="shared" si="107"/>
        <v>3.2364520067727711</v>
      </c>
      <c r="Z143">
        <f t="shared" si="108"/>
        <v>3.4608130246929063</v>
      </c>
      <c r="AA143">
        <f t="shared" si="109"/>
        <v>-42.890986989153156</v>
      </c>
      <c r="AB143">
        <f t="shared" si="110"/>
        <v>-0.82926348915328185</v>
      </c>
      <c r="AC143">
        <f t="shared" si="111"/>
        <v>-7.3610430480194916E-2</v>
      </c>
      <c r="AD143">
        <f t="shared" si="112"/>
        <v>-43.793860908786634</v>
      </c>
      <c r="AE143">
        <v>18</v>
      </c>
      <c r="AF143">
        <v>4</v>
      </c>
      <c r="AG143">
        <f t="shared" si="113"/>
        <v>1</v>
      </c>
      <c r="AH143">
        <f t="shared" si="114"/>
        <v>0</v>
      </c>
      <c r="AI143">
        <f t="shared" si="115"/>
        <v>25693.834756687345</v>
      </c>
      <c r="AJ143">
        <f t="shared" si="116"/>
        <v>0</v>
      </c>
      <c r="AK143">
        <f t="shared" si="117"/>
        <v>0</v>
      </c>
      <c r="AL143">
        <f t="shared" si="118"/>
        <v>0</v>
      </c>
      <c r="AM143">
        <f t="shared" si="119"/>
        <v>0</v>
      </c>
      <c r="AN143">
        <v>3</v>
      </c>
      <c r="AO143">
        <v>0.5</v>
      </c>
      <c r="AP143" t="s">
        <v>331</v>
      </c>
      <c r="AQ143">
        <v>2</v>
      </c>
      <c r="AR143">
        <v>1775511144.099999</v>
      </c>
      <c r="AS143">
        <v>55.22658709677421</v>
      </c>
      <c r="AT143">
        <v>55.255254838709682</v>
      </c>
      <c r="AU143">
        <v>-2.2263551612903218</v>
      </c>
      <c r="AV143">
        <v>-2.8112145161290329</v>
      </c>
      <c r="AW143">
        <v>47.367587096774209</v>
      </c>
      <c r="AX143">
        <v>-1.237355161290322</v>
      </c>
      <c r="AY143">
        <v>499.99203225806451</v>
      </c>
      <c r="AZ143">
        <v>100.18109677419351</v>
      </c>
      <c r="BA143">
        <v>3.7336658064516123E-2</v>
      </c>
      <c r="BB143">
        <v>25.297180645161301</v>
      </c>
      <c r="BC143">
        <v>25.30361612903226</v>
      </c>
      <c r="BD143">
        <v>999.90000000000032</v>
      </c>
      <c r="BE143">
        <v>0</v>
      </c>
      <c r="BF143">
        <v>0</v>
      </c>
      <c r="BG143">
        <v>4996.4193548387093</v>
      </c>
      <c r="BH143">
        <v>0.38869796774193538</v>
      </c>
      <c r="BI143">
        <v>0.22961599999999999</v>
      </c>
      <c r="BJ143">
        <v>3.7275980645161289E-3</v>
      </c>
      <c r="BK143">
        <v>55.136212903225797</v>
      </c>
      <c r="BL143">
        <v>55.100351612903218</v>
      </c>
      <c r="BM143">
        <v>0.5845769999999999</v>
      </c>
      <c r="BN143">
        <v>55.255254838709682</v>
      </c>
      <c r="BO143">
        <v>-2.8112145161290329</v>
      </c>
      <c r="BP143">
        <v>-0.22306693548387099</v>
      </c>
      <c r="BQ143">
        <v>-0.28163054838709678</v>
      </c>
      <c r="BR143">
        <v>-99.900000000000034</v>
      </c>
      <c r="BS143">
        <v>-99.900000000000034</v>
      </c>
      <c r="BT143">
        <v>0</v>
      </c>
      <c r="BU143">
        <v>0</v>
      </c>
      <c r="BV143">
        <v>0</v>
      </c>
      <c r="BW143">
        <v>24</v>
      </c>
      <c r="BX143">
        <v>-1</v>
      </c>
      <c r="BY143">
        <v>1775511172.5999999</v>
      </c>
      <c r="BZ143" t="s">
        <v>714</v>
      </c>
      <c r="CA143">
        <v>1775511171.0999999</v>
      </c>
      <c r="CB143">
        <v>1775511172.5999999</v>
      </c>
      <c r="CC143">
        <v>130</v>
      </c>
      <c r="CD143">
        <v>-3.2000000000000001E-2</v>
      </c>
      <c r="CE143">
        <v>0</v>
      </c>
      <c r="CF143">
        <v>7.859</v>
      </c>
      <c r="CG143">
        <v>-0.98899999999999999</v>
      </c>
      <c r="CH143">
        <v>55</v>
      </c>
      <c r="CI143">
        <v>-3</v>
      </c>
      <c r="CJ143">
        <v>0.22</v>
      </c>
      <c r="CK143">
        <v>0.15</v>
      </c>
      <c r="CL143">
        <v>55.316891803278693</v>
      </c>
      <c r="CM143">
        <v>-0.45650378437813538</v>
      </c>
      <c r="CN143">
        <v>0.1041762555858851</v>
      </c>
      <c r="CO143">
        <v>-1</v>
      </c>
      <c r="CP143">
        <v>500.00442622950823</v>
      </c>
      <c r="CQ143">
        <v>-0.16267050111840431</v>
      </c>
      <c r="CR143">
        <v>7.4024687733079839E-2</v>
      </c>
      <c r="CS143">
        <v>-1</v>
      </c>
      <c r="CT143">
        <v>0</v>
      </c>
      <c r="CU143">
        <v>0</v>
      </c>
      <c r="CV143" t="s">
        <v>333</v>
      </c>
      <c r="CW143">
        <v>3.1673200000000001</v>
      </c>
      <c r="CX143">
        <v>2.6587800000000001</v>
      </c>
      <c r="CY143">
        <v>1.41295E-2</v>
      </c>
      <c r="CZ143">
        <v>1.64849E-2</v>
      </c>
      <c r="DA143">
        <v>-1.1094700000000001E-2</v>
      </c>
      <c r="DB143">
        <v>-2.81953E-2</v>
      </c>
      <c r="DC143">
        <v>21330.6</v>
      </c>
      <c r="DD143">
        <v>21655.599999999999</v>
      </c>
      <c r="DE143">
        <v>23161.1</v>
      </c>
      <c r="DF143">
        <v>22367.4</v>
      </c>
      <c r="DG143">
        <v>30193</v>
      </c>
      <c r="DH143">
        <v>27414.799999999999</v>
      </c>
      <c r="DI143">
        <v>40696.400000000001</v>
      </c>
      <c r="DJ143">
        <v>37058.199999999997</v>
      </c>
      <c r="DK143">
        <v>2.1022400000000001</v>
      </c>
      <c r="DL143">
        <v>1.85138</v>
      </c>
      <c r="DM143">
        <v>2.3990899999999999E-2</v>
      </c>
      <c r="DN143">
        <v>0</v>
      </c>
      <c r="DO143">
        <v>24.905799999999999</v>
      </c>
      <c r="DP143">
        <v>999.9</v>
      </c>
      <c r="DQ143">
        <v>78.8</v>
      </c>
      <c r="DR143">
        <v>28.3</v>
      </c>
      <c r="DS143">
        <v>30.375499999999999</v>
      </c>
      <c r="DT143">
        <v>30.389299999999999</v>
      </c>
      <c r="DU143">
        <v>9.2868600000000008</v>
      </c>
      <c r="DV143">
        <v>1</v>
      </c>
      <c r="DW143">
        <v>6.8622000000000002E-2</v>
      </c>
      <c r="DX143">
        <v>-0.168878</v>
      </c>
      <c r="DY143">
        <v>20.368300000000001</v>
      </c>
      <c r="DZ143">
        <v>5.2112999999999996</v>
      </c>
      <c r="EA143">
        <v>11.8482</v>
      </c>
      <c r="EB143">
        <v>4.9677600000000002</v>
      </c>
      <c r="EC143">
        <v>3.2919999999999998</v>
      </c>
      <c r="ED143">
        <v>894.7</v>
      </c>
      <c r="EE143">
        <v>0</v>
      </c>
      <c r="EF143">
        <v>9999</v>
      </c>
      <c r="EG143">
        <v>115.1</v>
      </c>
      <c r="EH143">
        <v>4.9716100000000001</v>
      </c>
      <c r="EI143">
        <v>1.8717900000000001</v>
      </c>
      <c r="EJ143">
        <v>1.8689</v>
      </c>
      <c r="EK143">
        <v>1.87134</v>
      </c>
      <c r="EL143">
        <v>1.8690500000000001</v>
      </c>
      <c r="EM143">
        <v>1.8680300000000001</v>
      </c>
      <c r="EN143">
        <v>1.86988</v>
      </c>
      <c r="EO143">
        <v>1.87164</v>
      </c>
      <c r="EP143">
        <v>0</v>
      </c>
      <c r="EQ143">
        <v>0</v>
      </c>
      <c r="ER143">
        <v>0</v>
      </c>
      <c r="ES143">
        <v>0</v>
      </c>
      <c r="ET143" t="s">
        <v>334</v>
      </c>
      <c r="EU143" t="s">
        <v>335</v>
      </c>
      <c r="EV143" t="s">
        <v>336</v>
      </c>
      <c r="EW143" t="s">
        <v>336</v>
      </c>
      <c r="EX143" t="s">
        <v>336</v>
      </c>
      <c r="EY143" t="s">
        <v>336</v>
      </c>
      <c r="EZ143">
        <v>0</v>
      </c>
      <c r="FA143">
        <v>100</v>
      </c>
      <c r="FB143">
        <v>100</v>
      </c>
      <c r="FC143">
        <v>7.859</v>
      </c>
      <c r="FD143">
        <v>-0.98899999999999999</v>
      </c>
      <c r="FE143">
        <v>7.8913849999999854</v>
      </c>
      <c r="FF143">
        <v>0</v>
      </c>
      <c r="FG143">
        <v>0</v>
      </c>
      <c r="FH143">
        <v>0</v>
      </c>
      <c r="FI143">
        <v>-0.98928238095238097</v>
      </c>
      <c r="FJ143">
        <v>0</v>
      </c>
      <c r="FK143">
        <v>0</v>
      </c>
      <c r="FL143">
        <v>0</v>
      </c>
      <c r="FM143">
        <v>-1</v>
      </c>
      <c r="FN143">
        <v>-1</v>
      </c>
      <c r="FO143">
        <v>-1</v>
      </c>
      <c r="FP143">
        <v>-1</v>
      </c>
      <c r="FQ143">
        <v>0.7</v>
      </c>
      <c r="FR143">
        <v>0.7</v>
      </c>
      <c r="FS143">
        <v>0.142822</v>
      </c>
      <c r="FT143">
        <v>4.99756</v>
      </c>
      <c r="FU143">
        <v>1.5979000000000001</v>
      </c>
      <c r="FV143">
        <v>2.16187</v>
      </c>
      <c r="FW143">
        <v>1.5478499999999999</v>
      </c>
      <c r="FX143">
        <v>2.3754900000000001</v>
      </c>
      <c r="FY143">
        <v>32.709099999999999</v>
      </c>
      <c r="FZ143">
        <v>15.769399999999999</v>
      </c>
      <c r="GA143">
        <v>3</v>
      </c>
      <c r="GB143">
        <v>492.50799999999998</v>
      </c>
      <c r="GC143">
        <v>423.25599999999997</v>
      </c>
      <c r="GD143">
        <v>25.9861</v>
      </c>
      <c r="GE143">
        <v>28.029800000000002</v>
      </c>
      <c r="GF143">
        <v>30.0001</v>
      </c>
      <c r="GG143">
        <v>28.3352</v>
      </c>
      <c r="GH143">
        <v>28.3888</v>
      </c>
      <c r="GI143">
        <v>-1</v>
      </c>
      <c r="GJ143">
        <v>0</v>
      </c>
      <c r="GK143">
        <v>100</v>
      </c>
      <c r="GL143">
        <v>25.9862</v>
      </c>
      <c r="GM143">
        <v>432.1</v>
      </c>
      <c r="GN143">
        <v>63.216500000000003</v>
      </c>
      <c r="GO143">
        <v>102.447</v>
      </c>
      <c r="GP143">
        <v>96.708699999999993</v>
      </c>
    </row>
    <row r="144" spans="1:198" x14ac:dyDescent="0.35">
      <c r="A144">
        <v>128</v>
      </c>
      <c r="B144">
        <v>1775511212.0999999</v>
      </c>
      <c r="C144">
        <v>7621.0999999046326</v>
      </c>
      <c r="D144" t="s">
        <v>715</v>
      </c>
      <c r="E144" t="s">
        <v>716</v>
      </c>
      <c r="F144">
        <v>60</v>
      </c>
      <c r="G144">
        <v>1775511204.349999</v>
      </c>
      <c r="H144">
        <f t="shared" si="90"/>
        <v>9.5931056837659319E-4</v>
      </c>
      <c r="I144">
        <f t="shared" si="91"/>
        <v>0.95931056837659323</v>
      </c>
      <c r="J144">
        <f t="shared" si="92"/>
        <v>0.24451684419489009</v>
      </c>
      <c r="K144">
        <f t="shared" si="93"/>
        <v>56.035966666666667</v>
      </c>
      <c r="L144">
        <f t="shared" si="94"/>
        <v>39.084236004264341</v>
      </c>
      <c r="M144">
        <f t="shared" si="95"/>
        <v>3.9169575836893631</v>
      </c>
      <c r="N144">
        <f t="shared" si="96"/>
        <v>5.6158320344400892</v>
      </c>
      <c r="O144">
        <f t="shared" si="97"/>
        <v>2.7535094134835177E-2</v>
      </c>
      <c r="P144">
        <f t="shared" si="98"/>
        <v>2.392228505676036</v>
      </c>
      <c r="Q144">
        <f t="shared" si="99"/>
        <v>2.7360226277555664E-2</v>
      </c>
      <c r="R144">
        <f t="shared" si="100"/>
        <v>1.7115759907781955E-2</v>
      </c>
      <c r="S144">
        <f t="shared" si="101"/>
        <v>0</v>
      </c>
      <c r="T144">
        <f t="shared" si="102"/>
        <v>24.998661895235262</v>
      </c>
      <c r="U144">
        <f t="shared" si="103"/>
        <v>25.30135000000001</v>
      </c>
      <c r="V144">
        <f t="shared" si="104"/>
        <v>3.2372547940169989</v>
      </c>
      <c r="W144">
        <f t="shared" si="105"/>
        <v>-6.9136717632238787</v>
      </c>
      <c r="X144">
        <f t="shared" si="106"/>
        <v>-0.2237947544559272</v>
      </c>
      <c r="Y144">
        <f t="shared" si="107"/>
        <v>3.236988421208626</v>
      </c>
      <c r="Z144">
        <f t="shared" si="108"/>
        <v>3.4610495484729262</v>
      </c>
      <c r="AA144">
        <f t="shared" si="109"/>
        <v>-42.305596065407762</v>
      </c>
      <c r="AB144">
        <f t="shared" si="110"/>
        <v>-0.17840825542616595</v>
      </c>
      <c r="AC144">
        <f t="shared" si="111"/>
        <v>-1.5822901650292823E-2</v>
      </c>
      <c r="AD144">
        <f t="shared" si="112"/>
        <v>-42.499827222484221</v>
      </c>
      <c r="AE144">
        <v>18</v>
      </c>
      <c r="AF144">
        <v>4</v>
      </c>
      <c r="AG144">
        <f t="shared" si="113"/>
        <v>1</v>
      </c>
      <c r="AH144">
        <f t="shared" si="114"/>
        <v>0</v>
      </c>
      <c r="AI144">
        <f t="shared" si="115"/>
        <v>25725.348352705754</v>
      </c>
      <c r="AJ144">
        <f t="shared" si="116"/>
        <v>0</v>
      </c>
      <c r="AK144">
        <f t="shared" si="117"/>
        <v>0</v>
      </c>
      <c r="AL144">
        <f t="shared" si="118"/>
        <v>0</v>
      </c>
      <c r="AM144">
        <f t="shared" si="119"/>
        <v>0</v>
      </c>
      <c r="AN144">
        <v>3</v>
      </c>
      <c r="AO144">
        <v>0.5</v>
      </c>
      <c r="AP144" t="s">
        <v>331</v>
      </c>
      <c r="AQ144">
        <v>2</v>
      </c>
      <c r="AR144">
        <v>1775511204.349999</v>
      </c>
      <c r="AS144">
        <v>56.035966666666667</v>
      </c>
      <c r="AT144">
        <v>56.214930000000003</v>
      </c>
      <c r="AU144">
        <v>-2.233071666666667</v>
      </c>
      <c r="AV144">
        <v>-2.8099423333333329</v>
      </c>
      <c r="AW144">
        <v>48.165966666666669</v>
      </c>
      <c r="AX144">
        <v>-1.245071666666667</v>
      </c>
      <c r="AY144">
        <v>500.00086666666658</v>
      </c>
      <c r="AZ144">
        <v>100.1809333333333</v>
      </c>
      <c r="BA144">
        <v>3.741514E-2</v>
      </c>
      <c r="BB144">
        <v>25.299966666666659</v>
      </c>
      <c r="BC144">
        <v>25.30135000000001</v>
      </c>
      <c r="BD144">
        <v>999.9000000000002</v>
      </c>
      <c r="BE144">
        <v>0</v>
      </c>
      <c r="BF144">
        <v>0</v>
      </c>
      <c r="BG144">
        <v>5001.7666666666664</v>
      </c>
      <c r="BH144">
        <v>0.36006153333333318</v>
      </c>
      <c r="BI144">
        <v>0.22961599999999999</v>
      </c>
      <c r="BJ144">
        <v>-0.18947454999999999</v>
      </c>
      <c r="BK144">
        <v>55.900569999999988</v>
      </c>
      <c r="BL144">
        <v>56.057416666666683</v>
      </c>
      <c r="BM144">
        <v>0.57598673333333339</v>
      </c>
      <c r="BN144">
        <v>56.214930000000003</v>
      </c>
      <c r="BO144">
        <v>-2.8099423333333329</v>
      </c>
      <c r="BP144">
        <v>-0.22379986666666671</v>
      </c>
      <c r="BQ144">
        <v>-0.28150263333333331</v>
      </c>
      <c r="BR144">
        <v>-99.900000000000034</v>
      </c>
      <c r="BS144">
        <v>-99.900000000000034</v>
      </c>
      <c r="BT144">
        <v>0</v>
      </c>
      <c r="BU144">
        <v>0</v>
      </c>
      <c r="BV144">
        <v>0</v>
      </c>
      <c r="BW144">
        <v>24</v>
      </c>
      <c r="BX144">
        <v>-1</v>
      </c>
      <c r="BY144">
        <v>1775511233.0999999</v>
      </c>
      <c r="BZ144" t="s">
        <v>717</v>
      </c>
      <c r="CA144">
        <v>1775511228.0999999</v>
      </c>
      <c r="CB144">
        <v>1775511233.0999999</v>
      </c>
      <c r="CC144">
        <v>131</v>
      </c>
      <c r="CD144">
        <v>1.0999999999999999E-2</v>
      </c>
      <c r="CE144">
        <v>1E-3</v>
      </c>
      <c r="CF144">
        <v>7.87</v>
      </c>
      <c r="CG144">
        <v>-0.98799999999999999</v>
      </c>
      <c r="CH144">
        <v>56</v>
      </c>
      <c r="CI144">
        <v>-3</v>
      </c>
      <c r="CJ144">
        <v>0.13</v>
      </c>
      <c r="CK144">
        <v>0.13</v>
      </c>
      <c r="CL144">
        <v>56.060736065573771</v>
      </c>
      <c r="CM144">
        <v>1.0144968799578029</v>
      </c>
      <c r="CN144">
        <v>0.23381553891958951</v>
      </c>
      <c r="CO144">
        <v>-1</v>
      </c>
      <c r="CP144">
        <v>500.03144262295092</v>
      </c>
      <c r="CQ144">
        <v>-0.32902591221621069</v>
      </c>
      <c r="CR144">
        <v>0.15540571171119921</v>
      </c>
      <c r="CS144">
        <v>-1</v>
      </c>
      <c r="CT144">
        <v>0</v>
      </c>
      <c r="CU144">
        <v>0</v>
      </c>
      <c r="CV144" t="s">
        <v>333</v>
      </c>
      <c r="CW144">
        <v>3.1672199999999999</v>
      </c>
      <c r="CX144">
        <v>2.6587000000000001</v>
      </c>
      <c r="CY144">
        <v>1.4371500000000001E-2</v>
      </c>
      <c r="CZ144">
        <v>1.66328E-2</v>
      </c>
      <c r="DA144">
        <v>-1.1163599999999999E-2</v>
      </c>
      <c r="DB144">
        <v>-2.82378E-2</v>
      </c>
      <c r="DC144">
        <v>21325.4</v>
      </c>
      <c r="DD144">
        <v>21652.2</v>
      </c>
      <c r="DE144">
        <v>23161.1</v>
      </c>
      <c r="DF144">
        <v>22367.3</v>
      </c>
      <c r="DG144">
        <v>30195</v>
      </c>
      <c r="DH144">
        <v>27415.8</v>
      </c>
      <c r="DI144">
        <v>40696.300000000003</v>
      </c>
      <c r="DJ144">
        <v>37058</v>
      </c>
      <c r="DK144">
        <v>2.1021200000000002</v>
      </c>
      <c r="DL144">
        <v>1.85104</v>
      </c>
      <c r="DM144">
        <v>2.4405099999999999E-2</v>
      </c>
      <c r="DN144">
        <v>0</v>
      </c>
      <c r="DO144">
        <v>24.907900000000001</v>
      </c>
      <c r="DP144">
        <v>999.9</v>
      </c>
      <c r="DQ144">
        <v>78.7</v>
      </c>
      <c r="DR144">
        <v>28.3</v>
      </c>
      <c r="DS144">
        <v>30.336200000000002</v>
      </c>
      <c r="DT144">
        <v>30.839300000000001</v>
      </c>
      <c r="DU144">
        <v>9.3229100000000003</v>
      </c>
      <c r="DV144">
        <v>1</v>
      </c>
      <c r="DW144">
        <v>6.8664600000000006E-2</v>
      </c>
      <c r="DX144">
        <v>-0.15576000000000001</v>
      </c>
      <c r="DY144">
        <v>20.368200000000002</v>
      </c>
      <c r="DZ144">
        <v>5.2125000000000004</v>
      </c>
      <c r="EA144">
        <v>11.8482</v>
      </c>
      <c r="EB144">
        <v>4.9683200000000003</v>
      </c>
      <c r="EC144">
        <v>3.2920400000000001</v>
      </c>
      <c r="ED144">
        <v>894.7</v>
      </c>
      <c r="EE144">
        <v>0</v>
      </c>
      <c r="EF144">
        <v>9999</v>
      </c>
      <c r="EG144">
        <v>115.1</v>
      </c>
      <c r="EH144">
        <v>4.9716300000000002</v>
      </c>
      <c r="EI144">
        <v>1.8717999999999999</v>
      </c>
      <c r="EJ144">
        <v>1.8689100000000001</v>
      </c>
      <c r="EK144">
        <v>1.87134</v>
      </c>
      <c r="EL144">
        <v>1.8690899999999999</v>
      </c>
      <c r="EM144">
        <v>1.8680600000000001</v>
      </c>
      <c r="EN144">
        <v>1.8698900000000001</v>
      </c>
      <c r="EO144">
        <v>1.8716600000000001</v>
      </c>
      <c r="EP144">
        <v>0</v>
      </c>
      <c r="EQ144">
        <v>0</v>
      </c>
      <c r="ER144">
        <v>0</v>
      </c>
      <c r="ES144">
        <v>0</v>
      </c>
      <c r="ET144" t="s">
        <v>334</v>
      </c>
      <c r="EU144" t="s">
        <v>335</v>
      </c>
      <c r="EV144" t="s">
        <v>336</v>
      </c>
      <c r="EW144" t="s">
        <v>336</v>
      </c>
      <c r="EX144" t="s">
        <v>336</v>
      </c>
      <c r="EY144" t="s">
        <v>336</v>
      </c>
      <c r="EZ144">
        <v>0</v>
      </c>
      <c r="FA144">
        <v>100</v>
      </c>
      <c r="FB144">
        <v>100</v>
      </c>
      <c r="FC144">
        <v>7.87</v>
      </c>
      <c r="FD144">
        <v>-0.98799999999999999</v>
      </c>
      <c r="FE144">
        <v>7.8594949999999884</v>
      </c>
      <c r="FF144">
        <v>0</v>
      </c>
      <c r="FG144">
        <v>0</v>
      </c>
      <c r="FH144">
        <v>0</v>
      </c>
      <c r="FI144">
        <v>-0.98888380952380994</v>
      </c>
      <c r="FJ144">
        <v>0</v>
      </c>
      <c r="FK144">
        <v>0</v>
      </c>
      <c r="FL144">
        <v>0</v>
      </c>
      <c r="FM144">
        <v>-1</v>
      </c>
      <c r="FN144">
        <v>-1</v>
      </c>
      <c r="FO144">
        <v>-1</v>
      </c>
      <c r="FP144">
        <v>-1</v>
      </c>
      <c r="FQ144">
        <v>0.7</v>
      </c>
      <c r="FR144">
        <v>0.7</v>
      </c>
      <c r="FS144">
        <v>0.142822</v>
      </c>
      <c r="FT144">
        <v>4.99756</v>
      </c>
      <c r="FU144">
        <v>1.5979000000000001</v>
      </c>
      <c r="FV144">
        <v>2.1606399999999999</v>
      </c>
      <c r="FW144">
        <v>1.5478499999999999</v>
      </c>
      <c r="FX144">
        <v>2.4328599999999998</v>
      </c>
      <c r="FY144">
        <v>32.709099999999999</v>
      </c>
      <c r="FZ144">
        <v>15.7781</v>
      </c>
      <c r="GA144">
        <v>3</v>
      </c>
      <c r="GB144">
        <v>492.45499999999998</v>
      </c>
      <c r="GC144">
        <v>423.05599999999998</v>
      </c>
      <c r="GD144">
        <v>25.970500000000001</v>
      </c>
      <c r="GE144">
        <v>28.029800000000002</v>
      </c>
      <c r="GF144">
        <v>30.0001</v>
      </c>
      <c r="GG144">
        <v>28.3371</v>
      </c>
      <c r="GH144">
        <v>28.3888</v>
      </c>
      <c r="GI144">
        <v>-1</v>
      </c>
      <c r="GJ144">
        <v>0</v>
      </c>
      <c r="GK144">
        <v>100</v>
      </c>
      <c r="GL144">
        <v>25.970700000000001</v>
      </c>
      <c r="GM144">
        <v>432.1</v>
      </c>
      <c r="GN144">
        <v>63.216500000000003</v>
      </c>
      <c r="GO144">
        <v>102.447</v>
      </c>
      <c r="GP144">
        <v>96.708100000000002</v>
      </c>
    </row>
    <row r="145" spans="1:198" x14ac:dyDescent="0.35">
      <c r="A145">
        <v>129</v>
      </c>
      <c r="B145">
        <v>1775511272.0999999</v>
      </c>
      <c r="C145">
        <v>7681.0999999046326</v>
      </c>
      <c r="D145" t="s">
        <v>718</v>
      </c>
      <c r="E145" t="s">
        <v>719</v>
      </c>
      <c r="F145">
        <v>60</v>
      </c>
      <c r="G145">
        <v>1775511264.099999</v>
      </c>
      <c r="H145">
        <f t="shared" ref="H145:H176" si="120">(I145)/1000</f>
        <v>9.8149127116855584E-4</v>
      </c>
      <c r="I145">
        <f t="shared" ref="I145:I165" si="121">1000*AY145*AG145*(AU145-AV145)/(100*AN145*(1000-AG145*AU145))</f>
        <v>0.98149127116855583</v>
      </c>
      <c r="J145">
        <f t="shared" ref="J145:J165" si="122">AY145*AG145*(AT145-AS145*(1000-AG145*AV145)/(1000-AG145*AU145))/(100*AN145)</f>
        <v>-0.17057000355845761</v>
      </c>
      <c r="K145">
        <f t="shared" ref="K145:K176" si="123">AS145 - IF(AG145&gt;1, J145*AN145*100/(AI145), 0)</f>
        <v>55.6908064516129</v>
      </c>
      <c r="L145">
        <f t="shared" ref="L145:L176" si="124">((R145-H145/2)*K145-J145)/(R145+H145/2)</f>
        <v>62.130532989603502</v>
      </c>
      <c r="M145">
        <f t="shared" ref="M145:M176" si="125">L145*(AZ145+BA145)/1000</f>
        <v>6.2266426428588</v>
      </c>
      <c r="N145">
        <f t="shared" ref="N145:N165" si="126">(AS145 - IF(AG145&gt;1, J145*AN145*100/(AI145), 0))*(AZ145+BA145)/1000</f>
        <v>5.5812614761382209</v>
      </c>
      <c r="O145">
        <f t="shared" ref="O145:O176" si="127">2/((1/Q145-1/P145)+SIGN(Q145)*SQRT((1/Q145-1/P145)*(1/Q145-1/P145) + 4*AO145/((AO145+1)*(AO145+1))*(2*1/Q145*1/P145-1/P145*1/P145)))</f>
        <v>2.8170306016828212E-2</v>
      </c>
      <c r="P145">
        <f t="shared" ref="P145:P165" si="128">IF(LEFT(AP145,1)&lt;&gt;"0",IF(LEFT(AP145,1)="1",3,AQ145),$D$5+$E$5*(BG145*AZ145/($K$5*1000))+$F$5*(BG145*AZ145/($K$5*1000))*MAX(MIN(AN145,$J$5),$I$5)*MAX(MIN(AN145,$J$5),$I$5)+$G$5*MAX(MIN(AN145,$J$5),$I$5)*(BG145*AZ145/($K$5*1000))+$H$5*(BG145*AZ145/($K$5*1000))*(BG145*AZ145/($K$5*1000)))</f>
        <v>2.3934895247720496</v>
      </c>
      <c r="Q145">
        <f t="shared" ref="Q145:Q165" si="129">H145*(1000-(1000*0.61365*EXP(17.502*U145/(240.97+U145))/(AZ145+BA145)+AU145)/2)/(1000*0.61365*EXP(17.502*U145/(240.97+U145))/(AZ145+BA145)-AU145)</f>
        <v>2.7987401657391827E-2</v>
      </c>
      <c r="R145">
        <f t="shared" ref="R145:R165" si="130">1/((AO145+1)/(O145/1.6)+1/(P145/1.37)) + AO145/((AO145+1)/(O145/1.6) + AO145/(P145/1.37))</f>
        <v>1.7508460147155326E-2</v>
      </c>
      <c r="S145">
        <f t="shared" ref="S145:S165" si="131">(AJ145*AM145)</f>
        <v>0</v>
      </c>
      <c r="T145">
        <f t="shared" ref="T145:T176" si="132">(BB145+(S145+2*0.95*0.0000000567*(((BB145+$B$7)+273)^4-(BB145+273)^4)-44100*H145)/(1.84*29.3*P145+8*0.95*0.0000000567*(BB145+273)^3))</f>
        <v>24.991687436520298</v>
      </c>
      <c r="U145">
        <f t="shared" ref="U145:U176" si="133">($C$7*BC145+$D$7*BD145+$E$7*T145)</f>
        <v>25.305645161290322</v>
      </c>
      <c r="V145">
        <f t="shared" ref="V145:V176" si="134">0.61365*EXP(17.502*U145/(240.97+U145))</f>
        <v>3.2380819865609531</v>
      </c>
      <c r="W145">
        <f t="shared" ref="W145:W176" si="135">(X145/Y145*100)</f>
        <v>-6.9088132316475992</v>
      </c>
      <c r="X145">
        <f t="shared" ref="X145:X165" si="136">AU145*(AZ145+BA145)/1000</f>
        <v>-0.22363539592569026</v>
      </c>
      <c r="Y145">
        <f t="shared" ref="Y145:Y165" si="137">0.61365*EXP(17.502*BB145/(240.97+BB145))</f>
        <v>3.2369581927800666</v>
      </c>
      <c r="Z145">
        <f t="shared" ref="Z145:Z165" si="138">(V145-AU145*(AZ145+BA145)/1000)</f>
        <v>3.4617173824866434</v>
      </c>
      <c r="AA145">
        <f t="shared" ref="AA145:AA165" si="139">(-H145*44100)</f>
        <v>-43.283765058533312</v>
      </c>
      <c r="AB145">
        <f t="shared" ref="AB145:AB165" si="140">2*29.3*P145*0.92*(BB145-U145)</f>
        <v>-0.75299804300972817</v>
      </c>
      <c r="AC145">
        <f t="shared" ref="AC145:AC165" si="141">2*0.95*0.0000000567*(((BB145+$B$7)+273)^4-(U145+273)^4)</f>
        <v>-6.6749066566581194E-2</v>
      </c>
      <c r="AD145">
        <f t="shared" ref="AD145:AD176" si="142">S145+AC145+AA145+AB145</f>
        <v>-44.103512168109617</v>
      </c>
      <c r="AE145">
        <v>18</v>
      </c>
      <c r="AF145">
        <v>4</v>
      </c>
      <c r="AG145">
        <f t="shared" ref="AG145:AG165" si="143">IF(AE145*$H$13&gt;=AI145,1,(AI145/(AI145-AE145*$H$13)))</f>
        <v>1</v>
      </c>
      <c r="AH145">
        <f t="shared" ref="AH145:AH176" si="144">(AG145-1)*100</f>
        <v>0</v>
      </c>
      <c r="AI145">
        <f t="shared" ref="AI145:AI165" si="145">MAX(0,($B$13+$C$13*BG145)/(1+$D$13*BG145)*AZ145/(BB145+273)*$E$13)</f>
        <v>25744.65179817985</v>
      </c>
      <c r="AJ145">
        <f t="shared" ref="AJ145:AJ165" si="146">$B$11*BH145+$C$11*BI145+$D$11*BT145</f>
        <v>0</v>
      </c>
      <c r="AK145">
        <f t="shared" ref="AK145:AK176" si="147">AJ145*AL145</f>
        <v>0</v>
      </c>
      <c r="AL145">
        <f t="shared" ref="AL145:AL165" si="148">($B$11*$D$9+$C$11*$D$9+$D$11*(BU145*$E$9+BV145*$G$9))/($B$11+$C$11+$D$11)</f>
        <v>0</v>
      </c>
      <c r="AM145">
        <f t="shared" ref="AM145:AM165" si="149">($B$11*$K$9+$C$11*$K$9+$D$11*(BU145*$L$9+BV145*$N$9))/($B$11+$C$11+$D$11)</f>
        <v>0</v>
      </c>
      <c r="AN145">
        <v>3</v>
      </c>
      <c r="AO145">
        <v>0.5</v>
      </c>
      <c r="AP145" t="s">
        <v>331</v>
      </c>
      <c r="AQ145">
        <v>2</v>
      </c>
      <c r="AR145">
        <v>1775511264.099999</v>
      </c>
      <c r="AS145">
        <v>55.6908064516129</v>
      </c>
      <c r="AT145">
        <v>55.621261290322579</v>
      </c>
      <c r="AU145">
        <v>-2.231473225806452</v>
      </c>
      <c r="AV145">
        <v>-2.8216751612903219</v>
      </c>
      <c r="AW145">
        <v>47.847806451612897</v>
      </c>
      <c r="AX145">
        <v>-1.246473225806451</v>
      </c>
      <c r="AY145">
        <v>500.00587096774188</v>
      </c>
      <c r="AZ145">
        <v>100.1811935483871</v>
      </c>
      <c r="BA145">
        <v>3.7528925806451598E-2</v>
      </c>
      <c r="BB145">
        <v>25.29980967741934</v>
      </c>
      <c r="BC145">
        <v>25.305645161290322</v>
      </c>
      <c r="BD145">
        <v>999.90000000000032</v>
      </c>
      <c r="BE145">
        <v>0</v>
      </c>
      <c r="BF145">
        <v>0</v>
      </c>
      <c r="BG145">
        <v>5005</v>
      </c>
      <c r="BH145">
        <v>0.43604706451612912</v>
      </c>
      <c r="BI145">
        <v>0.22961599999999999</v>
      </c>
      <c r="BJ145">
        <v>9.6930006451612899E-2</v>
      </c>
      <c r="BK145">
        <v>55.593967741935487</v>
      </c>
      <c r="BL145">
        <v>55.464751612903221</v>
      </c>
      <c r="BM145">
        <v>0.58724512903225823</v>
      </c>
      <c r="BN145">
        <v>55.621261290322579</v>
      </c>
      <c r="BO145">
        <v>-2.8216751612903219</v>
      </c>
      <c r="BP145">
        <v>-0.2238477419354839</v>
      </c>
      <c r="BQ145">
        <v>-0.28267874193548392</v>
      </c>
      <c r="BR145">
        <v>-99.900000000000034</v>
      </c>
      <c r="BS145">
        <v>-99.900000000000034</v>
      </c>
      <c r="BT145">
        <v>0</v>
      </c>
      <c r="BU145">
        <v>0</v>
      </c>
      <c r="BV145">
        <v>0</v>
      </c>
      <c r="BW145">
        <v>24</v>
      </c>
      <c r="BX145">
        <v>-1</v>
      </c>
      <c r="BY145">
        <v>1775511294.0999999</v>
      </c>
      <c r="BZ145" t="s">
        <v>720</v>
      </c>
      <c r="CA145">
        <v>1775511287.0999999</v>
      </c>
      <c r="CB145">
        <v>1775511294.0999999</v>
      </c>
      <c r="CC145">
        <v>132</v>
      </c>
      <c r="CD145">
        <v>-2.7E-2</v>
      </c>
      <c r="CE145">
        <v>3.0000000000000001E-3</v>
      </c>
      <c r="CF145">
        <v>7.843</v>
      </c>
      <c r="CG145">
        <v>-0.98499999999999999</v>
      </c>
      <c r="CH145">
        <v>55</v>
      </c>
      <c r="CI145">
        <v>-3</v>
      </c>
      <c r="CJ145">
        <v>0.28000000000000003</v>
      </c>
      <c r="CK145">
        <v>0.13</v>
      </c>
      <c r="CL145">
        <v>55.808903278688511</v>
      </c>
      <c r="CM145">
        <v>-1.209459122157583</v>
      </c>
      <c r="CN145">
        <v>0.192846495454085</v>
      </c>
      <c r="CO145">
        <v>-1</v>
      </c>
      <c r="CP145">
        <v>500.04811475409838</v>
      </c>
      <c r="CQ145">
        <v>-0.63299206768916105</v>
      </c>
      <c r="CR145">
        <v>0.21416051115089779</v>
      </c>
      <c r="CS145">
        <v>-1</v>
      </c>
      <c r="CT145">
        <v>0</v>
      </c>
      <c r="CU145">
        <v>0</v>
      </c>
      <c r="CV145" t="s">
        <v>333</v>
      </c>
      <c r="CW145">
        <v>3.1674000000000002</v>
      </c>
      <c r="CX145">
        <v>2.65889</v>
      </c>
      <c r="CY145">
        <v>1.4229E-2</v>
      </c>
      <c r="CZ145">
        <v>1.6500999999999998E-2</v>
      </c>
      <c r="DA145">
        <v>-1.1215299999999999E-2</v>
      </c>
      <c r="DB145">
        <v>-2.83851E-2</v>
      </c>
      <c r="DC145">
        <v>21328.3</v>
      </c>
      <c r="DD145">
        <v>21655.4</v>
      </c>
      <c r="DE145">
        <v>23160.9</v>
      </c>
      <c r="DF145">
        <v>22367.599999999999</v>
      </c>
      <c r="DG145">
        <v>30196.5</v>
      </c>
      <c r="DH145">
        <v>27420.1</v>
      </c>
      <c r="DI145">
        <v>40696.199999999997</v>
      </c>
      <c r="DJ145">
        <v>37058.6</v>
      </c>
      <c r="DK145">
        <v>2.1022400000000001</v>
      </c>
      <c r="DL145">
        <v>1.8505199999999999</v>
      </c>
      <c r="DM145">
        <v>2.49207E-2</v>
      </c>
      <c r="DN145">
        <v>0</v>
      </c>
      <c r="DO145">
        <v>24.9057</v>
      </c>
      <c r="DP145">
        <v>999.9</v>
      </c>
      <c r="DQ145">
        <v>78.7</v>
      </c>
      <c r="DR145">
        <v>28.3</v>
      </c>
      <c r="DS145">
        <v>30.335000000000001</v>
      </c>
      <c r="DT145">
        <v>30.8993</v>
      </c>
      <c r="DU145">
        <v>8.9302899999999994</v>
      </c>
      <c r="DV145">
        <v>1</v>
      </c>
      <c r="DW145">
        <v>6.8550799999999995E-2</v>
      </c>
      <c r="DX145">
        <v>-0.154414</v>
      </c>
      <c r="DY145">
        <v>20.368500000000001</v>
      </c>
      <c r="DZ145">
        <v>5.2110599999999998</v>
      </c>
      <c r="EA145">
        <v>11.8482</v>
      </c>
      <c r="EB145">
        <v>4.9683999999999999</v>
      </c>
      <c r="EC145">
        <v>3.29216</v>
      </c>
      <c r="ED145">
        <v>894.7</v>
      </c>
      <c r="EE145">
        <v>0</v>
      </c>
      <c r="EF145">
        <v>9999</v>
      </c>
      <c r="EG145">
        <v>115.1</v>
      </c>
      <c r="EH145">
        <v>4.9716399999999998</v>
      </c>
      <c r="EI145">
        <v>1.8717999999999999</v>
      </c>
      <c r="EJ145">
        <v>1.8689100000000001</v>
      </c>
      <c r="EK145">
        <v>1.87134</v>
      </c>
      <c r="EL145">
        <v>1.8690599999999999</v>
      </c>
      <c r="EM145">
        <v>1.86805</v>
      </c>
      <c r="EN145">
        <v>1.86988</v>
      </c>
      <c r="EO145">
        <v>1.8716699999999999</v>
      </c>
      <c r="EP145">
        <v>0</v>
      </c>
      <c r="EQ145">
        <v>0</v>
      </c>
      <c r="ER145">
        <v>0</v>
      </c>
      <c r="ES145">
        <v>0</v>
      </c>
      <c r="ET145" t="s">
        <v>334</v>
      </c>
      <c r="EU145" t="s">
        <v>335</v>
      </c>
      <c r="EV145" t="s">
        <v>336</v>
      </c>
      <c r="EW145" t="s">
        <v>336</v>
      </c>
      <c r="EX145" t="s">
        <v>336</v>
      </c>
      <c r="EY145" t="s">
        <v>336</v>
      </c>
      <c r="EZ145">
        <v>0</v>
      </c>
      <c r="FA145">
        <v>100</v>
      </c>
      <c r="FB145">
        <v>100</v>
      </c>
      <c r="FC145">
        <v>7.843</v>
      </c>
      <c r="FD145">
        <v>-0.98499999999999999</v>
      </c>
      <c r="FE145">
        <v>7.8703849999999917</v>
      </c>
      <c r="FF145">
        <v>0</v>
      </c>
      <c r="FG145">
        <v>0</v>
      </c>
      <c r="FH145">
        <v>0</v>
      </c>
      <c r="FI145">
        <v>-0.98795599999999961</v>
      </c>
      <c r="FJ145">
        <v>0</v>
      </c>
      <c r="FK145">
        <v>0</v>
      </c>
      <c r="FL145">
        <v>0</v>
      </c>
      <c r="FM145">
        <v>-1</v>
      </c>
      <c r="FN145">
        <v>-1</v>
      </c>
      <c r="FO145">
        <v>-1</v>
      </c>
      <c r="FP145">
        <v>-1</v>
      </c>
      <c r="FQ145">
        <v>0.7</v>
      </c>
      <c r="FR145">
        <v>0.7</v>
      </c>
      <c r="FS145">
        <v>0.142822</v>
      </c>
      <c r="FT145">
        <v>4.99756</v>
      </c>
      <c r="FU145">
        <v>1.5979000000000001</v>
      </c>
      <c r="FV145">
        <v>2.1594199999999999</v>
      </c>
      <c r="FW145">
        <v>1.5478499999999999</v>
      </c>
      <c r="FX145">
        <v>2.3596200000000001</v>
      </c>
      <c r="FY145">
        <v>32.709099999999999</v>
      </c>
      <c r="FZ145">
        <v>15.769399999999999</v>
      </c>
      <c r="GA145">
        <v>3</v>
      </c>
      <c r="GB145">
        <v>492.50799999999998</v>
      </c>
      <c r="GC145">
        <v>422.75099999999998</v>
      </c>
      <c r="GD145">
        <v>25.978100000000001</v>
      </c>
      <c r="GE145">
        <v>28.0274</v>
      </c>
      <c r="GF145">
        <v>30.0001</v>
      </c>
      <c r="GG145">
        <v>28.3352</v>
      </c>
      <c r="GH145">
        <v>28.3888</v>
      </c>
      <c r="GI145">
        <v>-1</v>
      </c>
      <c r="GJ145">
        <v>0</v>
      </c>
      <c r="GK145">
        <v>100</v>
      </c>
      <c r="GL145">
        <v>25.977699999999999</v>
      </c>
      <c r="GM145">
        <v>432.1</v>
      </c>
      <c r="GN145">
        <v>63.216500000000003</v>
      </c>
      <c r="GO145">
        <v>102.446</v>
      </c>
      <c r="GP145">
        <v>96.709800000000001</v>
      </c>
    </row>
    <row r="146" spans="1:198" x14ac:dyDescent="0.35">
      <c r="A146">
        <v>130</v>
      </c>
      <c r="B146">
        <v>1775511332.0999999</v>
      </c>
      <c r="C146">
        <v>7741.0999999046326</v>
      </c>
      <c r="D146" t="s">
        <v>721</v>
      </c>
      <c r="E146" t="s">
        <v>722</v>
      </c>
      <c r="F146">
        <v>60</v>
      </c>
      <c r="G146">
        <v>1775511324.099999</v>
      </c>
      <c r="H146">
        <f t="shared" si="120"/>
        <v>9.8404958747781495E-4</v>
      </c>
      <c r="I146">
        <f t="shared" si="121"/>
        <v>0.98404958747781501</v>
      </c>
      <c r="J146">
        <f t="shared" si="122"/>
        <v>0.38467328058222011</v>
      </c>
      <c r="K146">
        <f t="shared" si="123"/>
        <v>54.894638709677409</v>
      </c>
      <c r="L146">
        <f t="shared" si="124"/>
        <v>30.5865403302979</v>
      </c>
      <c r="M146">
        <f t="shared" si="125"/>
        <v>3.0653703252084399</v>
      </c>
      <c r="N146">
        <f t="shared" si="126"/>
        <v>5.5015178145858883</v>
      </c>
      <c r="O146">
        <f t="shared" si="127"/>
        <v>2.8246132988217341E-2</v>
      </c>
      <c r="P146">
        <f t="shared" si="128"/>
        <v>2.3890357882078277</v>
      </c>
      <c r="Q146">
        <f t="shared" si="129"/>
        <v>2.8061905716010953E-2</v>
      </c>
      <c r="R146">
        <f t="shared" si="130"/>
        <v>1.7555142874932515E-2</v>
      </c>
      <c r="S146">
        <f t="shared" si="131"/>
        <v>0</v>
      </c>
      <c r="T146">
        <f t="shared" si="132"/>
        <v>24.985244385120986</v>
      </c>
      <c r="U146">
        <f t="shared" si="133"/>
        <v>25.297158064516129</v>
      </c>
      <c r="V146">
        <f t="shared" si="134"/>
        <v>3.2364476594624687</v>
      </c>
      <c r="W146">
        <f t="shared" si="135"/>
        <v>-6.9581438657524597</v>
      </c>
      <c r="X146">
        <f t="shared" si="136"/>
        <v>-0.22516375798156532</v>
      </c>
      <c r="Y146">
        <f t="shared" si="137"/>
        <v>3.2359744541903908</v>
      </c>
      <c r="Z146">
        <f t="shared" si="138"/>
        <v>3.461611417444034</v>
      </c>
      <c r="AA146">
        <f t="shared" si="139"/>
        <v>-43.396586807771641</v>
      </c>
      <c r="AB146">
        <f t="shared" si="140"/>
        <v>-0.31659304977226738</v>
      </c>
      <c r="AC146">
        <f t="shared" si="141"/>
        <v>-2.8114599930800652E-2</v>
      </c>
      <c r="AD146">
        <f t="shared" si="142"/>
        <v>-43.741294457474709</v>
      </c>
      <c r="AE146">
        <v>18</v>
      </c>
      <c r="AF146">
        <v>4</v>
      </c>
      <c r="AG146">
        <f t="shared" si="143"/>
        <v>1</v>
      </c>
      <c r="AH146">
        <f t="shared" si="144"/>
        <v>0</v>
      </c>
      <c r="AI146">
        <f t="shared" si="145"/>
        <v>25676.902112402408</v>
      </c>
      <c r="AJ146">
        <f t="shared" si="146"/>
        <v>0</v>
      </c>
      <c r="AK146">
        <f t="shared" si="147"/>
        <v>0</v>
      </c>
      <c r="AL146">
        <f t="shared" si="148"/>
        <v>0</v>
      </c>
      <c r="AM146">
        <f t="shared" si="149"/>
        <v>0</v>
      </c>
      <c r="AN146">
        <v>3</v>
      </c>
      <c r="AO146">
        <v>0.5</v>
      </c>
      <c r="AP146" t="s">
        <v>331</v>
      </c>
      <c r="AQ146">
        <v>2</v>
      </c>
      <c r="AR146">
        <v>1775511324.099999</v>
      </c>
      <c r="AS146">
        <v>54.894638709677409</v>
      </c>
      <c r="AT146">
        <v>55.157864516129031</v>
      </c>
      <c r="AU146">
        <v>-2.2467041935483869</v>
      </c>
      <c r="AV146">
        <v>-2.838483870967742</v>
      </c>
      <c r="AW146">
        <v>47.035638709677407</v>
      </c>
      <c r="AX146">
        <v>-1.2647041935483869</v>
      </c>
      <c r="AY146">
        <v>499.98022580645159</v>
      </c>
      <c r="AZ146">
        <v>100.181935483871</v>
      </c>
      <c r="BA146">
        <v>3.7647774193548388E-2</v>
      </c>
      <c r="BB146">
        <v>25.294699999999999</v>
      </c>
      <c r="BC146">
        <v>25.297158064516129</v>
      </c>
      <c r="BD146">
        <v>999.90000000000032</v>
      </c>
      <c r="BE146">
        <v>0</v>
      </c>
      <c r="BF146">
        <v>0</v>
      </c>
      <c r="BG146">
        <v>4993.5</v>
      </c>
      <c r="BH146">
        <v>0.39283106451612898</v>
      </c>
      <c r="BI146">
        <v>0.22961599999999999</v>
      </c>
      <c r="BJ146">
        <v>-0.27916743870967742</v>
      </c>
      <c r="BK146">
        <v>54.755480645161278</v>
      </c>
      <c r="BL146">
        <v>55.001732258064507</v>
      </c>
      <c r="BM146">
        <v>0.58840177419354833</v>
      </c>
      <c r="BN146">
        <v>55.157864516129031</v>
      </c>
      <c r="BO146">
        <v>-2.838483870967742</v>
      </c>
      <c r="BP146">
        <v>-0.22541751612903221</v>
      </c>
      <c r="BQ146">
        <v>-0.28436474193548389</v>
      </c>
      <c r="BR146">
        <v>-99.900000000000034</v>
      </c>
      <c r="BS146">
        <v>-99.900000000000034</v>
      </c>
      <c r="BT146">
        <v>0</v>
      </c>
      <c r="BU146">
        <v>0</v>
      </c>
      <c r="BV146">
        <v>0</v>
      </c>
      <c r="BW146">
        <v>24</v>
      </c>
      <c r="BX146">
        <v>-1</v>
      </c>
      <c r="BY146">
        <v>1775511354.0999999</v>
      </c>
      <c r="BZ146" t="s">
        <v>723</v>
      </c>
      <c r="CA146">
        <v>1775511350.0999999</v>
      </c>
      <c r="CB146">
        <v>1775511354.0999999</v>
      </c>
      <c r="CC146">
        <v>133</v>
      </c>
      <c r="CD146">
        <v>1.6E-2</v>
      </c>
      <c r="CE146">
        <v>4.0000000000000001E-3</v>
      </c>
      <c r="CF146">
        <v>7.859</v>
      </c>
      <c r="CG146">
        <v>-0.98199999999999998</v>
      </c>
      <c r="CH146">
        <v>56</v>
      </c>
      <c r="CI146">
        <v>-3</v>
      </c>
      <c r="CJ146">
        <v>0.22</v>
      </c>
      <c r="CK146">
        <v>0.11</v>
      </c>
      <c r="CL146">
        <v>55.062783333333321</v>
      </c>
      <c r="CM146">
        <v>0.96869574881927545</v>
      </c>
      <c r="CN146">
        <v>0.19027728553058831</v>
      </c>
      <c r="CO146">
        <v>-1</v>
      </c>
      <c r="CP146">
        <v>500.06038333333328</v>
      </c>
      <c r="CQ146">
        <v>-0.81861072520078271</v>
      </c>
      <c r="CR146">
        <v>0.26860361698151941</v>
      </c>
      <c r="CS146">
        <v>-1</v>
      </c>
      <c r="CT146">
        <v>0</v>
      </c>
      <c r="CU146">
        <v>0</v>
      </c>
      <c r="CV146" t="s">
        <v>333</v>
      </c>
      <c r="CW146">
        <v>3.1674600000000002</v>
      </c>
      <c r="CX146">
        <v>2.6588699999999998</v>
      </c>
      <c r="CY146">
        <v>1.4095699999999999E-2</v>
      </c>
      <c r="CZ146">
        <v>1.6558300000000001E-2</v>
      </c>
      <c r="DA146">
        <v>-1.1367800000000001E-2</v>
      </c>
      <c r="DB146">
        <v>-2.8615399999999999E-2</v>
      </c>
      <c r="DC146">
        <v>21331.4</v>
      </c>
      <c r="DD146">
        <v>21654.5</v>
      </c>
      <c r="DE146">
        <v>23161.200000000001</v>
      </c>
      <c r="DF146">
        <v>22367.9</v>
      </c>
      <c r="DG146">
        <v>30201.200000000001</v>
      </c>
      <c r="DH146">
        <v>27426.400000000001</v>
      </c>
      <c r="DI146">
        <v>40696.400000000001</v>
      </c>
      <c r="DJ146">
        <v>37059</v>
      </c>
      <c r="DK146">
        <v>2.10242</v>
      </c>
      <c r="DL146">
        <v>1.8502000000000001</v>
      </c>
      <c r="DM146">
        <v>2.4557099999999998E-2</v>
      </c>
      <c r="DN146">
        <v>0</v>
      </c>
      <c r="DO146">
        <v>24.891100000000002</v>
      </c>
      <c r="DP146">
        <v>999.9</v>
      </c>
      <c r="DQ146">
        <v>78.7</v>
      </c>
      <c r="DR146">
        <v>28.3</v>
      </c>
      <c r="DS146">
        <v>30.3384</v>
      </c>
      <c r="DT146">
        <v>31.0793</v>
      </c>
      <c r="DU146">
        <v>9.0224399999999996</v>
      </c>
      <c r="DV146">
        <v>1</v>
      </c>
      <c r="DW146">
        <v>6.79289E-2</v>
      </c>
      <c r="DX146">
        <v>-0.209013</v>
      </c>
      <c r="DY146">
        <v>20.368300000000001</v>
      </c>
      <c r="DZ146">
        <v>5.2125000000000004</v>
      </c>
      <c r="EA146">
        <v>11.8482</v>
      </c>
      <c r="EB146">
        <v>4.9685199999999998</v>
      </c>
      <c r="EC146">
        <v>3.2920199999999999</v>
      </c>
      <c r="ED146">
        <v>894.7</v>
      </c>
      <c r="EE146">
        <v>0</v>
      </c>
      <c r="EF146">
        <v>9999</v>
      </c>
      <c r="EG146">
        <v>115.1</v>
      </c>
      <c r="EH146">
        <v>4.97159</v>
      </c>
      <c r="EI146">
        <v>1.8717999999999999</v>
      </c>
      <c r="EJ146">
        <v>1.8689100000000001</v>
      </c>
      <c r="EK146">
        <v>1.87134</v>
      </c>
      <c r="EL146">
        <v>1.8690500000000001</v>
      </c>
      <c r="EM146">
        <v>1.86802</v>
      </c>
      <c r="EN146">
        <v>1.86992</v>
      </c>
      <c r="EO146">
        <v>1.87171</v>
      </c>
      <c r="EP146">
        <v>0</v>
      </c>
      <c r="EQ146">
        <v>0</v>
      </c>
      <c r="ER146">
        <v>0</v>
      </c>
      <c r="ES146">
        <v>0</v>
      </c>
      <c r="ET146" t="s">
        <v>334</v>
      </c>
      <c r="EU146" t="s">
        <v>335</v>
      </c>
      <c r="EV146" t="s">
        <v>336</v>
      </c>
      <c r="EW146" t="s">
        <v>336</v>
      </c>
      <c r="EX146" t="s">
        <v>336</v>
      </c>
      <c r="EY146" t="s">
        <v>336</v>
      </c>
      <c r="EZ146">
        <v>0</v>
      </c>
      <c r="FA146">
        <v>100</v>
      </c>
      <c r="FB146">
        <v>100</v>
      </c>
      <c r="FC146">
        <v>7.859</v>
      </c>
      <c r="FD146">
        <v>-0.98199999999999998</v>
      </c>
      <c r="FE146">
        <v>7.8430399999999878</v>
      </c>
      <c r="FF146">
        <v>0</v>
      </c>
      <c r="FG146">
        <v>0</v>
      </c>
      <c r="FH146">
        <v>0</v>
      </c>
      <c r="FI146">
        <v>-0.98537849999999993</v>
      </c>
      <c r="FJ146">
        <v>0</v>
      </c>
      <c r="FK146">
        <v>0</v>
      </c>
      <c r="FL146">
        <v>0</v>
      </c>
      <c r="FM146">
        <v>-1</v>
      </c>
      <c r="FN146">
        <v>-1</v>
      </c>
      <c r="FO146">
        <v>-1</v>
      </c>
      <c r="FP146">
        <v>-1</v>
      </c>
      <c r="FQ146">
        <v>0.8</v>
      </c>
      <c r="FR146">
        <v>0.6</v>
      </c>
      <c r="FS146">
        <v>0.142822</v>
      </c>
      <c r="FT146">
        <v>4.99756</v>
      </c>
      <c r="FU146">
        <v>1.5979000000000001</v>
      </c>
      <c r="FV146">
        <v>2.1606399999999999</v>
      </c>
      <c r="FW146">
        <v>1.5478499999999999</v>
      </c>
      <c r="FX146">
        <v>2.3046899999999999</v>
      </c>
      <c r="FY146">
        <v>32.709099999999999</v>
      </c>
      <c r="FZ146">
        <v>15.751899999999999</v>
      </c>
      <c r="GA146">
        <v>3</v>
      </c>
      <c r="GB146">
        <v>492.59199999999998</v>
      </c>
      <c r="GC146">
        <v>422.54700000000003</v>
      </c>
      <c r="GD146">
        <v>25.998000000000001</v>
      </c>
      <c r="GE146">
        <v>28.022600000000001</v>
      </c>
      <c r="GF146">
        <v>30.0001</v>
      </c>
      <c r="GG146">
        <v>28.332799999999999</v>
      </c>
      <c r="GH146">
        <v>28.386399999999998</v>
      </c>
      <c r="GI146">
        <v>-1</v>
      </c>
      <c r="GJ146">
        <v>0</v>
      </c>
      <c r="GK146">
        <v>100</v>
      </c>
      <c r="GL146">
        <v>26</v>
      </c>
      <c r="GM146">
        <v>432.1</v>
      </c>
      <c r="GN146">
        <v>63.216500000000003</v>
      </c>
      <c r="GO146">
        <v>102.447</v>
      </c>
      <c r="GP146">
        <v>96.710899999999995</v>
      </c>
    </row>
    <row r="147" spans="1:198" x14ac:dyDescent="0.35">
      <c r="A147">
        <v>131</v>
      </c>
      <c r="B147">
        <v>1775511392.0999999</v>
      </c>
      <c r="C147">
        <v>7801.0999999046326</v>
      </c>
      <c r="D147" t="s">
        <v>724</v>
      </c>
      <c r="E147" t="s">
        <v>725</v>
      </c>
      <c r="F147">
        <v>60</v>
      </c>
      <c r="G147">
        <v>1775511384.099999</v>
      </c>
      <c r="H147">
        <f t="shared" si="120"/>
        <v>1.0124418206367315E-3</v>
      </c>
      <c r="I147">
        <f t="shared" si="121"/>
        <v>1.0124418206367316</v>
      </c>
      <c r="J147">
        <f t="shared" si="122"/>
        <v>-1.8644978266630396</v>
      </c>
      <c r="K147">
        <f t="shared" si="123"/>
        <v>55.593406451612907</v>
      </c>
      <c r="L147">
        <f t="shared" si="124"/>
        <v>152.96784576505081</v>
      </c>
      <c r="M147">
        <f t="shared" si="125"/>
        <v>15.33059233761376</v>
      </c>
      <c r="N147">
        <f t="shared" si="126"/>
        <v>5.5716274665853209</v>
      </c>
      <c r="O147">
        <f t="shared" si="127"/>
        <v>2.9068930734434419E-2</v>
      </c>
      <c r="P147">
        <f t="shared" si="128"/>
        <v>2.3864700871310025</v>
      </c>
      <c r="Q147">
        <f t="shared" si="129"/>
        <v>2.8873646008978533E-2</v>
      </c>
      <c r="R147">
        <f t="shared" si="130"/>
        <v>1.80634648282493E-2</v>
      </c>
      <c r="S147">
        <f t="shared" si="131"/>
        <v>0</v>
      </c>
      <c r="T147">
        <f t="shared" si="132"/>
        <v>24.979912184955317</v>
      </c>
      <c r="U147">
        <f t="shared" si="133"/>
        <v>25.29531290322581</v>
      </c>
      <c r="V147">
        <f t="shared" si="134"/>
        <v>3.2360924393484836</v>
      </c>
      <c r="W147">
        <f t="shared" si="135"/>
        <v>-6.9616041305871237</v>
      </c>
      <c r="X147">
        <f t="shared" si="136"/>
        <v>-0.22532813025939855</v>
      </c>
      <c r="Y147">
        <f t="shared" si="137"/>
        <v>3.2367271397891875</v>
      </c>
      <c r="Z147">
        <f t="shared" si="138"/>
        <v>3.4614205696078821</v>
      </c>
      <c r="AA147">
        <f t="shared" si="139"/>
        <v>-44.648684290079864</v>
      </c>
      <c r="AB147">
        <f t="shared" si="140"/>
        <v>0.42416090836935572</v>
      </c>
      <c r="AC147">
        <f t="shared" si="141"/>
        <v>3.770789950796985E-2</v>
      </c>
      <c r="AD147">
        <f t="shared" si="142"/>
        <v>-44.186815482202533</v>
      </c>
      <c r="AE147">
        <v>18</v>
      </c>
      <c r="AF147">
        <v>4</v>
      </c>
      <c r="AG147">
        <f t="shared" si="143"/>
        <v>1</v>
      </c>
      <c r="AH147">
        <f t="shared" si="144"/>
        <v>0</v>
      </c>
      <c r="AI147">
        <f t="shared" si="145"/>
        <v>25637.24566804148</v>
      </c>
      <c r="AJ147">
        <f t="shared" si="146"/>
        <v>0</v>
      </c>
      <c r="AK147">
        <f t="shared" si="147"/>
        <v>0</v>
      </c>
      <c r="AL147">
        <f t="shared" si="148"/>
        <v>0</v>
      </c>
      <c r="AM147">
        <f t="shared" si="149"/>
        <v>0</v>
      </c>
      <c r="AN147">
        <v>3</v>
      </c>
      <c r="AO147">
        <v>0.5</v>
      </c>
      <c r="AP147" t="s">
        <v>331</v>
      </c>
      <c r="AQ147">
        <v>2</v>
      </c>
      <c r="AR147">
        <v>1775511384.099999</v>
      </c>
      <c r="AS147">
        <v>55.593406451612907</v>
      </c>
      <c r="AT147">
        <v>54.508393548387097</v>
      </c>
      <c r="AU147">
        <v>-2.2483122580645158</v>
      </c>
      <c r="AV147">
        <v>-2.8571909677419352</v>
      </c>
      <c r="AW147">
        <v>47.763406451612909</v>
      </c>
      <c r="AX147">
        <v>-1.2683122580645161</v>
      </c>
      <c r="AY147">
        <v>499.9607096774194</v>
      </c>
      <c r="AZ147">
        <v>100.18348387096771</v>
      </c>
      <c r="BA147">
        <v>3.752833548387096E-2</v>
      </c>
      <c r="BB147">
        <v>25.29860967741935</v>
      </c>
      <c r="BC147">
        <v>25.29531290322581</v>
      </c>
      <c r="BD147">
        <v>999.90000000000032</v>
      </c>
      <c r="BE147">
        <v>0</v>
      </c>
      <c r="BF147">
        <v>0</v>
      </c>
      <c r="BG147">
        <v>4986.822580645161</v>
      </c>
      <c r="BH147">
        <v>0.41604180645161293</v>
      </c>
      <c r="BI147">
        <v>0.22961599999999999</v>
      </c>
      <c r="BJ147">
        <v>1.114413538709677</v>
      </c>
      <c r="BK147">
        <v>55.497912903225817</v>
      </c>
      <c r="BL147">
        <v>54.353096774193553</v>
      </c>
      <c r="BM147">
        <v>0.60702232258064515</v>
      </c>
      <c r="BN147">
        <v>54.508393548387097</v>
      </c>
      <c r="BO147">
        <v>-2.8571909677419352</v>
      </c>
      <c r="BP147">
        <v>-0.22542983870967739</v>
      </c>
      <c r="BQ147">
        <v>-0.28624332258064522</v>
      </c>
      <c r="BR147">
        <v>-99.900000000000034</v>
      </c>
      <c r="BS147">
        <v>-99.900000000000034</v>
      </c>
      <c r="BT147">
        <v>0</v>
      </c>
      <c r="BU147">
        <v>0</v>
      </c>
      <c r="BV147">
        <v>0</v>
      </c>
      <c r="BW147">
        <v>24</v>
      </c>
      <c r="BX147">
        <v>-1</v>
      </c>
      <c r="BY147">
        <v>1775511413.5999999</v>
      </c>
      <c r="BZ147" t="s">
        <v>726</v>
      </c>
      <c r="CA147">
        <v>1775511404.0999999</v>
      </c>
      <c r="CB147">
        <v>1775511413.5999999</v>
      </c>
      <c r="CC147">
        <v>134</v>
      </c>
      <c r="CD147">
        <v>-0.03</v>
      </c>
      <c r="CE147">
        <v>2E-3</v>
      </c>
      <c r="CF147">
        <v>7.83</v>
      </c>
      <c r="CG147">
        <v>-0.98</v>
      </c>
      <c r="CH147">
        <v>53</v>
      </c>
      <c r="CI147">
        <v>-3</v>
      </c>
      <c r="CJ147">
        <v>0.31</v>
      </c>
      <c r="CK147">
        <v>0.14000000000000001</v>
      </c>
      <c r="CL147">
        <v>55.584704918032777</v>
      </c>
      <c r="CM147">
        <v>-7.8663071390799537</v>
      </c>
      <c r="CN147">
        <v>1.373202488074684</v>
      </c>
      <c r="CO147">
        <v>-1</v>
      </c>
      <c r="CP147">
        <v>500.17862295081972</v>
      </c>
      <c r="CQ147">
        <v>-2.2009814912741188</v>
      </c>
      <c r="CR147">
        <v>0.66971663114382518</v>
      </c>
      <c r="CS147">
        <v>-1</v>
      </c>
      <c r="CT147">
        <v>0</v>
      </c>
      <c r="CU147">
        <v>0</v>
      </c>
      <c r="CV147" t="s">
        <v>333</v>
      </c>
      <c r="CW147">
        <v>3.1673100000000001</v>
      </c>
      <c r="CX147">
        <v>2.6588699999999998</v>
      </c>
      <c r="CY147">
        <v>1.3844E-2</v>
      </c>
      <c r="CZ147">
        <v>1.6090699999999999E-2</v>
      </c>
      <c r="DA147">
        <v>-1.14156E-2</v>
      </c>
      <c r="DB147">
        <v>-2.88477E-2</v>
      </c>
      <c r="DC147">
        <v>21337</v>
      </c>
      <c r="DD147">
        <v>21665.3</v>
      </c>
      <c r="DE147">
        <v>23161.3</v>
      </c>
      <c r="DF147">
        <v>22368.5</v>
      </c>
      <c r="DG147">
        <v>30202.799999999999</v>
      </c>
      <c r="DH147">
        <v>27433</v>
      </c>
      <c r="DI147">
        <v>40696.699999999997</v>
      </c>
      <c r="DJ147">
        <v>37059.599999999999</v>
      </c>
      <c r="DK147">
        <v>2.1021800000000002</v>
      </c>
      <c r="DL147">
        <v>1.8502799999999999</v>
      </c>
      <c r="DM147">
        <v>2.5156100000000001E-2</v>
      </c>
      <c r="DN147">
        <v>0</v>
      </c>
      <c r="DO147">
        <v>24.8828</v>
      </c>
      <c r="DP147">
        <v>999.9</v>
      </c>
      <c r="DQ147">
        <v>78.599999999999994</v>
      </c>
      <c r="DR147">
        <v>28.3</v>
      </c>
      <c r="DS147">
        <v>30.298300000000001</v>
      </c>
      <c r="DT147">
        <v>30.779299999999999</v>
      </c>
      <c r="DU147">
        <v>9.4070499999999999</v>
      </c>
      <c r="DV147">
        <v>1</v>
      </c>
      <c r="DW147">
        <v>6.72378E-2</v>
      </c>
      <c r="DX147">
        <v>-0.21755099999999999</v>
      </c>
      <c r="DY147">
        <v>20.368099999999998</v>
      </c>
      <c r="DZ147">
        <v>5.2121399999999998</v>
      </c>
      <c r="EA147">
        <v>11.8482</v>
      </c>
      <c r="EB147">
        <v>4.96828</v>
      </c>
      <c r="EC147">
        <v>3.2919999999999998</v>
      </c>
      <c r="ED147">
        <v>894.7</v>
      </c>
      <c r="EE147">
        <v>0</v>
      </c>
      <c r="EF147">
        <v>9999</v>
      </c>
      <c r="EG147">
        <v>115.2</v>
      </c>
      <c r="EH147">
        <v>4.9716199999999997</v>
      </c>
      <c r="EI147">
        <v>1.8717999999999999</v>
      </c>
      <c r="EJ147">
        <v>1.8689499999999999</v>
      </c>
      <c r="EK147">
        <v>1.8713500000000001</v>
      </c>
      <c r="EL147">
        <v>1.8690500000000001</v>
      </c>
      <c r="EM147">
        <v>1.8680300000000001</v>
      </c>
      <c r="EN147">
        <v>1.8698999999999999</v>
      </c>
      <c r="EO147">
        <v>1.8716900000000001</v>
      </c>
      <c r="EP147">
        <v>0</v>
      </c>
      <c r="EQ147">
        <v>0</v>
      </c>
      <c r="ER147">
        <v>0</v>
      </c>
      <c r="ES147">
        <v>0</v>
      </c>
      <c r="ET147" t="s">
        <v>334</v>
      </c>
      <c r="EU147" t="s">
        <v>335</v>
      </c>
      <c r="EV147" t="s">
        <v>336</v>
      </c>
      <c r="EW147" t="s">
        <v>336</v>
      </c>
      <c r="EX147" t="s">
        <v>336</v>
      </c>
      <c r="EY147" t="s">
        <v>336</v>
      </c>
      <c r="EZ147">
        <v>0</v>
      </c>
      <c r="FA147">
        <v>100</v>
      </c>
      <c r="FB147">
        <v>100</v>
      </c>
      <c r="FC147">
        <v>7.83</v>
      </c>
      <c r="FD147">
        <v>-0.98</v>
      </c>
      <c r="FE147">
        <v>7.8593899999999977</v>
      </c>
      <c r="FF147">
        <v>0</v>
      </c>
      <c r="FG147">
        <v>0</v>
      </c>
      <c r="FH147">
        <v>0</v>
      </c>
      <c r="FI147">
        <v>-0.98185600000000006</v>
      </c>
      <c r="FJ147">
        <v>0</v>
      </c>
      <c r="FK147">
        <v>0</v>
      </c>
      <c r="FL147">
        <v>0</v>
      </c>
      <c r="FM147">
        <v>-1</v>
      </c>
      <c r="FN147">
        <v>-1</v>
      </c>
      <c r="FO147">
        <v>-1</v>
      </c>
      <c r="FP147">
        <v>-1</v>
      </c>
      <c r="FQ147">
        <v>0.7</v>
      </c>
      <c r="FR147">
        <v>0.6</v>
      </c>
      <c r="FS147">
        <v>0.142822</v>
      </c>
      <c r="FT147">
        <v>4.99756</v>
      </c>
      <c r="FU147">
        <v>1.5979000000000001</v>
      </c>
      <c r="FV147">
        <v>2.1606399999999999</v>
      </c>
      <c r="FW147">
        <v>1.5478499999999999</v>
      </c>
      <c r="FX147">
        <v>2.4194300000000002</v>
      </c>
      <c r="FY147">
        <v>32.709099999999999</v>
      </c>
      <c r="FZ147">
        <v>15.751899999999999</v>
      </c>
      <c r="GA147">
        <v>3</v>
      </c>
      <c r="GB147">
        <v>492.41699999999997</v>
      </c>
      <c r="GC147">
        <v>422.56</v>
      </c>
      <c r="GD147">
        <v>26.0213</v>
      </c>
      <c r="GE147">
        <v>28.015499999999999</v>
      </c>
      <c r="GF147">
        <v>30</v>
      </c>
      <c r="GG147">
        <v>28.327999999999999</v>
      </c>
      <c r="GH147">
        <v>28.381699999999999</v>
      </c>
      <c r="GI147">
        <v>-1</v>
      </c>
      <c r="GJ147">
        <v>0</v>
      </c>
      <c r="GK147">
        <v>100</v>
      </c>
      <c r="GL147">
        <v>26.021599999999999</v>
      </c>
      <c r="GM147">
        <v>432.1</v>
      </c>
      <c r="GN147">
        <v>63.216500000000003</v>
      </c>
      <c r="GO147">
        <v>102.44799999999999</v>
      </c>
      <c r="GP147">
        <v>96.712800000000001</v>
      </c>
    </row>
    <row r="148" spans="1:198" x14ac:dyDescent="0.35">
      <c r="A148">
        <v>132</v>
      </c>
      <c r="B148">
        <v>1775511452.0999999</v>
      </c>
      <c r="C148">
        <v>7861.0999999046326</v>
      </c>
      <c r="D148" t="s">
        <v>727</v>
      </c>
      <c r="E148" t="s">
        <v>728</v>
      </c>
      <c r="F148">
        <v>60</v>
      </c>
      <c r="G148">
        <v>1775511444.349999</v>
      </c>
      <c r="H148">
        <f t="shared" si="120"/>
        <v>1.0209514974062299E-3</v>
      </c>
      <c r="I148">
        <f t="shared" si="121"/>
        <v>1.0209514974062299</v>
      </c>
      <c r="J148">
        <f t="shared" si="122"/>
        <v>0.56217736794406614</v>
      </c>
      <c r="K148">
        <f t="shared" si="123"/>
        <v>53.580326666666672</v>
      </c>
      <c r="L148">
        <f t="shared" si="124"/>
        <v>20.633201854378285</v>
      </c>
      <c r="M148">
        <f t="shared" si="125"/>
        <v>2.0678778914293123</v>
      </c>
      <c r="N148">
        <f t="shared" si="126"/>
        <v>5.3698681237904733</v>
      </c>
      <c r="O148">
        <f t="shared" si="127"/>
        <v>2.9310403909583033E-2</v>
      </c>
      <c r="P148">
        <f t="shared" si="128"/>
        <v>2.3914572520890935</v>
      </c>
      <c r="Q148">
        <f t="shared" si="129"/>
        <v>2.9112284234995386E-2</v>
      </c>
      <c r="R148">
        <f t="shared" si="130"/>
        <v>1.8212866157472401E-2</v>
      </c>
      <c r="S148">
        <f t="shared" si="131"/>
        <v>0</v>
      </c>
      <c r="T148">
        <f t="shared" si="132"/>
        <v>24.979436494464629</v>
      </c>
      <c r="U148">
        <f t="shared" si="133"/>
        <v>25.29730666666666</v>
      </c>
      <c r="V148">
        <f t="shared" si="134"/>
        <v>3.2364762689982323</v>
      </c>
      <c r="W148">
        <f t="shared" si="135"/>
        <v>-6.9636664841763505</v>
      </c>
      <c r="X148">
        <f t="shared" si="136"/>
        <v>-0.22541616179474649</v>
      </c>
      <c r="Y148">
        <f t="shared" si="137"/>
        <v>3.2370327083722805</v>
      </c>
      <c r="Z148">
        <f t="shared" si="138"/>
        <v>3.4618924307929788</v>
      </c>
      <c r="AA148">
        <f t="shared" si="139"/>
        <v>-45.02396103561474</v>
      </c>
      <c r="AB148">
        <f t="shared" si="140"/>
        <v>0.37260262335276617</v>
      </c>
      <c r="AC148">
        <f t="shared" si="141"/>
        <v>3.3055885968444436E-2</v>
      </c>
      <c r="AD148">
        <f t="shared" si="142"/>
        <v>-44.618302526293526</v>
      </c>
      <c r="AE148">
        <v>18</v>
      </c>
      <c r="AF148">
        <v>4</v>
      </c>
      <c r="AG148">
        <f t="shared" si="143"/>
        <v>1</v>
      </c>
      <c r="AH148">
        <f t="shared" si="144"/>
        <v>0</v>
      </c>
      <c r="AI148">
        <f t="shared" si="145"/>
        <v>25713.432747730039</v>
      </c>
      <c r="AJ148">
        <f t="shared" si="146"/>
        <v>0</v>
      </c>
      <c r="AK148">
        <f t="shared" si="147"/>
        <v>0</v>
      </c>
      <c r="AL148">
        <f t="shared" si="148"/>
        <v>0</v>
      </c>
      <c r="AM148">
        <f t="shared" si="149"/>
        <v>0</v>
      </c>
      <c r="AN148">
        <v>3</v>
      </c>
      <c r="AO148">
        <v>0.5</v>
      </c>
      <c r="AP148" t="s">
        <v>331</v>
      </c>
      <c r="AQ148">
        <v>2</v>
      </c>
      <c r="AR148">
        <v>1775511444.349999</v>
      </c>
      <c r="AS148">
        <v>53.580326666666672</v>
      </c>
      <c r="AT148">
        <v>53.950449999999996</v>
      </c>
      <c r="AU148">
        <v>-2.2491933333333329</v>
      </c>
      <c r="AV148">
        <v>-2.8631340000000001</v>
      </c>
      <c r="AW148">
        <v>45.713326666666667</v>
      </c>
      <c r="AX148">
        <v>-1.269193333333333</v>
      </c>
      <c r="AY148">
        <v>500.00653333333332</v>
      </c>
      <c r="AZ148">
        <v>100.1832333333334</v>
      </c>
      <c r="BA148">
        <v>3.7658509999999992E-2</v>
      </c>
      <c r="BB148">
        <v>25.300196666666661</v>
      </c>
      <c r="BC148">
        <v>25.29730666666666</v>
      </c>
      <c r="BD148">
        <v>999.9000000000002</v>
      </c>
      <c r="BE148">
        <v>0</v>
      </c>
      <c r="BF148">
        <v>0</v>
      </c>
      <c r="BG148">
        <v>4999.666666666667</v>
      </c>
      <c r="BH148">
        <v>0.39080016666666673</v>
      </c>
      <c r="BI148">
        <v>0.22961599999999999</v>
      </c>
      <c r="BJ148">
        <v>-0.40738433333333329</v>
      </c>
      <c r="BK148">
        <v>53.422926666666662</v>
      </c>
      <c r="BL148">
        <v>53.796423333333337</v>
      </c>
      <c r="BM148">
        <v>0.61423680000000003</v>
      </c>
      <c r="BN148">
        <v>53.950449999999996</v>
      </c>
      <c r="BO148">
        <v>-2.8631340000000001</v>
      </c>
      <c r="BP148">
        <v>-0.22530206666666669</v>
      </c>
      <c r="BQ148">
        <v>-0.28683846666666662</v>
      </c>
      <c r="BR148">
        <v>-99.900000000000034</v>
      </c>
      <c r="BS148">
        <v>-99.900000000000034</v>
      </c>
      <c r="BT148">
        <v>0</v>
      </c>
      <c r="BU148">
        <v>0</v>
      </c>
      <c r="BV148">
        <v>0</v>
      </c>
      <c r="BW148">
        <v>24</v>
      </c>
      <c r="BX148">
        <v>-1</v>
      </c>
      <c r="BY148">
        <v>1775511473.0999999</v>
      </c>
      <c r="BZ148" t="s">
        <v>729</v>
      </c>
      <c r="CA148">
        <v>1775511471.0999999</v>
      </c>
      <c r="CB148">
        <v>1775511473.0999999</v>
      </c>
      <c r="CC148">
        <v>135</v>
      </c>
      <c r="CD148">
        <v>3.6999999999999998E-2</v>
      </c>
      <c r="CE148">
        <v>0</v>
      </c>
      <c r="CF148">
        <v>7.867</v>
      </c>
      <c r="CG148">
        <v>-0.98</v>
      </c>
      <c r="CH148">
        <v>55</v>
      </c>
      <c r="CI148">
        <v>-3</v>
      </c>
      <c r="CJ148">
        <v>0.18</v>
      </c>
      <c r="CK148">
        <v>0.12</v>
      </c>
      <c r="CL148">
        <v>53.748551666666671</v>
      </c>
      <c r="CM148">
        <v>1.721347151986679</v>
      </c>
      <c r="CN148">
        <v>0.28264069150994853</v>
      </c>
      <c r="CO148">
        <v>-1</v>
      </c>
      <c r="CP148">
        <v>500.0332499999999</v>
      </c>
      <c r="CQ148">
        <v>-0.39148541261523412</v>
      </c>
      <c r="CR148">
        <v>0.15272138302586499</v>
      </c>
      <c r="CS148">
        <v>-1</v>
      </c>
      <c r="CT148">
        <v>0</v>
      </c>
      <c r="CU148">
        <v>0</v>
      </c>
      <c r="CV148" t="s">
        <v>333</v>
      </c>
      <c r="CW148">
        <v>3.16743</v>
      </c>
      <c r="CX148">
        <v>2.6589399999999999</v>
      </c>
      <c r="CY148">
        <v>1.3728199999999999E-2</v>
      </c>
      <c r="CZ148">
        <v>1.61992E-2</v>
      </c>
      <c r="DA148">
        <v>-1.1402199999999999E-2</v>
      </c>
      <c r="DB148">
        <v>-2.89319E-2</v>
      </c>
      <c r="DC148">
        <v>21339.599999999999</v>
      </c>
      <c r="DD148">
        <v>21663.5</v>
      </c>
      <c r="DE148">
        <v>23161.3</v>
      </c>
      <c r="DF148">
        <v>22369.1</v>
      </c>
      <c r="DG148">
        <v>30202.5</v>
      </c>
      <c r="DH148">
        <v>27436</v>
      </c>
      <c r="DI148">
        <v>40696.9</v>
      </c>
      <c r="DJ148">
        <v>37060.6</v>
      </c>
      <c r="DK148">
        <v>2.1024400000000001</v>
      </c>
      <c r="DL148">
        <v>1.8509</v>
      </c>
      <c r="DM148">
        <v>2.5647900000000001E-2</v>
      </c>
      <c r="DN148">
        <v>0</v>
      </c>
      <c r="DO148">
        <v>24.8765</v>
      </c>
      <c r="DP148">
        <v>999.9</v>
      </c>
      <c r="DQ148">
        <v>78.599999999999994</v>
      </c>
      <c r="DR148">
        <v>28.3</v>
      </c>
      <c r="DS148">
        <v>30.297699999999999</v>
      </c>
      <c r="DT148">
        <v>31.019300000000001</v>
      </c>
      <c r="DU148">
        <v>8.9663500000000003</v>
      </c>
      <c r="DV148">
        <v>1</v>
      </c>
      <c r="DW148">
        <v>6.6581299999999996E-2</v>
      </c>
      <c r="DX148">
        <v>-0.19484499999999999</v>
      </c>
      <c r="DY148">
        <v>20.368200000000002</v>
      </c>
      <c r="DZ148">
        <v>5.2122599999999997</v>
      </c>
      <c r="EA148">
        <v>11.8482</v>
      </c>
      <c r="EB148">
        <v>4.9681199999999999</v>
      </c>
      <c r="EC148">
        <v>3.2920199999999999</v>
      </c>
      <c r="ED148">
        <v>894.7</v>
      </c>
      <c r="EE148">
        <v>0</v>
      </c>
      <c r="EF148">
        <v>9999</v>
      </c>
      <c r="EG148">
        <v>115.2</v>
      </c>
      <c r="EH148">
        <v>4.9716399999999998</v>
      </c>
      <c r="EI148">
        <v>1.8717999999999999</v>
      </c>
      <c r="EJ148">
        <v>1.8689199999999999</v>
      </c>
      <c r="EK148">
        <v>1.87134</v>
      </c>
      <c r="EL148">
        <v>1.8690599999999999</v>
      </c>
      <c r="EM148">
        <v>1.8680300000000001</v>
      </c>
      <c r="EN148">
        <v>1.8698999999999999</v>
      </c>
      <c r="EO148">
        <v>1.8717299999999999</v>
      </c>
      <c r="EP148">
        <v>0</v>
      </c>
      <c r="EQ148">
        <v>0</v>
      </c>
      <c r="ER148">
        <v>0</v>
      </c>
      <c r="ES148">
        <v>0</v>
      </c>
      <c r="ET148" t="s">
        <v>334</v>
      </c>
      <c r="EU148" t="s">
        <v>335</v>
      </c>
      <c r="EV148" t="s">
        <v>336</v>
      </c>
      <c r="EW148" t="s">
        <v>336</v>
      </c>
      <c r="EX148" t="s">
        <v>336</v>
      </c>
      <c r="EY148" t="s">
        <v>336</v>
      </c>
      <c r="EZ148">
        <v>0</v>
      </c>
      <c r="FA148">
        <v>100</v>
      </c>
      <c r="FB148">
        <v>100</v>
      </c>
      <c r="FC148">
        <v>7.867</v>
      </c>
      <c r="FD148">
        <v>-0.98</v>
      </c>
      <c r="FE148">
        <v>7.8297349999999986</v>
      </c>
      <c r="FF148">
        <v>0</v>
      </c>
      <c r="FG148">
        <v>0</v>
      </c>
      <c r="FH148">
        <v>0</v>
      </c>
      <c r="FI148">
        <v>-0.97970285714285721</v>
      </c>
      <c r="FJ148">
        <v>0</v>
      </c>
      <c r="FK148">
        <v>0</v>
      </c>
      <c r="FL148">
        <v>0</v>
      </c>
      <c r="FM148">
        <v>-1</v>
      </c>
      <c r="FN148">
        <v>-1</v>
      </c>
      <c r="FO148">
        <v>-1</v>
      </c>
      <c r="FP148">
        <v>-1</v>
      </c>
      <c r="FQ148">
        <v>0.8</v>
      </c>
      <c r="FR148">
        <v>0.6</v>
      </c>
      <c r="FS148">
        <v>0.142822</v>
      </c>
      <c r="FT148">
        <v>4.99756</v>
      </c>
      <c r="FU148">
        <v>1.5979000000000001</v>
      </c>
      <c r="FV148">
        <v>2.1594199999999999</v>
      </c>
      <c r="FW148">
        <v>1.5478499999999999</v>
      </c>
      <c r="FX148">
        <v>2.4023400000000001</v>
      </c>
      <c r="FY148">
        <v>32.709099999999999</v>
      </c>
      <c r="FZ148">
        <v>15.751899999999999</v>
      </c>
      <c r="GA148">
        <v>3</v>
      </c>
      <c r="GB148">
        <v>492.50900000000001</v>
      </c>
      <c r="GC148">
        <v>422.88099999999997</v>
      </c>
      <c r="GD148">
        <v>25.9969</v>
      </c>
      <c r="GE148">
        <v>28.007400000000001</v>
      </c>
      <c r="GF148">
        <v>30</v>
      </c>
      <c r="GG148">
        <v>28.320900000000002</v>
      </c>
      <c r="GH148">
        <v>28.375599999999999</v>
      </c>
      <c r="GI148">
        <v>-1</v>
      </c>
      <c r="GJ148">
        <v>0</v>
      </c>
      <c r="GK148">
        <v>100</v>
      </c>
      <c r="GL148">
        <v>25.996500000000001</v>
      </c>
      <c r="GM148">
        <v>432.1</v>
      </c>
      <c r="GN148">
        <v>63.216500000000003</v>
      </c>
      <c r="GO148">
        <v>102.44799999999999</v>
      </c>
      <c r="GP148">
        <v>96.715400000000002</v>
      </c>
    </row>
    <row r="149" spans="1:198" x14ac:dyDescent="0.35">
      <c r="A149">
        <v>133</v>
      </c>
      <c r="B149">
        <v>1775511512.0999999</v>
      </c>
      <c r="C149">
        <v>7921.0999999046326</v>
      </c>
      <c r="D149" t="s">
        <v>730</v>
      </c>
      <c r="E149" t="s">
        <v>731</v>
      </c>
      <c r="F149">
        <v>60</v>
      </c>
      <c r="G149">
        <v>1775511504.099999</v>
      </c>
      <c r="H149">
        <f t="shared" si="120"/>
        <v>1.0311560687968108E-3</v>
      </c>
      <c r="I149">
        <f t="shared" si="121"/>
        <v>1.0311560687968109</v>
      </c>
      <c r="J149">
        <f t="shared" si="122"/>
        <v>-0.62480775738938654</v>
      </c>
      <c r="K149">
        <f t="shared" si="123"/>
        <v>54.232316129032263</v>
      </c>
      <c r="L149">
        <f t="shared" si="124"/>
        <v>84.300014414395918</v>
      </c>
      <c r="M149">
        <f t="shared" si="125"/>
        <v>8.4486716285936065</v>
      </c>
      <c r="N149">
        <f t="shared" si="126"/>
        <v>5.435242613126162</v>
      </c>
      <c r="O149">
        <f t="shared" si="127"/>
        <v>2.9620870631742527E-2</v>
      </c>
      <c r="P149">
        <f t="shared" si="128"/>
        <v>2.3899276498222406</v>
      </c>
      <c r="Q149">
        <f t="shared" si="129"/>
        <v>2.9418418711079346E-2</v>
      </c>
      <c r="R149">
        <f t="shared" si="130"/>
        <v>1.8404585727020927E-2</v>
      </c>
      <c r="S149">
        <f t="shared" si="131"/>
        <v>0</v>
      </c>
      <c r="T149">
        <f t="shared" si="132"/>
        <v>24.973184517018765</v>
      </c>
      <c r="U149">
        <f t="shared" si="133"/>
        <v>25.289241935483879</v>
      </c>
      <c r="V149">
        <f t="shared" si="134"/>
        <v>3.2349239310636566</v>
      </c>
      <c r="W149">
        <f t="shared" si="135"/>
        <v>-6.959087519558893</v>
      </c>
      <c r="X149">
        <f t="shared" si="136"/>
        <v>-0.22522968864108112</v>
      </c>
      <c r="Y149">
        <f t="shared" si="137"/>
        <v>3.2364830591375786</v>
      </c>
      <c r="Z149">
        <f t="shared" si="138"/>
        <v>3.4601536197047378</v>
      </c>
      <c r="AA149">
        <f t="shared" si="139"/>
        <v>-45.473982633939357</v>
      </c>
      <c r="AB149">
        <f t="shared" si="140"/>
        <v>1.043650813603769</v>
      </c>
      <c r="AC149">
        <f t="shared" si="141"/>
        <v>9.2642897823289425E-2</v>
      </c>
      <c r="AD149">
        <f t="shared" si="142"/>
        <v>-44.337688922512299</v>
      </c>
      <c r="AE149">
        <v>18</v>
      </c>
      <c r="AF149">
        <v>4</v>
      </c>
      <c r="AG149">
        <f t="shared" si="143"/>
        <v>1</v>
      </c>
      <c r="AH149">
        <f t="shared" si="144"/>
        <v>0</v>
      </c>
      <c r="AI149">
        <f t="shared" si="145"/>
        <v>25690.240915063161</v>
      </c>
      <c r="AJ149">
        <f t="shared" si="146"/>
        <v>0</v>
      </c>
      <c r="AK149">
        <f t="shared" si="147"/>
        <v>0</v>
      </c>
      <c r="AL149">
        <f t="shared" si="148"/>
        <v>0</v>
      </c>
      <c r="AM149">
        <f t="shared" si="149"/>
        <v>0</v>
      </c>
      <c r="AN149">
        <v>3</v>
      </c>
      <c r="AO149">
        <v>0.5</v>
      </c>
      <c r="AP149" t="s">
        <v>331</v>
      </c>
      <c r="AQ149">
        <v>2</v>
      </c>
      <c r="AR149">
        <v>1775511504.099999</v>
      </c>
      <c r="AS149">
        <v>54.232316129032263</v>
      </c>
      <c r="AT149">
        <v>53.890983870967752</v>
      </c>
      <c r="AU149">
        <v>-2.2473196774193549</v>
      </c>
      <c r="AV149">
        <v>-2.8674051612903231</v>
      </c>
      <c r="AW149">
        <v>46.39231612903226</v>
      </c>
      <c r="AX149">
        <v>-1.2693196774193549</v>
      </c>
      <c r="AY149">
        <v>499.99883870967739</v>
      </c>
      <c r="AZ149">
        <v>100.1839677419355</v>
      </c>
      <c r="BA149">
        <v>3.7505377419354849E-2</v>
      </c>
      <c r="BB149">
        <v>25.297341935483882</v>
      </c>
      <c r="BC149">
        <v>25.289241935483879</v>
      </c>
      <c r="BD149">
        <v>999.90000000000032</v>
      </c>
      <c r="BE149">
        <v>0</v>
      </c>
      <c r="BF149">
        <v>0</v>
      </c>
      <c r="BG149">
        <v>4995.6935483870966</v>
      </c>
      <c r="BH149">
        <v>0.38179509677419371</v>
      </c>
      <c r="BI149">
        <v>0.23331922580645159</v>
      </c>
      <c r="BJ149">
        <v>0.36844676812903232</v>
      </c>
      <c r="BK149">
        <v>54.137693548387077</v>
      </c>
      <c r="BL149">
        <v>53.736903225806458</v>
      </c>
      <c r="BM149">
        <v>0.61856083870967737</v>
      </c>
      <c r="BN149">
        <v>53.890983870967752</v>
      </c>
      <c r="BO149">
        <v>-2.8674051612903231</v>
      </c>
      <c r="BP149">
        <v>-0.22529819354838709</v>
      </c>
      <c r="BQ149">
        <v>-0.28726806451612902</v>
      </c>
      <c r="BR149">
        <v>-99.900000000000034</v>
      </c>
      <c r="BS149">
        <v>-99.900000000000034</v>
      </c>
      <c r="BT149">
        <v>0</v>
      </c>
      <c r="BU149">
        <v>0</v>
      </c>
      <c r="BV149">
        <v>0</v>
      </c>
      <c r="BW149">
        <v>24</v>
      </c>
      <c r="BX149">
        <v>-1</v>
      </c>
      <c r="BY149">
        <v>1775511533.0999999</v>
      </c>
      <c r="BZ149" t="s">
        <v>732</v>
      </c>
      <c r="CA149">
        <v>1775511529.0999999</v>
      </c>
      <c r="CB149">
        <v>1775511533.0999999</v>
      </c>
      <c r="CC149">
        <v>136</v>
      </c>
      <c r="CD149">
        <v>-2.7E-2</v>
      </c>
      <c r="CE149">
        <v>1E-3</v>
      </c>
      <c r="CF149">
        <v>7.84</v>
      </c>
      <c r="CG149">
        <v>-0.97799999999999998</v>
      </c>
      <c r="CH149">
        <v>54</v>
      </c>
      <c r="CI149">
        <v>-3</v>
      </c>
      <c r="CJ149">
        <v>0.15</v>
      </c>
      <c r="CK149">
        <v>0.11</v>
      </c>
      <c r="CL149">
        <v>54.45570666666665</v>
      </c>
      <c r="CM149">
        <v>-3.828038677410293</v>
      </c>
      <c r="CN149">
        <v>0.61260192862539686</v>
      </c>
      <c r="CO149">
        <v>-1</v>
      </c>
      <c r="CP149">
        <v>500.02388333333329</v>
      </c>
      <c r="CQ149">
        <v>-0.25632120033232181</v>
      </c>
      <c r="CR149">
        <v>0.1026788020425272</v>
      </c>
      <c r="CS149">
        <v>-1</v>
      </c>
      <c r="CT149">
        <v>0</v>
      </c>
      <c r="CU149">
        <v>0</v>
      </c>
      <c r="CV149" t="s">
        <v>333</v>
      </c>
      <c r="CW149">
        <v>3.16736</v>
      </c>
      <c r="CX149">
        <v>2.6589399999999999</v>
      </c>
      <c r="CY149">
        <v>1.37584E-2</v>
      </c>
      <c r="CZ149">
        <v>1.60795E-2</v>
      </c>
      <c r="DA149">
        <v>-1.13974E-2</v>
      </c>
      <c r="DB149">
        <v>-2.8974699999999999E-2</v>
      </c>
      <c r="DC149">
        <v>21339.4</v>
      </c>
      <c r="DD149">
        <v>21666.9</v>
      </c>
      <c r="DE149">
        <v>23161.8</v>
      </c>
      <c r="DF149">
        <v>22369.8</v>
      </c>
      <c r="DG149">
        <v>30202.799999999999</v>
      </c>
      <c r="DH149">
        <v>27438.3</v>
      </c>
      <c r="DI149">
        <v>40697.4</v>
      </c>
      <c r="DJ149">
        <v>37062.300000000003</v>
      </c>
      <c r="DK149">
        <v>2.1024799999999999</v>
      </c>
      <c r="DL149">
        <v>1.8508</v>
      </c>
      <c r="DM149">
        <v>2.5677700000000001E-2</v>
      </c>
      <c r="DN149">
        <v>0</v>
      </c>
      <c r="DO149">
        <v>24.872299999999999</v>
      </c>
      <c r="DP149">
        <v>999.9</v>
      </c>
      <c r="DQ149">
        <v>78.599999999999994</v>
      </c>
      <c r="DR149">
        <v>28.3</v>
      </c>
      <c r="DS149">
        <v>30.300799999999999</v>
      </c>
      <c r="DT149">
        <v>30.629300000000001</v>
      </c>
      <c r="DU149">
        <v>9.0544899999999995</v>
      </c>
      <c r="DV149">
        <v>1</v>
      </c>
      <c r="DW149">
        <v>6.5865900000000005E-2</v>
      </c>
      <c r="DX149">
        <v>-0.214</v>
      </c>
      <c r="DY149">
        <v>20.368300000000001</v>
      </c>
      <c r="DZ149">
        <v>5.2122599999999997</v>
      </c>
      <c r="EA149">
        <v>11.8482</v>
      </c>
      <c r="EB149">
        <v>4.9682399999999998</v>
      </c>
      <c r="EC149">
        <v>3.2921800000000001</v>
      </c>
      <c r="ED149">
        <v>894.7</v>
      </c>
      <c r="EE149">
        <v>0</v>
      </c>
      <c r="EF149">
        <v>9999</v>
      </c>
      <c r="EG149">
        <v>115.2</v>
      </c>
      <c r="EH149">
        <v>4.9716399999999998</v>
      </c>
      <c r="EI149">
        <v>1.8717999999999999</v>
      </c>
      <c r="EJ149">
        <v>1.86894</v>
      </c>
      <c r="EK149">
        <v>1.87134</v>
      </c>
      <c r="EL149">
        <v>1.8690500000000001</v>
      </c>
      <c r="EM149">
        <v>1.8680300000000001</v>
      </c>
      <c r="EN149">
        <v>1.8698600000000001</v>
      </c>
      <c r="EO149">
        <v>1.87168</v>
      </c>
      <c r="EP149">
        <v>0</v>
      </c>
      <c r="EQ149">
        <v>0</v>
      </c>
      <c r="ER149">
        <v>0</v>
      </c>
      <c r="ES149">
        <v>0</v>
      </c>
      <c r="ET149" t="s">
        <v>334</v>
      </c>
      <c r="EU149" t="s">
        <v>335</v>
      </c>
      <c r="EV149" t="s">
        <v>336</v>
      </c>
      <c r="EW149" t="s">
        <v>336</v>
      </c>
      <c r="EX149" t="s">
        <v>336</v>
      </c>
      <c r="EY149" t="s">
        <v>336</v>
      </c>
      <c r="EZ149">
        <v>0</v>
      </c>
      <c r="FA149">
        <v>100</v>
      </c>
      <c r="FB149">
        <v>100</v>
      </c>
      <c r="FC149">
        <v>7.84</v>
      </c>
      <c r="FD149">
        <v>-0.97799999999999998</v>
      </c>
      <c r="FE149">
        <v>7.8671149999999983</v>
      </c>
      <c r="FF149">
        <v>0</v>
      </c>
      <c r="FG149">
        <v>0</v>
      </c>
      <c r="FH149">
        <v>0</v>
      </c>
      <c r="FI149">
        <v>-0.97952449999999991</v>
      </c>
      <c r="FJ149">
        <v>0</v>
      </c>
      <c r="FK149">
        <v>0</v>
      </c>
      <c r="FL149">
        <v>0</v>
      </c>
      <c r="FM149">
        <v>-1</v>
      </c>
      <c r="FN149">
        <v>-1</v>
      </c>
      <c r="FO149">
        <v>-1</v>
      </c>
      <c r="FP149">
        <v>-1</v>
      </c>
      <c r="FQ149">
        <v>0.7</v>
      </c>
      <c r="FR149">
        <v>0.7</v>
      </c>
      <c r="FS149">
        <v>0.142822</v>
      </c>
      <c r="FT149">
        <v>4.99756</v>
      </c>
      <c r="FU149">
        <v>1.5979000000000001</v>
      </c>
      <c r="FV149">
        <v>2.1594199999999999</v>
      </c>
      <c r="FW149">
        <v>1.5478499999999999</v>
      </c>
      <c r="FX149">
        <v>2.2985799999999998</v>
      </c>
      <c r="FY149">
        <v>32.709099999999999</v>
      </c>
      <c r="FZ149">
        <v>15.734400000000001</v>
      </c>
      <c r="GA149">
        <v>3</v>
      </c>
      <c r="GB149">
        <v>492.476</v>
      </c>
      <c r="GC149">
        <v>422.779</v>
      </c>
      <c r="GD149">
        <v>26.011199999999999</v>
      </c>
      <c r="GE149">
        <v>27.998799999999999</v>
      </c>
      <c r="GF149">
        <v>29.9999</v>
      </c>
      <c r="GG149">
        <v>28.313800000000001</v>
      </c>
      <c r="GH149">
        <v>28.369499999999999</v>
      </c>
      <c r="GI149">
        <v>-1</v>
      </c>
      <c r="GJ149">
        <v>0</v>
      </c>
      <c r="GK149">
        <v>100</v>
      </c>
      <c r="GL149">
        <v>26.011600000000001</v>
      </c>
      <c r="GM149">
        <v>432.1</v>
      </c>
      <c r="GN149">
        <v>63.216500000000003</v>
      </c>
      <c r="GO149">
        <v>102.449</v>
      </c>
      <c r="GP149">
        <v>96.719399999999993</v>
      </c>
    </row>
    <row r="150" spans="1:198" x14ac:dyDescent="0.35">
      <c r="A150">
        <v>134</v>
      </c>
      <c r="B150">
        <v>1775511572.0999999</v>
      </c>
      <c r="C150">
        <v>7981.0999999046326</v>
      </c>
      <c r="D150" t="s">
        <v>733</v>
      </c>
      <c r="E150" t="s">
        <v>734</v>
      </c>
      <c r="F150">
        <v>60</v>
      </c>
      <c r="G150">
        <v>1775511564.099999</v>
      </c>
      <c r="H150">
        <f t="shared" si="120"/>
        <v>1.0456942109311894E-3</v>
      </c>
      <c r="I150">
        <f t="shared" si="121"/>
        <v>1.0456942109311893</v>
      </c>
      <c r="J150">
        <f t="shared" si="122"/>
        <v>-0.31710457073485154</v>
      </c>
      <c r="K150">
        <f t="shared" si="123"/>
        <v>53.026383870967749</v>
      </c>
      <c r="L150">
        <f t="shared" si="124"/>
        <v>66.669156221461876</v>
      </c>
      <c r="M150">
        <f t="shared" si="125"/>
        <v>6.6816685616515334</v>
      </c>
      <c r="N150">
        <f t="shared" si="126"/>
        <v>5.3143723744122431</v>
      </c>
      <c r="O150">
        <f t="shared" si="127"/>
        <v>3.00281335971159E-2</v>
      </c>
      <c r="P150">
        <f t="shared" si="128"/>
        <v>2.3911059429785104</v>
      </c>
      <c r="Q150">
        <f t="shared" si="129"/>
        <v>2.9820199153711546E-2</v>
      </c>
      <c r="R150">
        <f t="shared" si="130"/>
        <v>1.8656186405629299E-2</v>
      </c>
      <c r="S150">
        <f t="shared" si="131"/>
        <v>0</v>
      </c>
      <c r="T150">
        <f t="shared" si="132"/>
        <v>24.972399513745376</v>
      </c>
      <c r="U150">
        <f t="shared" si="133"/>
        <v>25.29500645161291</v>
      </c>
      <c r="V150">
        <f t="shared" si="134"/>
        <v>3.236033446299619</v>
      </c>
      <c r="W150">
        <f t="shared" si="135"/>
        <v>-6.969257403063434</v>
      </c>
      <c r="X150">
        <f t="shared" si="136"/>
        <v>-0.22560761925858178</v>
      </c>
      <c r="Y150">
        <f t="shared" si="137"/>
        <v>3.2371830485040318</v>
      </c>
      <c r="Z150">
        <f t="shared" si="138"/>
        <v>3.4616410655582008</v>
      </c>
      <c r="AA150">
        <f t="shared" si="139"/>
        <v>-46.115114702065455</v>
      </c>
      <c r="AB150">
        <f t="shared" si="140"/>
        <v>0.76971329341617412</v>
      </c>
      <c r="AC150">
        <f t="shared" si="141"/>
        <v>6.8295543509272125E-2</v>
      </c>
      <c r="AD150">
        <f t="shared" si="142"/>
        <v>-45.277105865140008</v>
      </c>
      <c r="AE150">
        <v>18</v>
      </c>
      <c r="AF150">
        <v>4</v>
      </c>
      <c r="AG150">
        <f t="shared" si="143"/>
        <v>1</v>
      </c>
      <c r="AH150">
        <f t="shared" si="144"/>
        <v>0</v>
      </c>
      <c r="AI150">
        <f t="shared" si="145"/>
        <v>25707.972521829142</v>
      </c>
      <c r="AJ150">
        <f t="shared" si="146"/>
        <v>0</v>
      </c>
      <c r="AK150">
        <f t="shared" si="147"/>
        <v>0</v>
      </c>
      <c r="AL150">
        <f t="shared" si="148"/>
        <v>0</v>
      </c>
      <c r="AM150">
        <f t="shared" si="149"/>
        <v>0</v>
      </c>
      <c r="AN150">
        <v>3</v>
      </c>
      <c r="AO150">
        <v>0.5</v>
      </c>
      <c r="AP150" t="s">
        <v>331</v>
      </c>
      <c r="AQ150">
        <v>2</v>
      </c>
      <c r="AR150">
        <v>1775511564.099999</v>
      </c>
      <c r="AS150">
        <v>53.026383870967749</v>
      </c>
      <c r="AT150">
        <v>52.869390322580642</v>
      </c>
      <c r="AU150">
        <v>-2.251094838709677</v>
      </c>
      <c r="AV150">
        <v>-2.8799254838709669</v>
      </c>
      <c r="AW150">
        <v>45.172383870967749</v>
      </c>
      <c r="AX150">
        <v>-1.273094838709677</v>
      </c>
      <c r="AY150">
        <v>499.99861290322582</v>
      </c>
      <c r="AZ150">
        <v>100.1836451612903</v>
      </c>
      <c r="BA150">
        <v>3.7640667741935488E-2</v>
      </c>
      <c r="BB150">
        <v>25.30097741935483</v>
      </c>
      <c r="BC150">
        <v>25.29500645161291</v>
      </c>
      <c r="BD150">
        <v>999.90000000000032</v>
      </c>
      <c r="BE150">
        <v>0</v>
      </c>
      <c r="BF150">
        <v>0</v>
      </c>
      <c r="BG150">
        <v>4998.7419354838712</v>
      </c>
      <c r="BH150">
        <v>0.40580690322580659</v>
      </c>
      <c r="BI150">
        <v>0.23331922580645159</v>
      </c>
      <c r="BJ150">
        <v>0.1430547451612903</v>
      </c>
      <c r="BK150">
        <v>52.893364516129033</v>
      </c>
      <c r="BL150">
        <v>52.717577419354839</v>
      </c>
      <c r="BM150">
        <v>0.62840393548387097</v>
      </c>
      <c r="BN150">
        <v>52.869390322580642</v>
      </c>
      <c r="BO150">
        <v>-2.8799254838709669</v>
      </c>
      <c r="BP150">
        <v>-0.22556567741935479</v>
      </c>
      <c r="BQ150">
        <v>-0.2885215483870967</v>
      </c>
      <c r="BR150">
        <v>-99.900000000000034</v>
      </c>
      <c r="BS150">
        <v>-99.900000000000034</v>
      </c>
      <c r="BT150">
        <v>0</v>
      </c>
      <c r="BU150">
        <v>0</v>
      </c>
      <c r="BV150">
        <v>0</v>
      </c>
      <c r="BW150">
        <v>24</v>
      </c>
      <c r="BX150">
        <v>-1</v>
      </c>
      <c r="BY150">
        <v>1775511591.5999999</v>
      </c>
      <c r="BZ150" t="s">
        <v>735</v>
      </c>
      <c r="CA150">
        <v>1775511589.0999999</v>
      </c>
      <c r="CB150">
        <v>1775511591.5999999</v>
      </c>
      <c r="CC150">
        <v>137</v>
      </c>
      <c r="CD150">
        <v>1.4E-2</v>
      </c>
      <c r="CE150">
        <v>1E-3</v>
      </c>
      <c r="CF150">
        <v>7.8540000000000001</v>
      </c>
      <c r="CG150">
        <v>-0.97799999999999998</v>
      </c>
      <c r="CH150">
        <v>54</v>
      </c>
      <c r="CI150">
        <v>-3</v>
      </c>
      <c r="CJ150">
        <v>0.13</v>
      </c>
      <c r="CK150">
        <v>0.12</v>
      </c>
      <c r="CL150">
        <v>53.13847333333333</v>
      </c>
      <c r="CM150">
        <v>-2.2314691858848268</v>
      </c>
      <c r="CN150">
        <v>0.42035485400895373</v>
      </c>
      <c r="CO150">
        <v>-1</v>
      </c>
      <c r="CP150">
        <v>500.01358333333337</v>
      </c>
      <c r="CQ150">
        <v>-0.15604001111322391</v>
      </c>
      <c r="CR150">
        <v>9.9175314748962212E-2</v>
      </c>
      <c r="CS150">
        <v>-1</v>
      </c>
      <c r="CT150">
        <v>0</v>
      </c>
      <c r="CU150">
        <v>0</v>
      </c>
      <c r="CV150" t="s">
        <v>333</v>
      </c>
      <c r="CW150">
        <v>3.1673300000000002</v>
      </c>
      <c r="CX150">
        <v>2.6589299999999998</v>
      </c>
      <c r="CY150">
        <v>1.34264E-2</v>
      </c>
      <c r="CZ150">
        <v>1.5832300000000001E-2</v>
      </c>
      <c r="DA150">
        <v>-1.1441700000000001E-2</v>
      </c>
      <c r="DB150">
        <v>-2.9131399999999998E-2</v>
      </c>
      <c r="DC150">
        <v>21347.1</v>
      </c>
      <c r="DD150">
        <v>21672.6</v>
      </c>
      <c r="DE150">
        <v>23162.3</v>
      </c>
      <c r="DF150">
        <v>22370</v>
      </c>
      <c r="DG150">
        <v>30204.7</v>
      </c>
      <c r="DH150">
        <v>27442.400000000001</v>
      </c>
      <c r="DI150">
        <v>40698.199999999997</v>
      </c>
      <c r="DJ150">
        <v>37062.300000000003</v>
      </c>
      <c r="DK150">
        <v>2.1031</v>
      </c>
      <c r="DL150">
        <v>1.85042</v>
      </c>
      <c r="DM150">
        <v>2.6556799999999998E-2</v>
      </c>
      <c r="DN150">
        <v>0</v>
      </c>
      <c r="DO150">
        <v>24.874400000000001</v>
      </c>
      <c r="DP150">
        <v>999.9</v>
      </c>
      <c r="DQ150">
        <v>78.599999999999994</v>
      </c>
      <c r="DR150">
        <v>28.3</v>
      </c>
      <c r="DS150">
        <v>30.297999999999998</v>
      </c>
      <c r="DT150">
        <v>30.749300000000002</v>
      </c>
      <c r="DU150">
        <v>9.3990399999999994</v>
      </c>
      <c r="DV150">
        <v>1</v>
      </c>
      <c r="DW150">
        <v>6.4904500000000004E-2</v>
      </c>
      <c r="DX150">
        <v>-0.19885</v>
      </c>
      <c r="DY150">
        <v>20.368300000000001</v>
      </c>
      <c r="DZ150">
        <v>5.2109399999999999</v>
      </c>
      <c r="EA150">
        <v>11.8482</v>
      </c>
      <c r="EB150">
        <v>4.9683200000000003</v>
      </c>
      <c r="EC150">
        <v>3.2919999999999998</v>
      </c>
      <c r="ED150">
        <v>894.7</v>
      </c>
      <c r="EE150">
        <v>0</v>
      </c>
      <c r="EF150">
        <v>9999</v>
      </c>
      <c r="EG150">
        <v>115.2</v>
      </c>
      <c r="EH150">
        <v>4.9716399999999998</v>
      </c>
      <c r="EI150">
        <v>1.8717999999999999</v>
      </c>
      <c r="EJ150">
        <v>1.8689199999999999</v>
      </c>
      <c r="EK150">
        <v>1.8713500000000001</v>
      </c>
      <c r="EL150">
        <v>1.8690599999999999</v>
      </c>
      <c r="EM150">
        <v>1.86802</v>
      </c>
      <c r="EN150">
        <v>1.8698399999999999</v>
      </c>
      <c r="EO150">
        <v>1.87174</v>
      </c>
      <c r="EP150">
        <v>0</v>
      </c>
      <c r="EQ150">
        <v>0</v>
      </c>
      <c r="ER150">
        <v>0</v>
      </c>
      <c r="ES150">
        <v>0</v>
      </c>
      <c r="ET150" t="s">
        <v>334</v>
      </c>
      <c r="EU150" t="s">
        <v>335</v>
      </c>
      <c r="EV150" t="s">
        <v>336</v>
      </c>
      <c r="EW150" t="s">
        <v>336</v>
      </c>
      <c r="EX150" t="s">
        <v>336</v>
      </c>
      <c r="EY150" t="s">
        <v>336</v>
      </c>
      <c r="EZ150">
        <v>0</v>
      </c>
      <c r="FA150">
        <v>100</v>
      </c>
      <c r="FB150">
        <v>100</v>
      </c>
      <c r="FC150">
        <v>7.8540000000000001</v>
      </c>
      <c r="FD150">
        <v>-0.97799999999999998</v>
      </c>
      <c r="FE150">
        <v>7.8400700000000114</v>
      </c>
      <c r="FF150">
        <v>0</v>
      </c>
      <c r="FG150">
        <v>0</v>
      </c>
      <c r="FH150">
        <v>0</v>
      </c>
      <c r="FI150">
        <v>-0.97842749999999978</v>
      </c>
      <c r="FJ150">
        <v>0</v>
      </c>
      <c r="FK150">
        <v>0</v>
      </c>
      <c r="FL150">
        <v>0</v>
      </c>
      <c r="FM150">
        <v>-1</v>
      </c>
      <c r="FN150">
        <v>-1</v>
      </c>
      <c r="FO150">
        <v>-1</v>
      </c>
      <c r="FP150">
        <v>-1</v>
      </c>
      <c r="FQ150">
        <v>0.7</v>
      </c>
      <c r="FR150">
        <v>0.7</v>
      </c>
      <c r="FS150">
        <v>0.142822</v>
      </c>
      <c r="FT150">
        <v>4.99756</v>
      </c>
      <c r="FU150">
        <v>1.5979000000000001</v>
      </c>
      <c r="FV150">
        <v>2.1594199999999999</v>
      </c>
      <c r="FW150">
        <v>1.5478499999999999</v>
      </c>
      <c r="FX150">
        <v>2.4060100000000002</v>
      </c>
      <c r="FY150">
        <v>32.709099999999999</v>
      </c>
      <c r="FZ150">
        <v>15.734400000000001</v>
      </c>
      <c r="GA150">
        <v>3</v>
      </c>
      <c r="GB150">
        <v>492.774</v>
      </c>
      <c r="GC150">
        <v>422.50200000000001</v>
      </c>
      <c r="GD150">
        <v>26.001799999999999</v>
      </c>
      <c r="GE150">
        <v>27.9893</v>
      </c>
      <c r="GF150">
        <v>30</v>
      </c>
      <c r="GG150">
        <v>28.306699999999999</v>
      </c>
      <c r="GH150">
        <v>28.361999999999998</v>
      </c>
      <c r="GI150">
        <v>-1</v>
      </c>
      <c r="GJ150">
        <v>0</v>
      </c>
      <c r="GK150">
        <v>100</v>
      </c>
      <c r="GL150">
        <v>26.0014</v>
      </c>
      <c r="GM150">
        <v>432.1</v>
      </c>
      <c r="GN150">
        <v>63.216500000000003</v>
      </c>
      <c r="GO150">
        <v>102.45099999999999</v>
      </c>
      <c r="GP150">
        <v>96.719700000000003</v>
      </c>
    </row>
    <row r="151" spans="1:198" x14ac:dyDescent="0.35">
      <c r="A151">
        <v>135</v>
      </c>
      <c r="B151">
        <v>1775511632.0999999</v>
      </c>
      <c r="C151">
        <v>8041.0999999046326</v>
      </c>
      <c r="D151" t="s">
        <v>736</v>
      </c>
      <c r="E151" t="s">
        <v>737</v>
      </c>
      <c r="F151">
        <v>60</v>
      </c>
      <c r="G151">
        <v>1775511624.349999</v>
      </c>
      <c r="H151">
        <f t="shared" si="120"/>
        <v>1.0595713707009303E-3</v>
      </c>
      <c r="I151">
        <f t="shared" si="121"/>
        <v>1.0595713707009302</v>
      </c>
      <c r="J151">
        <f t="shared" si="122"/>
        <v>0.10029023268356491</v>
      </c>
      <c r="K151">
        <f t="shared" si="123"/>
        <v>53.319433333333329</v>
      </c>
      <c r="L151">
        <f t="shared" si="124"/>
        <v>45.251977095999941</v>
      </c>
      <c r="M151">
        <f t="shared" si="125"/>
        <v>4.5351768591613908</v>
      </c>
      <c r="N151">
        <f t="shared" si="126"/>
        <v>5.3437015510711667</v>
      </c>
      <c r="O151">
        <f t="shared" si="127"/>
        <v>3.04304010876295E-2</v>
      </c>
      <c r="P151">
        <f t="shared" si="128"/>
        <v>2.3907170868315655</v>
      </c>
      <c r="Q151">
        <f t="shared" si="129"/>
        <v>3.0216845110495515E-2</v>
      </c>
      <c r="R151">
        <f t="shared" si="130"/>
        <v>1.8904590297999874E-2</v>
      </c>
      <c r="S151">
        <f t="shared" si="131"/>
        <v>0</v>
      </c>
      <c r="T151">
        <f t="shared" si="132"/>
        <v>24.969682337856931</v>
      </c>
      <c r="U151">
        <f t="shared" si="133"/>
        <v>25.29924333333333</v>
      </c>
      <c r="V151">
        <f t="shared" si="134"/>
        <v>3.2368491447386378</v>
      </c>
      <c r="W151">
        <f t="shared" si="135"/>
        <v>-6.938346932941224</v>
      </c>
      <c r="X151">
        <f t="shared" si="136"/>
        <v>-0.22462960566282331</v>
      </c>
      <c r="Y151">
        <f t="shared" si="137"/>
        <v>3.2375089893004372</v>
      </c>
      <c r="Z151">
        <f t="shared" si="138"/>
        <v>3.461478750401461</v>
      </c>
      <c r="AA151">
        <f t="shared" si="139"/>
        <v>-46.727097447911028</v>
      </c>
      <c r="AB151">
        <f t="shared" si="140"/>
        <v>0.44165737697783702</v>
      </c>
      <c r="AC151">
        <f t="shared" si="141"/>
        <v>3.9195160721825689E-2</v>
      </c>
      <c r="AD151">
        <f t="shared" si="142"/>
        <v>-46.246244910211367</v>
      </c>
      <c r="AE151">
        <v>18</v>
      </c>
      <c r="AF151">
        <v>4</v>
      </c>
      <c r="AG151">
        <f t="shared" si="143"/>
        <v>1</v>
      </c>
      <c r="AH151">
        <f t="shared" si="144"/>
        <v>0</v>
      </c>
      <c r="AI151">
        <f t="shared" si="145"/>
        <v>25701.909661267182</v>
      </c>
      <c r="AJ151">
        <f t="shared" si="146"/>
        <v>0</v>
      </c>
      <c r="AK151">
        <f t="shared" si="147"/>
        <v>0</v>
      </c>
      <c r="AL151">
        <f t="shared" si="148"/>
        <v>0</v>
      </c>
      <c r="AM151">
        <f t="shared" si="149"/>
        <v>0</v>
      </c>
      <c r="AN151">
        <v>3</v>
      </c>
      <c r="AO151">
        <v>0.5</v>
      </c>
      <c r="AP151" t="s">
        <v>331</v>
      </c>
      <c r="AQ151">
        <v>2</v>
      </c>
      <c r="AR151">
        <v>1775511624.349999</v>
      </c>
      <c r="AS151">
        <v>53.319433333333329</v>
      </c>
      <c r="AT151">
        <v>53.413503333333331</v>
      </c>
      <c r="AU151">
        <v>-2.2413533333333331</v>
      </c>
      <c r="AV151">
        <v>-2.8785103333333328</v>
      </c>
      <c r="AW151">
        <v>45.452433333333332</v>
      </c>
      <c r="AX151">
        <v>-1.264353333333333</v>
      </c>
      <c r="AY151">
        <v>500.00843333333341</v>
      </c>
      <c r="AZ151">
        <v>100.1828</v>
      </c>
      <c r="BA151">
        <v>3.7724056666666672E-2</v>
      </c>
      <c r="BB151">
        <v>25.302669999999988</v>
      </c>
      <c r="BC151">
        <v>25.29924333333333</v>
      </c>
      <c r="BD151">
        <v>999.9000000000002</v>
      </c>
      <c r="BE151">
        <v>0</v>
      </c>
      <c r="BF151">
        <v>0</v>
      </c>
      <c r="BG151">
        <v>4997.7833333333338</v>
      </c>
      <c r="BH151">
        <v>0.39395613333333329</v>
      </c>
      <c r="BI151">
        <v>0.22961599999999999</v>
      </c>
      <c r="BJ151">
        <v>-0.10733426</v>
      </c>
      <c r="BK151">
        <v>53.18692999999999</v>
      </c>
      <c r="BL151">
        <v>53.260200000000019</v>
      </c>
      <c r="BM151">
        <v>0.63655600000000001</v>
      </c>
      <c r="BN151">
        <v>53.413503333333331</v>
      </c>
      <c r="BO151">
        <v>-2.8785103333333328</v>
      </c>
      <c r="BP151">
        <v>-0.22460536666666669</v>
      </c>
      <c r="BQ151">
        <v>-0.28837723333333332</v>
      </c>
      <c r="BR151">
        <v>-99.900000000000034</v>
      </c>
      <c r="BS151">
        <v>-99.900000000000034</v>
      </c>
      <c r="BT151">
        <v>0</v>
      </c>
      <c r="BU151">
        <v>0</v>
      </c>
      <c r="BV151">
        <v>0</v>
      </c>
      <c r="BW151">
        <v>24</v>
      </c>
      <c r="BX151">
        <v>-1</v>
      </c>
      <c r="BY151">
        <v>1775511653.0999999</v>
      </c>
      <c r="BZ151" t="s">
        <v>738</v>
      </c>
      <c r="CA151">
        <v>1775511648.0999999</v>
      </c>
      <c r="CB151">
        <v>1775511653.0999999</v>
      </c>
      <c r="CC151">
        <v>138</v>
      </c>
      <c r="CD151">
        <v>1.2999999999999999E-2</v>
      </c>
      <c r="CE151">
        <v>0</v>
      </c>
      <c r="CF151">
        <v>7.867</v>
      </c>
      <c r="CG151">
        <v>-0.97699999999999998</v>
      </c>
      <c r="CH151">
        <v>53</v>
      </c>
      <c r="CI151">
        <v>-3</v>
      </c>
      <c r="CJ151">
        <v>0.18</v>
      </c>
      <c r="CK151">
        <v>0.12</v>
      </c>
      <c r="CL151">
        <v>53.526051666666667</v>
      </c>
      <c r="CM151">
        <v>-0.52205468185607318</v>
      </c>
      <c r="CN151">
        <v>0.22649471038096161</v>
      </c>
      <c r="CO151">
        <v>-1</v>
      </c>
      <c r="CP151">
        <v>500.01501666666672</v>
      </c>
      <c r="CQ151">
        <v>-0.13572103361952531</v>
      </c>
      <c r="CR151">
        <v>6.1820571459309602E-2</v>
      </c>
      <c r="CS151">
        <v>-1</v>
      </c>
      <c r="CT151">
        <v>0</v>
      </c>
      <c r="CU151">
        <v>0</v>
      </c>
      <c r="CV151" t="s">
        <v>333</v>
      </c>
      <c r="CW151">
        <v>3.16723</v>
      </c>
      <c r="CX151">
        <v>2.65909</v>
      </c>
      <c r="CY151">
        <v>1.35751E-2</v>
      </c>
      <c r="CZ151">
        <v>1.6066199999999999E-2</v>
      </c>
      <c r="DA151">
        <v>-1.1339699999999999E-2</v>
      </c>
      <c r="DB151">
        <v>-2.9116199999999998E-2</v>
      </c>
      <c r="DC151">
        <v>21343.8</v>
      </c>
      <c r="DD151">
        <v>21667.8</v>
      </c>
      <c r="DE151">
        <v>23162.2</v>
      </c>
      <c r="DF151">
        <v>22370.400000000001</v>
      </c>
      <c r="DG151">
        <v>30201.5</v>
      </c>
      <c r="DH151">
        <v>27442.5</v>
      </c>
      <c r="DI151">
        <v>40698</v>
      </c>
      <c r="DJ151">
        <v>37063</v>
      </c>
      <c r="DK151">
        <v>2.1026400000000001</v>
      </c>
      <c r="DL151">
        <v>1.85188</v>
      </c>
      <c r="DM151">
        <v>2.5907199999999998E-2</v>
      </c>
      <c r="DN151">
        <v>0</v>
      </c>
      <c r="DO151">
        <v>24.8765</v>
      </c>
      <c r="DP151">
        <v>999.9</v>
      </c>
      <c r="DQ151">
        <v>78.5</v>
      </c>
      <c r="DR151">
        <v>28.3</v>
      </c>
      <c r="DS151">
        <v>30.2559</v>
      </c>
      <c r="DT151">
        <v>30.959299999999999</v>
      </c>
      <c r="DU151">
        <v>9.2588100000000004</v>
      </c>
      <c r="DV151">
        <v>1</v>
      </c>
      <c r="DW151">
        <v>6.4534599999999998E-2</v>
      </c>
      <c r="DX151">
        <v>-0.17152700000000001</v>
      </c>
      <c r="DY151">
        <v>20.368400000000001</v>
      </c>
      <c r="DZ151">
        <v>5.2116600000000002</v>
      </c>
      <c r="EA151">
        <v>11.8482</v>
      </c>
      <c r="EB151">
        <v>4.9678000000000004</v>
      </c>
      <c r="EC151">
        <v>3.2921</v>
      </c>
      <c r="ED151">
        <v>894.7</v>
      </c>
      <c r="EE151">
        <v>0</v>
      </c>
      <c r="EF151">
        <v>9999</v>
      </c>
      <c r="EG151">
        <v>115.2</v>
      </c>
      <c r="EH151">
        <v>4.97166</v>
      </c>
      <c r="EI151">
        <v>1.8717999999999999</v>
      </c>
      <c r="EJ151">
        <v>1.8689199999999999</v>
      </c>
      <c r="EK151">
        <v>1.8713599999999999</v>
      </c>
      <c r="EL151">
        <v>1.86907</v>
      </c>
      <c r="EM151">
        <v>1.86802</v>
      </c>
      <c r="EN151">
        <v>1.86991</v>
      </c>
      <c r="EO151">
        <v>1.8716600000000001</v>
      </c>
      <c r="EP151">
        <v>0</v>
      </c>
      <c r="EQ151">
        <v>0</v>
      </c>
      <c r="ER151">
        <v>0</v>
      </c>
      <c r="ES151">
        <v>0</v>
      </c>
      <c r="ET151" t="s">
        <v>334</v>
      </c>
      <c r="EU151" t="s">
        <v>335</v>
      </c>
      <c r="EV151" t="s">
        <v>336</v>
      </c>
      <c r="EW151" t="s">
        <v>336</v>
      </c>
      <c r="EX151" t="s">
        <v>336</v>
      </c>
      <c r="EY151" t="s">
        <v>336</v>
      </c>
      <c r="EZ151">
        <v>0</v>
      </c>
      <c r="FA151">
        <v>100</v>
      </c>
      <c r="FB151">
        <v>100</v>
      </c>
      <c r="FC151">
        <v>7.867</v>
      </c>
      <c r="FD151">
        <v>-0.97699999999999998</v>
      </c>
      <c r="FE151">
        <v>7.8537450000000044</v>
      </c>
      <c r="FF151">
        <v>0</v>
      </c>
      <c r="FG151">
        <v>0</v>
      </c>
      <c r="FH151">
        <v>0</v>
      </c>
      <c r="FI151">
        <v>-0.97760095238095168</v>
      </c>
      <c r="FJ151">
        <v>0</v>
      </c>
      <c r="FK151">
        <v>0</v>
      </c>
      <c r="FL151">
        <v>0</v>
      </c>
      <c r="FM151">
        <v>-1</v>
      </c>
      <c r="FN151">
        <v>-1</v>
      </c>
      <c r="FO151">
        <v>-1</v>
      </c>
      <c r="FP151">
        <v>-1</v>
      </c>
      <c r="FQ151">
        <v>0.7</v>
      </c>
      <c r="FR151">
        <v>0.7</v>
      </c>
      <c r="FS151">
        <v>0.142822</v>
      </c>
      <c r="FT151">
        <v>4.99756</v>
      </c>
      <c r="FU151">
        <v>1.5979000000000001</v>
      </c>
      <c r="FV151">
        <v>2.1606399999999999</v>
      </c>
      <c r="FW151">
        <v>1.5478499999999999</v>
      </c>
      <c r="FX151">
        <v>2.4511699999999998</v>
      </c>
      <c r="FY151">
        <v>32.709099999999999</v>
      </c>
      <c r="FZ151">
        <v>15.734400000000001</v>
      </c>
      <c r="GA151">
        <v>3</v>
      </c>
      <c r="GB151">
        <v>492.45499999999998</v>
      </c>
      <c r="GC151">
        <v>423.31299999999999</v>
      </c>
      <c r="GD151">
        <v>25.9788</v>
      </c>
      <c r="GE151">
        <v>27.982099999999999</v>
      </c>
      <c r="GF151">
        <v>30.0001</v>
      </c>
      <c r="GG151">
        <v>28.299600000000002</v>
      </c>
      <c r="GH151">
        <v>28.355699999999999</v>
      </c>
      <c r="GI151">
        <v>-1</v>
      </c>
      <c r="GJ151">
        <v>0</v>
      </c>
      <c r="GK151">
        <v>100</v>
      </c>
      <c r="GL151">
        <v>25.977799999999998</v>
      </c>
      <c r="GM151">
        <v>432.1</v>
      </c>
      <c r="GN151">
        <v>63.216500000000003</v>
      </c>
      <c r="GO151">
        <v>102.45099999999999</v>
      </c>
      <c r="GP151">
        <v>96.721500000000006</v>
      </c>
    </row>
    <row r="152" spans="1:198" x14ac:dyDescent="0.35">
      <c r="A152">
        <v>136</v>
      </c>
      <c r="B152">
        <v>1775511692.0999999</v>
      </c>
      <c r="C152">
        <v>8101.0999999046326</v>
      </c>
      <c r="D152" t="s">
        <v>739</v>
      </c>
      <c r="E152" t="s">
        <v>740</v>
      </c>
      <c r="F152">
        <v>60</v>
      </c>
      <c r="G152">
        <v>1775511684.099999</v>
      </c>
      <c r="H152">
        <f t="shared" si="120"/>
        <v>1.0600319099933308E-3</v>
      </c>
      <c r="I152">
        <f t="shared" si="121"/>
        <v>1.0600319099933309</v>
      </c>
      <c r="J152">
        <f t="shared" si="122"/>
        <v>-0.17857439810927492</v>
      </c>
      <c r="K152">
        <f t="shared" si="123"/>
        <v>53.309054838709677</v>
      </c>
      <c r="L152">
        <f t="shared" si="124"/>
        <v>59.58518260619465</v>
      </c>
      <c r="M152">
        <f t="shared" si="125"/>
        <v>5.9716614762028533</v>
      </c>
      <c r="N152">
        <f t="shared" si="126"/>
        <v>5.34266432003872</v>
      </c>
      <c r="O152">
        <f t="shared" si="127"/>
        <v>3.0453763936199172E-2</v>
      </c>
      <c r="P152">
        <f t="shared" si="128"/>
        <v>2.3923366841319487</v>
      </c>
      <c r="Q152">
        <f t="shared" si="129"/>
        <v>3.0240024863512769E-2</v>
      </c>
      <c r="R152">
        <f t="shared" si="130"/>
        <v>1.8919093975659371E-2</v>
      </c>
      <c r="S152">
        <f t="shared" si="131"/>
        <v>0</v>
      </c>
      <c r="T152">
        <f t="shared" si="132"/>
        <v>24.962324351889819</v>
      </c>
      <c r="U152">
        <f t="shared" si="133"/>
        <v>25.290093548387091</v>
      </c>
      <c r="V152">
        <f t="shared" si="134"/>
        <v>3.2350878228514177</v>
      </c>
      <c r="W152">
        <f t="shared" si="135"/>
        <v>-6.9616700479087097</v>
      </c>
      <c r="X152">
        <f t="shared" si="136"/>
        <v>-0.22528525668724594</v>
      </c>
      <c r="Y152">
        <f t="shared" si="137"/>
        <v>3.2360806406635403</v>
      </c>
      <c r="Z152">
        <f t="shared" si="138"/>
        <v>3.4603730795386638</v>
      </c>
      <c r="AA152">
        <f t="shared" si="139"/>
        <v>-46.747407230705889</v>
      </c>
      <c r="AB152">
        <f t="shared" si="140"/>
        <v>0.66526475112554051</v>
      </c>
      <c r="AC152">
        <f t="shared" si="141"/>
        <v>5.8994452755937864E-2</v>
      </c>
      <c r="AD152">
        <f t="shared" si="142"/>
        <v>-46.023148026824408</v>
      </c>
      <c r="AE152">
        <v>18</v>
      </c>
      <c r="AF152">
        <v>4</v>
      </c>
      <c r="AG152">
        <f t="shared" si="143"/>
        <v>1</v>
      </c>
      <c r="AH152">
        <f t="shared" si="144"/>
        <v>0</v>
      </c>
      <c r="AI152">
        <f t="shared" si="145"/>
        <v>25727.335633510822</v>
      </c>
      <c r="AJ152">
        <f t="shared" si="146"/>
        <v>0</v>
      </c>
      <c r="AK152">
        <f t="shared" si="147"/>
        <v>0</v>
      </c>
      <c r="AL152">
        <f t="shared" si="148"/>
        <v>0</v>
      </c>
      <c r="AM152">
        <f t="shared" si="149"/>
        <v>0</v>
      </c>
      <c r="AN152">
        <v>3</v>
      </c>
      <c r="AO152">
        <v>0.5</v>
      </c>
      <c r="AP152" t="s">
        <v>331</v>
      </c>
      <c r="AQ152">
        <v>2</v>
      </c>
      <c r="AR152">
        <v>1775511684.099999</v>
      </c>
      <c r="AS152">
        <v>53.309054838709677</v>
      </c>
      <c r="AT152">
        <v>53.235816129032258</v>
      </c>
      <c r="AU152">
        <v>-2.2478941935483872</v>
      </c>
      <c r="AV152">
        <v>-2.8853399999999989</v>
      </c>
      <c r="AW152">
        <v>45.457054838709681</v>
      </c>
      <c r="AX152">
        <v>-1.2728941935483871</v>
      </c>
      <c r="AY152">
        <v>500.00238709677433</v>
      </c>
      <c r="AZ152">
        <v>100.1828064516129</v>
      </c>
      <c r="BA152">
        <v>3.7772138709677418E-2</v>
      </c>
      <c r="BB152">
        <v>25.295251612903229</v>
      </c>
      <c r="BC152">
        <v>25.290093548387091</v>
      </c>
      <c r="BD152">
        <v>999.90000000000032</v>
      </c>
      <c r="BE152">
        <v>0</v>
      </c>
      <c r="BF152">
        <v>0</v>
      </c>
      <c r="BG152">
        <v>5001.9516129032254</v>
      </c>
      <c r="BH152">
        <v>0.39643616129032261</v>
      </c>
      <c r="BI152">
        <v>0.22961599999999999</v>
      </c>
      <c r="BJ152">
        <v>8.7780312903225813E-2</v>
      </c>
      <c r="BK152">
        <v>53.203880645161291</v>
      </c>
      <c r="BL152">
        <v>53.082667741935467</v>
      </c>
      <c r="BM152">
        <v>0.63514112903225806</v>
      </c>
      <c r="BN152">
        <v>53.235816129032258</v>
      </c>
      <c r="BO152">
        <v>-2.8853399999999989</v>
      </c>
      <c r="BP152">
        <v>-0.22543122580645161</v>
      </c>
      <c r="BQ152">
        <v>-0.2890614193548387</v>
      </c>
      <c r="BR152">
        <v>-99.900000000000034</v>
      </c>
      <c r="BS152">
        <v>-99.900000000000034</v>
      </c>
      <c r="BT152">
        <v>0</v>
      </c>
      <c r="BU152">
        <v>0</v>
      </c>
      <c r="BV152">
        <v>0</v>
      </c>
      <c r="BW152">
        <v>24</v>
      </c>
      <c r="BX152">
        <v>-1</v>
      </c>
      <c r="BY152">
        <v>1775511713.0999999</v>
      </c>
      <c r="BZ152" t="s">
        <v>741</v>
      </c>
      <c r="CA152">
        <v>1775511708.0999999</v>
      </c>
      <c r="CB152">
        <v>1775511713.0999999</v>
      </c>
      <c r="CC152">
        <v>139</v>
      </c>
      <c r="CD152">
        <v>-1.4E-2</v>
      </c>
      <c r="CE152">
        <v>2E-3</v>
      </c>
      <c r="CF152">
        <v>7.8520000000000003</v>
      </c>
      <c r="CG152">
        <v>-0.97499999999999998</v>
      </c>
      <c r="CH152">
        <v>52</v>
      </c>
      <c r="CI152">
        <v>-3</v>
      </c>
      <c r="CJ152">
        <v>0.27</v>
      </c>
      <c r="CK152">
        <v>0.13</v>
      </c>
      <c r="CL152">
        <v>53.297148333333332</v>
      </c>
      <c r="CM152">
        <v>-0.78699294248396778</v>
      </c>
      <c r="CN152">
        <v>0.39296724354228629</v>
      </c>
      <c r="CO152">
        <v>-1</v>
      </c>
      <c r="CP152">
        <v>500.01498333333342</v>
      </c>
      <c r="CQ152">
        <v>-0.17443845512579151</v>
      </c>
      <c r="CR152">
        <v>9.131529475150954E-2</v>
      </c>
      <c r="CS152">
        <v>-1</v>
      </c>
      <c r="CT152">
        <v>0</v>
      </c>
      <c r="CU152">
        <v>0</v>
      </c>
      <c r="CV152" t="s">
        <v>333</v>
      </c>
      <c r="CW152">
        <v>3.1673200000000001</v>
      </c>
      <c r="CX152">
        <v>2.6593300000000002</v>
      </c>
      <c r="CY152">
        <v>1.34713E-2</v>
      </c>
      <c r="CZ152">
        <v>1.5687400000000001E-2</v>
      </c>
      <c r="DA152">
        <v>-1.1440799999999999E-2</v>
      </c>
      <c r="DB152">
        <v>-2.9203099999999999E-2</v>
      </c>
      <c r="DC152">
        <v>21346.2</v>
      </c>
      <c r="DD152">
        <v>21676.5</v>
      </c>
      <c r="DE152">
        <v>23162.3</v>
      </c>
      <c r="DF152">
        <v>22370.7</v>
      </c>
      <c r="DG152">
        <v>30204.799999999999</v>
      </c>
      <c r="DH152">
        <v>27445.1</v>
      </c>
      <c r="DI152">
        <v>40698.400000000001</v>
      </c>
      <c r="DJ152">
        <v>37063.4</v>
      </c>
      <c r="DK152">
        <v>2.1030199999999999</v>
      </c>
      <c r="DL152">
        <v>1.85056</v>
      </c>
      <c r="DM152">
        <v>2.5215700000000001E-2</v>
      </c>
      <c r="DN152">
        <v>0</v>
      </c>
      <c r="DO152">
        <v>24.870200000000001</v>
      </c>
      <c r="DP152">
        <v>999.9</v>
      </c>
      <c r="DQ152">
        <v>78.5</v>
      </c>
      <c r="DR152">
        <v>28.3</v>
      </c>
      <c r="DS152">
        <v>30.257100000000001</v>
      </c>
      <c r="DT152">
        <v>30.659300000000002</v>
      </c>
      <c r="DU152">
        <v>9.0985600000000009</v>
      </c>
      <c r="DV152">
        <v>1</v>
      </c>
      <c r="DW152">
        <v>6.4008099999999998E-2</v>
      </c>
      <c r="DX152">
        <v>-0.22431200000000001</v>
      </c>
      <c r="DY152">
        <v>20.368200000000002</v>
      </c>
      <c r="DZ152">
        <v>5.2127400000000002</v>
      </c>
      <c r="EA152">
        <v>11.8482</v>
      </c>
      <c r="EB152">
        <v>4.9683200000000003</v>
      </c>
      <c r="EC152">
        <v>3.2920600000000002</v>
      </c>
      <c r="ED152">
        <v>894.7</v>
      </c>
      <c r="EE152">
        <v>0</v>
      </c>
      <c r="EF152">
        <v>9999</v>
      </c>
      <c r="EG152">
        <v>115.2</v>
      </c>
      <c r="EH152">
        <v>4.9716300000000002</v>
      </c>
      <c r="EI152">
        <v>1.8717999999999999</v>
      </c>
      <c r="EJ152">
        <v>1.8689100000000001</v>
      </c>
      <c r="EK152">
        <v>1.87134</v>
      </c>
      <c r="EL152">
        <v>1.8690599999999999</v>
      </c>
      <c r="EM152">
        <v>1.8680000000000001</v>
      </c>
      <c r="EN152">
        <v>1.8698600000000001</v>
      </c>
      <c r="EO152">
        <v>1.8716699999999999</v>
      </c>
      <c r="EP152">
        <v>0</v>
      </c>
      <c r="EQ152">
        <v>0</v>
      </c>
      <c r="ER152">
        <v>0</v>
      </c>
      <c r="ES152">
        <v>0</v>
      </c>
      <c r="ET152" t="s">
        <v>334</v>
      </c>
      <c r="EU152" t="s">
        <v>335</v>
      </c>
      <c r="EV152" t="s">
        <v>336</v>
      </c>
      <c r="EW152" t="s">
        <v>336</v>
      </c>
      <c r="EX152" t="s">
        <v>336</v>
      </c>
      <c r="EY152" t="s">
        <v>336</v>
      </c>
      <c r="EZ152">
        <v>0</v>
      </c>
      <c r="FA152">
        <v>100</v>
      </c>
      <c r="FB152">
        <v>100</v>
      </c>
      <c r="FC152">
        <v>7.8520000000000003</v>
      </c>
      <c r="FD152">
        <v>-0.97499999999999998</v>
      </c>
      <c r="FE152">
        <v>7.8665499999999966</v>
      </c>
      <c r="FF152">
        <v>0</v>
      </c>
      <c r="FG152">
        <v>0</v>
      </c>
      <c r="FH152">
        <v>0</v>
      </c>
      <c r="FI152">
        <v>-0.97730499999999987</v>
      </c>
      <c r="FJ152">
        <v>0</v>
      </c>
      <c r="FK152">
        <v>0</v>
      </c>
      <c r="FL152">
        <v>0</v>
      </c>
      <c r="FM152">
        <v>-1</v>
      </c>
      <c r="FN152">
        <v>-1</v>
      </c>
      <c r="FO152">
        <v>-1</v>
      </c>
      <c r="FP152">
        <v>-1</v>
      </c>
      <c r="FQ152">
        <v>0.7</v>
      </c>
      <c r="FR152">
        <v>0.7</v>
      </c>
      <c r="FS152">
        <v>0.142822</v>
      </c>
      <c r="FT152">
        <v>4.99756</v>
      </c>
      <c r="FU152">
        <v>1.5979000000000001</v>
      </c>
      <c r="FV152">
        <v>2.1594199999999999</v>
      </c>
      <c r="FW152">
        <v>1.5478499999999999</v>
      </c>
      <c r="FX152">
        <v>2.4377399999999998</v>
      </c>
      <c r="FY152">
        <v>32.709099999999999</v>
      </c>
      <c r="FZ152">
        <v>15.7256</v>
      </c>
      <c r="GA152">
        <v>3</v>
      </c>
      <c r="GB152">
        <v>492.61599999999999</v>
      </c>
      <c r="GC152">
        <v>422.48899999999998</v>
      </c>
      <c r="GD152">
        <v>26.007899999999999</v>
      </c>
      <c r="GE152">
        <v>27.975000000000001</v>
      </c>
      <c r="GF152">
        <v>29.9999</v>
      </c>
      <c r="GG152">
        <v>28.292400000000001</v>
      </c>
      <c r="GH152">
        <v>28.348600000000001</v>
      </c>
      <c r="GI152">
        <v>-1</v>
      </c>
      <c r="GJ152">
        <v>0</v>
      </c>
      <c r="GK152">
        <v>100</v>
      </c>
      <c r="GL152">
        <v>26.010400000000001</v>
      </c>
      <c r="GM152">
        <v>432.1</v>
      </c>
      <c r="GN152">
        <v>63.216500000000003</v>
      </c>
      <c r="GO152">
        <v>102.452</v>
      </c>
      <c r="GP152">
        <v>96.7226</v>
      </c>
    </row>
    <row r="153" spans="1:198" x14ac:dyDescent="0.35">
      <c r="A153">
        <v>137</v>
      </c>
      <c r="B153">
        <v>1775511752.0999999</v>
      </c>
      <c r="C153">
        <v>8161.0999999046326</v>
      </c>
      <c r="D153" t="s">
        <v>742</v>
      </c>
      <c r="E153" t="s">
        <v>743</v>
      </c>
      <c r="F153">
        <v>60</v>
      </c>
      <c r="G153">
        <v>1775511744.099999</v>
      </c>
      <c r="H153">
        <f t="shared" si="120"/>
        <v>1.0627992219594932E-3</v>
      </c>
      <c r="I153">
        <f t="shared" si="121"/>
        <v>1.0627992219594933</v>
      </c>
      <c r="J153">
        <f t="shared" si="122"/>
        <v>0.28637035722464543</v>
      </c>
      <c r="K153">
        <f t="shared" si="123"/>
        <v>51.562458064516143</v>
      </c>
      <c r="L153">
        <f t="shared" si="124"/>
        <v>34.06960523900208</v>
      </c>
      <c r="M153">
        <f t="shared" si="125"/>
        <v>3.4144344045235435</v>
      </c>
      <c r="N153">
        <f t="shared" si="126"/>
        <v>5.1675571102814208</v>
      </c>
      <c r="O153">
        <f t="shared" si="127"/>
        <v>3.0539786748738109E-2</v>
      </c>
      <c r="P153">
        <f t="shared" si="128"/>
        <v>2.3888521218282266</v>
      </c>
      <c r="Q153">
        <f t="shared" si="129"/>
        <v>3.0324531922546329E-2</v>
      </c>
      <c r="R153">
        <f t="shared" si="130"/>
        <v>1.8972045649836726E-2</v>
      </c>
      <c r="S153">
        <f t="shared" si="131"/>
        <v>0</v>
      </c>
      <c r="T153">
        <f t="shared" si="132"/>
        <v>24.964260532347073</v>
      </c>
      <c r="U153">
        <f t="shared" si="133"/>
        <v>25.286583870967739</v>
      </c>
      <c r="V153">
        <f t="shared" si="134"/>
        <v>3.2344124366861862</v>
      </c>
      <c r="W153">
        <f t="shared" si="135"/>
        <v>-6.9606422601527553</v>
      </c>
      <c r="X153">
        <f t="shared" si="136"/>
        <v>-0.22529557048890939</v>
      </c>
      <c r="Y153">
        <f t="shared" si="137"/>
        <v>3.2367066438487697</v>
      </c>
      <c r="Z153">
        <f t="shared" si="138"/>
        <v>3.4597080071750956</v>
      </c>
      <c r="AA153">
        <f t="shared" si="139"/>
        <v>-46.869445688413649</v>
      </c>
      <c r="AB153">
        <f t="shared" si="140"/>
        <v>1.5350674345563662</v>
      </c>
      <c r="AC153">
        <f t="shared" si="141"/>
        <v>0.13632534091345344</v>
      </c>
      <c r="AD153">
        <f t="shared" si="142"/>
        <v>-45.19805291294383</v>
      </c>
      <c r="AE153">
        <v>18</v>
      </c>
      <c r="AF153">
        <v>4</v>
      </c>
      <c r="AG153">
        <f t="shared" si="143"/>
        <v>1</v>
      </c>
      <c r="AH153">
        <f t="shared" si="144"/>
        <v>0</v>
      </c>
      <c r="AI153">
        <f t="shared" si="145"/>
        <v>25673.768160575579</v>
      </c>
      <c r="AJ153">
        <f t="shared" si="146"/>
        <v>0</v>
      </c>
      <c r="AK153">
        <f t="shared" si="147"/>
        <v>0</v>
      </c>
      <c r="AL153">
        <f t="shared" si="148"/>
        <v>0</v>
      </c>
      <c r="AM153">
        <f t="shared" si="149"/>
        <v>0</v>
      </c>
      <c r="AN153">
        <v>3</v>
      </c>
      <c r="AO153">
        <v>0.5</v>
      </c>
      <c r="AP153" t="s">
        <v>331</v>
      </c>
      <c r="AQ153">
        <v>2</v>
      </c>
      <c r="AR153">
        <v>1775511744.099999</v>
      </c>
      <c r="AS153">
        <v>51.562458064516143</v>
      </c>
      <c r="AT153">
        <v>51.767174193548371</v>
      </c>
      <c r="AU153">
        <v>-2.248024193548388</v>
      </c>
      <c r="AV153">
        <v>-2.887179677419355</v>
      </c>
      <c r="AW153">
        <v>43.716458064516139</v>
      </c>
      <c r="AX153">
        <v>-1.273024193548387</v>
      </c>
      <c r="AY153">
        <v>499.96680645161302</v>
      </c>
      <c r="AZ153">
        <v>100.18183870967739</v>
      </c>
      <c r="BA153">
        <v>3.7532209677419347E-2</v>
      </c>
      <c r="BB153">
        <v>25.298503225806449</v>
      </c>
      <c r="BC153">
        <v>25.286583870967739</v>
      </c>
      <c r="BD153">
        <v>999.90000000000032</v>
      </c>
      <c r="BE153">
        <v>0</v>
      </c>
      <c r="BF153">
        <v>0</v>
      </c>
      <c r="BG153">
        <v>4993.0322580645161</v>
      </c>
      <c r="BH153">
        <v>0.38373845161290332</v>
      </c>
      <c r="BI153">
        <v>0.22961599999999999</v>
      </c>
      <c r="BJ153">
        <v>-0.1984320016129032</v>
      </c>
      <c r="BK153">
        <v>51.453045161290319</v>
      </c>
      <c r="BL153">
        <v>51.618138709677417</v>
      </c>
      <c r="BM153">
        <v>0.63867225806451622</v>
      </c>
      <c r="BN153">
        <v>51.767174193548371</v>
      </c>
      <c r="BO153">
        <v>-2.887179677419355</v>
      </c>
      <c r="BP153">
        <v>-0.2252596774193549</v>
      </c>
      <c r="BQ153">
        <v>-0.28924299999999997</v>
      </c>
      <c r="BR153">
        <v>-99.900000000000034</v>
      </c>
      <c r="BS153">
        <v>-99.900000000000034</v>
      </c>
      <c r="BT153">
        <v>0</v>
      </c>
      <c r="BU153">
        <v>0</v>
      </c>
      <c r="BV153">
        <v>0</v>
      </c>
      <c r="BW153">
        <v>24</v>
      </c>
      <c r="BX153">
        <v>-1</v>
      </c>
      <c r="BY153">
        <v>1775511774.0999999</v>
      </c>
      <c r="BZ153" t="s">
        <v>744</v>
      </c>
      <c r="CA153">
        <v>1775511765.0999999</v>
      </c>
      <c r="CB153">
        <v>1775511774.0999999</v>
      </c>
      <c r="CC153">
        <v>140</v>
      </c>
      <c r="CD153">
        <v>-6.0000000000000001E-3</v>
      </c>
      <c r="CE153">
        <v>0</v>
      </c>
      <c r="CF153">
        <v>7.8460000000000001</v>
      </c>
      <c r="CG153">
        <v>-0.97499999999999998</v>
      </c>
      <c r="CH153">
        <v>51</v>
      </c>
      <c r="CI153">
        <v>-3</v>
      </c>
      <c r="CJ153">
        <v>0.17</v>
      </c>
      <c r="CK153">
        <v>0.12</v>
      </c>
      <c r="CL153">
        <v>51.647640000000003</v>
      </c>
      <c r="CM153">
        <v>0.60834031675477196</v>
      </c>
      <c r="CN153">
        <v>0.1734698544416291</v>
      </c>
      <c r="CO153">
        <v>-1</v>
      </c>
      <c r="CP153">
        <v>500.01813333333331</v>
      </c>
      <c r="CQ153">
        <v>-0.4325468185594224</v>
      </c>
      <c r="CR153">
        <v>0.1007600229367891</v>
      </c>
      <c r="CS153">
        <v>-1</v>
      </c>
      <c r="CT153">
        <v>0</v>
      </c>
      <c r="CU153">
        <v>0</v>
      </c>
      <c r="CV153" t="s">
        <v>333</v>
      </c>
      <c r="CW153">
        <v>3.1673399999999998</v>
      </c>
      <c r="CX153">
        <v>2.6588400000000001</v>
      </c>
      <c r="CY153">
        <v>1.30797E-2</v>
      </c>
      <c r="CZ153">
        <v>1.54062E-2</v>
      </c>
      <c r="DA153">
        <v>-1.1462099999999999E-2</v>
      </c>
      <c r="DB153">
        <v>-2.9220599999999999E-2</v>
      </c>
      <c r="DC153">
        <v>21354.799999999999</v>
      </c>
      <c r="DD153">
        <v>21682.9</v>
      </c>
      <c r="DE153">
        <v>23162.400000000001</v>
      </c>
      <c r="DF153">
        <v>22371</v>
      </c>
      <c r="DG153">
        <v>30205.200000000001</v>
      </c>
      <c r="DH153">
        <v>27446</v>
      </c>
      <c r="DI153">
        <v>40698.1</v>
      </c>
      <c r="DJ153">
        <v>37064.1</v>
      </c>
      <c r="DK153">
        <v>2.1031200000000001</v>
      </c>
      <c r="DL153">
        <v>1.8510200000000001</v>
      </c>
      <c r="DM153">
        <v>2.5531600000000002E-2</v>
      </c>
      <c r="DN153">
        <v>0</v>
      </c>
      <c r="DO153">
        <v>24.868099999999998</v>
      </c>
      <c r="DP153">
        <v>999.9</v>
      </c>
      <c r="DQ153">
        <v>78.5</v>
      </c>
      <c r="DR153">
        <v>28.3</v>
      </c>
      <c r="DS153">
        <v>30.259399999999999</v>
      </c>
      <c r="DT153">
        <v>30.599299999999999</v>
      </c>
      <c r="DU153">
        <v>9.3910300000000007</v>
      </c>
      <c r="DV153">
        <v>1</v>
      </c>
      <c r="DW153">
        <v>6.3569100000000003E-2</v>
      </c>
      <c r="DX153">
        <v>-0.21318500000000001</v>
      </c>
      <c r="DY153">
        <v>20.368200000000002</v>
      </c>
      <c r="DZ153">
        <v>5.2111799999999997</v>
      </c>
      <c r="EA153">
        <v>11.8482</v>
      </c>
      <c r="EB153">
        <v>4.9681600000000001</v>
      </c>
      <c r="EC153">
        <v>3.2921</v>
      </c>
      <c r="ED153">
        <v>894.7</v>
      </c>
      <c r="EE153">
        <v>0</v>
      </c>
      <c r="EF153">
        <v>9999</v>
      </c>
      <c r="EG153">
        <v>115.3</v>
      </c>
      <c r="EH153">
        <v>4.9716199999999997</v>
      </c>
      <c r="EI153">
        <v>1.8717999999999999</v>
      </c>
      <c r="EJ153">
        <v>1.86893</v>
      </c>
      <c r="EK153">
        <v>1.8713500000000001</v>
      </c>
      <c r="EL153">
        <v>1.8690500000000001</v>
      </c>
      <c r="EM153">
        <v>1.8680099999999999</v>
      </c>
      <c r="EN153">
        <v>1.86985</v>
      </c>
      <c r="EO153">
        <v>1.87165</v>
      </c>
      <c r="EP153">
        <v>0</v>
      </c>
      <c r="EQ153">
        <v>0</v>
      </c>
      <c r="ER153">
        <v>0</v>
      </c>
      <c r="ES153">
        <v>0</v>
      </c>
      <c r="ET153" t="s">
        <v>334</v>
      </c>
      <c r="EU153" t="s">
        <v>335</v>
      </c>
      <c r="EV153" t="s">
        <v>336</v>
      </c>
      <c r="EW153" t="s">
        <v>336</v>
      </c>
      <c r="EX153" t="s">
        <v>336</v>
      </c>
      <c r="EY153" t="s">
        <v>336</v>
      </c>
      <c r="EZ153">
        <v>0</v>
      </c>
      <c r="FA153">
        <v>100</v>
      </c>
      <c r="FB153">
        <v>100</v>
      </c>
      <c r="FC153">
        <v>7.8460000000000001</v>
      </c>
      <c r="FD153">
        <v>-0.97499999999999998</v>
      </c>
      <c r="FE153">
        <v>7.8522849999999949</v>
      </c>
      <c r="FF153">
        <v>0</v>
      </c>
      <c r="FG153">
        <v>0</v>
      </c>
      <c r="FH153">
        <v>0</v>
      </c>
      <c r="FI153">
        <v>-0.97548499999999994</v>
      </c>
      <c r="FJ153">
        <v>0</v>
      </c>
      <c r="FK153">
        <v>0</v>
      </c>
      <c r="FL153">
        <v>0</v>
      </c>
      <c r="FM153">
        <v>-1</v>
      </c>
      <c r="FN153">
        <v>-1</v>
      </c>
      <c r="FO153">
        <v>-1</v>
      </c>
      <c r="FP153">
        <v>-1</v>
      </c>
      <c r="FQ153">
        <v>0.7</v>
      </c>
      <c r="FR153">
        <v>0.7</v>
      </c>
      <c r="FS153">
        <v>0.142822</v>
      </c>
      <c r="FT153">
        <v>4.99756</v>
      </c>
      <c r="FU153">
        <v>1.5979000000000001</v>
      </c>
      <c r="FV153">
        <v>2.1594199999999999</v>
      </c>
      <c r="FW153">
        <v>1.5478499999999999</v>
      </c>
      <c r="FX153">
        <v>2.4328599999999998</v>
      </c>
      <c r="FY153">
        <v>32.731299999999997</v>
      </c>
      <c r="FZ153">
        <v>15.716900000000001</v>
      </c>
      <c r="GA153">
        <v>3</v>
      </c>
      <c r="GB153">
        <v>492.61599999999999</v>
      </c>
      <c r="GC153">
        <v>422.70800000000003</v>
      </c>
      <c r="GD153">
        <v>26.002500000000001</v>
      </c>
      <c r="GE153">
        <v>27.9679</v>
      </c>
      <c r="GF153">
        <v>30</v>
      </c>
      <c r="GG153">
        <v>28.2852</v>
      </c>
      <c r="GH153">
        <v>28.3415</v>
      </c>
      <c r="GI153">
        <v>-1</v>
      </c>
      <c r="GJ153">
        <v>0</v>
      </c>
      <c r="GK153">
        <v>100</v>
      </c>
      <c r="GL153">
        <v>26.005299999999998</v>
      </c>
      <c r="GM153">
        <v>432.1</v>
      </c>
      <c r="GN153">
        <v>63.216500000000003</v>
      </c>
      <c r="GO153">
        <v>102.452</v>
      </c>
      <c r="GP153">
        <v>96.724100000000007</v>
      </c>
    </row>
    <row r="154" spans="1:198" x14ac:dyDescent="0.35">
      <c r="A154">
        <v>138</v>
      </c>
      <c r="B154">
        <v>1775511812.0999999</v>
      </c>
      <c r="C154">
        <v>8221.0999999046326</v>
      </c>
      <c r="D154" t="s">
        <v>745</v>
      </c>
      <c r="E154" t="s">
        <v>746</v>
      </c>
      <c r="F154">
        <v>60</v>
      </c>
      <c r="G154">
        <v>1775511804.099999</v>
      </c>
      <c r="H154">
        <f t="shared" si="120"/>
        <v>1.0731093170980046E-3</v>
      </c>
      <c r="I154">
        <f t="shared" si="121"/>
        <v>1.0731093170980046</v>
      </c>
      <c r="J154">
        <f t="shared" si="122"/>
        <v>0.16578865180699082</v>
      </c>
      <c r="K154">
        <f t="shared" si="123"/>
        <v>51.107606451612902</v>
      </c>
      <c r="L154">
        <f t="shared" si="124"/>
        <v>39.901163608058589</v>
      </c>
      <c r="M154">
        <f t="shared" si="125"/>
        <v>3.9989795184955592</v>
      </c>
      <c r="N154">
        <f t="shared" si="126"/>
        <v>5.1221130653456557</v>
      </c>
      <c r="O154">
        <f t="shared" si="127"/>
        <v>3.0830193633339557E-2</v>
      </c>
      <c r="P154">
        <f t="shared" si="128"/>
        <v>2.3911948915577743</v>
      </c>
      <c r="Q154">
        <f t="shared" si="129"/>
        <v>3.0611054697023014E-2</v>
      </c>
      <c r="R154">
        <f t="shared" si="130"/>
        <v>1.9151467985647819E-2</v>
      </c>
      <c r="S154">
        <f t="shared" si="131"/>
        <v>0</v>
      </c>
      <c r="T154">
        <f t="shared" si="132"/>
        <v>24.963435273100398</v>
      </c>
      <c r="U154">
        <f t="shared" si="133"/>
        <v>25.292177419354839</v>
      </c>
      <c r="V154">
        <f t="shared" si="134"/>
        <v>3.2354888916860935</v>
      </c>
      <c r="W154">
        <f t="shared" si="135"/>
        <v>-6.9555595475221166</v>
      </c>
      <c r="X154">
        <f t="shared" si="136"/>
        <v>-0.22515935561266653</v>
      </c>
      <c r="Y154">
        <f t="shared" si="137"/>
        <v>3.2371134784242979</v>
      </c>
      <c r="Z154">
        <f t="shared" si="138"/>
        <v>3.4606482472987601</v>
      </c>
      <c r="AA154">
        <f t="shared" si="139"/>
        <v>-47.324120884022001</v>
      </c>
      <c r="AB154">
        <f t="shared" si="140"/>
        <v>1.0878686547338017</v>
      </c>
      <c r="AC154">
        <f t="shared" si="141"/>
        <v>9.651986799540932E-2</v>
      </c>
      <c r="AD154">
        <f t="shared" si="142"/>
        <v>-46.139732361292786</v>
      </c>
      <c r="AE154">
        <v>18</v>
      </c>
      <c r="AF154">
        <v>4</v>
      </c>
      <c r="AG154">
        <f t="shared" si="143"/>
        <v>1</v>
      </c>
      <c r="AH154">
        <f t="shared" si="144"/>
        <v>0</v>
      </c>
      <c r="AI154">
        <f t="shared" si="145"/>
        <v>25709.323538425135</v>
      </c>
      <c r="AJ154">
        <f t="shared" si="146"/>
        <v>0</v>
      </c>
      <c r="AK154">
        <f t="shared" si="147"/>
        <v>0</v>
      </c>
      <c r="AL154">
        <f t="shared" si="148"/>
        <v>0</v>
      </c>
      <c r="AM154">
        <f t="shared" si="149"/>
        <v>0</v>
      </c>
      <c r="AN154">
        <v>3</v>
      </c>
      <c r="AO154">
        <v>0.5</v>
      </c>
      <c r="AP154" t="s">
        <v>331</v>
      </c>
      <c r="AQ154">
        <v>2</v>
      </c>
      <c r="AR154">
        <v>1775511804.099999</v>
      </c>
      <c r="AS154">
        <v>51.107606451612902</v>
      </c>
      <c r="AT154">
        <v>51.239987096774193</v>
      </c>
      <c r="AU154">
        <v>-2.2466032258064512</v>
      </c>
      <c r="AV154">
        <v>-2.8919203225806451</v>
      </c>
      <c r="AW154">
        <v>43.265606451612904</v>
      </c>
      <c r="AX154">
        <v>-1.2716032258064509</v>
      </c>
      <c r="AY154">
        <v>499.99612903225801</v>
      </c>
      <c r="AZ154">
        <v>100.1846774193549</v>
      </c>
      <c r="BA154">
        <v>3.7450380645161291E-2</v>
      </c>
      <c r="BB154">
        <v>25.30061612903226</v>
      </c>
      <c r="BC154">
        <v>25.292177419354839</v>
      </c>
      <c r="BD154">
        <v>999.90000000000032</v>
      </c>
      <c r="BE154">
        <v>0</v>
      </c>
      <c r="BF154">
        <v>0</v>
      </c>
      <c r="BG154">
        <v>4998.9193548387093</v>
      </c>
      <c r="BH154">
        <v>0.3981939677419355</v>
      </c>
      <c r="BI154">
        <v>0.22961599999999999</v>
      </c>
      <c r="BJ154">
        <v>-0.1285066806451613</v>
      </c>
      <c r="BK154">
        <v>50.996922580645148</v>
      </c>
      <c r="BL154">
        <v>51.092241935483869</v>
      </c>
      <c r="BM154">
        <v>0.64518470967741937</v>
      </c>
      <c r="BN154">
        <v>51.239987096774193</v>
      </c>
      <c r="BO154">
        <v>-2.8919203225806451</v>
      </c>
      <c r="BP154">
        <v>-0.2250884516129032</v>
      </c>
      <c r="BQ154">
        <v>-0.28972609677419359</v>
      </c>
      <c r="BR154">
        <v>-99.900000000000034</v>
      </c>
      <c r="BS154">
        <v>-99.900000000000034</v>
      </c>
      <c r="BT154">
        <v>0</v>
      </c>
      <c r="BU154">
        <v>0</v>
      </c>
      <c r="BV154">
        <v>0</v>
      </c>
      <c r="BW154">
        <v>24</v>
      </c>
      <c r="BX154">
        <v>-1</v>
      </c>
      <c r="BY154">
        <v>1775511832.0999999</v>
      </c>
      <c r="BZ154" t="s">
        <v>747</v>
      </c>
      <c r="CA154">
        <v>1775511829.0999999</v>
      </c>
      <c r="CB154">
        <v>1775511832.0999999</v>
      </c>
      <c r="CC154">
        <v>141</v>
      </c>
      <c r="CD154">
        <v>-4.0000000000000001E-3</v>
      </c>
      <c r="CE154">
        <v>0</v>
      </c>
      <c r="CF154">
        <v>7.8419999999999996</v>
      </c>
      <c r="CG154">
        <v>-0.97499999999999998</v>
      </c>
      <c r="CH154">
        <v>52</v>
      </c>
      <c r="CI154">
        <v>-3</v>
      </c>
      <c r="CJ154">
        <v>0.21</v>
      </c>
      <c r="CK154">
        <v>0.11</v>
      </c>
      <c r="CL154">
        <v>51.194905000000013</v>
      </c>
      <c r="CM154">
        <v>0.37017115865518713</v>
      </c>
      <c r="CN154">
        <v>0.1014189453455324</v>
      </c>
      <c r="CO154">
        <v>-1</v>
      </c>
      <c r="CP154">
        <v>500.08271666666673</v>
      </c>
      <c r="CQ154">
        <v>-0.91674465129147742</v>
      </c>
      <c r="CR154">
        <v>0.29293276200445212</v>
      </c>
      <c r="CS154">
        <v>-1</v>
      </c>
      <c r="CT154">
        <v>0</v>
      </c>
      <c r="CU154">
        <v>0</v>
      </c>
      <c r="CV154" t="s">
        <v>333</v>
      </c>
      <c r="CW154">
        <v>3.16737</v>
      </c>
      <c r="CX154">
        <v>2.6587299999999998</v>
      </c>
      <c r="CY154">
        <v>1.29172E-2</v>
      </c>
      <c r="CZ154">
        <v>1.5266500000000001E-2</v>
      </c>
      <c r="DA154">
        <v>-1.1407199999999999E-2</v>
      </c>
      <c r="DB154">
        <v>-2.9308299999999999E-2</v>
      </c>
      <c r="DC154">
        <v>21358.6</v>
      </c>
      <c r="DD154">
        <v>21686.1</v>
      </c>
      <c r="DE154">
        <v>23162.7</v>
      </c>
      <c r="DF154">
        <v>22371.1</v>
      </c>
      <c r="DG154">
        <v>30204.2</v>
      </c>
      <c r="DH154">
        <v>27448.400000000001</v>
      </c>
      <c r="DI154">
        <v>40698.9</v>
      </c>
      <c r="DJ154">
        <v>37064.199999999997</v>
      </c>
      <c r="DK154">
        <v>2.1029</v>
      </c>
      <c r="DL154">
        <v>1.8511599999999999</v>
      </c>
      <c r="DM154">
        <v>2.6076999999999999E-2</v>
      </c>
      <c r="DN154">
        <v>0</v>
      </c>
      <c r="DO154">
        <v>24.865400000000001</v>
      </c>
      <c r="DP154">
        <v>999.9</v>
      </c>
      <c r="DQ154">
        <v>78.5</v>
      </c>
      <c r="DR154">
        <v>28.3</v>
      </c>
      <c r="DS154">
        <v>30.2578</v>
      </c>
      <c r="DT154">
        <v>30.539300000000001</v>
      </c>
      <c r="DU154">
        <v>8.9863800000000005</v>
      </c>
      <c r="DV154">
        <v>1</v>
      </c>
      <c r="DW154">
        <v>6.3079300000000005E-2</v>
      </c>
      <c r="DX154">
        <v>-0.17876700000000001</v>
      </c>
      <c r="DY154">
        <v>20.368099999999998</v>
      </c>
      <c r="DZ154">
        <v>5.2114200000000004</v>
      </c>
      <c r="EA154">
        <v>11.8482</v>
      </c>
      <c r="EB154">
        <v>4.9676799999999997</v>
      </c>
      <c r="EC154">
        <v>3.2921200000000002</v>
      </c>
      <c r="ED154">
        <v>894.7</v>
      </c>
      <c r="EE154">
        <v>0</v>
      </c>
      <c r="EF154">
        <v>9999</v>
      </c>
      <c r="EG154">
        <v>115.3</v>
      </c>
      <c r="EH154">
        <v>4.9716399999999998</v>
      </c>
      <c r="EI154">
        <v>1.8717999999999999</v>
      </c>
      <c r="EJ154">
        <v>1.8689100000000001</v>
      </c>
      <c r="EK154">
        <v>1.87134</v>
      </c>
      <c r="EL154">
        <v>1.8690599999999999</v>
      </c>
      <c r="EM154">
        <v>1.8680000000000001</v>
      </c>
      <c r="EN154">
        <v>1.8698600000000001</v>
      </c>
      <c r="EO154">
        <v>1.8716900000000001</v>
      </c>
      <c r="EP154">
        <v>0</v>
      </c>
      <c r="EQ154">
        <v>0</v>
      </c>
      <c r="ER154">
        <v>0</v>
      </c>
      <c r="ES154">
        <v>0</v>
      </c>
      <c r="ET154" t="s">
        <v>334</v>
      </c>
      <c r="EU154" t="s">
        <v>335</v>
      </c>
      <c r="EV154" t="s">
        <v>336</v>
      </c>
      <c r="EW154" t="s">
        <v>336</v>
      </c>
      <c r="EX154" t="s">
        <v>336</v>
      </c>
      <c r="EY154" t="s">
        <v>336</v>
      </c>
      <c r="EZ154">
        <v>0</v>
      </c>
      <c r="FA154">
        <v>100</v>
      </c>
      <c r="FB154">
        <v>100</v>
      </c>
      <c r="FC154">
        <v>7.8419999999999996</v>
      </c>
      <c r="FD154">
        <v>-0.97499999999999998</v>
      </c>
      <c r="FE154">
        <v>7.8458749999999924</v>
      </c>
      <c r="FF154">
        <v>0</v>
      </c>
      <c r="FG154">
        <v>0</v>
      </c>
      <c r="FH154">
        <v>0</v>
      </c>
      <c r="FI154">
        <v>-0.97513199999999989</v>
      </c>
      <c r="FJ154">
        <v>0</v>
      </c>
      <c r="FK154">
        <v>0</v>
      </c>
      <c r="FL154">
        <v>0</v>
      </c>
      <c r="FM154">
        <v>-1</v>
      </c>
      <c r="FN154">
        <v>-1</v>
      </c>
      <c r="FO154">
        <v>-1</v>
      </c>
      <c r="FP154">
        <v>-1</v>
      </c>
      <c r="FQ154">
        <v>0.8</v>
      </c>
      <c r="FR154">
        <v>0.6</v>
      </c>
      <c r="FS154">
        <v>0.142822</v>
      </c>
      <c r="FT154">
        <v>4.99756</v>
      </c>
      <c r="FU154">
        <v>1.5979000000000001</v>
      </c>
      <c r="FV154">
        <v>2.1606399999999999</v>
      </c>
      <c r="FW154">
        <v>1.5478499999999999</v>
      </c>
      <c r="FX154">
        <v>2.3791500000000001</v>
      </c>
      <c r="FY154">
        <v>32.731299999999997</v>
      </c>
      <c r="FZ154">
        <v>15.7081</v>
      </c>
      <c r="GA154">
        <v>3</v>
      </c>
      <c r="GB154">
        <v>492.45100000000002</v>
      </c>
      <c r="GC154">
        <v>422.74799999999999</v>
      </c>
      <c r="GD154">
        <v>26.017600000000002</v>
      </c>
      <c r="GE154">
        <v>27.960799999999999</v>
      </c>
      <c r="GF154">
        <v>30.0001</v>
      </c>
      <c r="GG154">
        <v>28.280100000000001</v>
      </c>
      <c r="GH154">
        <v>28.3355</v>
      </c>
      <c r="GI154">
        <v>-1</v>
      </c>
      <c r="GJ154">
        <v>0</v>
      </c>
      <c r="GK154">
        <v>100</v>
      </c>
      <c r="GL154">
        <v>26.0151</v>
      </c>
      <c r="GM154">
        <v>432.1</v>
      </c>
      <c r="GN154">
        <v>63.216500000000003</v>
      </c>
      <c r="GO154">
        <v>102.453</v>
      </c>
      <c r="GP154">
        <v>96.724500000000006</v>
      </c>
    </row>
    <row r="155" spans="1:198" x14ac:dyDescent="0.35">
      <c r="A155">
        <v>139</v>
      </c>
      <c r="B155">
        <v>1775511872.0999999</v>
      </c>
      <c r="C155">
        <v>8281.0999999046326</v>
      </c>
      <c r="D155" t="s">
        <v>748</v>
      </c>
      <c r="E155" t="s">
        <v>749</v>
      </c>
      <c r="F155">
        <v>60</v>
      </c>
      <c r="G155">
        <v>1775511864.099999</v>
      </c>
      <c r="H155">
        <f t="shared" si="120"/>
        <v>1.0844379840378973E-3</v>
      </c>
      <c r="I155">
        <f t="shared" si="121"/>
        <v>1.0844379840378973</v>
      </c>
      <c r="J155">
        <f t="shared" si="122"/>
        <v>0.46536340803181675</v>
      </c>
      <c r="K155">
        <f t="shared" si="123"/>
        <v>51.539409677419343</v>
      </c>
      <c r="L155">
        <f t="shared" si="124"/>
        <v>25.33892550532925</v>
      </c>
      <c r="M155">
        <f t="shared" si="125"/>
        <v>2.5394950289757268</v>
      </c>
      <c r="N155">
        <f t="shared" si="126"/>
        <v>5.1653364166772784</v>
      </c>
      <c r="O155">
        <f t="shared" si="127"/>
        <v>3.1155976504117028E-2</v>
      </c>
      <c r="P155">
        <f t="shared" si="128"/>
        <v>2.3918911523354214</v>
      </c>
      <c r="Q155">
        <f t="shared" si="129"/>
        <v>3.0932264586446833E-2</v>
      </c>
      <c r="R155">
        <f t="shared" si="130"/>
        <v>1.9352630970950982E-2</v>
      </c>
      <c r="S155">
        <f t="shared" si="131"/>
        <v>0</v>
      </c>
      <c r="T155">
        <f t="shared" si="132"/>
        <v>24.95799851580615</v>
      </c>
      <c r="U155">
        <f t="shared" si="133"/>
        <v>25.294167741935478</v>
      </c>
      <c r="V155">
        <f t="shared" si="134"/>
        <v>3.2358719964444327</v>
      </c>
      <c r="W155">
        <f t="shared" si="135"/>
        <v>-6.9498331228506336</v>
      </c>
      <c r="X155">
        <f t="shared" si="136"/>
        <v>-0.22494765283519397</v>
      </c>
      <c r="Y155">
        <f t="shared" si="137"/>
        <v>3.2367345928865485</v>
      </c>
      <c r="Z155">
        <f t="shared" si="138"/>
        <v>3.4608196492796268</v>
      </c>
      <c r="AA155">
        <f t="shared" si="139"/>
        <v>-47.823715096071275</v>
      </c>
      <c r="AB155">
        <f t="shared" si="140"/>
        <v>0.57778652301025046</v>
      </c>
      <c r="AC155">
        <f t="shared" si="141"/>
        <v>5.1248513703675433E-2</v>
      </c>
      <c r="AD155">
        <f t="shared" si="142"/>
        <v>-47.194680059357346</v>
      </c>
      <c r="AE155">
        <v>18</v>
      </c>
      <c r="AF155">
        <v>4</v>
      </c>
      <c r="AG155">
        <f t="shared" si="143"/>
        <v>1</v>
      </c>
      <c r="AH155">
        <f t="shared" si="144"/>
        <v>0</v>
      </c>
      <c r="AI155">
        <f t="shared" si="145"/>
        <v>25720.199345274094</v>
      </c>
      <c r="AJ155">
        <f t="shared" si="146"/>
        <v>0</v>
      </c>
      <c r="AK155">
        <f t="shared" si="147"/>
        <v>0</v>
      </c>
      <c r="AL155">
        <f t="shared" si="148"/>
        <v>0</v>
      </c>
      <c r="AM155">
        <f t="shared" si="149"/>
        <v>0</v>
      </c>
      <c r="AN155">
        <v>3</v>
      </c>
      <c r="AO155">
        <v>0.5</v>
      </c>
      <c r="AP155" t="s">
        <v>331</v>
      </c>
      <c r="AQ155">
        <v>2</v>
      </c>
      <c r="AR155">
        <v>1775511864.099999</v>
      </c>
      <c r="AS155">
        <v>51.539409677419343</v>
      </c>
      <c r="AT155">
        <v>51.852164516129037</v>
      </c>
      <c r="AU155">
        <v>-2.2445138709677419</v>
      </c>
      <c r="AV155">
        <v>-2.89664129032258</v>
      </c>
      <c r="AW155">
        <v>43.698409677419342</v>
      </c>
      <c r="AX155">
        <v>-1.2725138709677419</v>
      </c>
      <c r="AY155">
        <v>499.99677419354839</v>
      </c>
      <c r="AZ155">
        <v>100.1834193548387</v>
      </c>
      <c r="BA155">
        <v>3.768230322580645E-2</v>
      </c>
      <c r="BB155">
        <v>25.29864838709678</v>
      </c>
      <c r="BC155">
        <v>25.294167741935478</v>
      </c>
      <c r="BD155">
        <v>999.90000000000032</v>
      </c>
      <c r="BE155">
        <v>0</v>
      </c>
      <c r="BF155">
        <v>0</v>
      </c>
      <c r="BG155">
        <v>5000.7741935483873</v>
      </c>
      <c r="BH155">
        <v>0.41166412903225807</v>
      </c>
      <c r="BI155">
        <v>0.22961599999999999</v>
      </c>
      <c r="BJ155">
        <v>-0.31161294709677417</v>
      </c>
      <c r="BK155">
        <v>51.424987096774203</v>
      </c>
      <c r="BL155">
        <v>51.70239999999999</v>
      </c>
      <c r="BM155">
        <v>0.64934148387096779</v>
      </c>
      <c r="BN155">
        <v>51.852164516129037</v>
      </c>
      <c r="BO155">
        <v>-2.89664129032258</v>
      </c>
      <c r="BP155">
        <v>-0.22514235483870959</v>
      </c>
      <c r="BQ155">
        <v>-0.29019567741935492</v>
      </c>
      <c r="BR155">
        <v>-99.900000000000034</v>
      </c>
      <c r="BS155">
        <v>-99.900000000000034</v>
      </c>
      <c r="BT155">
        <v>0</v>
      </c>
      <c r="BU155">
        <v>0</v>
      </c>
      <c r="BV155">
        <v>0</v>
      </c>
      <c r="BW155">
        <v>24</v>
      </c>
      <c r="BX155">
        <v>-1</v>
      </c>
      <c r="BY155">
        <v>1775511897.5999999</v>
      </c>
      <c r="BZ155" t="s">
        <v>750</v>
      </c>
      <c r="CA155">
        <v>1775511897.5999999</v>
      </c>
      <c r="CB155">
        <v>1775511894.0999999</v>
      </c>
      <c r="CC155">
        <v>142</v>
      </c>
      <c r="CD155">
        <v>-1E-3</v>
      </c>
      <c r="CE155">
        <v>3.0000000000000001E-3</v>
      </c>
      <c r="CF155">
        <v>7.8410000000000002</v>
      </c>
      <c r="CG155">
        <v>-0.97199999999999998</v>
      </c>
      <c r="CH155">
        <v>51</v>
      </c>
      <c r="CI155">
        <v>-3</v>
      </c>
      <c r="CJ155">
        <v>0.27</v>
      </c>
      <c r="CK155">
        <v>0.14000000000000001</v>
      </c>
      <c r="CL155">
        <v>51.774401639344269</v>
      </c>
      <c r="CM155">
        <v>0.55587160232678579</v>
      </c>
      <c r="CN155">
        <v>0.25219113197432841</v>
      </c>
      <c r="CO155">
        <v>-1</v>
      </c>
      <c r="CP155">
        <v>499.99768852459022</v>
      </c>
      <c r="CQ155">
        <v>-7.1073506083373207E-3</v>
      </c>
      <c r="CR155">
        <v>5.7697782718313273E-2</v>
      </c>
      <c r="CS155">
        <v>-1</v>
      </c>
      <c r="CT155">
        <v>0</v>
      </c>
      <c r="CU155">
        <v>0</v>
      </c>
      <c r="CV155" t="s">
        <v>333</v>
      </c>
      <c r="CW155">
        <v>3.1673200000000001</v>
      </c>
      <c r="CX155">
        <v>2.6589100000000001</v>
      </c>
      <c r="CY155">
        <v>1.31191E-2</v>
      </c>
      <c r="CZ155">
        <v>1.55938E-2</v>
      </c>
      <c r="DA155">
        <v>-1.1464999999999999E-2</v>
      </c>
      <c r="DB155">
        <v>-2.9381500000000001E-2</v>
      </c>
      <c r="DC155">
        <v>21354.1</v>
      </c>
      <c r="DD155">
        <v>21678.799999999999</v>
      </c>
      <c r="DE155">
        <v>23162.6</v>
      </c>
      <c r="DF155">
        <v>22371</v>
      </c>
      <c r="DG155">
        <v>30205.8</v>
      </c>
      <c r="DH155">
        <v>27450.2</v>
      </c>
      <c r="DI155">
        <v>40698.699999999997</v>
      </c>
      <c r="DJ155">
        <v>37064</v>
      </c>
      <c r="DK155">
        <v>2.1031399999999998</v>
      </c>
      <c r="DL155">
        <v>1.8512599999999999</v>
      </c>
      <c r="DM155">
        <v>2.60115E-2</v>
      </c>
      <c r="DN155">
        <v>0</v>
      </c>
      <c r="DO155">
        <v>24.863900000000001</v>
      </c>
      <c r="DP155">
        <v>999.9</v>
      </c>
      <c r="DQ155">
        <v>78.400000000000006</v>
      </c>
      <c r="DR155">
        <v>28.3</v>
      </c>
      <c r="DS155">
        <v>30.221800000000002</v>
      </c>
      <c r="DT155">
        <v>31.1693</v>
      </c>
      <c r="DU155">
        <v>9.2107399999999995</v>
      </c>
      <c r="DV155">
        <v>1</v>
      </c>
      <c r="DW155">
        <v>6.2646300000000002E-2</v>
      </c>
      <c r="DX155">
        <v>-0.22521099999999999</v>
      </c>
      <c r="DY155">
        <v>20.368099999999998</v>
      </c>
      <c r="DZ155">
        <v>5.2122599999999997</v>
      </c>
      <c r="EA155">
        <v>11.8482</v>
      </c>
      <c r="EB155">
        <v>4.9678000000000004</v>
      </c>
      <c r="EC155">
        <v>3.2920400000000001</v>
      </c>
      <c r="ED155">
        <v>894.7</v>
      </c>
      <c r="EE155">
        <v>0</v>
      </c>
      <c r="EF155">
        <v>9999</v>
      </c>
      <c r="EG155">
        <v>115.3</v>
      </c>
      <c r="EH155">
        <v>4.9716500000000003</v>
      </c>
      <c r="EI155">
        <v>1.8717999999999999</v>
      </c>
      <c r="EJ155">
        <v>1.8689199999999999</v>
      </c>
      <c r="EK155">
        <v>1.8713599999999999</v>
      </c>
      <c r="EL155">
        <v>1.8690599999999999</v>
      </c>
      <c r="EM155">
        <v>1.8680300000000001</v>
      </c>
      <c r="EN155">
        <v>1.8698699999999999</v>
      </c>
      <c r="EO155">
        <v>1.87168</v>
      </c>
      <c r="EP155">
        <v>0</v>
      </c>
      <c r="EQ155">
        <v>0</v>
      </c>
      <c r="ER155">
        <v>0</v>
      </c>
      <c r="ES155">
        <v>0</v>
      </c>
      <c r="ET155" t="s">
        <v>334</v>
      </c>
      <c r="EU155" t="s">
        <v>335</v>
      </c>
      <c r="EV155" t="s">
        <v>336</v>
      </c>
      <c r="EW155" t="s">
        <v>336</v>
      </c>
      <c r="EX155" t="s">
        <v>336</v>
      </c>
      <c r="EY155" t="s">
        <v>336</v>
      </c>
      <c r="EZ155">
        <v>0</v>
      </c>
      <c r="FA155">
        <v>100</v>
      </c>
      <c r="FB155">
        <v>100</v>
      </c>
      <c r="FC155">
        <v>7.8410000000000002</v>
      </c>
      <c r="FD155">
        <v>-0.97199999999999998</v>
      </c>
      <c r="FE155">
        <v>7.8421499999999904</v>
      </c>
      <c r="FF155">
        <v>0</v>
      </c>
      <c r="FG155">
        <v>0</v>
      </c>
      <c r="FH155">
        <v>0</v>
      </c>
      <c r="FI155">
        <v>-0.97478599999999949</v>
      </c>
      <c r="FJ155">
        <v>0</v>
      </c>
      <c r="FK155">
        <v>0</v>
      </c>
      <c r="FL155">
        <v>0</v>
      </c>
      <c r="FM155">
        <v>-1</v>
      </c>
      <c r="FN155">
        <v>-1</v>
      </c>
      <c r="FO155">
        <v>-1</v>
      </c>
      <c r="FP155">
        <v>-1</v>
      </c>
      <c r="FQ155">
        <v>0.7</v>
      </c>
      <c r="FR155">
        <v>0.7</v>
      </c>
      <c r="FS155">
        <v>0.142822</v>
      </c>
      <c r="FT155">
        <v>4.99756</v>
      </c>
      <c r="FU155">
        <v>1.5979000000000001</v>
      </c>
      <c r="FV155">
        <v>2.1606399999999999</v>
      </c>
      <c r="FW155">
        <v>1.5478499999999999</v>
      </c>
      <c r="FX155">
        <v>2.3901400000000002</v>
      </c>
      <c r="FY155">
        <v>32.731299999999997</v>
      </c>
      <c r="FZ155">
        <v>15.699299999999999</v>
      </c>
      <c r="GA155">
        <v>3</v>
      </c>
      <c r="GB155">
        <v>492.53500000000003</v>
      </c>
      <c r="GC155">
        <v>422.76499999999999</v>
      </c>
      <c r="GD155">
        <v>26.009399999999999</v>
      </c>
      <c r="GE155">
        <v>27.957000000000001</v>
      </c>
      <c r="GF155">
        <v>30.0001</v>
      </c>
      <c r="GG155">
        <v>28.273399999999999</v>
      </c>
      <c r="GH155">
        <v>28.329699999999999</v>
      </c>
      <c r="GI155">
        <v>-1</v>
      </c>
      <c r="GJ155">
        <v>0</v>
      </c>
      <c r="GK155">
        <v>100</v>
      </c>
      <c r="GL155">
        <v>26.010999999999999</v>
      </c>
      <c r="GM155">
        <v>432.1</v>
      </c>
      <c r="GN155">
        <v>63.216500000000003</v>
      </c>
      <c r="GO155">
        <v>102.453</v>
      </c>
      <c r="GP155">
        <v>96.724000000000004</v>
      </c>
    </row>
    <row r="156" spans="1:198" x14ac:dyDescent="0.35">
      <c r="A156">
        <v>140</v>
      </c>
      <c r="B156">
        <v>1775511932.0999999</v>
      </c>
      <c r="C156">
        <v>8341.0999999046326</v>
      </c>
      <c r="D156" t="s">
        <v>751</v>
      </c>
      <c r="E156" t="s">
        <v>752</v>
      </c>
      <c r="F156">
        <v>60</v>
      </c>
      <c r="G156">
        <v>1775511924.349999</v>
      </c>
      <c r="H156">
        <f t="shared" si="120"/>
        <v>1.0573957400092625E-3</v>
      </c>
      <c r="I156">
        <f t="shared" si="121"/>
        <v>1.0573957400092624</v>
      </c>
      <c r="J156">
        <f t="shared" si="122"/>
        <v>-0.32313932848594384</v>
      </c>
      <c r="K156">
        <f t="shared" si="123"/>
        <v>51.565696666666668</v>
      </c>
      <c r="L156">
        <f t="shared" si="124"/>
        <v>65.412310075672949</v>
      </c>
      <c r="M156">
        <f t="shared" si="125"/>
        <v>6.5558674512994113</v>
      </c>
      <c r="N156">
        <f t="shared" si="126"/>
        <v>5.1681078376454304</v>
      </c>
      <c r="O156">
        <f t="shared" si="127"/>
        <v>3.0375451172803769E-2</v>
      </c>
      <c r="P156">
        <f t="shared" si="128"/>
        <v>2.3885820178970061</v>
      </c>
      <c r="Q156">
        <f t="shared" si="129"/>
        <v>3.016247408494651E-2</v>
      </c>
      <c r="R156">
        <f t="shared" si="130"/>
        <v>1.8870556847779676E-2</v>
      </c>
      <c r="S156">
        <f t="shared" si="131"/>
        <v>0</v>
      </c>
      <c r="T156">
        <f t="shared" si="132"/>
        <v>24.963384766200114</v>
      </c>
      <c r="U156">
        <f t="shared" si="133"/>
        <v>25.28694333333333</v>
      </c>
      <c r="V156">
        <f t="shared" si="134"/>
        <v>3.2344816043057563</v>
      </c>
      <c r="W156">
        <f t="shared" si="135"/>
        <v>-6.9927506943220408</v>
      </c>
      <c r="X156">
        <f t="shared" si="136"/>
        <v>-0.2263006323734244</v>
      </c>
      <c r="Y156">
        <f t="shared" si="137"/>
        <v>3.2362176526209567</v>
      </c>
      <c r="Z156">
        <f t="shared" si="138"/>
        <v>3.4607822366791807</v>
      </c>
      <c r="AA156">
        <f t="shared" si="139"/>
        <v>-46.631152134408474</v>
      </c>
      <c r="AB156">
        <f t="shared" si="140"/>
        <v>1.1615345684146943</v>
      </c>
      <c r="AC156">
        <f t="shared" si="141"/>
        <v>0.10316339339655528</v>
      </c>
      <c r="AD156">
        <f t="shared" si="142"/>
        <v>-45.366454172597223</v>
      </c>
      <c r="AE156">
        <v>18</v>
      </c>
      <c r="AF156">
        <v>4</v>
      </c>
      <c r="AG156">
        <f t="shared" si="143"/>
        <v>1</v>
      </c>
      <c r="AH156">
        <f t="shared" si="144"/>
        <v>0</v>
      </c>
      <c r="AI156">
        <f t="shared" si="145"/>
        <v>25669.675883565938</v>
      </c>
      <c r="AJ156">
        <f t="shared" si="146"/>
        <v>0</v>
      </c>
      <c r="AK156">
        <f t="shared" si="147"/>
        <v>0</v>
      </c>
      <c r="AL156">
        <f t="shared" si="148"/>
        <v>0</v>
      </c>
      <c r="AM156">
        <f t="shared" si="149"/>
        <v>0</v>
      </c>
      <c r="AN156">
        <v>3</v>
      </c>
      <c r="AO156">
        <v>0.5</v>
      </c>
      <c r="AP156" t="s">
        <v>331</v>
      </c>
      <c r="AQ156">
        <v>2</v>
      </c>
      <c r="AR156">
        <v>1775511924.349999</v>
      </c>
      <c r="AS156">
        <v>51.565696666666668</v>
      </c>
      <c r="AT156">
        <v>51.404526666666669</v>
      </c>
      <c r="AU156">
        <v>-2.2579539999999998</v>
      </c>
      <c r="AV156">
        <v>-2.8938303333333328</v>
      </c>
      <c r="AW156">
        <v>43.75669666666667</v>
      </c>
      <c r="AX156">
        <v>-1.2829539999999999</v>
      </c>
      <c r="AY156">
        <v>499.99499999999989</v>
      </c>
      <c r="AZ156">
        <v>100.1862666666667</v>
      </c>
      <c r="BA156">
        <v>3.7490049999999997E-2</v>
      </c>
      <c r="BB156">
        <v>25.295963333333329</v>
      </c>
      <c r="BC156">
        <v>25.28694333333333</v>
      </c>
      <c r="BD156">
        <v>999.9000000000002</v>
      </c>
      <c r="BE156">
        <v>0</v>
      </c>
      <c r="BF156">
        <v>0</v>
      </c>
      <c r="BG156">
        <v>4992.1166666666668</v>
      </c>
      <c r="BH156">
        <v>0.38860136666666673</v>
      </c>
      <c r="BI156">
        <v>0.22961599999999999</v>
      </c>
      <c r="BJ156">
        <v>0.19292212333333331</v>
      </c>
      <c r="BK156">
        <v>51.481343333333342</v>
      </c>
      <c r="BL156">
        <v>51.256200000000007</v>
      </c>
      <c r="BM156">
        <v>0.63865290000000008</v>
      </c>
      <c r="BN156">
        <v>51.404526666666669</v>
      </c>
      <c r="BO156">
        <v>-2.8938303333333328</v>
      </c>
      <c r="BP156">
        <v>-0.2259376333333333</v>
      </c>
      <c r="BQ156">
        <v>-0.28992183333333332</v>
      </c>
      <c r="BR156">
        <v>-99.900000000000034</v>
      </c>
      <c r="BS156">
        <v>-99.900000000000034</v>
      </c>
      <c r="BT156">
        <v>0</v>
      </c>
      <c r="BU156">
        <v>0</v>
      </c>
      <c r="BV156">
        <v>0</v>
      </c>
      <c r="BW156">
        <v>24</v>
      </c>
      <c r="BX156">
        <v>-1</v>
      </c>
      <c r="BY156">
        <v>1775511954.0999999</v>
      </c>
      <c r="BZ156" t="s">
        <v>753</v>
      </c>
      <c r="CA156">
        <v>1775511946.0999999</v>
      </c>
      <c r="CB156">
        <v>1775511954.0999999</v>
      </c>
      <c r="CC156">
        <v>143</v>
      </c>
      <c r="CD156">
        <v>-3.1E-2</v>
      </c>
      <c r="CE156">
        <v>-2E-3</v>
      </c>
      <c r="CF156">
        <v>7.8090000000000002</v>
      </c>
      <c r="CG156">
        <v>-0.97499999999999998</v>
      </c>
      <c r="CH156">
        <v>51</v>
      </c>
      <c r="CI156">
        <v>-3</v>
      </c>
      <c r="CJ156">
        <v>0.19</v>
      </c>
      <c r="CK156">
        <v>0.12</v>
      </c>
      <c r="CL156">
        <v>51.691065573770487</v>
      </c>
      <c r="CM156">
        <v>-1.531858699101045</v>
      </c>
      <c r="CN156">
        <v>0.35563894192222018</v>
      </c>
      <c r="CO156">
        <v>-1</v>
      </c>
      <c r="CP156">
        <v>500.63754098360653</v>
      </c>
      <c r="CQ156">
        <v>-6.4077778952939211</v>
      </c>
      <c r="CR156">
        <v>1.4440650792946881</v>
      </c>
      <c r="CS156">
        <v>-1</v>
      </c>
      <c r="CT156">
        <v>0</v>
      </c>
      <c r="CU156">
        <v>0</v>
      </c>
      <c r="CV156" t="s">
        <v>333</v>
      </c>
      <c r="CW156">
        <v>3.16736</v>
      </c>
      <c r="CX156">
        <v>2.6585800000000002</v>
      </c>
      <c r="CY156">
        <v>1.2967299999999999E-2</v>
      </c>
      <c r="CZ156">
        <v>1.52392E-2</v>
      </c>
      <c r="DA156">
        <v>-1.15254E-2</v>
      </c>
      <c r="DB156">
        <v>-2.9260700000000001E-2</v>
      </c>
      <c r="DC156">
        <v>21357.3</v>
      </c>
      <c r="DD156">
        <v>21687.4</v>
      </c>
      <c r="DE156">
        <v>23162.5</v>
      </c>
      <c r="DF156">
        <v>22371.7</v>
      </c>
      <c r="DG156">
        <v>30207.3</v>
      </c>
      <c r="DH156">
        <v>27448</v>
      </c>
      <c r="DI156">
        <v>40698.199999999997</v>
      </c>
      <c r="DJ156">
        <v>37065.4</v>
      </c>
      <c r="DK156">
        <v>2.1029399999999998</v>
      </c>
      <c r="DL156">
        <v>1.8509199999999999</v>
      </c>
      <c r="DM156">
        <v>2.6720799999999999E-2</v>
      </c>
      <c r="DN156">
        <v>0</v>
      </c>
      <c r="DO156">
        <v>24.8507</v>
      </c>
      <c r="DP156">
        <v>999.9</v>
      </c>
      <c r="DQ156">
        <v>78.400000000000006</v>
      </c>
      <c r="DR156">
        <v>28.4</v>
      </c>
      <c r="DS156">
        <v>30.395299999999999</v>
      </c>
      <c r="DT156">
        <v>30.659300000000002</v>
      </c>
      <c r="DU156">
        <v>9.0104100000000003</v>
      </c>
      <c r="DV156">
        <v>1</v>
      </c>
      <c r="DW156">
        <v>6.2276400000000003E-2</v>
      </c>
      <c r="DX156">
        <v>-0.24504799999999999</v>
      </c>
      <c r="DY156">
        <v>20.367599999999999</v>
      </c>
      <c r="DZ156">
        <v>5.2107000000000001</v>
      </c>
      <c r="EA156">
        <v>11.8482</v>
      </c>
      <c r="EB156">
        <v>4.9679599999999997</v>
      </c>
      <c r="EC156">
        <v>3.29148</v>
      </c>
      <c r="ED156">
        <v>894.7</v>
      </c>
      <c r="EE156">
        <v>0</v>
      </c>
      <c r="EF156">
        <v>9999</v>
      </c>
      <c r="EG156">
        <v>115.3</v>
      </c>
      <c r="EH156">
        <v>4.9716800000000001</v>
      </c>
      <c r="EI156">
        <v>1.8717999999999999</v>
      </c>
      <c r="EJ156">
        <v>1.86897</v>
      </c>
      <c r="EK156">
        <v>1.8713500000000001</v>
      </c>
      <c r="EL156">
        <v>1.8690500000000001</v>
      </c>
      <c r="EM156">
        <v>1.8680699999999999</v>
      </c>
      <c r="EN156">
        <v>1.8698999999999999</v>
      </c>
      <c r="EO156">
        <v>1.8716999999999999</v>
      </c>
      <c r="EP156">
        <v>0</v>
      </c>
      <c r="EQ156">
        <v>0</v>
      </c>
      <c r="ER156">
        <v>0</v>
      </c>
      <c r="ES156">
        <v>0</v>
      </c>
      <c r="ET156" t="s">
        <v>334</v>
      </c>
      <c r="EU156" t="s">
        <v>335</v>
      </c>
      <c r="EV156" t="s">
        <v>336</v>
      </c>
      <c r="EW156" t="s">
        <v>336</v>
      </c>
      <c r="EX156" t="s">
        <v>336</v>
      </c>
      <c r="EY156" t="s">
        <v>336</v>
      </c>
      <c r="EZ156">
        <v>0</v>
      </c>
      <c r="FA156">
        <v>100</v>
      </c>
      <c r="FB156">
        <v>100</v>
      </c>
      <c r="FC156">
        <v>7.8090000000000002</v>
      </c>
      <c r="FD156">
        <v>-0.97499999999999998</v>
      </c>
      <c r="FE156">
        <v>7.8407428571428639</v>
      </c>
      <c r="FF156">
        <v>0</v>
      </c>
      <c r="FG156">
        <v>0</v>
      </c>
      <c r="FH156">
        <v>0</v>
      </c>
      <c r="FI156">
        <v>-0.97222300000000006</v>
      </c>
      <c r="FJ156">
        <v>0</v>
      </c>
      <c r="FK156">
        <v>0</v>
      </c>
      <c r="FL156">
        <v>0</v>
      </c>
      <c r="FM156">
        <v>-1</v>
      </c>
      <c r="FN156">
        <v>-1</v>
      </c>
      <c r="FO156">
        <v>-1</v>
      </c>
      <c r="FP156">
        <v>-1</v>
      </c>
      <c r="FQ156">
        <v>0.6</v>
      </c>
      <c r="FR156">
        <v>0.6</v>
      </c>
      <c r="FS156">
        <v>0.142822</v>
      </c>
      <c r="FT156">
        <v>4.99756</v>
      </c>
      <c r="FU156">
        <v>1.5979000000000001</v>
      </c>
      <c r="FV156">
        <v>2.1594199999999999</v>
      </c>
      <c r="FW156">
        <v>1.5478499999999999</v>
      </c>
      <c r="FX156">
        <v>2.32544</v>
      </c>
      <c r="FY156">
        <v>32.731299999999997</v>
      </c>
      <c r="FZ156">
        <v>15.6906</v>
      </c>
      <c r="GA156">
        <v>3</v>
      </c>
      <c r="GB156">
        <v>492.38299999999998</v>
      </c>
      <c r="GC156">
        <v>422.53199999999998</v>
      </c>
      <c r="GD156">
        <v>26.033999999999999</v>
      </c>
      <c r="GE156">
        <v>27.9512</v>
      </c>
      <c r="GF156">
        <v>30</v>
      </c>
      <c r="GG156">
        <v>28.268599999999999</v>
      </c>
      <c r="GH156">
        <v>28.324999999999999</v>
      </c>
      <c r="GI156">
        <v>-1</v>
      </c>
      <c r="GJ156">
        <v>0</v>
      </c>
      <c r="GK156">
        <v>100</v>
      </c>
      <c r="GL156">
        <v>26.035399999999999</v>
      </c>
      <c r="GM156">
        <v>432.1</v>
      </c>
      <c r="GN156">
        <v>63.216500000000003</v>
      </c>
      <c r="GO156">
        <v>102.452</v>
      </c>
      <c r="GP156">
        <v>96.727400000000003</v>
      </c>
    </row>
    <row r="157" spans="1:198" x14ac:dyDescent="0.35">
      <c r="A157">
        <v>141</v>
      </c>
      <c r="B157">
        <v>1775511992.0999999</v>
      </c>
      <c r="C157">
        <v>8401.0999999046326</v>
      </c>
      <c r="D157" t="s">
        <v>754</v>
      </c>
      <c r="E157" t="s">
        <v>755</v>
      </c>
      <c r="F157">
        <v>60</v>
      </c>
      <c r="G157">
        <v>1775511984.099999</v>
      </c>
      <c r="H157">
        <f t="shared" si="120"/>
        <v>1.0623620609380017E-3</v>
      </c>
      <c r="I157">
        <f t="shared" si="121"/>
        <v>1.0623620609380018</v>
      </c>
      <c r="J157">
        <f t="shared" si="122"/>
        <v>0.99841056947037787</v>
      </c>
      <c r="K157">
        <f t="shared" si="123"/>
        <v>51.468258064516128</v>
      </c>
      <c r="L157">
        <f t="shared" si="124"/>
        <v>-2.5605095242068665</v>
      </c>
      <c r="M157">
        <f t="shared" si="125"/>
        <v>-0.25662962975372028</v>
      </c>
      <c r="N157">
        <f t="shared" si="126"/>
        <v>5.1584576766052246</v>
      </c>
      <c r="O157">
        <f t="shared" si="127"/>
        <v>3.052021789230026E-2</v>
      </c>
      <c r="P157">
        <f t="shared" si="128"/>
        <v>2.3911872159042042</v>
      </c>
      <c r="Q157">
        <f t="shared" si="129"/>
        <v>3.0305446128581211E-2</v>
      </c>
      <c r="R157">
        <f t="shared" si="130"/>
        <v>1.8960074113401598E-2</v>
      </c>
      <c r="S157">
        <f t="shared" si="131"/>
        <v>0</v>
      </c>
      <c r="T157">
        <f t="shared" si="132"/>
        <v>24.964007183305206</v>
      </c>
      <c r="U157">
        <f t="shared" si="133"/>
        <v>25.285238709677419</v>
      </c>
      <c r="V157">
        <f t="shared" si="134"/>
        <v>3.2341536126995547</v>
      </c>
      <c r="W157">
        <f t="shared" si="135"/>
        <v>-7.0002587927201683</v>
      </c>
      <c r="X157">
        <f t="shared" si="136"/>
        <v>-0.22656853736449079</v>
      </c>
      <c r="Y157">
        <f t="shared" si="137"/>
        <v>3.2365737335326505</v>
      </c>
      <c r="Z157">
        <f t="shared" si="138"/>
        <v>3.4607221500640453</v>
      </c>
      <c r="AA157">
        <f t="shared" si="139"/>
        <v>-46.850166887365873</v>
      </c>
      <c r="AB157">
        <f t="shared" si="140"/>
        <v>1.620985628537958</v>
      </c>
      <c r="AC157">
        <f t="shared" si="141"/>
        <v>0.1438134613600757</v>
      </c>
      <c r="AD157">
        <f t="shared" si="142"/>
        <v>-45.085367797467839</v>
      </c>
      <c r="AE157">
        <v>18</v>
      </c>
      <c r="AF157">
        <v>4</v>
      </c>
      <c r="AG157">
        <f t="shared" si="143"/>
        <v>1</v>
      </c>
      <c r="AH157">
        <f t="shared" si="144"/>
        <v>0</v>
      </c>
      <c r="AI157">
        <f t="shared" si="145"/>
        <v>25709.295087253809</v>
      </c>
      <c r="AJ157">
        <f t="shared" si="146"/>
        <v>0</v>
      </c>
      <c r="AK157">
        <f t="shared" si="147"/>
        <v>0</v>
      </c>
      <c r="AL157">
        <f t="shared" si="148"/>
        <v>0</v>
      </c>
      <c r="AM157">
        <f t="shared" si="149"/>
        <v>0</v>
      </c>
      <c r="AN157">
        <v>3</v>
      </c>
      <c r="AO157">
        <v>0.5</v>
      </c>
      <c r="AP157" t="s">
        <v>331</v>
      </c>
      <c r="AQ157">
        <v>2</v>
      </c>
      <c r="AR157">
        <v>1775511984.099999</v>
      </c>
      <c r="AS157">
        <v>51.468258064516128</v>
      </c>
      <c r="AT157">
        <v>52.100119354838696</v>
      </c>
      <c r="AU157">
        <v>-2.260576451612903</v>
      </c>
      <c r="AV157">
        <v>-2.8994429032258058</v>
      </c>
      <c r="AW157">
        <v>43.560258064516127</v>
      </c>
      <c r="AX157">
        <v>-1.288576451612903</v>
      </c>
      <c r="AY157">
        <v>499.99351612903229</v>
      </c>
      <c r="AZ157">
        <v>100.1884838709677</v>
      </c>
      <c r="BA157">
        <v>3.7516980645161277E-2</v>
      </c>
      <c r="BB157">
        <v>25.297812903225811</v>
      </c>
      <c r="BC157">
        <v>25.285238709677419</v>
      </c>
      <c r="BD157">
        <v>999.90000000000032</v>
      </c>
      <c r="BE157">
        <v>0</v>
      </c>
      <c r="BF157">
        <v>0</v>
      </c>
      <c r="BG157">
        <v>4998.7096774193551</v>
      </c>
      <c r="BH157">
        <v>0.396160806451613</v>
      </c>
      <c r="BI157">
        <v>0.22961599999999999</v>
      </c>
      <c r="BJ157">
        <v>-0.73044709677419351</v>
      </c>
      <c r="BK157">
        <v>51.253687096774193</v>
      </c>
      <c r="BL157">
        <v>51.949490322580637</v>
      </c>
      <c r="BM157">
        <v>0.63635993548387093</v>
      </c>
      <c r="BN157">
        <v>52.100119354838696</v>
      </c>
      <c r="BO157">
        <v>-2.8994429032258058</v>
      </c>
      <c r="BP157">
        <v>-0.22673496774193549</v>
      </c>
      <c r="BQ157">
        <v>-0.29049083870967751</v>
      </c>
      <c r="BR157">
        <v>-99.900000000000034</v>
      </c>
      <c r="BS157">
        <v>-99.900000000000034</v>
      </c>
      <c r="BT157">
        <v>0</v>
      </c>
      <c r="BU157">
        <v>0</v>
      </c>
      <c r="BV157">
        <v>0</v>
      </c>
      <c r="BW157">
        <v>24</v>
      </c>
      <c r="BX157">
        <v>-1</v>
      </c>
      <c r="BY157">
        <v>1775512014.0999999</v>
      </c>
      <c r="BZ157" t="s">
        <v>756</v>
      </c>
      <c r="CA157">
        <v>1775512014.0999999</v>
      </c>
      <c r="CB157">
        <v>1775512013.0999999</v>
      </c>
      <c r="CC157">
        <v>144</v>
      </c>
      <c r="CD157">
        <v>9.8000000000000004E-2</v>
      </c>
      <c r="CE157">
        <v>2E-3</v>
      </c>
      <c r="CF157">
        <v>7.9080000000000004</v>
      </c>
      <c r="CG157">
        <v>-0.97199999999999998</v>
      </c>
      <c r="CH157">
        <v>54</v>
      </c>
      <c r="CI157">
        <v>-3</v>
      </c>
      <c r="CJ157">
        <v>0.49</v>
      </c>
      <c r="CK157">
        <v>0.12</v>
      </c>
      <c r="CL157">
        <v>51.533964999999988</v>
      </c>
      <c r="CM157">
        <v>3.9656605723812621</v>
      </c>
      <c r="CN157">
        <v>0.59934994503072503</v>
      </c>
      <c r="CO157">
        <v>-1</v>
      </c>
      <c r="CP157">
        <v>500.07208333333341</v>
      </c>
      <c r="CQ157">
        <v>-0.85021950541737601</v>
      </c>
      <c r="CR157">
        <v>0.28079828416301261</v>
      </c>
      <c r="CS157">
        <v>-1</v>
      </c>
      <c r="CT157">
        <v>0</v>
      </c>
      <c r="CU157">
        <v>0</v>
      </c>
      <c r="CV157" t="s">
        <v>333</v>
      </c>
      <c r="CW157">
        <v>3.1673399999999998</v>
      </c>
      <c r="CX157">
        <v>2.6588699999999998</v>
      </c>
      <c r="CY157">
        <v>1.3154600000000001E-2</v>
      </c>
      <c r="CZ157">
        <v>1.5547200000000001E-2</v>
      </c>
      <c r="DA157">
        <v>-1.16159E-2</v>
      </c>
      <c r="DB157">
        <v>-2.9423299999999999E-2</v>
      </c>
      <c r="DC157">
        <v>21353.4</v>
      </c>
      <c r="DD157">
        <v>21680.5</v>
      </c>
      <c r="DE157">
        <v>23162.6</v>
      </c>
      <c r="DF157">
        <v>22371.599999999999</v>
      </c>
      <c r="DG157">
        <v>30210.1</v>
      </c>
      <c r="DH157">
        <v>27452.1</v>
      </c>
      <c r="DI157">
        <v>40698.400000000001</v>
      </c>
      <c r="DJ157">
        <v>37065</v>
      </c>
      <c r="DK157">
        <v>2.1031200000000001</v>
      </c>
      <c r="DL157">
        <v>1.8506400000000001</v>
      </c>
      <c r="DM157">
        <v>2.6798200000000001E-2</v>
      </c>
      <c r="DN157">
        <v>0</v>
      </c>
      <c r="DO157">
        <v>24.843</v>
      </c>
      <c r="DP157">
        <v>999.9</v>
      </c>
      <c r="DQ157">
        <v>78.400000000000006</v>
      </c>
      <c r="DR157">
        <v>28.4</v>
      </c>
      <c r="DS157">
        <v>30.394400000000001</v>
      </c>
      <c r="DT157">
        <v>31.049299999999999</v>
      </c>
      <c r="DU157">
        <v>9.2227599999999992</v>
      </c>
      <c r="DV157">
        <v>1</v>
      </c>
      <c r="DW157">
        <v>6.1780500000000002E-2</v>
      </c>
      <c r="DX157">
        <v>-0.25702799999999998</v>
      </c>
      <c r="DY157">
        <v>20.368099999999998</v>
      </c>
      <c r="DZ157">
        <v>5.2111799999999997</v>
      </c>
      <c r="EA157">
        <v>11.8482</v>
      </c>
      <c r="EB157">
        <v>4.96868</v>
      </c>
      <c r="EC157">
        <v>3.2920799999999999</v>
      </c>
      <c r="ED157">
        <v>894.7</v>
      </c>
      <c r="EE157">
        <v>0</v>
      </c>
      <c r="EF157">
        <v>9999</v>
      </c>
      <c r="EG157">
        <v>115.3</v>
      </c>
      <c r="EH157">
        <v>4.9716199999999997</v>
      </c>
      <c r="EI157">
        <v>1.8717999999999999</v>
      </c>
      <c r="EJ157">
        <v>1.8689499999999999</v>
      </c>
      <c r="EK157">
        <v>1.87134</v>
      </c>
      <c r="EL157">
        <v>1.8690599999999999</v>
      </c>
      <c r="EM157">
        <v>1.86802</v>
      </c>
      <c r="EN157">
        <v>1.8698300000000001</v>
      </c>
      <c r="EO157">
        <v>1.87165</v>
      </c>
      <c r="EP157">
        <v>0</v>
      </c>
      <c r="EQ157">
        <v>0</v>
      </c>
      <c r="ER157">
        <v>0</v>
      </c>
      <c r="ES157">
        <v>0</v>
      </c>
      <c r="ET157" t="s">
        <v>334</v>
      </c>
      <c r="EU157" t="s">
        <v>335</v>
      </c>
      <c r="EV157" t="s">
        <v>336</v>
      </c>
      <c r="EW157" t="s">
        <v>336</v>
      </c>
      <c r="EX157" t="s">
        <v>336</v>
      </c>
      <c r="EY157" t="s">
        <v>336</v>
      </c>
      <c r="EZ157">
        <v>0</v>
      </c>
      <c r="FA157">
        <v>100</v>
      </c>
      <c r="FB157">
        <v>100</v>
      </c>
      <c r="FC157">
        <v>7.9080000000000004</v>
      </c>
      <c r="FD157">
        <v>-0.97199999999999998</v>
      </c>
      <c r="FE157">
        <v>7.8094149999999942</v>
      </c>
      <c r="FF157">
        <v>0</v>
      </c>
      <c r="FG157">
        <v>0</v>
      </c>
      <c r="FH157">
        <v>0</v>
      </c>
      <c r="FI157">
        <v>-0.97450849999999978</v>
      </c>
      <c r="FJ157">
        <v>0</v>
      </c>
      <c r="FK157">
        <v>0</v>
      </c>
      <c r="FL157">
        <v>0</v>
      </c>
      <c r="FM157">
        <v>-1</v>
      </c>
      <c r="FN157">
        <v>-1</v>
      </c>
      <c r="FO157">
        <v>-1</v>
      </c>
      <c r="FP157">
        <v>-1</v>
      </c>
      <c r="FQ157">
        <v>0.8</v>
      </c>
      <c r="FR157">
        <v>0.6</v>
      </c>
      <c r="FS157">
        <v>0.142822</v>
      </c>
      <c r="FT157">
        <v>4.99756</v>
      </c>
      <c r="FU157">
        <v>1.5979000000000001</v>
      </c>
      <c r="FV157">
        <v>2.1594199999999999</v>
      </c>
      <c r="FW157">
        <v>1.5478499999999999</v>
      </c>
      <c r="FX157">
        <v>2.3901400000000002</v>
      </c>
      <c r="FY157">
        <v>32.731299999999997</v>
      </c>
      <c r="FZ157">
        <v>15.681800000000001</v>
      </c>
      <c r="GA157">
        <v>3</v>
      </c>
      <c r="GB157">
        <v>492.44600000000003</v>
      </c>
      <c r="GC157">
        <v>422.31700000000001</v>
      </c>
      <c r="GD157">
        <v>26.053899999999999</v>
      </c>
      <c r="GE157">
        <v>27.946400000000001</v>
      </c>
      <c r="GF157">
        <v>30</v>
      </c>
      <c r="GG157">
        <v>28.2636</v>
      </c>
      <c r="GH157">
        <v>28.317900000000002</v>
      </c>
      <c r="GI157">
        <v>-1</v>
      </c>
      <c r="GJ157">
        <v>0</v>
      </c>
      <c r="GK157">
        <v>100</v>
      </c>
      <c r="GL157">
        <v>26.0548</v>
      </c>
      <c r="GM157">
        <v>432.1</v>
      </c>
      <c r="GN157">
        <v>63.216500000000003</v>
      </c>
      <c r="GO157">
        <v>102.452</v>
      </c>
      <c r="GP157">
        <v>96.726799999999997</v>
      </c>
    </row>
    <row r="158" spans="1:198" x14ac:dyDescent="0.35">
      <c r="A158">
        <v>142</v>
      </c>
      <c r="B158">
        <v>1775512052.0999999</v>
      </c>
      <c r="C158">
        <v>8461.0999999046326</v>
      </c>
      <c r="D158" t="s">
        <v>757</v>
      </c>
      <c r="E158" t="s">
        <v>758</v>
      </c>
      <c r="F158">
        <v>60</v>
      </c>
      <c r="G158">
        <v>1775512044.099999</v>
      </c>
      <c r="H158">
        <f t="shared" si="120"/>
        <v>1.0589997727228437E-3</v>
      </c>
      <c r="I158">
        <f t="shared" si="121"/>
        <v>1.0589997727228437</v>
      </c>
      <c r="J158">
        <f t="shared" si="122"/>
        <v>4.1797066039289199E-3</v>
      </c>
      <c r="K158">
        <f t="shared" si="123"/>
        <v>51.30992258064515</v>
      </c>
      <c r="L158">
        <f t="shared" si="124"/>
        <v>48.298790581330508</v>
      </c>
      <c r="M158">
        <f t="shared" si="125"/>
        <v>4.8408124090835889</v>
      </c>
      <c r="N158">
        <f t="shared" si="126"/>
        <v>5.1426072360808792</v>
      </c>
      <c r="O158">
        <f t="shared" si="127"/>
        <v>3.042938843191936E-2</v>
      </c>
      <c r="P158">
        <f t="shared" si="128"/>
        <v>2.3919404636869435</v>
      </c>
      <c r="Q158">
        <f t="shared" si="129"/>
        <v>3.0215955004986531E-2</v>
      </c>
      <c r="R158">
        <f t="shared" si="130"/>
        <v>1.8904023110497447E-2</v>
      </c>
      <c r="S158">
        <f t="shared" si="131"/>
        <v>0</v>
      </c>
      <c r="T158">
        <f t="shared" si="132"/>
        <v>24.965269607420417</v>
      </c>
      <c r="U158">
        <f t="shared" si="133"/>
        <v>25.27725483870968</v>
      </c>
      <c r="V158">
        <f t="shared" si="134"/>
        <v>3.2326177995828744</v>
      </c>
      <c r="W158">
        <f t="shared" si="135"/>
        <v>-7.026628382333139</v>
      </c>
      <c r="X158">
        <f t="shared" si="136"/>
        <v>-0.22742349233762182</v>
      </c>
      <c r="Y158">
        <f t="shared" si="137"/>
        <v>3.2365948498062957</v>
      </c>
      <c r="Z158">
        <f t="shared" si="138"/>
        <v>3.4600412919204961</v>
      </c>
      <c r="AA158">
        <f t="shared" si="139"/>
        <v>-46.701889977077407</v>
      </c>
      <c r="AB158">
        <f t="shared" si="140"/>
        <v>2.6651940756156156</v>
      </c>
      <c r="AC158">
        <f t="shared" si="141"/>
        <v>0.23637156578182753</v>
      </c>
      <c r="AD158">
        <f t="shared" si="142"/>
        <v>-43.80032433567996</v>
      </c>
      <c r="AE158">
        <v>18</v>
      </c>
      <c r="AF158">
        <v>4</v>
      </c>
      <c r="AG158">
        <f t="shared" si="143"/>
        <v>1</v>
      </c>
      <c r="AH158">
        <f t="shared" si="144"/>
        <v>0</v>
      </c>
      <c r="AI158">
        <f t="shared" si="145"/>
        <v>25720.785264571754</v>
      </c>
      <c r="AJ158">
        <f t="shared" si="146"/>
        <v>0</v>
      </c>
      <c r="AK158">
        <f t="shared" si="147"/>
        <v>0</v>
      </c>
      <c r="AL158">
        <f t="shared" si="148"/>
        <v>0</v>
      </c>
      <c r="AM158">
        <f t="shared" si="149"/>
        <v>0</v>
      </c>
      <c r="AN158">
        <v>3</v>
      </c>
      <c r="AO158">
        <v>0.5</v>
      </c>
      <c r="AP158" t="s">
        <v>331</v>
      </c>
      <c r="AQ158">
        <v>2</v>
      </c>
      <c r="AR158">
        <v>1775512044.099999</v>
      </c>
      <c r="AS158">
        <v>51.30992258064515</v>
      </c>
      <c r="AT158">
        <v>51.345032258064514</v>
      </c>
      <c r="AU158">
        <v>-2.2690983870967738</v>
      </c>
      <c r="AV158">
        <v>-2.9059316129032262</v>
      </c>
      <c r="AW158">
        <v>43.436922580645152</v>
      </c>
      <c r="AX158">
        <v>-1.2970983870967741</v>
      </c>
      <c r="AY158">
        <v>500.0066129032258</v>
      </c>
      <c r="AZ158">
        <v>100.1891935483871</v>
      </c>
      <c r="BA158">
        <v>3.717549354838709E-2</v>
      </c>
      <c r="BB158">
        <v>25.29792258064516</v>
      </c>
      <c r="BC158">
        <v>25.27725483870968</v>
      </c>
      <c r="BD158">
        <v>999.90000000000032</v>
      </c>
      <c r="BE158">
        <v>0</v>
      </c>
      <c r="BF158">
        <v>0</v>
      </c>
      <c r="BG158">
        <v>5000.6129032258068</v>
      </c>
      <c r="BH158">
        <v>0.41736577419354842</v>
      </c>
      <c r="BI158">
        <v>0.22961599999999999</v>
      </c>
      <c r="BJ158">
        <v>-1.9578816129032261E-4</v>
      </c>
      <c r="BK158">
        <v>51.22857419354839</v>
      </c>
      <c r="BL158">
        <v>51.196258064516137</v>
      </c>
      <c r="BM158">
        <v>0.63655535483870984</v>
      </c>
      <c r="BN158">
        <v>51.345032258064514</v>
      </c>
      <c r="BO158">
        <v>-2.9059316129032262</v>
      </c>
      <c r="BP158">
        <v>-0.22736706451612909</v>
      </c>
      <c r="BQ158">
        <v>-0.29114306451612898</v>
      </c>
      <c r="BR158">
        <v>-99.900000000000034</v>
      </c>
      <c r="BS158">
        <v>-99.900000000000034</v>
      </c>
      <c r="BT158">
        <v>0</v>
      </c>
      <c r="BU158">
        <v>0</v>
      </c>
      <c r="BV158">
        <v>0</v>
      </c>
      <c r="BW158">
        <v>24</v>
      </c>
      <c r="BX158">
        <v>-1</v>
      </c>
      <c r="BY158">
        <v>1775512074.0999999</v>
      </c>
      <c r="BZ158" t="s">
        <v>759</v>
      </c>
      <c r="CA158">
        <v>1775512070.0999999</v>
      </c>
      <c r="CB158">
        <v>1775512074.0999999</v>
      </c>
      <c r="CC158">
        <v>145</v>
      </c>
      <c r="CD158">
        <v>-3.5000000000000003E-2</v>
      </c>
      <c r="CE158">
        <v>0</v>
      </c>
      <c r="CF158">
        <v>7.8730000000000002</v>
      </c>
      <c r="CG158">
        <v>-0.97199999999999998</v>
      </c>
      <c r="CH158">
        <v>53</v>
      </c>
      <c r="CI158">
        <v>-3</v>
      </c>
      <c r="CJ158">
        <v>0.21</v>
      </c>
      <c r="CK158">
        <v>0.12</v>
      </c>
      <c r="CL158">
        <v>51.324908333333333</v>
      </c>
      <c r="CM158">
        <v>4.4513364823656358E-2</v>
      </c>
      <c r="CN158">
        <v>0.15353981274321751</v>
      </c>
      <c r="CO158">
        <v>-1</v>
      </c>
      <c r="CP158">
        <v>500.07199999999989</v>
      </c>
      <c r="CQ158">
        <v>-0.8299505418166383</v>
      </c>
      <c r="CR158">
        <v>0.28172433334733538</v>
      </c>
      <c r="CS158">
        <v>-1</v>
      </c>
      <c r="CT158">
        <v>0</v>
      </c>
      <c r="CU158">
        <v>0</v>
      </c>
      <c r="CV158" t="s">
        <v>333</v>
      </c>
      <c r="CW158">
        <v>3.1672899999999999</v>
      </c>
      <c r="CX158">
        <v>2.6585800000000002</v>
      </c>
      <c r="CY158">
        <v>1.2975199999999999E-2</v>
      </c>
      <c r="CZ158">
        <v>1.5321899999999999E-2</v>
      </c>
      <c r="DA158">
        <v>-1.16924E-2</v>
      </c>
      <c r="DB158">
        <v>-2.9478000000000001E-2</v>
      </c>
      <c r="DC158">
        <v>21357.4</v>
      </c>
      <c r="DD158">
        <v>21685.599999999999</v>
      </c>
      <c r="DE158">
        <v>23162.7</v>
      </c>
      <c r="DF158">
        <v>22371.7</v>
      </c>
      <c r="DG158">
        <v>30212.5</v>
      </c>
      <c r="DH158">
        <v>27453.4</v>
      </c>
      <c r="DI158">
        <v>40698.6</v>
      </c>
      <c r="DJ158">
        <v>37065</v>
      </c>
      <c r="DK158">
        <v>2.10338</v>
      </c>
      <c r="DL158">
        <v>1.8508</v>
      </c>
      <c r="DM158">
        <v>2.7352600000000001E-2</v>
      </c>
      <c r="DN158">
        <v>0</v>
      </c>
      <c r="DO158">
        <v>24.8325</v>
      </c>
      <c r="DP158">
        <v>999.9</v>
      </c>
      <c r="DQ158">
        <v>78.400000000000006</v>
      </c>
      <c r="DR158">
        <v>28.4</v>
      </c>
      <c r="DS158">
        <v>30.3931</v>
      </c>
      <c r="DT158">
        <v>30.8093</v>
      </c>
      <c r="DU158">
        <v>9.1867000000000001</v>
      </c>
      <c r="DV158">
        <v>1</v>
      </c>
      <c r="DW158">
        <v>6.1215400000000003E-2</v>
      </c>
      <c r="DX158">
        <v>-0.27999800000000002</v>
      </c>
      <c r="DY158">
        <v>20.367999999999999</v>
      </c>
      <c r="DZ158">
        <v>5.21286</v>
      </c>
      <c r="EA158">
        <v>11.8482</v>
      </c>
      <c r="EB158">
        <v>4.9677600000000002</v>
      </c>
      <c r="EC158">
        <v>3.2920199999999999</v>
      </c>
      <c r="ED158">
        <v>894.7</v>
      </c>
      <c r="EE158">
        <v>0</v>
      </c>
      <c r="EF158">
        <v>9999</v>
      </c>
      <c r="EG158">
        <v>115.3</v>
      </c>
      <c r="EH158">
        <v>4.9716500000000003</v>
      </c>
      <c r="EI158">
        <v>1.8717999999999999</v>
      </c>
      <c r="EJ158">
        <v>1.86897</v>
      </c>
      <c r="EK158">
        <v>1.87134</v>
      </c>
      <c r="EL158">
        <v>1.8690500000000001</v>
      </c>
      <c r="EM158">
        <v>1.8680000000000001</v>
      </c>
      <c r="EN158">
        <v>1.86985</v>
      </c>
      <c r="EO158">
        <v>1.8717200000000001</v>
      </c>
      <c r="EP158">
        <v>0</v>
      </c>
      <c r="EQ158">
        <v>0</v>
      </c>
      <c r="ER158">
        <v>0</v>
      </c>
      <c r="ES158">
        <v>0</v>
      </c>
      <c r="ET158" t="s">
        <v>334</v>
      </c>
      <c r="EU158" t="s">
        <v>335</v>
      </c>
      <c r="EV158" t="s">
        <v>336</v>
      </c>
      <c r="EW158" t="s">
        <v>336</v>
      </c>
      <c r="EX158" t="s">
        <v>336</v>
      </c>
      <c r="EY158" t="s">
        <v>336</v>
      </c>
      <c r="EZ158">
        <v>0</v>
      </c>
      <c r="FA158">
        <v>100</v>
      </c>
      <c r="FB158">
        <v>100</v>
      </c>
      <c r="FC158">
        <v>7.8730000000000002</v>
      </c>
      <c r="FD158">
        <v>-0.97199999999999998</v>
      </c>
      <c r="FE158">
        <v>7.9079049999999924</v>
      </c>
      <c r="FF158">
        <v>0</v>
      </c>
      <c r="FG158">
        <v>0</v>
      </c>
      <c r="FH158">
        <v>0</v>
      </c>
      <c r="FI158">
        <v>-0.97227799999999998</v>
      </c>
      <c r="FJ158">
        <v>0</v>
      </c>
      <c r="FK158">
        <v>0</v>
      </c>
      <c r="FL158">
        <v>0</v>
      </c>
      <c r="FM158">
        <v>-1</v>
      </c>
      <c r="FN158">
        <v>-1</v>
      </c>
      <c r="FO158">
        <v>-1</v>
      </c>
      <c r="FP158">
        <v>-1</v>
      </c>
      <c r="FQ158">
        <v>0.6</v>
      </c>
      <c r="FR158">
        <v>0.7</v>
      </c>
      <c r="FS158">
        <v>0.142822</v>
      </c>
      <c r="FT158">
        <v>4.99756</v>
      </c>
      <c r="FU158">
        <v>1.5979000000000001</v>
      </c>
      <c r="FV158">
        <v>2.1594199999999999</v>
      </c>
      <c r="FW158">
        <v>1.5478499999999999</v>
      </c>
      <c r="FX158">
        <v>2.4194300000000002</v>
      </c>
      <c r="FY158">
        <v>32.731299999999997</v>
      </c>
      <c r="FZ158">
        <v>15.681800000000001</v>
      </c>
      <c r="GA158">
        <v>3</v>
      </c>
      <c r="GB158">
        <v>492.53</v>
      </c>
      <c r="GC158">
        <v>422.36099999999999</v>
      </c>
      <c r="GD158">
        <v>26.081299999999999</v>
      </c>
      <c r="GE158">
        <v>27.937000000000001</v>
      </c>
      <c r="GF158">
        <v>30.0001</v>
      </c>
      <c r="GG158">
        <v>28.255400000000002</v>
      </c>
      <c r="GH158">
        <v>28.3108</v>
      </c>
      <c r="GI158">
        <v>-1</v>
      </c>
      <c r="GJ158">
        <v>0</v>
      </c>
      <c r="GK158">
        <v>100</v>
      </c>
      <c r="GL158">
        <v>26.0822</v>
      </c>
      <c r="GM158">
        <v>432.1</v>
      </c>
      <c r="GN158">
        <v>63.216500000000003</v>
      </c>
      <c r="GO158">
        <v>102.453</v>
      </c>
      <c r="GP158">
        <v>96.726799999999997</v>
      </c>
    </row>
    <row r="159" spans="1:198" x14ac:dyDescent="0.35">
      <c r="A159">
        <v>143</v>
      </c>
      <c r="B159">
        <v>1775512112.0999999</v>
      </c>
      <c r="C159">
        <v>8521.0999999046326</v>
      </c>
      <c r="D159" t="s">
        <v>760</v>
      </c>
      <c r="E159" t="s">
        <v>761</v>
      </c>
      <c r="F159">
        <v>60</v>
      </c>
      <c r="G159">
        <v>1775512104.099999</v>
      </c>
      <c r="H159">
        <f t="shared" si="120"/>
        <v>1.0437798084873156E-3</v>
      </c>
      <c r="I159">
        <f t="shared" si="121"/>
        <v>1.0437798084873156</v>
      </c>
      <c r="J159">
        <f t="shared" si="122"/>
        <v>-0.81121241609363359</v>
      </c>
      <c r="K159">
        <f t="shared" si="123"/>
        <v>51.237806451612911</v>
      </c>
      <c r="L159">
        <f t="shared" si="124"/>
        <v>90.79002915993604</v>
      </c>
      <c r="M159">
        <f t="shared" si="125"/>
        <v>9.0995881660181688</v>
      </c>
      <c r="N159">
        <f t="shared" si="126"/>
        <v>5.1353980338357541</v>
      </c>
      <c r="O159">
        <f t="shared" si="127"/>
        <v>2.9995250637646648E-2</v>
      </c>
      <c r="P159">
        <f t="shared" si="128"/>
        <v>2.3906356400604638</v>
      </c>
      <c r="Q159">
        <f t="shared" si="129"/>
        <v>2.9787729140821256E-2</v>
      </c>
      <c r="R159">
        <f t="shared" si="130"/>
        <v>1.8635855891135034E-2</v>
      </c>
      <c r="S159">
        <f t="shared" si="131"/>
        <v>0</v>
      </c>
      <c r="T159">
        <f t="shared" si="132"/>
        <v>24.965778578554449</v>
      </c>
      <c r="U159">
        <f t="shared" si="133"/>
        <v>25.268106451612901</v>
      </c>
      <c r="V159">
        <f t="shared" si="134"/>
        <v>3.2308587584012551</v>
      </c>
      <c r="W159">
        <f t="shared" si="135"/>
        <v>-7.0629859579195209</v>
      </c>
      <c r="X159">
        <f t="shared" si="136"/>
        <v>-0.22854440430882586</v>
      </c>
      <c r="Y159">
        <f t="shared" si="137"/>
        <v>3.2358043137911898</v>
      </c>
      <c r="Z159">
        <f t="shared" si="138"/>
        <v>3.459403162710081</v>
      </c>
      <c r="AA159">
        <f t="shared" si="139"/>
        <v>-46.030689554290618</v>
      </c>
      <c r="AB159">
        <f t="shared" si="140"/>
        <v>3.313564743730689</v>
      </c>
      <c r="AC159">
        <f t="shared" si="141"/>
        <v>0.29401526671426143</v>
      </c>
      <c r="AD159">
        <f t="shared" si="142"/>
        <v>-42.423109543845669</v>
      </c>
      <c r="AE159">
        <v>18</v>
      </c>
      <c r="AF159">
        <v>4</v>
      </c>
      <c r="AG159">
        <f t="shared" si="143"/>
        <v>1</v>
      </c>
      <c r="AH159">
        <f t="shared" si="144"/>
        <v>0</v>
      </c>
      <c r="AI159">
        <f t="shared" si="145"/>
        <v>25701.159371330014</v>
      </c>
      <c r="AJ159">
        <f t="shared" si="146"/>
        <v>0</v>
      </c>
      <c r="AK159">
        <f t="shared" si="147"/>
        <v>0</v>
      </c>
      <c r="AL159">
        <f t="shared" si="148"/>
        <v>0</v>
      </c>
      <c r="AM159">
        <f t="shared" si="149"/>
        <v>0</v>
      </c>
      <c r="AN159">
        <v>3</v>
      </c>
      <c r="AO159">
        <v>0.5</v>
      </c>
      <c r="AP159" t="s">
        <v>331</v>
      </c>
      <c r="AQ159">
        <v>2</v>
      </c>
      <c r="AR159">
        <v>1775512104.099999</v>
      </c>
      <c r="AS159">
        <v>51.237806451612911</v>
      </c>
      <c r="AT159">
        <v>50.783170967741931</v>
      </c>
      <c r="AU159">
        <v>-2.2802738709677421</v>
      </c>
      <c r="AV159">
        <v>-2.9079651612903219</v>
      </c>
      <c r="AW159">
        <v>43.43680645161291</v>
      </c>
      <c r="AX159">
        <v>-1.3072738709677421</v>
      </c>
      <c r="AY159">
        <v>500.00370967741941</v>
      </c>
      <c r="AZ159">
        <v>100.1894516129032</v>
      </c>
      <c r="BA159">
        <v>3.7283087096774192E-2</v>
      </c>
      <c r="BB159">
        <v>25.293816129032251</v>
      </c>
      <c r="BC159">
        <v>25.268106451612901</v>
      </c>
      <c r="BD159">
        <v>999.90000000000032</v>
      </c>
      <c r="BE159">
        <v>0</v>
      </c>
      <c r="BF159">
        <v>0</v>
      </c>
      <c r="BG159">
        <v>4997.2419354838712</v>
      </c>
      <c r="BH159">
        <v>0.3998559032258065</v>
      </c>
      <c r="BI159">
        <v>0.22961599999999999</v>
      </c>
      <c r="BJ159">
        <v>0.52617825806451612</v>
      </c>
      <c r="BK159">
        <v>51.192683870967727</v>
      </c>
      <c r="BL159">
        <v>50.635919354838713</v>
      </c>
      <c r="BM159">
        <v>0.62885806451612902</v>
      </c>
      <c r="BN159">
        <v>50.783170967741931</v>
      </c>
      <c r="BO159">
        <v>-2.9079651612903219</v>
      </c>
      <c r="BP159">
        <v>-0.2283426451612903</v>
      </c>
      <c r="BQ159">
        <v>-0.2913476451612903</v>
      </c>
      <c r="BR159">
        <v>-99.900000000000034</v>
      </c>
      <c r="BS159">
        <v>-99.900000000000034</v>
      </c>
      <c r="BT159">
        <v>0</v>
      </c>
      <c r="BU159">
        <v>0</v>
      </c>
      <c r="BV159">
        <v>0</v>
      </c>
      <c r="BW159">
        <v>24</v>
      </c>
      <c r="BX159">
        <v>-1</v>
      </c>
      <c r="BY159">
        <v>1775512131.5999999</v>
      </c>
      <c r="BZ159" t="s">
        <v>762</v>
      </c>
      <c r="CA159">
        <v>1775512131.5999999</v>
      </c>
      <c r="CB159">
        <v>1775512131.0999999</v>
      </c>
      <c r="CC159">
        <v>146</v>
      </c>
      <c r="CD159">
        <v>-7.1999999999999995E-2</v>
      </c>
      <c r="CE159">
        <v>-2E-3</v>
      </c>
      <c r="CF159">
        <v>7.8010000000000002</v>
      </c>
      <c r="CG159">
        <v>-0.97299999999999998</v>
      </c>
      <c r="CH159">
        <v>51</v>
      </c>
      <c r="CI159">
        <v>-3</v>
      </c>
      <c r="CJ159">
        <v>0.35</v>
      </c>
      <c r="CK159">
        <v>0.1</v>
      </c>
      <c r="CL159">
        <v>51.389883333333337</v>
      </c>
      <c r="CM159">
        <v>-4.6139496526811978</v>
      </c>
      <c r="CN159">
        <v>0.68069284854151024</v>
      </c>
      <c r="CO159">
        <v>-1</v>
      </c>
      <c r="CP159">
        <v>500.07918333333328</v>
      </c>
      <c r="CQ159">
        <v>-0.91702472909063748</v>
      </c>
      <c r="CR159">
        <v>0.29952654260051931</v>
      </c>
      <c r="CS159">
        <v>-1</v>
      </c>
      <c r="CT159">
        <v>0</v>
      </c>
      <c r="CU159">
        <v>0</v>
      </c>
      <c r="CV159" t="s">
        <v>333</v>
      </c>
      <c r="CW159">
        <v>3.1673399999999998</v>
      </c>
      <c r="CX159">
        <v>2.65882</v>
      </c>
      <c r="CY159">
        <v>1.28307E-2</v>
      </c>
      <c r="CZ159">
        <v>1.5094E-2</v>
      </c>
      <c r="DA159">
        <v>-1.17844E-2</v>
      </c>
      <c r="DB159">
        <v>-2.9466699999999998E-2</v>
      </c>
      <c r="DC159">
        <v>21360.7</v>
      </c>
      <c r="DD159">
        <v>21690.7</v>
      </c>
      <c r="DE159">
        <v>23162.799999999999</v>
      </c>
      <c r="DF159">
        <v>22371.8</v>
      </c>
      <c r="DG159">
        <v>30215.4</v>
      </c>
      <c r="DH159">
        <v>27453.3</v>
      </c>
      <c r="DI159">
        <v>40698.9</v>
      </c>
      <c r="DJ159">
        <v>37065.1</v>
      </c>
      <c r="DK159">
        <v>2.10364</v>
      </c>
      <c r="DL159">
        <v>1.8512599999999999</v>
      </c>
      <c r="DM159">
        <v>2.72453E-2</v>
      </c>
      <c r="DN159">
        <v>0</v>
      </c>
      <c r="DO159">
        <v>24.82</v>
      </c>
      <c r="DP159">
        <v>999.9</v>
      </c>
      <c r="DQ159">
        <v>78.3</v>
      </c>
      <c r="DR159">
        <v>28.4</v>
      </c>
      <c r="DS159">
        <v>30.353999999999999</v>
      </c>
      <c r="DT159">
        <v>30.869299999999999</v>
      </c>
      <c r="DU159">
        <v>9.4270899999999997</v>
      </c>
      <c r="DV159">
        <v>1</v>
      </c>
      <c r="DW159">
        <v>6.0662599999999997E-2</v>
      </c>
      <c r="DX159">
        <v>-0.28993000000000002</v>
      </c>
      <c r="DY159">
        <v>20.367899999999999</v>
      </c>
      <c r="DZ159">
        <v>5.21441</v>
      </c>
      <c r="EA159">
        <v>11.8482</v>
      </c>
      <c r="EB159">
        <v>4.9687200000000002</v>
      </c>
      <c r="EC159">
        <v>3.2920600000000002</v>
      </c>
      <c r="ED159">
        <v>894.7</v>
      </c>
      <c r="EE159">
        <v>0</v>
      </c>
      <c r="EF159">
        <v>9999</v>
      </c>
      <c r="EG159">
        <v>115.4</v>
      </c>
      <c r="EH159">
        <v>4.9716399999999998</v>
      </c>
      <c r="EI159">
        <v>1.8717999999999999</v>
      </c>
      <c r="EJ159">
        <v>1.86894</v>
      </c>
      <c r="EK159">
        <v>1.8713500000000001</v>
      </c>
      <c r="EL159">
        <v>1.8690500000000001</v>
      </c>
      <c r="EM159">
        <v>1.8680099999999999</v>
      </c>
      <c r="EN159">
        <v>1.8698399999999999</v>
      </c>
      <c r="EO159">
        <v>1.8717200000000001</v>
      </c>
      <c r="EP159">
        <v>0</v>
      </c>
      <c r="EQ159">
        <v>0</v>
      </c>
      <c r="ER159">
        <v>0</v>
      </c>
      <c r="ES159">
        <v>0</v>
      </c>
      <c r="ET159" t="s">
        <v>334</v>
      </c>
      <c r="EU159" t="s">
        <v>335</v>
      </c>
      <c r="EV159" t="s">
        <v>336</v>
      </c>
      <c r="EW159" t="s">
        <v>336</v>
      </c>
      <c r="EX159" t="s">
        <v>336</v>
      </c>
      <c r="EY159" t="s">
        <v>336</v>
      </c>
      <c r="EZ159">
        <v>0</v>
      </c>
      <c r="FA159">
        <v>100</v>
      </c>
      <c r="FB159">
        <v>100</v>
      </c>
      <c r="FC159">
        <v>7.8010000000000002</v>
      </c>
      <c r="FD159">
        <v>-0.97299999999999998</v>
      </c>
      <c r="FE159">
        <v>7.8725400000000008</v>
      </c>
      <c r="FF159">
        <v>0</v>
      </c>
      <c r="FG159">
        <v>0</v>
      </c>
      <c r="FH159">
        <v>0</v>
      </c>
      <c r="FI159">
        <v>-0.97183350000000068</v>
      </c>
      <c r="FJ159">
        <v>0</v>
      </c>
      <c r="FK159">
        <v>0</v>
      </c>
      <c r="FL159">
        <v>0</v>
      </c>
      <c r="FM159">
        <v>-1</v>
      </c>
      <c r="FN159">
        <v>-1</v>
      </c>
      <c r="FO159">
        <v>-1</v>
      </c>
      <c r="FP159">
        <v>-1</v>
      </c>
      <c r="FQ159">
        <v>0.7</v>
      </c>
      <c r="FR159">
        <v>0.6</v>
      </c>
      <c r="FS159">
        <v>0.142822</v>
      </c>
      <c r="FT159">
        <v>4.99756</v>
      </c>
      <c r="FU159">
        <v>1.5979000000000001</v>
      </c>
      <c r="FV159">
        <v>2.1581999999999999</v>
      </c>
      <c r="FW159">
        <v>1.5478499999999999</v>
      </c>
      <c r="FX159">
        <v>2.4243199999999998</v>
      </c>
      <c r="FY159">
        <v>32.731299999999997</v>
      </c>
      <c r="FZ159">
        <v>15.6731</v>
      </c>
      <c r="GA159">
        <v>3</v>
      </c>
      <c r="GB159">
        <v>492.61399999999998</v>
      </c>
      <c r="GC159">
        <v>422.565</v>
      </c>
      <c r="GD159">
        <v>26.063199999999998</v>
      </c>
      <c r="GE159">
        <v>27.927499999999998</v>
      </c>
      <c r="GF159">
        <v>30.0001</v>
      </c>
      <c r="GG159">
        <v>28.247299999999999</v>
      </c>
      <c r="GH159">
        <v>28.301600000000001</v>
      </c>
      <c r="GI159">
        <v>-1</v>
      </c>
      <c r="GJ159">
        <v>0</v>
      </c>
      <c r="GK159">
        <v>100</v>
      </c>
      <c r="GL159">
        <v>26.066299999999998</v>
      </c>
      <c r="GM159">
        <v>432.1</v>
      </c>
      <c r="GN159">
        <v>63.216500000000003</v>
      </c>
      <c r="GO159">
        <v>102.453</v>
      </c>
      <c r="GP159">
        <v>96.727099999999993</v>
      </c>
    </row>
    <row r="160" spans="1:198" x14ac:dyDescent="0.35">
      <c r="A160">
        <v>144</v>
      </c>
      <c r="B160">
        <v>1775512172.0999999</v>
      </c>
      <c r="C160">
        <v>8581.0999999046326</v>
      </c>
      <c r="D160" t="s">
        <v>763</v>
      </c>
      <c r="E160" t="s">
        <v>764</v>
      </c>
      <c r="F160">
        <v>60</v>
      </c>
      <c r="G160">
        <v>1775512164.349999</v>
      </c>
      <c r="H160">
        <f t="shared" si="120"/>
        <v>1.0384800606458714E-3</v>
      </c>
      <c r="I160">
        <f t="shared" si="121"/>
        <v>1.0384800606458715</v>
      </c>
      <c r="J160">
        <f t="shared" si="122"/>
        <v>0.5164885532726905</v>
      </c>
      <c r="K160">
        <f t="shared" si="123"/>
        <v>51.374816666666668</v>
      </c>
      <c r="L160">
        <f t="shared" si="124"/>
        <v>21.466241469975941</v>
      </c>
      <c r="M160">
        <f t="shared" si="125"/>
        <v>2.151517344040434</v>
      </c>
      <c r="N160">
        <f t="shared" si="126"/>
        <v>5.1491924778648626</v>
      </c>
      <c r="O160">
        <f t="shared" si="127"/>
        <v>2.9829314885139138E-2</v>
      </c>
      <c r="P160">
        <f t="shared" si="128"/>
        <v>2.3934862458618427</v>
      </c>
      <c r="Q160">
        <f t="shared" si="129"/>
        <v>2.9624317230943008E-2</v>
      </c>
      <c r="R160">
        <f t="shared" si="130"/>
        <v>1.8533498933431237E-2</v>
      </c>
      <c r="S160">
        <f t="shared" si="131"/>
        <v>0</v>
      </c>
      <c r="T160">
        <f t="shared" si="132"/>
        <v>24.973136526092063</v>
      </c>
      <c r="U160">
        <f t="shared" si="133"/>
        <v>25.275693333333329</v>
      </c>
      <c r="V160">
        <f t="shared" si="134"/>
        <v>3.2323174959421141</v>
      </c>
      <c r="W160">
        <f t="shared" si="135"/>
        <v>-7.0600828695895084</v>
      </c>
      <c r="X160">
        <f t="shared" si="136"/>
        <v>-0.22852296323046742</v>
      </c>
      <c r="Y160">
        <f t="shared" si="137"/>
        <v>3.2368311739626128</v>
      </c>
      <c r="Z160">
        <f t="shared" si="138"/>
        <v>3.4608404591725814</v>
      </c>
      <c r="AA160">
        <f t="shared" si="139"/>
        <v>-45.796970674482928</v>
      </c>
      <c r="AB160">
        <f t="shared" si="140"/>
        <v>3.0267926857870608</v>
      </c>
      <c r="AC160">
        <f t="shared" si="141"/>
        <v>0.26826731881998861</v>
      </c>
      <c r="AD160">
        <f t="shared" si="142"/>
        <v>-42.501910669875883</v>
      </c>
      <c r="AE160">
        <v>18</v>
      </c>
      <c r="AF160">
        <v>4</v>
      </c>
      <c r="AG160">
        <f t="shared" si="143"/>
        <v>1</v>
      </c>
      <c r="AH160">
        <f t="shared" si="144"/>
        <v>0</v>
      </c>
      <c r="AI160">
        <f t="shared" si="145"/>
        <v>25744.278004506923</v>
      </c>
      <c r="AJ160">
        <f t="shared" si="146"/>
        <v>0</v>
      </c>
      <c r="AK160">
        <f t="shared" si="147"/>
        <v>0</v>
      </c>
      <c r="AL160">
        <f t="shared" si="148"/>
        <v>0</v>
      </c>
      <c r="AM160">
        <f t="shared" si="149"/>
        <v>0</v>
      </c>
      <c r="AN160">
        <v>3</v>
      </c>
      <c r="AO160">
        <v>0.5</v>
      </c>
      <c r="AP160" t="s">
        <v>331</v>
      </c>
      <c r="AQ160">
        <v>2</v>
      </c>
      <c r="AR160">
        <v>1775512164.349999</v>
      </c>
      <c r="AS160">
        <v>51.374816666666668</v>
      </c>
      <c r="AT160">
        <v>51.716713333333331</v>
      </c>
      <c r="AU160">
        <v>-2.2800323333333332</v>
      </c>
      <c r="AV160">
        <v>-2.9045273333333328</v>
      </c>
      <c r="AW160">
        <v>43.534816666666671</v>
      </c>
      <c r="AX160">
        <v>-1.306032333333333</v>
      </c>
      <c r="AY160">
        <v>500.01096666666672</v>
      </c>
      <c r="AZ160">
        <v>100.19070000000001</v>
      </c>
      <c r="BA160">
        <v>3.7248476666666669E-2</v>
      </c>
      <c r="BB160">
        <v>25.29914999999999</v>
      </c>
      <c r="BC160">
        <v>25.275693333333329</v>
      </c>
      <c r="BD160">
        <v>999.9000000000002</v>
      </c>
      <c r="BE160">
        <v>0</v>
      </c>
      <c r="BF160">
        <v>0</v>
      </c>
      <c r="BG160">
        <v>5004.5166666666664</v>
      </c>
      <c r="BH160">
        <v>0.39850966666666671</v>
      </c>
      <c r="BI160">
        <v>0.22961599999999999</v>
      </c>
      <c r="BJ160">
        <v>-0.38134026666666659</v>
      </c>
      <c r="BK160">
        <v>51.218619999999987</v>
      </c>
      <c r="BL160">
        <v>51.566929999999999</v>
      </c>
      <c r="BM160">
        <v>0.62508573333333339</v>
      </c>
      <c r="BN160">
        <v>51.716713333333331</v>
      </c>
      <c r="BO160">
        <v>-2.9045273333333328</v>
      </c>
      <c r="BP160">
        <v>-0.22837879999999999</v>
      </c>
      <c r="BQ160">
        <v>-0.29100653333333332</v>
      </c>
      <c r="BR160">
        <v>-99.900000000000034</v>
      </c>
      <c r="BS160">
        <v>-99.900000000000034</v>
      </c>
      <c r="BT160">
        <v>0</v>
      </c>
      <c r="BU160">
        <v>0</v>
      </c>
      <c r="BV160">
        <v>0</v>
      </c>
      <c r="BW160">
        <v>24</v>
      </c>
      <c r="BX160">
        <v>-1</v>
      </c>
      <c r="BY160">
        <v>1775512192.0999999</v>
      </c>
      <c r="BZ160" t="s">
        <v>765</v>
      </c>
      <c r="CA160">
        <v>1775512187.0999999</v>
      </c>
      <c r="CB160">
        <v>1775512192.0999999</v>
      </c>
      <c r="CC160">
        <v>147</v>
      </c>
      <c r="CD160">
        <v>3.9E-2</v>
      </c>
      <c r="CE160">
        <v>-1E-3</v>
      </c>
      <c r="CF160">
        <v>7.84</v>
      </c>
      <c r="CG160">
        <v>-0.97399999999999998</v>
      </c>
      <c r="CH160">
        <v>51</v>
      </c>
      <c r="CI160">
        <v>-3</v>
      </c>
      <c r="CJ160">
        <v>0.15</v>
      </c>
      <c r="CK160">
        <v>0.11</v>
      </c>
      <c r="CL160">
        <v>51.537968852459016</v>
      </c>
      <c r="CM160">
        <v>1.3817628767848451</v>
      </c>
      <c r="CN160">
        <v>0.24052384806677141</v>
      </c>
      <c r="CO160">
        <v>-1</v>
      </c>
      <c r="CP160">
        <v>500.01267213114761</v>
      </c>
      <c r="CQ160">
        <v>-9.7643574827427873E-2</v>
      </c>
      <c r="CR160">
        <v>6.2704804457199836E-2</v>
      </c>
      <c r="CS160">
        <v>-1</v>
      </c>
      <c r="CT160">
        <v>0</v>
      </c>
      <c r="CU160">
        <v>0</v>
      </c>
      <c r="CV160" t="s">
        <v>333</v>
      </c>
      <c r="CW160">
        <v>3.16736</v>
      </c>
      <c r="CX160">
        <v>2.6587200000000002</v>
      </c>
      <c r="CY160">
        <v>1.3074499999999999E-2</v>
      </c>
      <c r="CZ160">
        <v>1.5532799999999999E-2</v>
      </c>
      <c r="DA160">
        <v>-1.1766799999999999E-2</v>
      </c>
      <c r="DB160">
        <v>-2.94249E-2</v>
      </c>
      <c r="DC160">
        <v>21355.3</v>
      </c>
      <c r="DD160">
        <v>21681.4</v>
      </c>
      <c r="DE160">
        <v>23162.7</v>
      </c>
      <c r="DF160">
        <v>22372.1</v>
      </c>
      <c r="DG160">
        <v>30214.799999999999</v>
      </c>
      <c r="DH160">
        <v>27452.6</v>
      </c>
      <c r="DI160">
        <v>40698.699999999997</v>
      </c>
      <c r="DJ160">
        <v>37065.800000000003</v>
      </c>
      <c r="DK160">
        <v>2.1036000000000001</v>
      </c>
      <c r="DL160">
        <v>1.8513200000000001</v>
      </c>
      <c r="DM160">
        <v>2.8669799999999999E-2</v>
      </c>
      <c r="DN160">
        <v>0</v>
      </c>
      <c r="DO160">
        <v>24.813700000000001</v>
      </c>
      <c r="DP160">
        <v>999.9</v>
      </c>
      <c r="DQ160">
        <v>78.3</v>
      </c>
      <c r="DR160">
        <v>28.4</v>
      </c>
      <c r="DS160">
        <v>30.357600000000001</v>
      </c>
      <c r="DT160">
        <v>30.539300000000001</v>
      </c>
      <c r="DU160">
        <v>9.0665099999999992</v>
      </c>
      <c r="DV160">
        <v>1</v>
      </c>
      <c r="DW160">
        <v>6.0128000000000001E-2</v>
      </c>
      <c r="DX160">
        <v>-0.28789100000000001</v>
      </c>
      <c r="DY160">
        <v>20.367999999999999</v>
      </c>
      <c r="DZ160">
        <v>5.21441</v>
      </c>
      <c r="EA160">
        <v>11.8482</v>
      </c>
      <c r="EB160">
        <v>4.9690399999999997</v>
      </c>
      <c r="EC160">
        <v>3.2920799999999999</v>
      </c>
      <c r="ED160">
        <v>894.7</v>
      </c>
      <c r="EE160">
        <v>0</v>
      </c>
      <c r="EF160">
        <v>9999</v>
      </c>
      <c r="EG160">
        <v>115.4</v>
      </c>
      <c r="EH160">
        <v>4.9716399999999998</v>
      </c>
      <c r="EI160">
        <v>1.8717999999999999</v>
      </c>
      <c r="EJ160">
        <v>1.8689499999999999</v>
      </c>
      <c r="EK160">
        <v>1.87134</v>
      </c>
      <c r="EL160">
        <v>1.8690500000000001</v>
      </c>
      <c r="EM160">
        <v>1.86802</v>
      </c>
      <c r="EN160">
        <v>1.8698300000000001</v>
      </c>
      <c r="EO160">
        <v>1.87168</v>
      </c>
      <c r="EP160">
        <v>0</v>
      </c>
      <c r="EQ160">
        <v>0</v>
      </c>
      <c r="ER160">
        <v>0</v>
      </c>
      <c r="ES160">
        <v>0</v>
      </c>
      <c r="ET160" t="s">
        <v>334</v>
      </c>
      <c r="EU160" t="s">
        <v>335</v>
      </c>
      <c r="EV160" t="s">
        <v>336</v>
      </c>
      <c r="EW160" t="s">
        <v>336</v>
      </c>
      <c r="EX160" t="s">
        <v>336</v>
      </c>
      <c r="EY160" t="s">
        <v>336</v>
      </c>
      <c r="EZ160">
        <v>0</v>
      </c>
      <c r="FA160">
        <v>100</v>
      </c>
      <c r="FB160">
        <v>100</v>
      </c>
      <c r="FC160">
        <v>7.84</v>
      </c>
      <c r="FD160">
        <v>-0.97399999999999998</v>
      </c>
      <c r="FE160">
        <v>7.8005523809523822</v>
      </c>
      <c r="FF160">
        <v>0</v>
      </c>
      <c r="FG160">
        <v>0</v>
      </c>
      <c r="FH160">
        <v>0</v>
      </c>
      <c r="FI160">
        <v>-0.97340899999999952</v>
      </c>
      <c r="FJ160">
        <v>0</v>
      </c>
      <c r="FK160">
        <v>0</v>
      </c>
      <c r="FL160">
        <v>0</v>
      </c>
      <c r="FM160">
        <v>-1</v>
      </c>
      <c r="FN160">
        <v>-1</v>
      </c>
      <c r="FO160">
        <v>-1</v>
      </c>
      <c r="FP160">
        <v>-1</v>
      </c>
      <c r="FQ160">
        <v>0.7</v>
      </c>
      <c r="FR160">
        <v>0.7</v>
      </c>
      <c r="FS160">
        <v>0.142822</v>
      </c>
      <c r="FT160">
        <v>4.99756</v>
      </c>
      <c r="FU160">
        <v>1.5979000000000001</v>
      </c>
      <c r="FV160">
        <v>2.1594199999999999</v>
      </c>
      <c r="FW160">
        <v>1.5478499999999999</v>
      </c>
      <c r="FX160">
        <v>2.36694</v>
      </c>
      <c r="FY160">
        <v>32.731299999999997</v>
      </c>
      <c r="FZ160">
        <v>15.664300000000001</v>
      </c>
      <c r="GA160">
        <v>3</v>
      </c>
      <c r="GB160">
        <v>492.51600000000002</v>
      </c>
      <c r="GC160">
        <v>422.548</v>
      </c>
      <c r="GD160">
        <v>26.0913</v>
      </c>
      <c r="GE160">
        <v>27.917899999999999</v>
      </c>
      <c r="GF160">
        <v>30.0001</v>
      </c>
      <c r="GG160">
        <v>28.2378</v>
      </c>
      <c r="GH160">
        <v>28.2943</v>
      </c>
      <c r="GI160">
        <v>-1</v>
      </c>
      <c r="GJ160">
        <v>0</v>
      </c>
      <c r="GK160">
        <v>100</v>
      </c>
      <c r="GL160">
        <v>26.091000000000001</v>
      </c>
      <c r="GM160">
        <v>432.1</v>
      </c>
      <c r="GN160">
        <v>63.216500000000003</v>
      </c>
      <c r="GO160">
        <v>102.453</v>
      </c>
      <c r="GP160">
        <v>96.728800000000007</v>
      </c>
    </row>
    <row r="161" spans="1:198" x14ac:dyDescent="0.35">
      <c r="A161">
        <v>145</v>
      </c>
      <c r="B161">
        <v>1775512232.0999999</v>
      </c>
      <c r="C161">
        <v>8641.0999999046326</v>
      </c>
      <c r="D161" t="s">
        <v>766</v>
      </c>
      <c r="E161" t="s">
        <v>767</v>
      </c>
      <c r="F161">
        <v>60</v>
      </c>
      <c r="G161">
        <v>1775512224.099999</v>
      </c>
      <c r="H161">
        <f t="shared" si="120"/>
        <v>9.9318488377990195E-4</v>
      </c>
      <c r="I161">
        <f t="shared" si="121"/>
        <v>0.99318488377990188</v>
      </c>
      <c r="J161">
        <f t="shared" si="122"/>
        <v>0.72918326003763101</v>
      </c>
      <c r="K161">
        <f t="shared" si="123"/>
        <v>52.018793548387087</v>
      </c>
      <c r="L161">
        <f t="shared" si="124"/>
        <v>9.1569687805057978</v>
      </c>
      <c r="M161">
        <f t="shared" si="125"/>
        <v>0.91778657063680569</v>
      </c>
      <c r="N161">
        <f t="shared" si="126"/>
        <v>5.2137504543071156</v>
      </c>
      <c r="O161">
        <f t="shared" si="127"/>
        <v>2.8514653016027333E-2</v>
      </c>
      <c r="P161">
        <f t="shared" si="128"/>
        <v>2.3915462241227807</v>
      </c>
      <c r="Q161">
        <f t="shared" si="129"/>
        <v>2.8327114636060535E-2</v>
      </c>
      <c r="R161">
        <f t="shared" si="130"/>
        <v>1.7721193284477174E-2</v>
      </c>
      <c r="S161">
        <f t="shared" si="131"/>
        <v>0</v>
      </c>
      <c r="T161">
        <f t="shared" si="132"/>
        <v>24.990248865491861</v>
      </c>
      <c r="U161">
        <f t="shared" si="133"/>
        <v>25.279770967741939</v>
      </c>
      <c r="V161">
        <f t="shared" si="134"/>
        <v>3.2331017446315196</v>
      </c>
      <c r="W161">
        <f t="shared" si="135"/>
        <v>-7.0534989529661622</v>
      </c>
      <c r="X161">
        <f t="shared" si="136"/>
        <v>-0.22835228626385817</v>
      </c>
      <c r="Y161">
        <f t="shared" si="137"/>
        <v>3.2374327661568683</v>
      </c>
      <c r="Z161">
        <f t="shared" si="138"/>
        <v>3.4614540308953776</v>
      </c>
      <c r="AA161">
        <f t="shared" si="139"/>
        <v>-43.799453374693677</v>
      </c>
      <c r="AB161">
        <f t="shared" si="140"/>
        <v>2.9014093138175117</v>
      </c>
      <c r="AC161">
        <f t="shared" si="141"/>
        <v>0.25737240378290177</v>
      </c>
      <c r="AD161">
        <f t="shared" si="142"/>
        <v>-40.640671657093264</v>
      </c>
      <c r="AE161">
        <v>18</v>
      </c>
      <c r="AF161">
        <v>4</v>
      </c>
      <c r="AG161">
        <f t="shared" si="143"/>
        <v>1</v>
      </c>
      <c r="AH161">
        <f t="shared" si="144"/>
        <v>0</v>
      </c>
      <c r="AI161">
        <f t="shared" si="145"/>
        <v>25714.310504733781</v>
      </c>
      <c r="AJ161">
        <f t="shared" si="146"/>
        <v>0</v>
      </c>
      <c r="AK161">
        <f t="shared" si="147"/>
        <v>0</v>
      </c>
      <c r="AL161">
        <f t="shared" si="148"/>
        <v>0</v>
      </c>
      <c r="AM161">
        <f t="shared" si="149"/>
        <v>0</v>
      </c>
      <c r="AN161">
        <v>3</v>
      </c>
      <c r="AO161">
        <v>0.5</v>
      </c>
      <c r="AP161" t="s">
        <v>331</v>
      </c>
      <c r="AQ161">
        <v>2</v>
      </c>
      <c r="AR161">
        <v>1775512224.099999</v>
      </c>
      <c r="AS161">
        <v>52.018793548387087</v>
      </c>
      <c r="AT161">
        <v>52.487293548387079</v>
      </c>
      <c r="AU161">
        <v>-2.2783235483870969</v>
      </c>
      <c r="AV161">
        <v>-2.875581290322581</v>
      </c>
      <c r="AW161">
        <v>44.207793548387087</v>
      </c>
      <c r="AX161">
        <v>-1.296323548387097</v>
      </c>
      <c r="AY161">
        <v>500.00909677419372</v>
      </c>
      <c r="AZ161">
        <v>100.19083870967739</v>
      </c>
      <c r="BA161">
        <v>3.7369187096774198E-2</v>
      </c>
      <c r="BB161">
        <v>25.302274193548389</v>
      </c>
      <c r="BC161">
        <v>25.279770967741939</v>
      </c>
      <c r="BD161">
        <v>999.90000000000032</v>
      </c>
      <c r="BE161">
        <v>0</v>
      </c>
      <c r="BF161">
        <v>0</v>
      </c>
      <c r="BG161">
        <v>4999.5161290322594</v>
      </c>
      <c r="BH161">
        <v>0.39135032258064512</v>
      </c>
      <c r="BI161">
        <v>0.22961599999999999</v>
      </c>
      <c r="BJ161">
        <v>-0.43963403225806458</v>
      </c>
      <c r="BK161">
        <v>51.92974838709678</v>
      </c>
      <c r="BL161">
        <v>52.336783870967743</v>
      </c>
      <c r="BM161">
        <v>0.60532374193548388</v>
      </c>
      <c r="BN161">
        <v>52.487293548387079</v>
      </c>
      <c r="BO161">
        <v>-2.875581290322581</v>
      </c>
      <c r="BP161">
        <v>-0.22745899999999999</v>
      </c>
      <c r="BQ161">
        <v>-0.288107</v>
      </c>
      <c r="BR161">
        <v>-99.900000000000034</v>
      </c>
      <c r="BS161">
        <v>-99.900000000000034</v>
      </c>
      <c r="BT161">
        <v>0</v>
      </c>
      <c r="BU161">
        <v>0</v>
      </c>
      <c r="BV161">
        <v>0</v>
      </c>
      <c r="BW161">
        <v>24</v>
      </c>
      <c r="BX161">
        <v>-1</v>
      </c>
      <c r="BY161">
        <v>1775512252.0999999</v>
      </c>
      <c r="BZ161" t="s">
        <v>768</v>
      </c>
      <c r="CA161">
        <v>1775512252.0999999</v>
      </c>
      <c r="CB161">
        <v>1775512252.0999999</v>
      </c>
      <c r="CC161">
        <v>148</v>
      </c>
      <c r="CD161">
        <v>-2.9000000000000001E-2</v>
      </c>
      <c r="CE161">
        <v>-8.0000000000000002E-3</v>
      </c>
      <c r="CF161">
        <v>7.8109999999999999</v>
      </c>
      <c r="CG161">
        <v>-0.98199999999999998</v>
      </c>
      <c r="CH161">
        <v>51</v>
      </c>
      <c r="CI161">
        <v>-3</v>
      </c>
      <c r="CJ161">
        <v>0.32</v>
      </c>
      <c r="CK161">
        <v>0.14000000000000001</v>
      </c>
      <c r="CL161">
        <v>52.16251475409836</v>
      </c>
      <c r="CM161">
        <v>2.4477537810682319</v>
      </c>
      <c r="CN161">
        <v>0.43518948043430128</v>
      </c>
      <c r="CO161">
        <v>-1</v>
      </c>
      <c r="CP161">
        <v>500.00927868852449</v>
      </c>
      <c r="CQ161">
        <v>-4.9319936542141278E-2</v>
      </c>
      <c r="CR161">
        <v>4.9065072598537048E-2</v>
      </c>
      <c r="CS161">
        <v>-1</v>
      </c>
      <c r="CT161">
        <v>0</v>
      </c>
      <c r="CU161">
        <v>0</v>
      </c>
      <c r="CV161" t="s">
        <v>333</v>
      </c>
      <c r="CW161">
        <v>3.1672899999999999</v>
      </c>
      <c r="CX161">
        <v>2.65882</v>
      </c>
      <c r="CY161">
        <v>1.3268500000000001E-2</v>
      </c>
      <c r="CZ161">
        <v>1.5637399999999999E-2</v>
      </c>
      <c r="DA161">
        <v>-1.1609700000000001E-2</v>
      </c>
      <c r="DB161">
        <v>-2.8827499999999999E-2</v>
      </c>
      <c r="DC161">
        <v>21351.3</v>
      </c>
      <c r="DD161">
        <v>21679.200000000001</v>
      </c>
      <c r="DE161">
        <v>23162.9</v>
      </c>
      <c r="DF161">
        <v>22372.2</v>
      </c>
      <c r="DG161">
        <v>30210.3</v>
      </c>
      <c r="DH161">
        <v>27437</v>
      </c>
      <c r="DI161">
        <v>40698.9</v>
      </c>
      <c r="DJ161">
        <v>37065.9</v>
      </c>
      <c r="DK161">
        <v>2.10338</v>
      </c>
      <c r="DL161">
        <v>1.8512999999999999</v>
      </c>
      <c r="DM161">
        <v>2.8294300000000001E-2</v>
      </c>
      <c r="DN161">
        <v>0</v>
      </c>
      <c r="DO161">
        <v>24.815799999999999</v>
      </c>
      <c r="DP161">
        <v>999.9</v>
      </c>
      <c r="DQ161">
        <v>78.3</v>
      </c>
      <c r="DR161">
        <v>28.4</v>
      </c>
      <c r="DS161">
        <v>30.355899999999998</v>
      </c>
      <c r="DT161">
        <v>30.779299999999999</v>
      </c>
      <c r="DU161">
        <v>9.2387800000000002</v>
      </c>
      <c r="DV161">
        <v>1</v>
      </c>
      <c r="DW161">
        <v>5.9872000000000002E-2</v>
      </c>
      <c r="DX161">
        <v>-0.245758</v>
      </c>
      <c r="DY161">
        <v>20.368200000000002</v>
      </c>
      <c r="DZ161">
        <v>5.2135800000000003</v>
      </c>
      <c r="EA161">
        <v>11.8482</v>
      </c>
      <c r="EB161">
        <v>4.9687999999999999</v>
      </c>
      <c r="EC161">
        <v>3.2920400000000001</v>
      </c>
      <c r="ED161">
        <v>894.7</v>
      </c>
      <c r="EE161">
        <v>0</v>
      </c>
      <c r="EF161">
        <v>9999</v>
      </c>
      <c r="EG161">
        <v>115.4</v>
      </c>
      <c r="EH161">
        <v>4.9716399999999998</v>
      </c>
      <c r="EI161">
        <v>1.8717999999999999</v>
      </c>
      <c r="EJ161">
        <v>1.8689199999999999</v>
      </c>
      <c r="EK161">
        <v>1.87134</v>
      </c>
      <c r="EL161">
        <v>1.8690500000000001</v>
      </c>
      <c r="EM161">
        <v>1.86805</v>
      </c>
      <c r="EN161">
        <v>1.8698699999999999</v>
      </c>
      <c r="EO161">
        <v>1.87175</v>
      </c>
      <c r="EP161">
        <v>0</v>
      </c>
      <c r="EQ161">
        <v>0</v>
      </c>
      <c r="ER161">
        <v>0</v>
      </c>
      <c r="ES161">
        <v>0</v>
      </c>
      <c r="ET161" t="s">
        <v>334</v>
      </c>
      <c r="EU161" t="s">
        <v>335</v>
      </c>
      <c r="EV161" t="s">
        <v>336</v>
      </c>
      <c r="EW161" t="s">
        <v>336</v>
      </c>
      <c r="EX161" t="s">
        <v>336</v>
      </c>
      <c r="EY161" t="s">
        <v>336</v>
      </c>
      <c r="EZ161">
        <v>0</v>
      </c>
      <c r="FA161">
        <v>100</v>
      </c>
      <c r="FB161">
        <v>100</v>
      </c>
      <c r="FC161">
        <v>7.8109999999999999</v>
      </c>
      <c r="FD161">
        <v>-0.98199999999999998</v>
      </c>
      <c r="FE161">
        <v>7.8398600000000087</v>
      </c>
      <c r="FF161">
        <v>0</v>
      </c>
      <c r="FG161">
        <v>0</v>
      </c>
      <c r="FH161">
        <v>0</v>
      </c>
      <c r="FI161">
        <v>-0.97393400000000008</v>
      </c>
      <c r="FJ161">
        <v>0</v>
      </c>
      <c r="FK161">
        <v>0</v>
      </c>
      <c r="FL161">
        <v>0</v>
      </c>
      <c r="FM161">
        <v>-1</v>
      </c>
      <c r="FN161">
        <v>-1</v>
      </c>
      <c r="FO161">
        <v>-1</v>
      </c>
      <c r="FP161">
        <v>-1</v>
      </c>
      <c r="FQ161">
        <v>0.8</v>
      </c>
      <c r="FR161">
        <v>0.7</v>
      </c>
      <c r="FS161">
        <v>0.142822</v>
      </c>
      <c r="FT161">
        <v>4.99756</v>
      </c>
      <c r="FU161">
        <v>1.5979000000000001</v>
      </c>
      <c r="FV161">
        <v>2.1606399999999999</v>
      </c>
      <c r="FW161">
        <v>1.5478499999999999</v>
      </c>
      <c r="FX161">
        <v>2.4316399999999998</v>
      </c>
      <c r="FY161">
        <v>32.709099999999999</v>
      </c>
      <c r="FZ161">
        <v>15.664300000000001</v>
      </c>
      <c r="GA161">
        <v>3</v>
      </c>
      <c r="GB161">
        <v>492.34399999999999</v>
      </c>
      <c r="GC161">
        <v>422.49099999999999</v>
      </c>
      <c r="GD161">
        <v>26.0627</v>
      </c>
      <c r="GE161">
        <v>27.910799999999998</v>
      </c>
      <c r="GF161">
        <v>30.0001</v>
      </c>
      <c r="GG161">
        <v>28.2318</v>
      </c>
      <c r="GH161">
        <v>28.2879</v>
      </c>
      <c r="GI161">
        <v>-1</v>
      </c>
      <c r="GJ161">
        <v>0</v>
      </c>
      <c r="GK161">
        <v>100</v>
      </c>
      <c r="GL161">
        <v>26.059699999999999</v>
      </c>
      <c r="GM161">
        <v>432.1</v>
      </c>
      <c r="GN161">
        <v>63.216500000000003</v>
      </c>
      <c r="GO161">
        <v>102.45399999999999</v>
      </c>
      <c r="GP161">
        <v>96.729100000000003</v>
      </c>
    </row>
    <row r="162" spans="1:198" x14ac:dyDescent="0.35">
      <c r="A162">
        <v>146</v>
      </c>
      <c r="B162">
        <v>1775512292.0999999</v>
      </c>
      <c r="C162">
        <v>8701.0999999046326</v>
      </c>
      <c r="D162" t="s">
        <v>769</v>
      </c>
      <c r="E162" t="s">
        <v>770</v>
      </c>
      <c r="F162">
        <v>60</v>
      </c>
      <c r="G162">
        <v>1775512284.099999</v>
      </c>
      <c r="H162">
        <f t="shared" si="120"/>
        <v>1.0081694953052059E-3</v>
      </c>
      <c r="I162">
        <f t="shared" si="121"/>
        <v>1.0081694953052058</v>
      </c>
      <c r="J162">
        <f t="shared" si="122"/>
        <v>-0.10500485619004778</v>
      </c>
      <c r="K162">
        <f t="shared" si="123"/>
        <v>51.050003225806449</v>
      </c>
      <c r="L162">
        <f t="shared" si="124"/>
        <v>53.943835386780243</v>
      </c>
      <c r="M162">
        <f t="shared" si="125"/>
        <v>5.4067165460122926</v>
      </c>
      <c r="N162">
        <f t="shared" si="126"/>
        <v>5.1166717222815379</v>
      </c>
      <c r="O162">
        <f t="shared" si="127"/>
        <v>2.8960260921304475E-2</v>
      </c>
      <c r="P162">
        <f t="shared" si="128"/>
        <v>2.3922449540112023</v>
      </c>
      <c r="Q162">
        <f t="shared" si="129"/>
        <v>2.8766892837216937E-2</v>
      </c>
      <c r="R162">
        <f t="shared" si="130"/>
        <v>1.7996573626584821E-2</v>
      </c>
      <c r="S162">
        <f t="shared" si="131"/>
        <v>0</v>
      </c>
      <c r="T162">
        <f t="shared" si="132"/>
        <v>24.985313194800241</v>
      </c>
      <c r="U162">
        <f t="shared" si="133"/>
        <v>25.279664516129031</v>
      </c>
      <c r="V162">
        <f t="shared" si="134"/>
        <v>3.2330812687509467</v>
      </c>
      <c r="W162">
        <f t="shared" si="135"/>
        <v>-7.0078560933475806</v>
      </c>
      <c r="X162">
        <f t="shared" si="136"/>
        <v>-0.22687040666166719</v>
      </c>
      <c r="Y162">
        <f t="shared" si="137"/>
        <v>3.2373725093617542</v>
      </c>
      <c r="Z162">
        <f t="shared" si="138"/>
        <v>3.4599516754126141</v>
      </c>
      <c r="AA162">
        <f t="shared" si="139"/>
        <v>-44.460274742959577</v>
      </c>
      <c r="AB162">
        <f t="shared" si="140"/>
        <v>2.8756307975743756</v>
      </c>
      <c r="AC162">
        <f t="shared" si="141"/>
        <v>0.25501065129819733</v>
      </c>
      <c r="AD162">
        <f t="shared" si="142"/>
        <v>-41.329633294087003</v>
      </c>
      <c r="AE162">
        <v>18</v>
      </c>
      <c r="AF162">
        <v>4</v>
      </c>
      <c r="AG162">
        <f t="shared" si="143"/>
        <v>1</v>
      </c>
      <c r="AH162">
        <f t="shared" si="144"/>
        <v>0</v>
      </c>
      <c r="AI162">
        <f t="shared" si="145"/>
        <v>25725.024811807296</v>
      </c>
      <c r="AJ162">
        <f t="shared" si="146"/>
        <v>0</v>
      </c>
      <c r="AK162">
        <f t="shared" si="147"/>
        <v>0</v>
      </c>
      <c r="AL162">
        <f t="shared" si="148"/>
        <v>0</v>
      </c>
      <c r="AM162">
        <f t="shared" si="149"/>
        <v>0</v>
      </c>
      <c r="AN162">
        <v>3</v>
      </c>
      <c r="AO162">
        <v>0.5</v>
      </c>
      <c r="AP162" t="s">
        <v>331</v>
      </c>
      <c r="AQ162">
        <v>2</v>
      </c>
      <c r="AR162">
        <v>1775512284.099999</v>
      </c>
      <c r="AS162">
        <v>51.050003225806449</v>
      </c>
      <c r="AT162">
        <v>51.017880645161291</v>
      </c>
      <c r="AU162">
        <v>-2.2635290322580639</v>
      </c>
      <c r="AV162">
        <v>-2.8697980645161301</v>
      </c>
      <c r="AW162">
        <v>43.165003225806451</v>
      </c>
      <c r="AX162">
        <v>-1.2855290322580639</v>
      </c>
      <c r="AY162">
        <v>500.00154838709682</v>
      </c>
      <c r="AZ162">
        <v>100.191</v>
      </c>
      <c r="BA162">
        <v>3.7626816129032258E-2</v>
      </c>
      <c r="BB162">
        <v>25.301961290322581</v>
      </c>
      <c r="BC162">
        <v>25.279664516129031</v>
      </c>
      <c r="BD162">
        <v>999.90000000000032</v>
      </c>
      <c r="BE162">
        <v>0</v>
      </c>
      <c r="BF162">
        <v>0</v>
      </c>
      <c r="BG162">
        <v>5001.3064516129034</v>
      </c>
      <c r="BH162">
        <v>0.40022880645161302</v>
      </c>
      <c r="BI162">
        <v>0.22961599999999999</v>
      </c>
      <c r="BJ162">
        <v>-4.1915552580645159E-2</v>
      </c>
      <c r="BK162">
        <v>50.860654838709671</v>
      </c>
      <c r="BL162">
        <v>50.871899999999997</v>
      </c>
      <c r="BM162">
        <v>0.60262922580645173</v>
      </c>
      <c r="BN162">
        <v>51.017880645161291</v>
      </c>
      <c r="BO162">
        <v>-2.8697980645161301</v>
      </c>
      <c r="BP162">
        <v>-0.22715003225806449</v>
      </c>
      <c r="BQ162">
        <v>-0.2875282580645161</v>
      </c>
      <c r="BR162">
        <v>-99.900000000000034</v>
      </c>
      <c r="BS162">
        <v>-99.900000000000034</v>
      </c>
      <c r="BT162">
        <v>0</v>
      </c>
      <c r="BU162">
        <v>0</v>
      </c>
      <c r="BV162">
        <v>0</v>
      </c>
      <c r="BW162">
        <v>24</v>
      </c>
      <c r="BX162">
        <v>-1</v>
      </c>
      <c r="BY162">
        <v>1775512320.5999999</v>
      </c>
      <c r="BZ162" t="s">
        <v>771</v>
      </c>
      <c r="CA162">
        <v>1775512320.5999999</v>
      </c>
      <c r="CB162">
        <v>1775512313.0999999</v>
      </c>
      <c r="CC162">
        <v>149</v>
      </c>
      <c r="CD162">
        <v>7.3999999999999996E-2</v>
      </c>
      <c r="CE162">
        <v>3.0000000000000001E-3</v>
      </c>
      <c r="CF162">
        <v>7.8849999999999998</v>
      </c>
      <c r="CG162">
        <v>-0.97799999999999998</v>
      </c>
      <c r="CH162">
        <v>54</v>
      </c>
      <c r="CI162">
        <v>-3</v>
      </c>
      <c r="CJ162">
        <v>1.1000000000000001</v>
      </c>
      <c r="CK162">
        <v>0.14000000000000001</v>
      </c>
      <c r="CL162">
        <v>51.012123333333328</v>
      </c>
      <c r="CM162">
        <v>-0.13211003056399059</v>
      </c>
      <c r="CN162">
        <v>0.19660178141501039</v>
      </c>
      <c r="CO162">
        <v>-1</v>
      </c>
      <c r="CP162">
        <v>500.00885000000011</v>
      </c>
      <c r="CQ162">
        <v>-0.1226574048340143</v>
      </c>
      <c r="CR162">
        <v>6.8399031425890877E-2</v>
      </c>
      <c r="CS162">
        <v>-1</v>
      </c>
      <c r="CT162">
        <v>0</v>
      </c>
      <c r="CU162">
        <v>0</v>
      </c>
      <c r="CV162" t="s">
        <v>333</v>
      </c>
      <c r="CW162">
        <v>3.1673399999999998</v>
      </c>
      <c r="CX162">
        <v>2.6590600000000002</v>
      </c>
      <c r="CY162">
        <v>1.2854300000000001E-2</v>
      </c>
      <c r="CZ162">
        <v>1.5209E-2</v>
      </c>
      <c r="DA162">
        <v>-1.15894E-2</v>
      </c>
      <c r="DB162">
        <v>-2.9002799999999999E-2</v>
      </c>
      <c r="DC162">
        <v>21360</v>
      </c>
      <c r="DD162">
        <v>21688</v>
      </c>
      <c r="DE162">
        <v>23162.6</v>
      </c>
      <c r="DF162">
        <v>22371.5</v>
      </c>
      <c r="DG162">
        <v>30209.4</v>
      </c>
      <c r="DH162">
        <v>27440.9</v>
      </c>
      <c r="DI162">
        <v>40698.6</v>
      </c>
      <c r="DJ162">
        <v>37064.9</v>
      </c>
      <c r="DK162">
        <v>2.10378</v>
      </c>
      <c r="DL162">
        <v>1.8517600000000001</v>
      </c>
      <c r="DM162">
        <v>2.7751899999999999E-2</v>
      </c>
      <c r="DN162">
        <v>0</v>
      </c>
      <c r="DO162">
        <v>24.828299999999999</v>
      </c>
      <c r="DP162">
        <v>999.9</v>
      </c>
      <c r="DQ162">
        <v>78.3</v>
      </c>
      <c r="DR162">
        <v>28.4</v>
      </c>
      <c r="DS162">
        <v>30.356300000000001</v>
      </c>
      <c r="DT162">
        <v>30.8993</v>
      </c>
      <c r="DU162">
        <v>9.3509600000000006</v>
      </c>
      <c r="DV162">
        <v>1</v>
      </c>
      <c r="DW162">
        <v>5.9987800000000001E-2</v>
      </c>
      <c r="DX162">
        <v>-0.209316</v>
      </c>
      <c r="DY162">
        <v>20.367899999999999</v>
      </c>
      <c r="DZ162">
        <v>5.2111799999999997</v>
      </c>
      <c r="EA162">
        <v>11.8482</v>
      </c>
      <c r="EB162">
        <v>4.96868</v>
      </c>
      <c r="EC162">
        <v>3.2921</v>
      </c>
      <c r="ED162">
        <v>894.7</v>
      </c>
      <c r="EE162">
        <v>0</v>
      </c>
      <c r="EF162">
        <v>9999</v>
      </c>
      <c r="EG162">
        <v>115.4</v>
      </c>
      <c r="EH162">
        <v>4.9716399999999998</v>
      </c>
      <c r="EI162">
        <v>1.8717999999999999</v>
      </c>
      <c r="EJ162">
        <v>1.8689100000000001</v>
      </c>
      <c r="EK162">
        <v>1.87134</v>
      </c>
      <c r="EL162">
        <v>1.8690599999999999</v>
      </c>
      <c r="EM162">
        <v>1.8680399999999999</v>
      </c>
      <c r="EN162">
        <v>1.8698699999999999</v>
      </c>
      <c r="EO162">
        <v>1.8717200000000001</v>
      </c>
      <c r="EP162">
        <v>0</v>
      </c>
      <c r="EQ162">
        <v>0</v>
      </c>
      <c r="ER162">
        <v>0</v>
      </c>
      <c r="ES162">
        <v>0</v>
      </c>
      <c r="ET162" t="s">
        <v>334</v>
      </c>
      <c r="EU162" t="s">
        <v>335</v>
      </c>
      <c r="EV162" t="s">
        <v>336</v>
      </c>
      <c r="EW162" t="s">
        <v>336</v>
      </c>
      <c r="EX162" t="s">
        <v>336</v>
      </c>
      <c r="EY162" t="s">
        <v>336</v>
      </c>
      <c r="EZ162">
        <v>0</v>
      </c>
      <c r="FA162">
        <v>100</v>
      </c>
      <c r="FB162">
        <v>100</v>
      </c>
      <c r="FC162">
        <v>7.8849999999999998</v>
      </c>
      <c r="FD162">
        <v>-0.97799999999999998</v>
      </c>
      <c r="FE162">
        <v>7.8109599999999944</v>
      </c>
      <c r="FF162">
        <v>0</v>
      </c>
      <c r="FG162">
        <v>0</v>
      </c>
      <c r="FH162">
        <v>0</v>
      </c>
      <c r="FI162">
        <v>-0.98163999999999962</v>
      </c>
      <c r="FJ162">
        <v>0</v>
      </c>
      <c r="FK162">
        <v>0</v>
      </c>
      <c r="FL162">
        <v>0</v>
      </c>
      <c r="FM162">
        <v>-1</v>
      </c>
      <c r="FN162">
        <v>-1</v>
      </c>
      <c r="FO162">
        <v>-1</v>
      </c>
      <c r="FP162">
        <v>-1</v>
      </c>
      <c r="FQ162">
        <v>0.7</v>
      </c>
      <c r="FR162">
        <v>0.7</v>
      </c>
      <c r="FS162">
        <v>0.142822</v>
      </c>
      <c r="FT162">
        <v>4.99756</v>
      </c>
      <c r="FU162">
        <v>1.5979000000000001</v>
      </c>
      <c r="FV162">
        <v>2.1594199999999999</v>
      </c>
      <c r="FW162">
        <v>1.5478499999999999</v>
      </c>
      <c r="FX162">
        <v>2.4206500000000002</v>
      </c>
      <c r="FY162">
        <v>32.709099999999999</v>
      </c>
      <c r="FZ162">
        <v>15.6556</v>
      </c>
      <c r="GA162">
        <v>3</v>
      </c>
      <c r="GB162">
        <v>492.54599999999999</v>
      </c>
      <c r="GC162">
        <v>422.738</v>
      </c>
      <c r="GD162">
        <v>26.011299999999999</v>
      </c>
      <c r="GE162">
        <v>27.911799999999999</v>
      </c>
      <c r="GF162">
        <v>30.0001</v>
      </c>
      <c r="GG162">
        <v>28.2285</v>
      </c>
      <c r="GH162">
        <v>28.2849</v>
      </c>
      <c r="GI162">
        <v>-1</v>
      </c>
      <c r="GJ162">
        <v>0</v>
      </c>
      <c r="GK162">
        <v>100</v>
      </c>
      <c r="GL162">
        <v>26.0124</v>
      </c>
      <c r="GM162">
        <v>432.1</v>
      </c>
      <c r="GN162">
        <v>63.216500000000003</v>
      </c>
      <c r="GO162">
        <v>102.453</v>
      </c>
      <c r="GP162">
        <v>96.726399999999998</v>
      </c>
    </row>
    <row r="163" spans="1:198" x14ac:dyDescent="0.35">
      <c r="A163">
        <v>147</v>
      </c>
      <c r="B163">
        <v>1775512352.0999999</v>
      </c>
      <c r="C163">
        <v>8761.0999999046326</v>
      </c>
      <c r="D163" t="s">
        <v>772</v>
      </c>
      <c r="E163" t="s">
        <v>773</v>
      </c>
      <c r="F163">
        <v>60</v>
      </c>
      <c r="G163">
        <v>1775512344.349999</v>
      </c>
      <c r="H163">
        <f t="shared" si="120"/>
        <v>1.0089309788181384E-3</v>
      </c>
      <c r="I163">
        <f t="shared" si="121"/>
        <v>1.0089309788181384</v>
      </c>
      <c r="J163">
        <f t="shared" si="122"/>
        <v>1.0034547521599859</v>
      </c>
      <c r="K163">
        <f t="shared" si="123"/>
        <v>49.800449999999998</v>
      </c>
      <c r="L163">
        <f t="shared" si="124"/>
        <v>-7.1170529673265071</v>
      </c>
      <c r="M163">
        <f t="shared" si="125"/>
        <v>-0.71333366979249369</v>
      </c>
      <c r="N163">
        <f t="shared" si="126"/>
        <v>4.9914392823694502</v>
      </c>
      <c r="O163">
        <f t="shared" si="127"/>
        <v>2.8979286523125928E-2</v>
      </c>
      <c r="P163">
        <f t="shared" si="128"/>
        <v>2.3914051369886993</v>
      </c>
      <c r="Q163">
        <f t="shared" si="129"/>
        <v>2.878559769801986E-2</v>
      </c>
      <c r="R163">
        <f t="shared" si="130"/>
        <v>1.8008292695519495E-2</v>
      </c>
      <c r="S163">
        <f t="shared" si="131"/>
        <v>0</v>
      </c>
      <c r="T163">
        <f t="shared" si="132"/>
        <v>24.98147627867715</v>
      </c>
      <c r="U163">
        <f t="shared" si="133"/>
        <v>25.27810666666667</v>
      </c>
      <c r="V163">
        <f t="shared" si="134"/>
        <v>3.2327816306442263</v>
      </c>
      <c r="W163">
        <f t="shared" si="135"/>
        <v>-7.0305172845966952</v>
      </c>
      <c r="X163">
        <f t="shared" si="136"/>
        <v>-0.22755672517051312</v>
      </c>
      <c r="Y163">
        <f t="shared" si="137"/>
        <v>3.2366996048650907</v>
      </c>
      <c r="Z163">
        <f t="shared" si="138"/>
        <v>3.4603383558147396</v>
      </c>
      <c r="AA163">
        <f t="shared" si="139"/>
        <v>-44.493856165879905</v>
      </c>
      <c r="AB163">
        <f t="shared" si="140"/>
        <v>2.624921831055036</v>
      </c>
      <c r="AC163">
        <f t="shared" si="141"/>
        <v>0.23285363618524252</v>
      </c>
      <c r="AD163">
        <f t="shared" si="142"/>
        <v>-41.636080698639631</v>
      </c>
      <c r="AE163">
        <v>18</v>
      </c>
      <c r="AF163">
        <v>4</v>
      </c>
      <c r="AG163">
        <f t="shared" si="143"/>
        <v>1</v>
      </c>
      <c r="AH163">
        <f t="shared" si="144"/>
        <v>0</v>
      </c>
      <c r="AI163">
        <f t="shared" si="145"/>
        <v>25712.463650320264</v>
      </c>
      <c r="AJ163">
        <f t="shared" si="146"/>
        <v>0</v>
      </c>
      <c r="AK163">
        <f t="shared" si="147"/>
        <v>0</v>
      </c>
      <c r="AL163">
        <f t="shared" si="148"/>
        <v>0</v>
      </c>
      <c r="AM163">
        <f t="shared" si="149"/>
        <v>0</v>
      </c>
      <c r="AN163">
        <v>3</v>
      </c>
      <c r="AO163">
        <v>0.5</v>
      </c>
      <c r="AP163" t="s">
        <v>331</v>
      </c>
      <c r="AQ163">
        <v>2</v>
      </c>
      <c r="AR163">
        <v>1775512344.349999</v>
      </c>
      <c r="AS163">
        <v>49.800449999999998</v>
      </c>
      <c r="AT163">
        <v>50.432653333333327</v>
      </c>
      <c r="AU163">
        <v>-2.2703726666666659</v>
      </c>
      <c r="AV163">
        <v>-2.8770896666666661</v>
      </c>
      <c r="AW163">
        <v>41.98245</v>
      </c>
      <c r="AX163">
        <v>-1.2933726666666669</v>
      </c>
      <c r="AY163">
        <v>500.01316666666668</v>
      </c>
      <c r="AZ163">
        <v>100.1912333333333</v>
      </c>
      <c r="BA163">
        <v>3.7565449999999993E-2</v>
      </c>
      <c r="BB163">
        <v>25.29846666666667</v>
      </c>
      <c r="BC163">
        <v>25.27810666666667</v>
      </c>
      <c r="BD163">
        <v>999.9000000000002</v>
      </c>
      <c r="BE163">
        <v>0</v>
      </c>
      <c r="BF163">
        <v>0</v>
      </c>
      <c r="BG163">
        <v>4999.1333333333332</v>
      </c>
      <c r="BH163">
        <v>0.37653009999999998</v>
      </c>
      <c r="BI163">
        <v>0.22961599999999999</v>
      </c>
      <c r="BJ163">
        <v>-0.56560893333333329</v>
      </c>
      <c r="BK163">
        <v>49.754030000000007</v>
      </c>
      <c r="BL163">
        <v>50.287976666666658</v>
      </c>
      <c r="BM163">
        <v>0.60556919999999992</v>
      </c>
      <c r="BN163">
        <v>50.432653333333327</v>
      </c>
      <c r="BO163">
        <v>-2.8770896666666661</v>
      </c>
      <c r="BP163">
        <v>-0.22758643333333331</v>
      </c>
      <c r="BQ163">
        <v>-0.28825913333333342</v>
      </c>
      <c r="BR163">
        <v>-99.900000000000034</v>
      </c>
      <c r="BS163">
        <v>-99.900000000000034</v>
      </c>
      <c r="BT163">
        <v>0</v>
      </c>
      <c r="BU163">
        <v>0</v>
      </c>
      <c r="BV163">
        <v>0</v>
      </c>
      <c r="BW163">
        <v>24</v>
      </c>
      <c r="BX163">
        <v>-1</v>
      </c>
      <c r="BY163">
        <v>1775512372.0999999</v>
      </c>
      <c r="BZ163" t="s">
        <v>774</v>
      </c>
      <c r="CA163">
        <v>1775512367.0999999</v>
      </c>
      <c r="CB163">
        <v>1775512372.0999999</v>
      </c>
      <c r="CC163">
        <v>150</v>
      </c>
      <c r="CD163">
        <v>-6.7000000000000004E-2</v>
      </c>
      <c r="CE163">
        <v>1E-3</v>
      </c>
      <c r="CF163">
        <v>7.8179999999999996</v>
      </c>
      <c r="CG163">
        <v>-0.97699999999999998</v>
      </c>
      <c r="CH163">
        <v>49</v>
      </c>
      <c r="CI163">
        <v>-3</v>
      </c>
      <c r="CJ163">
        <v>0.13</v>
      </c>
      <c r="CK163">
        <v>0.13</v>
      </c>
      <c r="CL163">
        <v>49.910990000000012</v>
      </c>
      <c r="CM163">
        <v>1.485630675187751</v>
      </c>
      <c r="CN163">
        <v>1.0929223688045431</v>
      </c>
      <c r="CO163">
        <v>-1</v>
      </c>
      <c r="CP163">
        <v>500.79101666666668</v>
      </c>
      <c r="CQ163">
        <v>-6.9418049458177862</v>
      </c>
      <c r="CR163">
        <v>1.517553442130529</v>
      </c>
      <c r="CS163">
        <v>-1</v>
      </c>
      <c r="CT163">
        <v>0</v>
      </c>
      <c r="CU163">
        <v>0</v>
      </c>
      <c r="CV163" t="s">
        <v>333</v>
      </c>
      <c r="CW163">
        <v>3.1673</v>
      </c>
      <c r="CX163">
        <v>2.6587800000000001</v>
      </c>
      <c r="CY163">
        <v>1.2668799999999999E-2</v>
      </c>
      <c r="CZ163">
        <v>1.51045E-2</v>
      </c>
      <c r="DA163">
        <v>-1.16574E-2</v>
      </c>
      <c r="DB163">
        <v>-2.90838E-2</v>
      </c>
      <c r="DC163">
        <v>21364.1</v>
      </c>
      <c r="DD163">
        <v>21690.3</v>
      </c>
      <c r="DE163">
        <v>23162.6</v>
      </c>
      <c r="DF163">
        <v>22371.599999999999</v>
      </c>
      <c r="DG163">
        <v>30211.4</v>
      </c>
      <c r="DH163">
        <v>27443.200000000001</v>
      </c>
      <c r="DI163">
        <v>40698.400000000001</v>
      </c>
      <c r="DJ163">
        <v>37065.199999999997</v>
      </c>
      <c r="DK163">
        <v>2.1032799999999998</v>
      </c>
      <c r="DL163">
        <v>1.85124</v>
      </c>
      <c r="DM163">
        <v>2.77758E-2</v>
      </c>
      <c r="DN163">
        <v>0</v>
      </c>
      <c r="DO163">
        <v>24.8263</v>
      </c>
      <c r="DP163">
        <v>999.9</v>
      </c>
      <c r="DQ163">
        <v>78.3</v>
      </c>
      <c r="DR163">
        <v>28.4</v>
      </c>
      <c r="DS163">
        <v>30.3523</v>
      </c>
      <c r="DT163">
        <v>30.659300000000002</v>
      </c>
      <c r="DU163">
        <v>9.0224399999999996</v>
      </c>
      <c r="DV163">
        <v>1</v>
      </c>
      <c r="DW163">
        <v>5.9932899999999997E-2</v>
      </c>
      <c r="DX163">
        <v>-0.253305</v>
      </c>
      <c r="DY163">
        <v>20.3675</v>
      </c>
      <c r="DZ163">
        <v>5.2090199999999998</v>
      </c>
      <c r="EA163">
        <v>11.8482</v>
      </c>
      <c r="EB163">
        <v>4.9673999999999996</v>
      </c>
      <c r="EC163">
        <v>3.2915999999999999</v>
      </c>
      <c r="ED163">
        <v>894.7</v>
      </c>
      <c r="EE163">
        <v>0</v>
      </c>
      <c r="EF163">
        <v>9999</v>
      </c>
      <c r="EG163">
        <v>115.4</v>
      </c>
      <c r="EH163">
        <v>4.97166</v>
      </c>
      <c r="EI163">
        <v>1.8717999999999999</v>
      </c>
      <c r="EJ163">
        <v>1.8689100000000001</v>
      </c>
      <c r="EK163">
        <v>1.87134</v>
      </c>
      <c r="EL163">
        <v>1.8690599999999999</v>
      </c>
      <c r="EM163">
        <v>1.86802</v>
      </c>
      <c r="EN163">
        <v>1.8698600000000001</v>
      </c>
      <c r="EO163">
        <v>1.87171</v>
      </c>
      <c r="EP163">
        <v>0</v>
      </c>
      <c r="EQ163">
        <v>0</v>
      </c>
      <c r="ER163">
        <v>0</v>
      </c>
      <c r="ES163">
        <v>0</v>
      </c>
      <c r="ET163" t="s">
        <v>334</v>
      </c>
      <c r="EU163" t="s">
        <v>335</v>
      </c>
      <c r="EV163" t="s">
        <v>336</v>
      </c>
      <c r="EW163" t="s">
        <v>336</v>
      </c>
      <c r="EX163" t="s">
        <v>336</v>
      </c>
      <c r="EY163" t="s">
        <v>336</v>
      </c>
      <c r="EZ163">
        <v>0</v>
      </c>
      <c r="FA163">
        <v>100</v>
      </c>
      <c r="FB163">
        <v>100</v>
      </c>
      <c r="FC163">
        <v>7.8179999999999996</v>
      </c>
      <c r="FD163">
        <v>-0.97699999999999998</v>
      </c>
      <c r="FE163">
        <v>7.8845952380952369</v>
      </c>
      <c r="FF163">
        <v>0</v>
      </c>
      <c r="FG163">
        <v>0</v>
      </c>
      <c r="FH163">
        <v>0</v>
      </c>
      <c r="FI163">
        <v>-0.97814850000000009</v>
      </c>
      <c r="FJ163">
        <v>0</v>
      </c>
      <c r="FK163">
        <v>0</v>
      </c>
      <c r="FL163">
        <v>0</v>
      </c>
      <c r="FM163">
        <v>-1</v>
      </c>
      <c r="FN163">
        <v>-1</v>
      </c>
      <c r="FO163">
        <v>-1</v>
      </c>
      <c r="FP163">
        <v>-1</v>
      </c>
      <c r="FQ163">
        <v>0.5</v>
      </c>
      <c r="FR163">
        <v>0.7</v>
      </c>
      <c r="FS163">
        <v>0.142822</v>
      </c>
      <c r="FT163">
        <v>4.99756</v>
      </c>
      <c r="FU163">
        <v>1.5979000000000001</v>
      </c>
      <c r="FV163">
        <v>2.1594199999999999</v>
      </c>
      <c r="FW163">
        <v>1.5478499999999999</v>
      </c>
      <c r="FX163">
        <v>2.3584000000000001</v>
      </c>
      <c r="FY163">
        <v>32.709099999999999</v>
      </c>
      <c r="FZ163">
        <v>15.646800000000001</v>
      </c>
      <c r="GA163">
        <v>3</v>
      </c>
      <c r="GB163">
        <v>492.26</v>
      </c>
      <c r="GC163">
        <v>422.41699999999997</v>
      </c>
      <c r="GD163">
        <v>26.055</v>
      </c>
      <c r="GE163">
        <v>27.910799999999998</v>
      </c>
      <c r="GF163">
        <v>30.0001</v>
      </c>
      <c r="GG163">
        <v>28.228400000000001</v>
      </c>
      <c r="GH163">
        <v>28.282599999999999</v>
      </c>
      <c r="GI163">
        <v>-1</v>
      </c>
      <c r="GJ163">
        <v>0</v>
      </c>
      <c r="GK163">
        <v>100</v>
      </c>
      <c r="GL163">
        <v>26.055299999999999</v>
      </c>
      <c r="GM163">
        <v>432.1</v>
      </c>
      <c r="GN163">
        <v>63.216500000000003</v>
      </c>
      <c r="GO163">
        <v>102.452</v>
      </c>
      <c r="GP163">
        <v>96.726900000000001</v>
      </c>
    </row>
    <row r="164" spans="1:198" x14ac:dyDescent="0.35">
      <c r="A164">
        <v>148</v>
      </c>
      <c r="B164">
        <v>1775512412.0999999</v>
      </c>
      <c r="C164">
        <v>8821.0999999046326</v>
      </c>
      <c r="D164" t="s">
        <v>775</v>
      </c>
      <c r="E164" t="s">
        <v>776</v>
      </c>
      <c r="F164">
        <v>60</v>
      </c>
      <c r="G164">
        <v>1775512404.099999</v>
      </c>
      <c r="H164">
        <f t="shared" si="120"/>
        <v>9.8585067339568028E-4</v>
      </c>
      <c r="I164">
        <f t="shared" si="121"/>
        <v>0.98585067339568033</v>
      </c>
      <c r="J164">
        <f t="shared" si="122"/>
        <v>0.64134665808382774</v>
      </c>
      <c r="K164">
        <f t="shared" si="123"/>
        <v>49.397012903225807</v>
      </c>
      <c r="L164">
        <f t="shared" si="124"/>
        <v>11.245428950024344</v>
      </c>
      <c r="M164">
        <f t="shared" si="125"/>
        <v>1.1271157187354999</v>
      </c>
      <c r="N164">
        <f t="shared" si="126"/>
        <v>4.9510027540288357</v>
      </c>
      <c r="O164">
        <f t="shared" si="127"/>
        <v>2.8308849008582011E-2</v>
      </c>
      <c r="P164">
        <f t="shared" si="128"/>
        <v>2.391318080981514</v>
      </c>
      <c r="Q164">
        <f t="shared" si="129"/>
        <v>2.8123980987991272E-2</v>
      </c>
      <c r="R164">
        <f t="shared" si="130"/>
        <v>1.7593997014013721E-2</v>
      </c>
      <c r="S164">
        <f t="shared" si="131"/>
        <v>0</v>
      </c>
      <c r="T164">
        <f t="shared" si="132"/>
        <v>24.988263515114575</v>
      </c>
      <c r="U164">
        <f t="shared" si="133"/>
        <v>25.275706451612901</v>
      </c>
      <c r="V164">
        <f t="shared" si="134"/>
        <v>3.2323200187054897</v>
      </c>
      <c r="W164">
        <f t="shared" si="135"/>
        <v>-7.0575286449875749</v>
      </c>
      <c r="X164">
        <f t="shared" si="136"/>
        <v>-0.22842483594887769</v>
      </c>
      <c r="Y164">
        <f t="shared" si="137"/>
        <v>3.2366122397690935</v>
      </c>
      <c r="Z164">
        <f t="shared" si="138"/>
        <v>3.4607448546543673</v>
      </c>
      <c r="AA164">
        <f t="shared" si="139"/>
        <v>-43.476014696749502</v>
      </c>
      <c r="AB164">
        <f t="shared" si="140"/>
        <v>2.8757642572273623</v>
      </c>
      <c r="AC164">
        <f t="shared" si="141"/>
        <v>0.25511118982765124</v>
      </c>
      <c r="AD164">
        <f t="shared" si="142"/>
        <v>-40.345139249694491</v>
      </c>
      <c r="AE164">
        <v>18</v>
      </c>
      <c r="AF164">
        <v>4</v>
      </c>
      <c r="AG164">
        <f t="shared" si="143"/>
        <v>1</v>
      </c>
      <c r="AH164">
        <f t="shared" si="144"/>
        <v>0</v>
      </c>
      <c r="AI164">
        <f t="shared" si="145"/>
        <v>25711.165556142965</v>
      </c>
      <c r="AJ164">
        <f t="shared" si="146"/>
        <v>0</v>
      </c>
      <c r="AK164">
        <f t="shared" si="147"/>
        <v>0</v>
      </c>
      <c r="AL164">
        <f t="shared" si="148"/>
        <v>0</v>
      </c>
      <c r="AM164">
        <f t="shared" si="149"/>
        <v>0</v>
      </c>
      <c r="AN164">
        <v>3</v>
      </c>
      <c r="AO164">
        <v>0.5</v>
      </c>
      <c r="AP164" t="s">
        <v>331</v>
      </c>
      <c r="AQ164">
        <v>2</v>
      </c>
      <c r="AR164">
        <v>1775512404.099999</v>
      </c>
      <c r="AS164">
        <v>49.397012903225807</v>
      </c>
      <c r="AT164">
        <v>49.811041935483871</v>
      </c>
      <c r="AU164">
        <v>-2.2790341935483869</v>
      </c>
      <c r="AV164">
        <v>-2.8718958064516138</v>
      </c>
      <c r="AW164">
        <v>41.573012903225809</v>
      </c>
      <c r="AX164">
        <v>-1.2990341935483869</v>
      </c>
      <c r="AY164">
        <v>499.99735483870973</v>
      </c>
      <c r="AZ164">
        <v>100.1913548387097</v>
      </c>
      <c r="BA164">
        <v>3.7433564516129017E-2</v>
      </c>
      <c r="BB164">
        <v>25.2980129032258</v>
      </c>
      <c r="BC164">
        <v>25.275706451612901</v>
      </c>
      <c r="BD164">
        <v>999.90000000000032</v>
      </c>
      <c r="BE164">
        <v>0</v>
      </c>
      <c r="BF164">
        <v>0</v>
      </c>
      <c r="BG164">
        <v>4998.9032258064517</v>
      </c>
      <c r="BH164">
        <v>0.39939464516129042</v>
      </c>
      <c r="BI164">
        <v>0.22961599999999999</v>
      </c>
      <c r="BJ164">
        <v>-0.42030501470967752</v>
      </c>
      <c r="BK164">
        <v>49.278561290322578</v>
      </c>
      <c r="BL164">
        <v>49.668403225806451</v>
      </c>
      <c r="BM164">
        <v>0.59538499999999994</v>
      </c>
      <c r="BN164">
        <v>49.811041935483871</v>
      </c>
      <c r="BO164">
        <v>-2.8718958064516138</v>
      </c>
      <c r="BP164">
        <v>-0.22808680645161289</v>
      </c>
      <c r="BQ164">
        <v>-0.28773922580645173</v>
      </c>
      <c r="BR164">
        <v>-99.900000000000034</v>
      </c>
      <c r="BS164">
        <v>-99.900000000000034</v>
      </c>
      <c r="BT164">
        <v>0</v>
      </c>
      <c r="BU164">
        <v>0</v>
      </c>
      <c r="BV164">
        <v>0</v>
      </c>
      <c r="BW164">
        <v>24</v>
      </c>
      <c r="BX164">
        <v>-0.98924741935483884</v>
      </c>
      <c r="BY164">
        <v>1775512431.5999999</v>
      </c>
      <c r="BZ164" t="s">
        <v>777</v>
      </c>
      <c r="CA164">
        <v>1775512429.5999999</v>
      </c>
      <c r="CB164">
        <v>1775512431.5999999</v>
      </c>
      <c r="CC164">
        <v>151</v>
      </c>
      <c r="CD164">
        <v>6.0000000000000001E-3</v>
      </c>
      <c r="CE164">
        <v>-2E-3</v>
      </c>
      <c r="CF164">
        <v>7.8239999999999998</v>
      </c>
      <c r="CG164">
        <v>-0.98</v>
      </c>
      <c r="CH164">
        <v>48</v>
      </c>
      <c r="CI164">
        <v>-3</v>
      </c>
      <c r="CJ164">
        <v>0.16</v>
      </c>
      <c r="CK164">
        <v>0.13</v>
      </c>
      <c r="CL164">
        <v>49.355069999999991</v>
      </c>
      <c r="CM164">
        <v>3.7926728535704708</v>
      </c>
      <c r="CN164">
        <v>0.70547844552473749</v>
      </c>
      <c r="CO164">
        <v>-1</v>
      </c>
      <c r="CP164">
        <v>500.00954999999999</v>
      </c>
      <c r="CQ164">
        <v>-0.13760155598653451</v>
      </c>
      <c r="CR164">
        <v>5.8613543656734671E-2</v>
      </c>
      <c r="CS164">
        <v>-1</v>
      </c>
      <c r="CT164">
        <v>0</v>
      </c>
      <c r="CU164">
        <v>0</v>
      </c>
      <c r="CV164" t="s">
        <v>333</v>
      </c>
      <c r="CW164">
        <v>3.16737</v>
      </c>
      <c r="CX164">
        <v>2.6589499999999999</v>
      </c>
      <c r="CY164">
        <v>1.2471899999999999E-2</v>
      </c>
      <c r="CZ164">
        <v>1.47663E-2</v>
      </c>
      <c r="DA164">
        <v>-1.1679999999999999E-2</v>
      </c>
      <c r="DB164">
        <v>-2.9002E-2</v>
      </c>
      <c r="DC164">
        <v>21367.8</v>
      </c>
      <c r="DD164">
        <v>21697.7</v>
      </c>
      <c r="DE164">
        <v>23162.1</v>
      </c>
      <c r="DF164">
        <v>22371.5</v>
      </c>
      <c r="DG164">
        <v>30211.5</v>
      </c>
      <c r="DH164">
        <v>27441</v>
      </c>
      <c r="DI164">
        <v>40697.699999999997</v>
      </c>
      <c r="DJ164">
        <v>37065.1</v>
      </c>
      <c r="DK164">
        <v>2.10364</v>
      </c>
      <c r="DL164">
        <v>1.8521399999999999</v>
      </c>
      <c r="DM164">
        <v>2.7763800000000002E-2</v>
      </c>
      <c r="DN164">
        <v>0</v>
      </c>
      <c r="DO164">
        <v>24.822299999999998</v>
      </c>
      <c r="DP164">
        <v>999.9</v>
      </c>
      <c r="DQ164">
        <v>78.3</v>
      </c>
      <c r="DR164">
        <v>28.4</v>
      </c>
      <c r="DS164">
        <v>30.355</v>
      </c>
      <c r="DT164">
        <v>30.779299999999999</v>
      </c>
      <c r="DU164">
        <v>9.3189100000000007</v>
      </c>
      <c r="DV164">
        <v>1</v>
      </c>
      <c r="DW164">
        <v>5.9792699999999997E-2</v>
      </c>
      <c r="DX164">
        <v>-0.27164899999999997</v>
      </c>
      <c r="DY164">
        <v>20.368099999999998</v>
      </c>
      <c r="DZ164">
        <v>5.2142900000000001</v>
      </c>
      <c r="EA164">
        <v>11.8482</v>
      </c>
      <c r="EB164">
        <v>4.9678000000000004</v>
      </c>
      <c r="EC164">
        <v>3.2920799999999999</v>
      </c>
      <c r="ED164">
        <v>894.7</v>
      </c>
      <c r="EE164">
        <v>0</v>
      </c>
      <c r="EF164">
        <v>9999</v>
      </c>
      <c r="EG164">
        <v>115.4</v>
      </c>
      <c r="EH164">
        <v>4.9716300000000002</v>
      </c>
      <c r="EI164">
        <v>1.8717999999999999</v>
      </c>
      <c r="EJ164">
        <v>1.8689</v>
      </c>
      <c r="EK164">
        <v>1.87134</v>
      </c>
      <c r="EL164">
        <v>1.8690500000000001</v>
      </c>
      <c r="EM164">
        <v>1.8680000000000001</v>
      </c>
      <c r="EN164">
        <v>1.8698300000000001</v>
      </c>
      <c r="EO164">
        <v>1.8716600000000001</v>
      </c>
      <c r="EP164">
        <v>0</v>
      </c>
      <c r="EQ164">
        <v>0</v>
      </c>
      <c r="ER164">
        <v>0</v>
      </c>
      <c r="ES164">
        <v>0</v>
      </c>
      <c r="ET164" t="s">
        <v>334</v>
      </c>
      <c r="EU164" t="s">
        <v>335</v>
      </c>
      <c r="EV164" t="s">
        <v>336</v>
      </c>
      <c r="EW164" t="s">
        <v>336</v>
      </c>
      <c r="EX164" t="s">
        <v>336</v>
      </c>
      <c r="EY164" t="s">
        <v>336</v>
      </c>
      <c r="EZ164">
        <v>0</v>
      </c>
      <c r="FA164">
        <v>100</v>
      </c>
      <c r="FB164">
        <v>100</v>
      </c>
      <c r="FC164">
        <v>7.8239999999999998</v>
      </c>
      <c r="FD164">
        <v>-0.98</v>
      </c>
      <c r="FE164">
        <v>7.817734999999999</v>
      </c>
      <c r="FF164">
        <v>0</v>
      </c>
      <c r="FG164">
        <v>0</v>
      </c>
      <c r="FH164">
        <v>0</v>
      </c>
      <c r="FI164">
        <v>-0.97747749999999933</v>
      </c>
      <c r="FJ164">
        <v>0</v>
      </c>
      <c r="FK164">
        <v>0</v>
      </c>
      <c r="FL164">
        <v>0</v>
      </c>
      <c r="FM164">
        <v>-1</v>
      </c>
      <c r="FN164">
        <v>-1</v>
      </c>
      <c r="FO164">
        <v>-1</v>
      </c>
      <c r="FP164">
        <v>-1</v>
      </c>
      <c r="FQ164">
        <v>0.8</v>
      </c>
      <c r="FR164">
        <v>0.7</v>
      </c>
      <c r="FS164">
        <v>0.142822</v>
      </c>
      <c r="FT164">
        <v>4.99756</v>
      </c>
      <c r="FU164">
        <v>1.5979000000000001</v>
      </c>
      <c r="FV164">
        <v>2.1594199999999999</v>
      </c>
      <c r="FW164">
        <v>1.5478499999999999</v>
      </c>
      <c r="FX164">
        <v>2.4243199999999998</v>
      </c>
      <c r="FY164">
        <v>32.709099999999999</v>
      </c>
      <c r="FZ164">
        <v>15.646800000000001</v>
      </c>
      <c r="GA164">
        <v>3</v>
      </c>
      <c r="GB164">
        <v>492.43599999999998</v>
      </c>
      <c r="GC164">
        <v>422.92700000000002</v>
      </c>
      <c r="GD164">
        <v>26.075199999999999</v>
      </c>
      <c r="GE164">
        <v>27.9084</v>
      </c>
      <c r="GF164">
        <v>30.0001</v>
      </c>
      <c r="GG164">
        <v>28.224699999999999</v>
      </c>
      <c r="GH164">
        <v>28.280200000000001</v>
      </c>
      <c r="GI164">
        <v>-1</v>
      </c>
      <c r="GJ164">
        <v>0</v>
      </c>
      <c r="GK164">
        <v>100</v>
      </c>
      <c r="GL164">
        <v>26.075399999999998</v>
      </c>
      <c r="GM164">
        <v>432.1</v>
      </c>
      <c r="GN164">
        <v>63.216500000000003</v>
      </c>
      <c r="GO164">
        <v>102.45</v>
      </c>
      <c r="GP164">
        <v>96.726600000000005</v>
      </c>
    </row>
    <row r="165" spans="1:198" x14ac:dyDescent="0.35">
      <c r="A165">
        <v>149</v>
      </c>
      <c r="B165">
        <v>1775512472.0999999</v>
      </c>
      <c r="C165">
        <v>8881.0999999046326</v>
      </c>
      <c r="D165" t="s">
        <v>778</v>
      </c>
      <c r="E165" t="s">
        <v>779</v>
      </c>
      <c r="F165">
        <v>60</v>
      </c>
      <c r="G165">
        <v>1775512464.349999</v>
      </c>
      <c r="H165">
        <f t="shared" si="120"/>
        <v>9.8319279350390747E-4</v>
      </c>
      <c r="I165">
        <f t="shared" si="121"/>
        <v>0.98319279350390743</v>
      </c>
      <c r="J165">
        <f t="shared" si="122"/>
        <v>0.40176364561940359</v>
      </c>
      <c r="K165">
        <f t="shared" si="123"/>
        <v>48.90194666666666</v>
      </c>
      <c r="L165">
        <f t="shared" si="124"/>
        <v>23.962059409418778</v>
      </c>
      <c r="M165">
        <f t="shared" si="125"/>
        <v>2.4017136205367531</v>
      </c>
      <c r="N165">
        <f t="shared" si="126"/>
        <v>4.901434779597019</v>
      </c>
      <c r="O165">
        <f t="shared" si="127"/>
        <v>2.8230267965493532E-2</v>
      </c>
      <c r="P165">
        <f t="shared" si="128"/>
        <v>2.3935250516692315</v>
      </c>
      <c r="Q165">
        <f t="shared" si="129"/>
        <v>2.8046589581572252E-2</v>
      </c>
      <c r="R165">
        <f t="shared" si="130"/>
        <v>1.7545521515224646E-2</v>
      </c>
      <c r="S165">
        <f t="shared" si="131"/>
        <v>0</v>
      </c>
      <c r="T165">
        <f t="shared" si="132"/>
        <v>24.994822063189133</v>
      </c>
      <c r="U165">
        <f t="shared" si="133"/>
        <v>25.284953333333331</v>
      </c>
      <c r="V165">
        <f t="shared" si="134"/>
        <v>3.2340987054452648</v>
      </c>
      <c r="W165">
        <f t="shared" si="135"/>
        <v>-7.0055931001193796</v>
      </c>
      <c r="X165">
        <f t="shared" si="136"/>
        <v>-0.22681754459652972</v>
      </c>
      <c r="Y165">
        <f t="shared" si="137"/>
        <v>3.2376636974914317</v>
      </c>
      <c r="Z165">
        <f t="shared" si="138"/>
        <v>3.4609162500417945</v>
      </c>
      <c r="AA165">
        <f t="shared" si="139"/>
        <v>-43.358802193522322</v>
      </c>
      <c r="AB165">
        <f t="shared" si="140"/>
        <v>2.3898156622849966</v>
      </c>
      <c r="AC165">
        <f t="shared" si="141"/>
        <v>0.21182251461455434</v>
      </c>
      <c r="AD165">
        <f t="shared" si="142"/>
        <v>-40.757164016622774</v>
      </c>
      <c r="AE165">
        <v>18</v>
      </c>
      <c r="AF165">
        <v>4</v>
      </c>
      <c r="AG165">
        <f t="shared" si="143"/>
        <v>1</v>
      </c>
      <c r="AH165">
        <f t="shared" si="144"/>
        <v>0</v>
      </c>
      <c r="AI165">
        <f t="shared" si="145"/>
        <v>25744.418788959461</v>
      </c>
      <c r="AJ165">
        <f t="shared" si="146"/>
        <v>0</v>
      </c>
      <c r="AK165">
        <f t="shared" si="147"/>
        <v>0</v>
      </c>
      <c r="AL165">
        <f t="shared" si="148"/>
        <v>0</v>
      </c>
      <c r="AM165">
        <f t="shared" si="149"/>
        <v>0</v>
      </c>
      <c r="AN165">
        <v>3</v>
      </c>
      <c r="AO165">
        <v>0.5</v>
      </c>
      <c r="AP165" t="s">
        <v>331</v>
      </c>
      <c r="AQ165">
        <v>2</v>
      </c>
      <c r="AR165">
        <v>1775512464.349999</v>
      </c>
      <c r="AS165">
        <v>48.90194666666666</v>
      </c>
      <c r="AT165">
        <v>49.171849999999999</v>
      </c>
      <c r="AU165">
        <v>-2.2629739999999998</v>
      </c>
      <c r="AV165">
        <v>-2.8542183333333342</v>
      </c>
      <c r="AW165">
        <v>41.103946666666658</v>
      </c>
      <c r="AX165">
        <v>-1.2819739999999999</v>
      </c>
      <c r="AY165">
        <v>500.00533333333328</v>
      </c>
      <c r="AZ165">
        <v>100.1927</v>
      </c>
      <c r="BA165">
        <v>3.7150009999999997E-2</v>
      </c>
      <c r="BB165">
        <v>25.303473333333329</v>
      </c>
      <c r="BC165">
        <v>25.284953333333331</v>
      </c>
      <c r="BD165">
        <v>999.9000000000002</v>
      </c>
      <c r="BE165">
        <v>0</v>
      </c>
      <c r="BF165">
        <v>0</v>
      </c>
      <c r="BG165">
        <v>5004.5166666666664</v>
      </c>
      <c r="BH165">
        <v>0.40303339999999999</v>
      </c>
      <c r="BI165">
        <v>0.22961599999999999</v>
      </c>
      <c r="BJ165">
        <v>-0.243975309</v>
      </c>
      <c r="BK165">
        <v>48.817463333333322</v>
      </c>
      <c r="BL165">
        <v>49.031903333333332</v>
      </c>
      <c r="BM165">
        <v>0.59254969999999996</v>
      </c>
      <c r="BN165">
        <v>49.171849999999999</v>
      </c>
      <c r="BO165">
        <v>-2.8542183333333342</v>
      </c>
      <c r="BP165">
        <v>-0.2266025000000001</v>
      </c>
      <c r="BQ165">
        <v>-0.28597153333333342</v>
      </c>
      <c r="BR165">
        <v>-99.900000000000034</v>
      </c>
      <c r="BS165">
        <v>-99.900000000000034</v>
      </c>
      <c r="BT165">
        <v>0</v>
      </c>
      <c r="BU165">
        <v>0</v>
      </c>
      <c r="BV165">
        <v>0</v>
      </c>
      <c r="BW165">
        <v>24</v>
      </c>
      <c r="BX165">
        <v>-1</v>
      </c>
      <c r="BY165">
        <v>1775512492.0999999</v>
      </c>
      <c r="BZ165" t="s">
        <v>780</v>
      </c>
      <c r="CA165">
        <v>1775512486.0999999</v>
      </c>
      <c r="CB165">
        <v>1775512492.0999999</v>
      </c>
      <c r="CC165">
        <v>152</v>
      </c>
      <c r="CD165">
        <v>-2.5999999999999999E-2</v>
      </c>
      <c r="CE165">
        <v>-2E-3</v>
      </c>
      <c r="CF165">
        <v>7.798</v>
      </c>
      <c r="CG165">
        <v>-0.98099999999999998</v>
      </c>
      <c r="CH165">
        <v>48</v>
      </c>
      <c r="CI165">
        <v>-3</v>
      </c>
      <c r="CJ165">
        <v>0.25</v>
      </c>
      <c r="CK165">
        <v>0.1</v>
      </c>
      <c r="CL165">
        <v>48.922937704918027</v>
      </c>
      <c r="CM165">
        <v>1.2311206768905441</v>
      </c>
      <c r="CN165">
        <v>0.34035178963755519</v>
      </c>
      <c r="CO165">
        <v>-1</v>
      </c>
      <c r="CP165">
        <v>500.00732786885249</v>
      </c>
      <c r="CQ165">
        <v>-5.2797461666382007E-3</v>
      </c>
      <c r="CR165">
        <v>4.8636733507482592E-2</v>
      </c>
      <c r="CS165">
        <v>-1</v>
      </c>
      <c r="CT165">
        <v>0</v>
      </c>
      <c r="CU165">
        <v>0</v>
      </c>
      <c r="CV165" t="s">
        <v>333</v>
      </c>
      <c r="CW165">
        <v>3.1674699999999998</v>
      </c>
      <c r="CX165">
        <v>2.6582699999999999</v>
      </c>
      <c r="CY165">
        <v>1.2295800000000001E-2</v>
      </c>
      <c r="CZ165">
        <v>1.4503200000000001E-2</v>
      </c>
      <c r="DA165">
        <v>-1.15222E-2</v>
      </c>
      <c r="DB165">
        <v>-2.8780199999999999E-2</v>
      </c>
      <c r="DC165">
        <v>21371.7</v>
      </c>
      <c r="DD165">
        <v>21703.200000000001</v>
      </c>
      <c r="DE165">
        <v>23162.2</v>
      </c>
      <c r="DF165">
        <v>22371.200000000001</v>
      </c>
      <c r="DG165">
        <v>30206.9</v>
      </c>
      <c r="DH165">
        <v>27434.7</v>
      </c>
      <c r="DI165">
        <v>40697.800000000003</v>
      </c>
      <c r="DJ165">
        <v>37064.5</v>
      </c>
      <c r="DK165">
        <v>2.1038999999999999</v>
      </c>
      <c r="DL165">
        <v>1.8522799999999999</v>
      </c>
      <c r="DM165">
        <v>2.76029E-2</v>
      </c>
      <c r="DN165">
        <v>0</v>
      </c>
      <c r="DO165">
        <v>24.833600000000001</v>
      </c>
      <c r="DP165">
        <v>999.9</v>
      </c>
      <c r="DQ165">
        <v>78.2</v>
      </c>
      <c r="DR165">
        <v>28.4</v>
      </c>
      <c r="DS165">
        <v>30.316400000000002</v>
      </c>
      <c r="DT165">
        <v>30.749300000000002</v>
      </c>
      <c r="DU165">
        <v>9.1306100000000008</v>
      </c>
      <c r="DV165">
        <v>1</v>
      </c>
      <c r="DW165">
        <v>5.9873999999999997E-2</v>
      </c>
      <c r="DX165">
        <v>-0.21024000000000001</v>
      </c>
      <c r="DY165">
        <v>20.367899999999999</v>
      </c>
      <c r="DZ165">
        <v>5.2129799999999999</v>
      </c>
      <c r="EA165">
        <v>11.8482</v>
      </c>
      <c r="EB165">
        <v>4.9684799999999996</v>
      </c>
      <c r="EC165">
        <v>3.2921</v>
      </c>
      <c r="ED165">
        <v>894.7</v>
      </c>
      <c r="EE165">
        <v>0</v>
      </c>
      <c r="EF165">
        <v>9999</v>
      </c>
      <c r="EG165">
        <v>115.5</v>
      </c>
      <c r="EH165">
        <v>4.9716399999999998</v>
      </c>
      <c r="EI165">
        <v>1.8717999999999999</v>
      </c>
      <c r="EJ165">
        <v>1.8689100000000001</v>
      </c>
      <c r="EK165">
        <v>1.87134</v>
      </c>
      <c r="EL165">
        <v>1.8690599999999999</v>
      </c>
      <c r="EM165">
        <v>1.86802</v>
      </c>
      <c r="EN165">
        <v>1.8698300000000001</v>
      </c>
      <c r="EO165">
        <v>1.87165</v>
      </c>
      <c r="EP165">
        <v>0</v>
      </c>
      <c r="EQ165">
        <v>0</v>
      </c>
      <c r="ER165">
        <v>0</v>
      </c>
      <c r="ES165">
        <v>0</v>
      </c>
      <c r="ET165" t="s">
        <v>334</v>
      </c>
      <c r="EU165" t="s">
        <v>335</v>
      </c>
      <c r="EV165" t="s">
        <v>336</v>
      </c>
      <c r="EW165" t="s">
        <v>336</v>
      </c>
      <c r="EX165" t="s">
        <v>336</v>
      </c>
      <c r="EY165" t="s">
        <v>336</v>
      </c>
      <c r="EZ165">
        <v>0</v>
      </c>
      <c r="FA165">
        <v>100</v>
      </c>
      <c r="FB165">
        <v>100</v>
      </c>
      <c r="FC165">
        <v>7.798</v>
      </c>
      <c r="FD165">
        <v>-0.98099999999999998</v>
      </c>
      <c r="FE165">
        <v>7.823909523809526</v>
      </c>
      <c r="FF165">
        <v>0</v>
      </c>
      <c r="FG165">
        <v>0</v>
      </c>
      <c r="FH165">
        <v>0</v>
      </c>
      <c r="FI165">
        <v>-0.97969333333333375</v>
      </c>
      <c r="FJ165">
        <v>0</v>
      </c>
      <c r="FK165">
        <v>0</v>
      </c>
      <c r="FL165">
        <v>0</v>
      </c>
      <c r="FM165">
        <v>-1</v>
      </c>
      <c r="FN165">
        <v>-1</v>
      </c>
      <c r="FO165">
        <v>-1</v>
      </c>
      <c r="FP165">
        <v>-1</v>
      </c>
      <c r="FQ165">
        <v>0.7</v>
      </c>
      <c r="FR165">
        <v>0.7</v>
      </c>
      <c r="FS165">
        <v>0.142822</v>
      </c>
      <c r="FT165">
        <v>4.99756</v>
      </c>
      <c r="FU165">
        <v>1.5979000000000001</v>
      </c>
      <c r="FV165">
        <v>2.1594199999999999</v>
      </c>
      <c r="FW165">
        <v>1.5478499999999999</v>
      </c>
      <c r="FX165">
        <v>2.4279799999999998</v>
      </c>
      <c r="FY165">
        <v>32.686900000000001</v>
      </c>
      <c r="FZ165">
        <v>15.6381</v>
      </c>
      <c r="GA165">
        <v>3</v>
      </c>
      <c r="GB165">
        <v>492.57499999999999</v>
      </c>
      <c r="GC165">
        <v>422.99299999999999</v>
      </c>
      <c r="GD165">
        <v>26.035399999999999</v>
      </c>
      <c r="GE165">
        <v>27.9084</v>
      </c>
      <c r="GF165">
        <v>30.0001</v>
      </c>
      <c r="GG165">
        <v>28.223600000000001</v>
      </c>
      <c r="GH165">
        <v>28.277799999999999</v>
      </c>
      <c r="GI165">
        <v>-1</v>
      </c>
      <c r="GJ165">
        <v>0</v>
      </c>
      <c r="GK165">
        <v>100</v>
      </c>
      <c r="GL165">
        <v>26.0322</v>
      </c>
      <c r="GM165">
        <v>432.1</v>
      </c>
      <c r="GN165">
        <v>63.216500000000003</v>
      </c>
      <c r="GO165">
        <v>102.45099999999999</v>
      </c>
      <c r="GP165">
        <v>96.725099999999998</v>
      </c>
    </row>
    <row r="169" spans="1:198" x14ac:dyDescent="0.35">
      <c r="O169" s="1">
        <f>AVERAGE(O17:O165)</f>
        <v>2.8613756907074444E-2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33</v>
      </c>
    </row>
    <row r="18" spans="1:2" x14ac:dyDescent="0.35">
      <c r="A18" t="s">
        <v>34</v>
      </c>
      <c r="B18" t="s">
        <v>35</v>
      </c>
    </row>
    <row r="19" spans="1:2" x14ac:dyDescent="0.35">
      <c r="A19" t="s">
        <v>36</v>
      </c>
      <c r="B1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Ozkar Homzah</cp:lastModifiedBy>
  <dcterms:created xsi:type="dcterms:W3CDTF">2026-04-06T21:54:35Z</dcterms:created>
  <dcterms:modified xsi:type="dcterms:W3CDTF">2026-04-07T07:42:53Z</dcterms:modified>
</cp:coreProperties>
</file>